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Z:\Downloaded Plans\2026 Blank Project Folder\Estimate\"/>
    </mc:Choice>
  </mc:AlternateContent>
  <xr:revisionPtr revIDLastSave="0" documentId="13_ncr:1_{10E1D37C-1793-408A-AB73-391D1634245A}" xr6:coauthVersionLast="47" xr6:coauthVersionMax="47" xr10:uidLastSave="{00000000-0000-0000-0000-000000000000}"/>
  <bookViews>
    <workbookView xWindow="-28920" yWindow="-120" windowWidth="29040" windowHeight="15720" tabRatio="904" xr2:uid="{00000000-000D-0000-FFFF-FFFF00000000}"/>
  </bookViews>
  <sheets>
    <sheet name="Summary" sheetId="3" r:id="rId1"/>
    <sheet name="Pricing" sheetId="4" r:id="rId2"/>
    <sheet name="CONCRETE BIDS" sheetId="13" r:id="rId3"/>
    <sheet name="Mono Slab on Grade Garden Style" sheetId="11533" r:id="rId4"/>
    <sheet name="Mono Slab on Grade Building 1" sheetId="6" r:id="rId5"/>
    <sheet name="Mono Slab on Grade Building 2" sheetId="11532" r:id="rId6"/>
    <sheet name="PIERS" sheetId="5" r:id="rId7"/>
    <sheet name="ROW Paving" sheetId="11536" r:id="rId8"/>
    <sheet name="Private Paving" sheetId="8" r:id="rId9"/>
    <sheet name="Site Walls" sheetId="267" r:id="rId10"/>
    <sheet name="Garage Walls" sheetId="11535" r:id="rId11"/>
    <sheet name="Footings" sheetId="11530" r:id="rId12"/>
    <sheet name="Garage Footings" sheetId="11534" r:id="rId13"/>
    <sheet name="Gd Beams" sheetId="9" r:id="rId14"/>
    <sheet name="Gd Beams or Cont Footings" sheetId="11531" r:id="rId15"/>
    <sheet name="PANELS" sheetId="8080" r:id="rId16"/>
    <sheet name="COLUMNS" sheetId="2096" r:id="rId17"/>
    <sheet name="CIP EL. DECK" sheetId="7" r:id="rId18"/>
    <sheet name="SLAB ON GRADE" sheetId="12" r:id="rId19"/>
    <sheet name="SIDEWALKS" sheetId="2826" r:id="rId20"/>
    <sheet name="Miscellaneous" sheetId="11524" r:id="rId21"/>
    <sheet name="Information" sheetId="2" r:id="rId22"/>
    <sheet name="Check List" sheetId="11526" r:id="rId23"/>
    <sheet name="SLAB ON DECK" sheetId="11" r:id="rId24"/>
    <sheet name="SUB LABOR SHEET" sheetId="41" r:id="rId25"/>
    <sheet name="Timeline" sheetId="11525" r:id="rId26"/>
    <sheet name="Materials" sheetId="11528" r:id="rId27"/>
    <sheet name="Concrete Yardage" sheetId="11529" r:id="rId28"/>
  </sheets>
  <definedNames>
    <definedName name="ETkoProjCurr">0</definedName>
    <definedName name="ETkoProjName">0</definedName>
    <definedName name="_xlnm.Print_Area" localSheetId="4">'Mono Slab on Grade Building 1'!$2:$116</definedName>
    <definedName name="_xlnm.Print_Area" localSheetId="5">'Mono Slab on Grade Building 2'!$2:$116</definedName>
    <definedName name="_xlnm.Print_Area" localSheetId="3">'Mono Slab on Grade Garden Style'!$2:$116</definedName>
    <definedName name="_xlnm.Print_Area" localSheetId="6">PIERS!$1:$1048576</definedName>
    <definedName name="_xlnm.Print_Area" localSheetId="1">Pricing!$1:$53</definedName>
    <definedName name="_xlnm.Print_Area" localSheetId="19">SIDEWALKS!$A$1:$Y$83</definedName>
    <definedName name="_xlnm.Print_Area" localSheetId="24">'SUB LABOR SHEET'!$1:$1048576</definedName>
    <definedName name="TABLE" localSheetId="8">'Private Paving'!$Q$56:$U$56</definedName>
    <definedName name="TABLE" localSheetId="7">'ROW Paving'!$Q$56:$U$56</definedName>
    <definedName name="TABLE_2" localSheetId="8">'Private Paving'!$Q$56:$U$56</definedName>
    <definedName name="TABLE_2" localSheetId="7">'ROW Paving'!$Q$56:$U$56</definedName>
    <definedName name="TABLE_3" localSheetId="8">'Private Paving'!$Q$56:$U$56</definedName>
    <definedName name="TABLE_3" localSheetId="7">'ROW Paving'!$Q$56:$U$56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2" i="11535" l="1"/>
  <c r="Z42" i="11535"/>
  <c r="AB41" i="11535"/>
  <c r="Z41" i="11535"/>
  <c r="AB40" i="11535"/>
  <c r="Z40" i="11535"/>
  <c r="AB39" i="11535"/>
  <c r="Z39" i="11535"/>
  <c r="AB38" i="11535"/>
  <c r="Z38" i="11535"/>
  <c r="AB37" i="11535"/>
  <c r="Z37" i="11535"/>
  <c r="AB36" i="11535"/>
  <c r="Z36" i="11535"/>
  <c r="AB35" i="11535"/>
  <c r="Z35" i="11535"/>
  <c r="AB34" i="11535"/>
  <c r="Z34" i="11535"/>
  <c r="AB33" i="11535"/>
  <c r="Z33" i="11535"/>
  <c r="AB32" i="11535"/>
  <c r="Z32" i="11535"/>
  <c r="AB31" i="11535"/>
  <c r="Z31" i="11535"/>
  <c r="AB30" i="11535"/>
  <c r="Z30" i="11535"/>
  <c r="AB29" i="11535"/>
  <c r="Z29" i="11535"/>
  <c r="AB28" i="11535"/>
  <c r="Z28" i="11535"/>
  <c r="AB27" i="11535"/>
  <c r="Z27" i="11535"/>
  <c r="AB26" i="11535"/>
  <c r="Z26" i="11535"/>
  <c r="AB25" i="11535"/>
  <c r="Z25" i="11535"/>
  <c r="AB24" i="11535"/>
  <c r="Z24" i="11535"/>
  <c r="AB23" i="11535"/>
  <c r="Z23" i="11535"/>
  <c r="AB22" i="11535"/>
  <c r="Z22" i="11535"/>
  <c r="AB21" i="11535"/>
  <c r="Z21" i="11535"/>
  <c r="AB20" i="11535"/>
  <c r="Z20" i="11535"/>
  <c r="AB19" i="11535"/>
  <c r="Z19" i="11535"/>
  <c r="AB18" i="11535"/>
  <c r="Z18" i="11535"/>
  <c r="AB17" i="11535"/>
  <c r="Z17" i="11535"/>
  <c r="AB16" i="11535"/>
  <c r="Z16" i="11535"/>
  <c r="AB15" i="11535"/>
  <c r="Z15" i="11535"/>
  <c r="AB14" i="11535"/>
  <c r="Z14" i="11535"/>
  <c r="AB13" i="11535"/>
  <c r="Z13" i="11535"/>
  <c r="AB12" i="11535"/>
  <c r="Z12" i="11535"/>
  <c r="AB11" i="11535"/>
  <c r="Z11" i="11535"/>
  <c r="AB42" i="267"/>
  <c r="Z42" i="267"/>
  <c r="AB41" i="267"/>
  <c r="Z41" i="267"/>
  <c r="AB40" i="267"/>
  <c r="Z40" i="267"/>
  <c r="AB39" i="267"/>
  <c r="Z39" i="267"/>
  <c r="AB38" i="267"/>
  <c r="Z38" i="267"/>
  <c r="AB37" i="267"/>
  <c r="Z37" i="267"/>
  <c r="AB36" i="267"/>
  <c r="Z36" i="267"/>
  <c r="AB35" i="267"/>
  <c r="Z35" i="267"/>
  <c r="AB34" i="267"/>
  <c r="Z34" i="267"/>
  <c r="AB33" i="267"/>
  <c r="Z33" i="267"/>
  <c r="AB32" i="267"/>
  <c r="Z32" i="267"/>
  <c r="AB31" i="267"/>
  <c r="Z31" i="267"/>
  <c r="AB30" i="267"/>
  <c r="Z30" i="267"/>
  <c r="AB29" i="267"/>
  <c r="Z29" i="267"/>
  <c r="AB28" i="267"/>
  <c r="Z28" i="267"/>
  <c r="AB27" i="267"/>
  <c r="Z27" i="267"/>
  <c r="AB26" i="267"/>
  <c r="Z26" i="267"/>
  <c r="AB25" i="267"/>
  <c r="Z25" i="267"/>
  <c r="AB24" i="267"/>
  <c r="Z24" i="267"/>
  <c r="AB23" i="267"/>
  <c r="Z23" i="267"/>
  <c r="AB22" i="267"/>
  <c r="Z22" i="267"/>
  <c r="AB21" i="267"/>
  <c r="Z21" i="267"/>
  <c r="AB20" i="267"/>
  <c r="Z20" i="267"/>
  <c r="AB19" i="267"/>
  <c r="Z19" i="267"/>
  <c r="AB18" i="267"/>
  <c r="Z18" i="267"/>
  <c r="AB17" i="267"/>
  <c r="Z17" i="267"/>
  <c r="AB16" i="267"/>
  <c r="Z16" i="267"/>
  <c r="AB15" i="267"/>
  <c r="Z15" i="267"/>
  <c r="AB14" i="267"/>
  <c r="Z14" i="267"/>
  <c r="AB13" i="267"/>
  <c r="Z13" i="267"/>
  <c r="AB12" i="267"/>
  <c r="Z12" i="267"/>
  <c r="Y9" i="4"/>
  <c r="X9" i="4"/>
  <c r="W9" i="4"/>
  <c r="V9" i="4"/>
  <c r="U9" i="4"/>
  <c r="T9" i="4"/>
  <c r="Y8" i="4"/>
  <c r="X8" i="4"/>
  <c r="W8" i="4"/>
  <c r="V8" i="4"/>
  <c r="U8" i="4"/>
  <c r="T8" i="4"/>
  <c r="Y7" i="4"/>
  <c r="X7" i="4"/>
  <c r="W7" i="4"/>
  <c r="V7" i="4"/>
  <c r="U7" i="4"/>
  <c r="T7" i="4"/>
  <c r="Y6" i="4"/>
  <c r="X6" i="4"/>
  <c r="W6" i="4"/>
  <c r="V6" i="4"/>
  <c r="U6" i="4"/>
  <c r="Y5" i="4"/>
  <c r="X5" i="4"/>
  <c r="W5" i="4"/>
  <c r="V5" i="4"/>
  <c r="U5" i="4"/>
  <c r="T6" i="4"/>
  <c r="T5" i="4"/>
  <c r="Y4" i="4"/>
  <c r="X4" i="4"/>
  <c r="W4" i="4"/>
  <c r="V4" i="4"/>
  <c r="U4" i="4"/>
  <c r="T4" i="4"/>
  <c r="B37" i="6"/>
  <c r="BC37" i="267" l="1"/>
  <c r="BC38" i="267"/>
  <c r="BC39" i="267"/>
  <c r="BC40" i="267"/>
  <c r="BC41" i="267"/>
  <c r="BC42" i="267"/>
  <c r="E77" i="11534"/>
  <c r="O77" i="11534" s="1"/>
  <c r="E76" i="11534"/>
  <c r="O76" i="11534" s="1"/>
  <c r="O75" i="11534"/>
  <c r="E74" i="11534"/>
  <c r="O74" i="11534" s="1"/>
  <c r="O73" i="11534"/>
  <c r="M74" i="11534" s="1"/>
  <c r="M73" i="11534"/>
  <c r="E76" i="11530"/>
  <c r="O76" i="11530" s="1"/>
  <c r="O75" i="11530"/>
  <c r="E74" i="11530"/>
  <c r="E77" i="11530" s="1"/>
  <c r="O77" i="11530" s="1"/>
  <c r="O73" i="11530"/>
  <c r="M73" i="11530"/>
  <c r="E82" i="11535"/>
  <c r="O82" i="11535" s="1"/>
  <c r="O81" i="11535"/>
  <c r="E80" i="11535"/>
  <c r="O80" i="11535" s="1"/>
  <c r="O79" i="11535"/>
  <c r="M79" i="11535"/>
  <c r="E82" i="267"/>
  <c r="O82" i="267" s="1"/>
  <c r="O81" i="267"/>
  <c r="E80" i="267"/>
  <c r="E83" i="267" s="1"/>
  <c r="O83" i="267" s="1"/>
  <c r="O79" i="267"/>
  <c r="M79" i="267"/>
  <c r="E60" i="8"/>
  <c r="E58" i="8"/>
  <c r="D57" i="8"/>
  <c r="E57" i="8" s="1"/>
  <c r="O59" i="8"/>
  <c r="E60" i="11536"/>
  <c r="O60" i="11536" s="1"/>
  <c r="O59" i="11536"/>
  <c r="E58" i="11536"/>
  <c r="O58" i="11536" s="1"/>
  <c r="O57" i="11536"/>
  <c r="M57" i="11536"/>
  <c r="E66" i="5"/>
  <c r="O66" i="5" s="1"/>
  <c r="O65" i="5"/>
  <c r="E64" i="5"/>
  <c r="O64" i="5" s="1"/>
  <c r="O63" i="5"/>
  <c r="M63" i="5"/>
  <c r="E95" i="11532"/>
  <c r="O95" i="11532" s="1"/>
  <c r="O94" i="11532"/>
  <c r="E93" i="11532"/>
  <c r="E96" i="11532" s="1"/>
  <c r="O96" i="11532" s="1"/>
  <c r="O92" i="11532"/>
  <c r="E95" i="11533"/>
  <c r="O95" i="11533" s="1"/>
  <c r="O94" i="11533"/>
  <c r="E93" i="11533"/>
  <c r="O93" i="11533" s="1"/>
  <c r="O92" i="11533"/>
  <c r="E96" i="6"/>
  <c r="O96" i="6" s="1"/>
  <c r="O95" i="6"/>
  <c r="O94" i="6"/>
  <c r="O93" i="6"/>
  <c r="O92" i="6"/>
  <c r="CB27" i="11533"/>
  <c r="CB28" i="11533"/>
  <c r="CB29" i="11533"/>
  <c r="CB30" i="11533"/>
  <c r="CB31" i="11533"/>
  <c r="CB32" i="11533"/>
  <c r="CB33" i="11533"/>
  <c r="CB34" i="11533"/>
  <c r="CB35" i="11533"/>
  <c r="CB36" i="11533"/>
  <c r="CB37" i="11533"/>
  <c r="CB38" i="11533"/>
  <c r="CB39" i="11533"/>
  <c r="CB40" i="11533"/>
  <c r="CB41" i="11533"/>
  <c r="CB42" i="11533"/>
  <c r="CB43" i="11533"/>
  <c r="CB44" i="11533"/>
  <c r="CB45" i="11533"/>
  <c r="CB46" i="11533"/>
  <c r="CB47" i="11533"/>
  <c r="CB48" i="11533"/>
  <c r="M74" i="11530" l="1"/>
  <c r="O74" i="11530"/>
  <c r="E83" i="11535"/>
  <c r="O83" i="11535" s="1"/>
  <c r="M80" i="11535" s="1"/>
  <c r="O80" i="267"/>
  <c r="M80" i="267" s="1"/>
  <c r="O58" i="8"/>
  <c r="O57" i="8"/>
  <c r="O60" i="8"/>
  <c r="E61" i="8"/>
  <c r="O61" i="8" s="1"/>
  <c r="E61" i="11536"/>
  <c r="O61" i="11536" s="1"/>
  <c r="M58" i="11536" s="1"/>
  <c r="E67" i="5"/>
  <c r="O67" i="5" s="1"/>
  <c r="M64" i="5" s="1"/>
  <c r="O93" i="11532"/>
  <c r="M93" i="11532" s="1"/>
  <c r="E96" i="11533"/>
  <c r="O96" i="11533" s="1"/>
  <c r="M93" i="11533" s="1"/>
  <c r="M93" i="6"/>
  <c r="E73" i="11536"/>
  <c r="R21" i="11524"/>
  <c r="S21" i="11524" s="1"/>
  <c r="I21" i="11524"/>
  <c r="O21" i="11524" s="1"/>
  <c r="M21" i="11524"/>
  <c r="N21" i="11524" s="1"/>
  <c r="Q21" i="11524" s="1"/>
  <c r="T21" i="11524"/>
  <c r="M58" i="8" l="1"/>
  <c r="T16" i="11533"/>
  <c r="T24" i="11533"/>
  <c r="T17" i="11533"/>
  <c r="T14" i="11533"/>
  <c r="T15" i="11533"/>
  <c r="T23" i="11533"/>
  <c r="T21" i="11533"/>
  <c r="T11" i="11533"/>
  <c r="T22" i="11533"/>
  <c r="T25" i="11533"/>
  <c r="T26" i="11533"/>
  <c r="T13" i="11533"/>
  <c r="T19" i="11533"/>
  <c r="T20" i="11533"/>
  <c r="T18" i="11533"/>
  <c r="T12" i="11533"/>
  <c r="AE20" i="11524"/>
  <c r="T20" i="11524"/>
  <c r="R20" i="11524"/>
  <c r="AD20" i="11524" s="1"/>
  <c r="Q20" i="11524"/>
  <c r="P20" i="11524"/>
  <c r="O20" i="11524"/>
  <c r="N20" i="11524"/>
  <c r="M20" i="11524"/>
  <c r="I20" i="11524"/>
  <c r="W20" i="11524" s="1"/>
  <c r="AI14" i="11535"/>
  <c r="AJ14" i="11535"/>
  <c r="AL14" i="11535"/>
  <c r="AM14" i="11535"/>
  <c r="AN14" i="11535"/>
  <c r="AO14" i="11535"/>
  <c r="AP14" i="11535"/>
  <c r="AQ14" i="11535"/>
  <c r="AS14" i="11535"/>
  <c r="AT14" i="11535"/>
  <c r="AI15" i="11535"/>
  <c r="AJ15" i="11535"/>
  <c r="AL15" i="11535"/>
  <c r="AM15" i="11535"/>
  <c r="AN15" i="11535"/>
  <c r="AP15" i="11535"/>
  <c r="AQ15" i="11535"/>
  <c r="AR15" i="11535"/>
  <c r="AS15" i="11535"/>
  <c r="AT15" i="11535"/>
  <c r="AI16" i="11535"/>
  <c r="AJ16" i="11535"/>
  <c r="AL16" i="11535"/>
  <c r="AM16" i="11535"/>
  <c r="AN16" i="11535"/>
  <c r="AP16" i="11535"/>
  <c r="AQ16" i="11535"/>
  <c r="AR16" i="11535"/>
  <c r="AS16" i="11535"/>
  <c r="AT16" i="11535"/>
  <c r="AI17" i="11535"/>
  <c r="AJ17" i="11535"/>
  <c r="AL17" i="11535"/>
  <c r="AM17" i="11535"/>
  <c r="AN17" i="11535"/>
  <c r="AP17" i="11535"/>
  <c r="AQ17" i="11535"/>
  <c r="AR17" i="11535"/>
  <c r="AS17" i="11535"/>
  <c r="AT17" i="11535"/>
  <c r="AI18" i="11535"/>
  <c r="AJ18" i="11535"/>
  <c r="AL18" i="11535"/>
  <c r="AM18" i="11535"/>
  <c r="AN18" i="11535"/>
  <c r="AP18" i="11535"/>
  <c r="AQ18" i="11535"/>
  <c r="AR18" i="11535"/>
  <c r="AS18" i="11535"/>
  <c r="AT18" i="11535"/>
  <c r="AI19" i="11535"/>
  <c r="AJ19" i="11535"/>
  <c r="AL19" i="11535"/>
  <c r="AM19" i="11535"/>
  <c r="AN19" i="11535"/>
  <c r="AP19" i="11535"/>
  <c r="AQ19" i="11535"/>
  <c r="AR19" i="11535"/>
  <c r="AS19" i="11535"/>
  <c r="AT19" i="11535"/>
  <c r="AI20" i="11535"/>
  <c r="AJ20" i="11535"/>
  <c r="AL20" i="11535"/>
  <c r="AM20" i="11535"/>
  <c r="AN20" i="11535"/>
  <c r="AP20" i="11535"/>
  <c r="AQ20" i="11535"/>
  <c r="AR20" i="11535"/>
  <c r="AS20" i="11535"/>
  <c r="AT20" i="11535"/>
  <c r="AI21" i="11535"/>
  <c r="AJ21" i="11535"/>
  <c r="AL21" i="11535"/>
  <c r="AM21" i="11535"/>
  <c r="AN21" i="11535"/>
  <c r="AP21" i="11535"/>
  <c r="AQ21" i="11535"/>
  <c r="AR21" i="11535"/>
  <c r="AS21" i="11535"/>
  <c r="AT21" i="11535"/>
  <c r="AI22" i="11535"/>
  <c r="AJ22" i="11535"/>
  <c r="AL22" i="11535"/>
  <c r="AM22" i="11535"/>
  <c r="AN22" i="11535"/>
  <c r="AP22" i="11535"/>
  <c r="AQ22" i="11535"/>
  <c r="AR22" i="11535"/>
  <c r="AS22" i="11535"/>
  <c r="AT22" i="11535"/>
  <c r="AI23" i="11535"/>
  <c r="AJ23" i="11535"/>
  <c r="AL23" i="11535"/>
  <c r="AM23" i="11535"/>
  <c r="AN23" i="11535"/>
  <c r="AP23" i="11535"/>
  <c r="AQ23" i="11535"/>
  <c r="AR23" i="11535"/>
  <c r="AS23" i="11535"/>
  <c r="AT23" i="11535"/>
  <c r="AI24" i="11535"/>
  <c r="AJ24" i="11535"/>
  <c r="AL24" i="11535"/>
  <c r="AM24" i="11535"/>
  <c r="AN24" i="11535"/>
  <c r="AP24" i="11535"/>
  <c r="AQ24" i="11535"/>
  <c r="AR24" i="11535"/>
  <c r="AS24" i="11535"/>
  <c r="AT24" i="11535"/>
  <c r="AI25" i="11535"/>
  <c r="AJ25" i="11535"/>
  <c r="AL25" i="11535"/>
  <c r="AM25" i="11535"/>
  <c r="AN25" i="11535"/>
  <c r="AP25" i="11535"/>
  <c r="AQ25" i="11535"/>
  <c r="AR25" i="11535"/>
  <c r="AS25" i="11535"/>
  <c r="AT25" i="11535"/>
  <c r="AI26" i="11535"/>
  <c r="AJ26" i="11535"/>
  <c r="AL26" i="11535"/>
  <c r="AM26" i="11535"/>
  <c r="AN26" i="11535"/>
  <c r="AP26" i="11535"/>
  <c r="AQ26" i="11535"/>
  <c r="AR26" i="11535"/>
  <c r="AS26" i="11535"/>
  <c r="AT26" i="11535"/>
  <c r="AI27" i="11535"/>
  <c r="AJ27" i="11535"/>
  <c r="AL27" i="11535"/>
  <c r="AM27" i="11535"/>
  <c r="AN27" i="11535"/>
  <c r="AP27" i="11535"/>
  <c r="AQ27" i="11535"/>
  <c r="AR27" i="11535"/>
  <c r="AS27" i="11535"/>
  <c r="AT27" i="11535"/>
  <c r="AI28" i="11535"/>
  <c r="AJ28" i="11535"/>
  <c r="AL28" i="11535"/>
  <c r="AM28" i="11535"/>
  <c r="AN28" i="11535"/>
  <c r="AP28" i="11535"/>
  <c r="AQ28" i="11535"/>
  <c r="AR28" i="11535"/>
  <c r="AS28" i="11535"/>
  <c r="AT28" i="11535"/>
  <c r="AI29" i="11535"/>
  <c r="AJ29" i="11535"/>
  <c r="AL29" i="11535"/>
  <c r="AM29" i="11535"/>
  <c r="AN29" i="11535"/>
  <c r="AP29" i="11535"/>
  <c r="AQ29" i="11535"/>
  <c r="AR29" i="11535"/>
  <c r="AS29" i="11535"/>
  <c r="AT29" i="11535"/>
  <c r="AI30" i="11535"/>
  <c r="AJ30" i="11535"/>
  <c r="AL30" i="11535"/>
  <c r="AM30" i="11535"/>
  <c r="AN30" i="11535"/>
  <c r="AP30" i="11535"/>
  <c r="AQ30" i="11535"/>
  <c r="AR30" i="11535"/>
  <c r="AS30" i="11535"/>
  <c r="AT30" i="11535"/>
  <c r="AI31" i="11535"/>
  <c r="AJ31" i="11535"/>
  <c r="AL31" i="11535"/>
  <c r="AM31" i="11535"/>
  <c r="AN31" i="11535"/>
  <c r="AP31" i="11535"/>
  <c r="AQ31" i="11535"/>
  <c r="AR31" i="11535"/>
  <c r="AS31" i="11535"/>
  <c r="AT31" i="11535"/>
  <c r="AI32" i="11535"/>
  <c r="AJ32" i="11535"/>
  <c r="AL32" i="11535"/>
  <c r="AM32" i="11535"/>
  <c r="AN32" i="11535"/>
  <c r="AP32" i="11535"/>
  <c r="AQ32" i="11535"/>
  <c r="AR32" i="11535"/>
  <c r="AS32" i="11535"/>
  <c r="AT32" i="11535"/>
  <c r="AI33" i="11535"/>
  <c r="AJ33" i="11535"/>
  <c r="AL33" i="11535"/>
  <c r="AM33" i="11535"/>
  <c r="AN33" i="11535"/>
  <c r="AP33" i="11535"/>
  <c r="AQ33" i="11535"/>
  <c r="AR33" i="11535"/>
  <c r="AS33" i="11535"/>
  <c r="AT33" i="11535"/>
  <c r="AI34" i="11535"/>
  <c r="AJ34" i="11535"/>
  <c r="AL34" i="11535"/>
  <c r="AM34" i="11535"/>
  <c r="AN34" i="11535"/>
  <c r="AP34" i="11535"/>
  <c r="AQ34" i="11535"/>
  <c r="AR34" i="11535"/>
  <c r="AS34" i="11535"/>
  <c r="AT34" i="11535"/>
  <c r="AI35" i="11535"/>
  <c r="AJ35" i="11535"/>
  <c r="AK35" i="11535"/>
  <c r="AL35" i="11535"/>
  <c r="AM35" i="11535"/>
  <c r="AN35" i="11535"/>
  <c r="AO35" i="11535"/>
  <c r="AP35" i="11535"/>
  <c r="AQ35" i="11535"/>
  <c r="AR35" i="11535"/>
  <c r="AS35" i="11535"/>
  <c r="AT35" i="11535"/>
  <c r="AX35" i="11535"/>
  <c r="BO35" i="11535" s="1"/>
  <c r="AZ35" i="11535"/>
  <c r="BF35" i="11535" s="1"/>
  <c r="AI36" i="11535"/>
  <c r="AJ36" i="11535"/>
  <c r="AK36" i="11535"/>
  <c r="AL36" i="11535"/>
  <c r="AM36" i="11535"/>
  <c r="AN36" i="11535"/>
  <c r="AO36" i="11535"/>
  <c r="AP36" i="11535"/>
  <c r="AQ36" i="11535"/>
  <c r="AR36" i="11535"/>
  <c r="AS36" i="11535"/>
  <c r="AT36" i="11535"/>
  <c r="AX36" i="11535"/>
  <c r="AY36" i="11535" s="1"/>
  <c r="AZ36" i="11535"/>
  <c r="BF36" i="11535" s="1"/>
  <c r="AI37" i="11535"/>
  <c r="AJ37" i="11535"/>
  <c r="AK37" i="11535"/>
  <c r="AL37" i="11535"/>
  <c r="AM37" i="11535"/>
  <c r="AN37" i="11535"/>
  <c r="AO37" i="11535"/>
  <c r="AP37" i="11535"/>
  <c r="AQ37" i="11535"/>
  <c r="AR37" i="11535"/>
  <c r="AS37" i="11535"/>
  <c r="AT37" i="11535"/>
  <c r="AX37" i="11535"/>
  <c r="AY37" i="11535"/>
  <c r="AZ37" i="11535"/>
  <c r="BF37" i="11535" s="1"/>
  <c r="BO37" i="11535"/>
  <c r="AI38" i="11535"/>
  <c r="AU38" i="11535" s="1"/>
  <c r="AJ38" i="11535"/>
  <c r="AK38" i="11535"/>
  <c r="AL38" i="11535"/>
  <c r="AM38" i="11535"/>
  <c r="AN38" i="11535"/>
  <c r="AO38" i="11535"/>
  <c r="AP38" i="11535"/>
  <c r="AQ38" i="11535"/>
  <c r="AR38" i="11535"/>
  <c r="AS38" i="11535"/>
  <c r="AT38" i="11535"/>
  <c r="AX38" i="11535"/>
  <c r="BO38" i="11535" s="1"/>
  <c r="AZ38" i="11535"/>
  <c r="BM38" i="11535" s="1"/>
  <c r="AI39" i="11535"/>
  <c r="AJ39" i="11535"/>
  <c r="AK39" i="11535"/>
  <c r="AL39" i="11535"/>
  <c r="AM39" i="11535"/>
  <c r="AN39" i="11535"/>
  <c r="AO39" i="11535"/>
  <c r="AP39" i="11535"/>
  <c r="AQ39" i="11535"/>
  <c r="AR39" i="11535"/>
  <c r="AS39" i="11535"/>
  <c r="AT39" i="11535"/>
  <c r="AU39" i="11535"/>
  <c r="AV39" i="11535"/>
  <c r="AX39" i="11535"/>
  <c r="BO39" i="11535" s="1"/>
  <c r="AZ39" i="11535"/>
  <c r="BF39" i="11535" s="1"/>
  <c r="AI40" i="11535"/>
  <c r="AJ40" i="11535"/>
  <c r="AK40" i="11535"/>
  <c r="AL40" i="11535"/>
  <c r="AM40" i="11535"/>
  <c r="AN40" i="11535"/>
  <c r="AO40" i="11535"/>
  <c r="AP40" i="11535"/>
  <c r="AQ40" i="11535"/>
  <c r="AR40" i="11535"/>
  <c r="AS40" i="11535"/>
  <c r="AT40" i="11535"/>
  <c r="AX40" i="11535"/>
  <c r="BO40" i="11535" s="1"/>
  <c r="AY40" i="11535"/>
  <c r="AZ40" i="11535"/>
  <c r="BM40" i="11535" s="1"/>
  <c r="BF40" i="11535"/>
  <c r="AI41" i="11535"/>
  <c r="AJ41" i="11535"/>
  <c r="AK41" i="11535"/>
  <c r="AL41" i="11535"/>
  <c r="AM41" i="11535"/>
  <c r="AN41" i="11535"/>
  <c r="AO41" i="11535"/>
  <c r="AP41" i="11535"/>
  <c r="AQ41" i="11535"/>
  <c r="AR41" i="11535"/>
  <c r="AS41" i="11535"/>
  <c r="AT41" i="11535"/>
  <c r="AV41" i="11535"/>
  <c r="AX41" i="11535"/>
  <c r="BO41" i="11535" s="1"/>
  <c r="AY41" i="11535"/>
  <c r="AZ41" i="11535"/>
  <c r="BM41" i="11535" s="1"/>
  <c r="BF41" i="11535"/>
  <c r="AI42" i="11535"/>
  <c r="AU42" i="11535" s="1"/>
  <c r="AJ42" i="11535"/>
  <c r="AK42" i="11535"/>
  <c r="AL42" i="11535"/>
  <c r="AM42" i="11535"/>
  <c r="AN42" i="11535"/>
  <c r="AO42" i="11535"/>
  <c r="AV42" i="11535" s="1"/>
  <c r="AP42" i="11535"/>
  <c r="AQ42" i="11535"/>
  <c r="AR42" i="11535"/>
  <c r="AS42" i="11535"/>
  <c r="AT42" i="11535"/>
  <c r="AX42" i="11535"/>
  <c r="BO42" i="11535" s="1"/>
  <c r="AZ42" i="11535"/>
  <c r="BM42" i="11535" s="1"/>
  <c r="BF42" i="11535"/>
  <c r="AI11" i="11535"/>
  <c r="AJ11" i="11535"/>
  <c r="AL11" i="11535"/>
  <c r="AM11" i="11535"/>
  <c r="AN11" i="11535"/>
  <c r="AO11" i="11535"/>
  <c r="AP11" i="11535"/>
  <c r="AQ11" i="11535"/>
  <c r="AS11" i="11535"/>
  <c r="AT11" i="11535"/>
  <c r="AI12" i="11535"/>
  <c r="AJ12" i="11535"/>
  <c r="AL12" i="11535"/>
  <c r="AM12" i="11535"/>
  <c r="AN12" i="11535"/>
  <c r="AO12" i="11535"/>
  <c r="AP12" i="11535"/>
  <c r="AQ12" i="11535"/>
  <c r="AS12" i="11535"/>
  <c r="AT12" i="11535"/>
  <c r="AI13" i="11535"/>
  <c r="AJ13" i="11535"/>
  <c r="AL13" i="11535"/>
  <c r="AM13" i="11535"/>
  <c r="AN13" i="11535"/>
  <c r="AO13" i="11535"/>
  <c r="AP13" i="11535"/>
  <c r="AQ13" i="11535"/>
  <c r="AS13" i="11535"/>
  <c r="AT13" i="11535"/>
  <c r="O73" i="8"/>
  <c r="E73" i="8"/>
  <c r="BF38" i="11535" l="1"/>
  <c r="AV37" i="11535"/>
  <c r="AY35" i="11535"/>
  <c r="AU35" i="11535"/>
  <c r="AV35" i="11535"/>
  <c r="BO36" i="11535"/>
  <c r="AV38" i="11535"/>
  <c r="AV36" i="11535"/>
  <c r="AU36" i="11535"/>
  <c r="BM37" i="11535"/>
  <c r="BM36" i="11535"/>
  <c r="AV40" i="11535"/>
  <c r="AU37" i="11535"/>
  <c r="AU40" i="11535"/>
  <c r="AY39" i="11535"/>
  <c r="P49" i="11533"/>
  <c r="R49" i="11533"/>
  <c r="S20" i="11524"/>
  <c r="U20" i="11524" s="1"/>
  <c r="AY38" i="11535"/>
  <c r="BM39" i="11535"/>
  <c r="BM35" i="11535"/>
  <c r="AY42" i="11535"/>
  <c r="AU41" i="11535"/>
  <c r="O79" i="3"/>
  <c r="O89" i="3"/>
  <c r="O91" i="3"/>
  <c r="O92" i="3"/>
  <c r="O93" i="3"/>
  <c r="O94" i="3"/>
  <c r="O95" i="3"/>
  <c r="O97" i="3"/>
  <c r="O78" i="3"/>
  <c r="H89" i="3"/>
  <c r="H90" i="3"/>
  <c r="H91" i="3"/>
  <c r="H92" i="3"/>
  <c r="H93" i="3"/>
  <c r="H100" i="3"/>
  <c r="AK13" i="11535" l="1"/>
  <c r="AZ13" i="11535"/>
  <c r="T29" i="6"/>
  <c r="AX13" i="11535"/>
  <c r="T24" i="6"/>
  <c r="T17" i="6"/>
  <c r="T25" i="6"/>
  <c r="T14" i="6"/>
  <c r="T22" i="6"/>
  <c r="T21" i="6"/>
  <c r="T31" i="6"/>
  <c r="T11" i="6"/>
  <c r="T33" i="6"/>
  <c r="T19" i="6"/>
  <c r="T18" i="6"/>
  <c r="T27" i="6"/>
  <c r="T26" i="6"/>
  <c r="T35" i="6"/>
  <c r="T32" i="6"/>
  <c r="T34" i="6"/>
  <c r="T12" i="6"/>
  <c r="T28" i="6"/>
  <c r="T20" i="6"/>
  <c r="T15" i="6"/>
  <c r="T30" i="6"/>
  <c r="T16" i="6"/>
  <c r="T23" i="6"/>
  <c r="T13" i="6"/>
  <c r="H78" i="3"/>
  <c r="Y40" i="3"/>
  <c r="U78" i="11536"/>
  <c r="O78" i="11536"/>
  <c r="AE90" i="11536" s="1"/>
  <c r="O77" i="11536"/>
  <c r="AE86" i="11536" s="1"/>
  <c r="O76" i="11536"/>
  <c r="AE114" i="11536" s="1"/>
  <c r="U75" i="11536"/>
  <c r="S75" i="11536"/>
  <c r="G75" i="11536"/>
  <c r="O75" i="11536" s="1"/>
  <c r="U74" i="11536"/>
  <c r="O74" i="11536"/>
  <c r="AE92" i="11536" s="1"/>
  <c r="O68" i="11536"/>
  <c r="U67" i="11536"/>
  <c r="U66" i="11536"/>
  <c r="G66" i="11536"/>
  <c r="W65" i="11536"/>
  <c r="AE118" i="11536" s="1"/>
  <c r="G64" i="11536"/>
  <c r="E64" i="11536"/>
  <c r="W57" i="11536"/>
  <c r="AE83" i="11536"/>
  <c r="W56" i="11536"/>
  <c r="U55" i="11536"/>
  <c r="U54" i="11536"/>
  <c r="W54" i="11536" s="1"/>
  <c r="L54" i="11536"/>
  <c r="U53" i="11536"/>
  <c r="L53" i="11536"/>
  <c r="U52" i="11536"/>
  <c r="L52" i="11536"/>
  <c r="U51" i="11536"/>
  <c r="L51" i="11536"/>
  <c r="U50" i="11536"/>
  <c r="L50" i="11536"/>
  <c r="H50" i="11536"/>
  <c r="U49" i="11536"/>
  <c r="U48" i="11536"/>
  <c r="S48" i="11536"/>
  <c r="S49" i="11536" s="1"/>
  <c r="L48" i="11536"/>
  <c r="O48" i="11536" s="1"/>
  <c r="U47" i="11536"/>
  <c r="S47" i="11536"/>
  <c r="U46" i="11536"/>
  <c r="G46" i="11536"/>
  <c r="U45" i="11536"/>
  <c r="S45" i="11536"/>
  <c r="U44" i="11536"/>
  <c r="S44" i="11536"/>
  <c r="G44" i="11536"/>
  <c r="U43" i="11536"/>
  <c r="S43" i="11536"/>
  <c r="S46" i="11536" s="1"/>
  <c r="G43" i="11536"/>
  <c r="U42" i="11536"/>
  <c r="C42" i="11536"/>
  <c r="U41" i="11536"/>
  <c r="C41" i="11536"/>
  <c r="U40" i="11536"/>
  <c r="C40" i="11536"/>
  <c r="W37" i="11536"/>
  <c r="W36" i="11536"/>
  <c r="W35" i="11536"/>
  <c r="S26" i="11536" s="1"/>
  <c r="N33" i="11536"/>
  <c r="M32" i="11536"/>
  <c r="W31" i="11536"/>
  <c r="O63" i="11536" s="1"/>
  <c r="U31" i="11536"/>
  <c r="AX29" i="11536"/>
  <c r="J28" i="11536"/>
  <c r="I54" i="11536" s="1"/>
  <c r="O54" i="11536" s="1"/>
  <c r="D28" i="11536"/>
  <c r="BA14" i="11536" s="1"/>
  <c r="BM27" i="11536"/>
  <c r="BG27" i="11536"/>
  <c r="BF27" i="11536"/>
  <c r="BD27" i="11536"/>
  <c r="BC27" i="11536"/>
  <c r="BB27" i="11536"/>
  <c r="BA27" i="11536"/>
  <c r="AY27" i="11536"/>
  <c r="AW27" i="11536"/>
  <c r="AS27" i="11536"/>
  <c r="AR27" i="11536"/>
  <c r="AQ27" i="11536"/>
  <c r="AO27" i="11536"/>
  <c r="AN27" i="11536"/>
  <c r="AM27" i="11536"/>
  <c r="AL27" i="11536"/>
  <c r="AK27" i="11536"/>
  <c r="AJ27" i="11536"/>
  <c r="AI27" i="11536"/>
  <c r="U27" i="11536"/>
  <c r="T27" i="11536"/>
  <c r="Q27" i="11536"/>
  <c r="BM26" i="11536"/>
  <c r="BF26" i="11536" s="1"/>
  <c r="BG26" i="11536"/>
  <c r="BD26" i="11536"/>
  <c r="BC26" i="11536"/>
  <c r="BB26" i="11536"/>
  <c r="BA26" i="11536"/>
  <c r="AY26" i="11536"/>
  <c r="AW26" i="11536"/>
  <c r="AS26" i="11536"/>
  <c r="AR26" i="11536"/>
  <c r="AQ26" i="11536"/>
  <c r="AO26" i="11536"/>
  <c r="AN26" i="11536"/>
  <c r="AM26" i="11536"/>
  <c r="AL26" i="11536"/>
  <c r="AK26" i="11536"/>
  <c r="AJ26" i="11536"/>
  <c r="AI26" i="11536"/>
  <c r="U26" i="11536"/>
  <c r="T26" i="11536"/>
  <c r="Q26" i="11536"/>
  <c r="BM25" i="11536"/>
  <c r="BF25" i="11536" s="1"/>
  <c r="BG25" i="11536"/>
  <c r="BD25" i="11536"/>
  <c r="BC25" i="11536"/>
  <c r="BB25" i="11536"/>
  <c r="BA25" i="11536"/>
  <c r="AY25" i="11536"/>
  <c r="AW25" i="11536"/>
  <c r="AS25" i="11536"/>
  <c r="AR25" i="11536"/>
  <c r="AQ25" i="11536"/>
  <c r="AO25" i="11536"/>
  <c r="AN25" i="11536"/>
  <c r="AM25" i="11536"/>
  <c r="AL25" i="11536"/>
  <c r="AK25" i="11536"/>
  <c r="AJ25" i="11536"/>
  <c r="AI25" i="11536"/>
  <c r="U25" i="11536"/>
  <c r="T25" i="11536"/>
  <c r="Q25" i="11536"/>
  <c r="BM24" i="11536"/>
  <c r="BF24" i="11536" s="1"/>
  <c r="BG24" i="11536"/>
  <c r="BD24" i="11536"/>
  <c r="BC24" i="11536"/>
  <c r="BB24" i="11536"/>
  <c r="BA24" i="11536"/>
  <c r="AY24" i="11536"/>
  <c r="AW24" i="11536"/>
  <c r="AS24" i="11536"/>
  <c r="AR24" i="11536"/>
  <c r="AQ24" i="11536"/>
  <c r="AO24" i="11536"/>
  <c r="AN24" i="11536"/>
  <c r="AM24" i="11536"/>
  <c r="AL24" i="11536"/>
  <c r="AK24" i="11536"/>
  <c r="AJ24" i="11536"/>
  <c r="AI24" i="11536"/>
  <c r="U24" i="11536"/>
  <c r="T24" i="11536"/>
  <c r="Q24" i="11536"/>
  <c r="BM23" i="11536"/>
  <c r="BG23" i="11536"/>
  <c r="BF23" i="11536"/>
  <c r="BD23" i="11536"/>
  <c r="BC23" i="11536"/>
  <c r="BB23" i="11536"/>
  <c r="BA23" i="11536"/>
  <c r="AY23" i="11536"/>
  <c r="AW23" i="11536"/>
  <c r="AS23" i="11536"/>
  <c r="AR23" i="11536"/>
  <c r="AQ23" i="11536"/>
  <c r="AO23" i="11536"/>
  <c r="AN23" i="11536"/>
  <c r="AM23" i="11536"/>
  <c r="AL23" i="11536"/>
  <c r="AK23" i="11536"/>
  <c r="AJ23" i="11536"/>
  <c r="AI23" i="11536"/>
  <c r="U23" i="11536"/>
  <c r="T23" i="11536"/>
  <c r="Q23" i="11536"/>
  <c r="BM22" i="11536"/>
  <c r="BF22" i="11536" s="1"/>
  <c r="BG22" i="11536"/>
  <c r="BD22" i="11536"/>
  <c r="BC22" i="11536"/>
  <c r="BB22" i="11536"/>
  <c r="BA22" i="11536"/>
  <c r="AY22" i="11536"/>
  <c r="AW22" i="11536"/>
  <c r="AS22" i="11536"/>
  <c r="AR22" i="11536"/>
  <c r="AQ22" i="11536"/>
  <c r="AO22" i="11536"/>
  <c r="AN22" i="11536"/>
  <c r="AM22" i="11536"/>
  <c r="AL22" i="11536"/>
  <c r="AK22" i="11536"/>
  <c r="AJ22" i="11536"/>
  <c r="AI22" i="11536"/>
  <c r="U22" i="11536"/>
  <c r="T22" i="11536"/>
  <c r="Q22" i="11536"/>
  <c r="BM21" i="11536"/>
  <c r="BG21" i="11536"/>
  <c r="BF21" i="11536"/>
  <c r="BD21" i="11536"/>
  <c r="BC21" i="11536"/>
  <c r="BB21" i="11536"/>
  <c r="BA21" i="11536"/>
  <c r="AY21" i="11536"/>
  <c r="AW21" i="11536"/>
  <c r="AS21" i="11536"/>
  <c r="AR21" i="11536"/>
  <c r="AQ21" i="11536"/>
  <c r="AO21" i="11536"/>
  <c r="AN21" i="11536"/>
  <c r="AM21" i="11536"/>
  <c r="AL21" i="11536"/>
  <c r="AK21" i="11536"/>
  <c r="AJ21" i="11536"/>
  <c r="AI21" i="11536"/>
  <c r="U21" i="11536"/>
  <c r="T21" i="11536"/>
  <c r="Q21" i="11536"/>
  <c r="BM20" i="11536"/>
  <c r="BF20" i="11536" s="1"/>
  <c r="BG20" i="11536"/>
  <c r="BD20" i="11536"/>
  <c r="BC20" i="11536"/>
  <c r="BB20" i="11536"/>
  <c r="BA20" i="11536"/>
  <c r="AY20" i="11536"/>
  <c r="AW20" i="11536"/>
  <c r="AS20" i="11536"/>
  <c r="AR20" i="11536"/>
  <c r="AQ20" i="11536"/>
  <c r="AO20" i="11536"/>
  <c r="AN20" i="11536"/>
  <c r="AM20" i="11536"/>
  <c r="AL20" i="11536"/>
  <c r="AK20" i="11536"/>
  <c r="AJ20" i="11536"/>
  <c r="AI20" i="11536"/>
  <c r="U20" i="11536"/>
  <c r="T20" i="11536"/>
  <c r="Q20" i="11536"/>
  <c r="BM19" i="11536"/>
  <c r="BF19" i="11536" s="1"/>
  <c r="BC19" i="11536"/>
  <c r="BA19" i="11536"/>
  <c r="AY19" i="11536"/>
  <c r="AW19" i="11536"/>
  <c r="AS19" i="11536"/>
  <c r="AR19" i="11536"/>
  <c r="AQ19" i="11536"/>
  <c r="AO19" i="11536"/>
  <c r="AN19" i="11536"/>
  <c r="AM19" i="11536"/>
  <c r="AK19" i="11536"/>
  <c r="AJ19" i="11536"/>
  <c r="AI19" i="11536"/>
  <c r="T19" i="11536"/>
  <c r="AL19" i="11536" s="1"/>
  <c r="Q19" i="11536"/>
  <c r="BM18" i="11536"/>
  <c r="BF18" i="11536" s="1"/>
  <c r="BG18" i="11536"/>
  <c r="BD18" i="11536"/>
  <c r="BC18" i="11536"/>
  <c r="BB18" i="11536"/>
  <c r="BA18" i="11536"/>
  <c r="AY18" i="11536"/>
  <c r="AW18" i="11536"/>
  <c r="AS18" i="11536"/>
  <c r="AR18" i="11536"/>
  <c r="AQ18" i="11536"/>
  <c r="AO18" i="11536"/>
  <c r="AN18" i="11536"/>
  <c r="AM18" i="11536"/>
  <c r="AL18" i="11536"/>
  <c r="AK18" i="11536"/>
  <c r="AJ18" i="11536"/>
  <c r="AI18" i="11536"/>
  <c r="U18" i="11536"/>
  <c r="T18" i="11536"/>
  <c r="Q18" i="11536"/>
  <c r="BM17" i="11536"/>
  <c r="BF17" i="11536" s="1"/>
  <c r="BA17" i="11536"/>
  <c r="AY17" i="11536"/>
  <c r="AW17" i="11536"/>
  <c r="AS17" i="11536"/>
  <c r="AR17" i="11536"/>
  <c r="AQ17" i="11536"/>
  <c r="AO17" i="11536"/>
  <c r="AN17" i="11536"/>
  <c r="AM17" i="11536"/>
  <c r="AL17" i="11536"/>
  <c r="AK17" i="11536"/>
  <c r="AJ17" i="11536"/>
  <c r="AI17" i="11536"/>
  <c r="T17" i="11536"/>
  <c r="Q17" i="11536"/>
  <c r="BM16" i="11536"/>
  <c r="BF16" i="11536" s="1"/>
  <c r="AY16" i="11536"/>
  <c r="AW16" i="11536"/>
  <c r="AS16" i="11536"/>
  <c r="AR16" i="11536"/>
  <c r="AQ16" i="11536"/>
  <c r="AO16" i="11536"/>
  <c r="AN16" i="11536"/>
  <c r="AM16" i="11536"/>
  <c r="AL16" i="11536"/>
  <c r="AK16" i="11536"/>
  <c r="AJ16" i="11536"/>
  <c r="AI16" i="11536"/>
  <c r="T16" i="11536"/>
  <c r="Q16" i="11536"/>
  <c r="BM15" i="11536"/>
  <c r="BF15" i="11536" s="1"/>
  <c r="BG15" i="11536"/>
  <c r="BD15" i="11536"/>
  <c r="BC15" i="11536"/>
  <c r="BB15" i="11536"/>
  <c r="BA15" i="11536"/>
  <c r="AY15" i="11536"/>
  <c r="AW15" i="11536"/>
  <c r="AS15" i="11536"/>
  <c r="AR15" i="11536"/>
  <c r="AQ15" i="11536"/>
  <c r="AO15" i="11536"/>
  <c r="AN15" i="11536"/>
  <c r="AM15" i="11536"/>
  <c r="AL15" i="11536"/>
  <c r="AK15" i="11536"/>
  <c r="AJ15" i="11536"/>
  <c r="AI15" i="11536"/>
  <c r="U15" i="11536"/>
  <c r="T15" i="11536"/>
  <c r="Q15" i="11536"/>
  <c r="BM14" i="11536"/>
  <c r="BF14" i="11536" s="1"/>
  <c r="BC14" i="11536"/>
  <c r="AY14" i="11536"/>
  <c r="AW14" i="11536"/>
  <c r="AS14" i="11536"/>
  <c r="AR14" i="11536"/>
  <c r="AQ14" i="11536"/>
  <c r="AO14" i="11536"/>
  <c r="AN14" i="11536"/>
  <c r="AM14" i="11536"/>
  <c r="AK14" i="11536"/>
  <c r="AJ14" i="11536"/>
  <c r="AI14" i="11536"/>
  <c r="T14" i="11536"/>
  <c r="AL14" i="11536" s="1"/>
  <c r="S14" i="11536"/>
  <c r="AZ14" i="11536" s="1"/>
  <c r="Q14" i="11536"/>
  <c r="BM13" i="11536"/>
  <c r="BF13" i="11536" s="1"/>
  <c r="AY13" i="11536"/>
  <c r="AW13" i="11536"/>
  <c r="AS13" i="11536"/>
  <c r="AR13" i="11536"/>
  <c r="AQ13" i="11536"/>
  <c r="AO13" i="11536"/>
  <c r="AN13" i="11536"/>
  <c r="AM13" i="11536"/>
  <c r="AL13" i="11536"/>
  <c r="AK13" i="11536"/>
  <c r="AJ13" i="11536"/>
  <c r="AI13" i="11536"/>
  <c r="T13" i="11536"/>
  <c r="Q13" i="11536"/>
  <c r="BM12" i="11536"/>
  <c r="BG12" i="11536"/>
  <c r="BD12" i="11536"/>
  <c r="BC12" i="11536"/>
  <c r="BB12" i="11536"/>
  <c r="BA12" i="11536"/>
  <c r="AY12" i="11536"/>
  <c r="AW12" i="11536"/>
  <c r="AS12" i="11536"/>
  <c r="AR12" i="11536"/>
  <c r="AQ12" i="11536"/>
  <c r="AO12" i="11536"/>
  <c r="AN12" i="11536"/>
  <c r="AM12" i="11536"/>
  <c r="AL12" i="11536"/>
  <c r="AK12" i="11536"/>
  <c r="AJ12" i="11536"/>
  <c r="AI12" i="11536"/>
  <c r="U12" i="11536"/>
  <c r="T12" i="11536"/>
  <c r="Q12" i="11536"/>
  <c r="BM11" i="11536"/>
  <c r="BF11" i="11536" s="1"/>
  <c r="AY11" i="11536"/>
  <c r="AW11" i="11536"/>
  <c r="AS11" i="11536"/>
  <c r="AR11" i="11536"/>
  <c r="AQ11" i="11536"/>
  <c r="AO11" i="11536"/>
  <c r="AN11" i="11536"/>
  <c r="AM11" i="11536"/>
  <c r="AK11" i="11536"/>
  <c r="AJ11" i="11536"/>
  <c r="AI11" i="11536"/>
  <c r="T11" i="11536"/>
  <c r="AL11" i="11536" s="1"/>
  <c r="Q11" i="11536"/>
  <c r="BM10" i="11536"/>
  <c r="T7" i="11536"/>
  <c r="Q7" i="11536"/>
  <c r="Q6" i="11536"/>
  <c r="T5" i="11536"/>
  <c r="Q5" i="11536"/>
  <c r="Q4" i="11536"/>
  <c r="V3" i="11536"/>
  <c r="AX28" i="267"/>
  <c r="AY28" i="267" s="1"/>
  <c r="AZ28" i="267"/>
  <c r="AX29" i="267"/>
  <c r="AY29" i="267" s="1"/>
  <c r="AZ29" i="267"/>
  <c r="W28" i="267"/>
  <c r="BC28" i="267" s="1"/>
  <c r="X28" i="267"/>
  <c r="W29" i="267"/>
  <c r="BC29" i="267" s="1"/>
  <c r="X29" i="267"/>
  <c r="B44" i="11529"/>
  <c r="C44" i="11529"/>
  <c r="B45" i="11529"/>
  <c r="C45" i="11529"/>
  <c r="B46" i="11529"/>
  <c r="C46" i="11529"/>
  <c r="B47" i="11529"/>
  <c r="C47" i="11529"/>
  <c r="B40" i="11529"/>
  <c r="C40" i="11529"/>
  <c r="B41" i="11529"/>
  <c r="C41" i="11529"/>
  <c r="B42" i="11529"/>
  <c r="C42" i="11529"/>
  <c r="B43" i="11529"/>
  <c r="C43" i="11529"/>
  <c r="AH10" i="2826"/>
  <c r="S16" i="11536" l="1"/>
  <c r="AZ16" i="11536" s="1"/>
  <c r="S18" i="11536"/>
  <c r="AZ18" i="11536" s="1"/>
  <c r="S13" i="11536"/>
  <c r="AZ13" i="11536" s="1"/>
  <c r="S12" i="11536"/>
  <c r="S21" i="11536"/>
  <c r="AZ21" i="11536" s="1"/>
  <c r="S15" i="11536"/>
  <c r="AZ15" i="11536" s="1"/>
  <c r="AP21" i="11536"/>
  <c r="S17" i="11536"/>
  <c r="AZ17" i="11536" s="1"/>
  <c r="S20" i="11536"/>
  <c r="AZ20" i="11536" s="1"/>
  <c r="S11" i="11536"/>
  <c r="AU11" i="11536" s="1"/>
  <c r="S27" i="11536"/>
  <c r="AZ27" i="11536" s="1"/>
  <c r="AP18" i="11536"/>
  <c r="BC17" i="11536"/>
  <c r="AW29" i="11536"/>
  <c r="AP14" i="11536"/>
  <c r="AY29" i="11536"/>
  <c r="BA16" i="11536"/>
  <c r="BC16" i="11536"/>
  <c r="AN28" i="11536"/>
  <c r="AP17" i="11536"/>
  <c r="S39" i="3"/>
  <c r="AP15" i="11536"/>
  <c r="AP13" i="11536"/>
  <c r="AP19" i="11536"/>
  <c r="S25" i="11536"/>
  <c r="E66" i="11536"/>
  <c r="E67" i="11536" s="1"/>
  <c r="O67" i="11536" s="1"/>
  <c r="AL28" i="11536"/>
  <c r="L41" i="11536" s="1"/>
  <c r="S24" i="11536"/>
  <c r="AZ24" i="11536" s="1"/>
  <c r="S23" i="11536"/>
  <c r="AZ23" i="11536" s="1"/>
  <c r="AP26" i="11536"/>
  <c r="AM28" i="11536"/>
  <c r="L42" i="11536" s="1"/>
  <c r="AO28" i="11536"/>
  <c r="AQ28" i="11536"/>
  <c r="S19" i="11536"/>
  <c r="AZ19" i="11536" s="1"/>
  <c r="AR28" i="11536"/>
  <c r="AS28" i="11536"/>
  <c r="AP22" i="11536"/>
  <c r="AP25" i="11536"/>
  <c r="BM29" i="11536"/>
  <c r="G76" i="11536" s="1"/>
  <c r="AK23" i="11535"/>
  <c r="AX23" i="11535"/>
  <c r="AZ23" i="11535"/>
  <c r="AK14" i="11535"/>
  <c r="AX14" i="11535"/>
  <c r="AZ14" i="11535"/>
  <c r="AZ27" i="11535"/>
  <c r="AX27" i="11535"/>
  <c r="AK27" i="11535"/>
  <c r="AK25" i="11535"/>
  <c r="AX25" i="11535"/>
  <c r="AZ25" i="11535"/>
  <c r="AX24" i="11535"/>
  <c r="AZ24" i="11535"/>
  <c r="AK24" i="11535"/>
  <c r="AK22" i="11535"/>
  <c r="AX22" i="11535"/>
  <c r="AZ22" i="11535"/>
  <c r="AK28" i="11535"/>
  <c r="AX28" i="11535"/>
  <c r="AZ28" i="11535"/>
  <c r="AX31" i="11535"/>
  <c r="AK31" i="11535"/>
  <c r="AZ31" i="11535"/>
  <c r="AX21" i="11535"/>
  <c r="AZ21" i="11535"/>
  <c r="AK21" i="11535"/>
  <c r="AK26" i="11535"/>
  <c r="AX26" i="11535"/>
  <c r="AZ26" i="11535"/>
  <c r="AX17" i="11535"/>
  <c r="AZ17" i="11535"/>
  <c r="AK17" i="11535"/>
  <c r="AX16" i="11535"/>
  <c r="AZ16" i="11535"/>
  <c r="AK16" i="11535"/>
  <c r="AK18" i="11535"/>
  <c r="AX18" i="11535"/>
  <c r="AZ18" i="11535"/>
  <c r="AX32" i="11535"/>
  <c r="AZ32" i="11535"/>
  <c r="AK32" i="11535"/>
  <c r="AK33" i="11535"/>
  <c r="AX33" i="11535"/>
  <c r="AZ33" i="11535"/>
  <c r="AK30" i="11535"/>
  <c r="AX30" i="11535"/>
  <c r="AZ30" i="11535"/>
  <c r="AX20" i="11535"/>
  <c r="AZ20" i="11535"/>
  <c r="AK20" i="11535"/>
  <c r="AK34" i="11535"/>
  <c r="AZ34" i="11535"/>
  <c r="AX34" i="11535"/>
  <c r="AX15" i="11535"/>
  <c r="AK15" i="11535"/>
  <c r="AZ15" i="11535"/>
  <c r="AX29" i="11535"/>
  <c r="AK29" i="11535"/>
  <c r="AZ29" i="11535"/>
  <c r="AZ19" i="11535"/>
  <c r="AX19" i="11535"/>
  <c r="AK19" i="11535"/>
  <c r="AX11" i="11535"/>
  <c r="AK11" i="11535"/>
  <c r="AZ11" i="11535"/>
  <c r="AX12" i="11535"/>
  <c r="AZ12" i="11535"/>
  <c r="AK12" i="11535"/>
  <c r="AY13" i="11535"/>
  <c r="BE13" i="11535" s="1"/>
  <c r="BF13" i="11535"/>
  <c r="AU13" i="11535"/>
  <c r="J28" i="5"/>
  <c r="J18" i="5"/>
  <c r="J20" i="5"/>
  <c r="J21" i="5"/>
  <c r="J25" i="5"/>
  <c r="J35" i="5"/>
  <c r="J27" i="5"/>
  <c r="J32" i="5"/>
  <c r="J33" i="5"/>
  <c r="J30" i="5"/>
  <c r="J19" i="5"/>
  <c r="J15" i="5"/>
  <c r="J16" i="5"/>
  <c r="J14" i="5"/>
  <c r="J13" i="5"/>
  <c r="J22" i="5"/>
  <c r="J34" i="5"/>
  <c r="J29" i="5"/>
  <c r="J31" i="5"/>
  <c r="J24" i="5"/>
  <c r="J12" i="5"/>
  <c r="J17" i="5"/>
  <c r="J23" i="5"/>
  <c r="J26" i="5"/>
  <c r="W75" i="11536"/>
  <c r="W44" i="11536"/>
  <c r="O44" i="11536"/>
  <c r="AU18" i="11536"/>
  <c r="AU14" i="11536"/>
  <c r="G70" i="11536"/>
  <c r="O70" i="11536" s="1"/>
  <c r="C39" i="3"/>
  <c r="I40" i="3" s="1"/>
  <c r="S66" i="11536"/>
  <c r="W66" i="11536" s="1"/>
  <c r="I50" i="11536"/>
  <c r="O52" i="11536" s="1"/>
  <c r="S40" i="11536"/>
  <c r="W40" i="11536" s="1"/>
  <c r="S28" i="11536"/>
  <c r="S41" i="11536"/>
  <c r="W41" i="11536" s="1"/>
  <c r="AE85" i="11536"/>
  <c r="AI28" i="11536"/>
  <c r="P39" i="3"/>
  <c r="O64" i="11536"/>
  <c r="W81" i="11536"/>
  <c r="U81" i="11536"/>
  <c r="AU25" i="11536"/>
  <c r="AU21" i="11536"/>
  <c r="AU17" i="11536"/>
  <c r="O65" i="11536"/>
  <c r="AU13" i="11536"/>
  <c r="W49" i="11536"/>
  <c r="F29" i="11536"/>
  <c r="W43" i="11536"/>
  <c r="W48" i="11536"/>
  <c r="AV25" i="11536"/>
  <c r="AV21" i="11536"/>
  <c r="AV17" i="11536"/>
  <c r="AV13" i="11536"/>
  <c r="AV18" i="11536"/>
  <c r="AV20" i="11536"/>
  <c r="AV12" i="11536"/>
  <c r="AV14" i="11536"/>
  <c r="AV24" i="11536"/>
  <c r="AV16" i="11536"/>
  <c r="AV27" i="11536"/>
  <c r="AV23" i="11536"/>
  <c r="AV19" i="11536"/>
  <c r="AV15" i="11536"/>
  <c r="AV11" i="11536"/>
  <c r="AV26" i="11536"/>
  <c r="AV22" i="11536"/>
  <c r="AZ26" i="11536"/>
  <c r="AU26" i="11536"/>
  <c r="BF12" i="11536"/>
  <c r="BF29" i="11536" s="1"/>
  <c r="AZ25" i="11536"/>
  <c r="AJ28" i="11536"/>
  <c r="L55" i="11536"/>
  <c r="AP23" i="11536"/>
  <c r="AP11" i="11536"/>
  <c r="AP27" i="11536"/>
  <c r="W45" i="11536"/>
  <c r="W50" i="11536"/>
  <c r="M82" i="11536"/>
  <c r="AU15" i="11536"/>
  <c r="L46" i="11536"/>
  <c r="O46" i="11536" s="1"/>
  <c r="AU23" i="11536"/>
  <c r="AP12" i="11536"/>
  <c r="AP16" i="11536"/>
  <c r="AP20" i="11536"/>
  <c r="AP24" i="11536"/>
  <c r="AK28" i="11536"/>
  <c r="L40" i="11536" s="1"/>
  <c r="S22" i="11536"/>
  <c r="W51" i="11536"/>
  <c r="AZ11" i="11536"/>
  <c r="W46" i="11536"/>
  <c r="O47" i="11536"/>
  <c r="BE11" i="11536" s="1"/>
  <c r="AU12" i="11536"/>
  <c r="AU16" i="11536"/>
  <c r="AU20" i="11536"/>
  <c r="W52" i="11536"/>
  <c r="Q39" i="3"/>
  <c r="W69" i="11536"/>
  <c r="W42" i="11536"/>
  <c r="W47" i="11536"/>
  <c r="AZ12" i="11536"/>
  <c r="S45" i="3"/>
  <c r="F45" i="3"/>
  <c r="E45" i="3"/>
  <c r="U46" i="3"/>
  <c r="O97" i="11535"/>
  <c r="AF93" i="11535" s="1"/>
  <c r="V96" i="11535"/>
  <c r="O96" i="11535"/>
  <c r="AF99" i="11535" s="1"/>
  <c r="O95" i="11535"/>
  <c r="O94" i="11535"/>
  <c r="V93" i="11535"/>
  <c r="T93" i="11535"/>
  <c r="O93" i="11535"/>
  <c r="AF100" i="11535" s="1"/>
  <c r="V92" i="11535"/>
  <c r="E92" i="11535"/>
  <c r="E90" i="11535"/>
  <c r="O90" i="11535" s="1"/>
  <c r="G89" i="11535"/>
  <c r="G88" i="11535"/>
  <c r="G87" i="11535"/>
  <c r="V86" i="11535"/>
  <c r="X86" i="11535" s="1"/>
  <c r="G86" i="11535"/>
  <c r="V85" i="11535"/>
  <c r="X85" i="11535" s="1"/>
  <c r="G85" i="11535"/>
  <c r="E85" i="11535"/>
  <c r="E87" i="11535" s="1"/>
  <c r="X84" i="11535"/>
  <c r="AF125" i="11535" s="1"/>
  <c r="AF91" i="11535"/>
  <c r="V80" i="11535"/>
  <c r="X80" i="11535" s="1"/>
  <c r="V79" i="11535"/>
  <c r="X79" i="11535" s="1"/>
  <c r="V78" i="11535"/>
  <c r="L76" i="11535"/>
  <c r="L75" i="11535"/>
  <c r="L74" i="11535"/>
  <c r="X73" i="11535"/>
  <c r="L73" i="11535"/>
  <c r="V72" i="11535"/>
  <c r="X72" i="11535" s="1"/>
  <c r="L72" i="11535"/>
  <c r="O71" i="11535"/>
  <c r="H71" i="11535"/>
  <c r="V70" i="11535"/>
  <c r="O70" i="11535"/>
  <c r="V69" i="11535"/>
  <c r="V68" i="11535"/>
  <c r="T68" i="11535"/>
  <c r="T96" i="11535" s="1"/>
  <c r="V67" i="11535"/>
  <c r="V66" i="11535"/>
  <c r="L66" i="11535"/>
  <c r="O66" i="11535" s="1"/>
  <c r="V65" i="11535"/>
  <c r="O65" i="11535"/>
  <c r="V64" i="11535"/>
  <c r="O64" i="11535"/>
  <c r="AF75" i="11535" s="1"/>
  <c r="V63" i="11535"/>
  <c r="G63" i="11535"/>
  <c r="O63" i="11535" s="1"/>
  <c r="AF74" i="11535" s="1"/>
  <c r="V62" i="11535"/>
  <c r="O62" i="11535"/>
  <c r="AF78" i="11535" s="1"/>
  <c r="I45" i="3" s="1"/>
  <c r="V61" i="11535"/>
  <c r="G61" i="11535"/>
  <c r="V60" i="11535"/>
  <c r="G60" i="11535"/>
  <c r="V59" i="11535"/>
  <c r="C59" i="11535"/>
  <c r="V58" i="11535"/>
  <c r="C58" i="11535"/>
  <c r="V57" i="11535"/>
  <c r="X57" i="11535" s="1"/>
  <c r="C57" i="11535"/>
  <c r="N48" i="11535"/>
  <c r="M47" i="11535"/>
  <c r="M100" i="11535" s="1"/>
  <c r="W46" i="11535"/>
  <c r="W99" i="11535" s="1"/>
  <c r="U46" i="11535"/>
  <c r="BB43" i="11535"/>
  <c r="BA43" i="11535"/>
  <c r="X42" i="11535"/>
  <c r="W42" i="11535"/>
  <c r="X41" i="11535"/>
  <c r="W41" i="11535"/>
  <c r="X40" i="11535"/>
  <c r="W40" i="11535"/>
  <c r="X39" i="11535"/>
  <c r="W39" i="11535"/>
  <c r="X38" i="11535"/>
  <c r="W38" i="11535"/>
  <c r="X37" i="11535"/>
  <c r="W37" i="11535"/>
  <c r="X36" i="11535"/>
  <c r="W36" i="11535"/>
  <c r="T67" i="11535"/>
  <c r="X35" i="11535"/>
  <c r="W35" i="11535"/>
  <c r="X34" i="11535"/>
  <c r="W34" i="11535"/>
  <c r="X33" i="11535"/>
  <c r="W33" i="11535"/>
  <c r="X32" i="11535"/>
  <c r="W32" i="11535"/>
  <c r="X31" i="11535"/>
  <c r="W31" i="11535"/>
  <c r="X30" i="11535"/>
  <c r="W30" i="11535"/>
  <c r="X29" i="11535"/>
  <c r="W29" i="11535"/>
  <c r="X28" i="11535"/>
  <c r="W28" i="11535"/>
  <c r="U7" i="11535"/>
  <c r="Q6" i="11535"/>
  <c r="U5" i="11535"/>
  <c r="Q5" i="11535"/>
  <c r="Q4" i="11535"/>
  <c r="W3" i="11535"/>
  <c r="Q3" i="11535"/>
  <c r="BC41" i="11535" l="1"/>
  <c r="BG41" i="11535"/>
  <c r="AW41" i="11535"/>
  <c r="BE37" i="11535"/>
  <c r="BE41" i="11535"/>
  <c r="BE40" i="11535"/>
  <c r="BE36" i="11535"/>
  <c r="BE35" i="11535"/>
  <c r="BE38" i="11535"/>
  <c r="BE39" i="11535"/>
  <c r="BE42" i="11535"/>
  <c r="X93" i="11535"/>
  <c r="BC37" i="11535"/>
  <c r="AW37" i="11535"/>
  <c r="BG37" i="11535"/>
  <c r="BC35" i="11535"/>
  <c r="BG35" i="11535"/>
  <c r="AW35" i="11535"/>
  <c r="BC42" i="11535"/>
  <c r="AW42" i="11535"/>
  <c r="BG42" i="11535"/>
  <c r="AW36" i="11535"/>
  <c r="BC36" i="11535"/>
  <c r="BG36" i="11535"/>
  <c r="BG39" i="11535"/>
  <c r="BC39" i="11535"/>
  <c r="AW39" i="11535"/>
  <c r="AW40" i="11535"/>
  <c r="BG40" i="11535"/>
  <c r="BC40" i="11535"/>
  <c r="H45" i="3"/>
  <c r="BG38" i="11535"/>
  <c r="AW38" i="11535"/>
  <c r="BC38" i="11535"/>
  <c r="AU19" i="11536"/>
  <c r="AU27" i="11536"/>
  <c r="L43" i="11536"/>
  <c r="W39" i="3" s="1"/>
  <c r="BG19" i="11536"/>
  <c r="BG17" i="11536"/>
  <c r="AO34" i="11535"/>
  <c r="AV34" i="11535" s="1"/>
  <c r="BG14" i="11536"/>
  <c r="BG16" i="11536"/>
  <c r="O66" i="11536"/>
  <c r="BC11" i="11536" s="1"/>
  <c r="BA13" i="11536"/>
  <c r="BC13" i="11536"/>
  <c r="BG11" i="11536"/>
  <c r="BG13" i="11536"/>
  <c r="AO29" i="11535"/>
  <c r="AV29" i="11535" s="1"/>
  <c r="BE27" i="11536"/>
  <c r="BE23" i="11536"/>
  <c r="AU24" i="11536"/>
  <c r="BE17" i="11536"/>
  <c r="S74" i="11536"/>
  <c r="W74" i="11536" s="1"/>
  <c r="M39" i="3" s="1"/>
  <c r="M40" i="3" s="1"/>
  <c r="O50" i="11536"/>
  <c r="S40" i="3"/>
  <c r="Q40" i="3"/>
  <c r="G71" i="11536"/>
  <c r="O71" i="11536" s="1"/>
  <c r="BD17" i="11536" s="1"/>
  <c r="O51" i="11536"/>
  <c r="S53" i="11536"/>
  <c r="W53" i="11536" s="1"/>
  <c r="S67" i="11536"/>
  <c r="W67" i="11536" s="1"/>
  <c r="BO30" i="11535"/>
  <c r="AY30" i="11535"/>
  <c r="BE30" i="11535" s="1"/>
  <c r="AY33" i="11535"/>
  <c r="BE33" i="11535" s="1"/>
  <c r="BO33" i="11535"/>
  <c r="BM25" i="11535"/>
  <c r="BF25" i="11535"/>
  <c r="BM30" i="11535"/>
  <c r="BF30" i="11535"/>
  <c r="AY31" i="11535"/>
  <c r="BE31" i="11535" s="1"/>
  <c r="BO31" i="11535"/>
  <c r="AU28" i="11535"/>
  <c r="AY32" i="11535"/>
  <c r="BE32" i="11535" s="1"/>
  <c r="BO32" i="11535"/>
  <c r="BF24" i="11535"/>
  <c r="BM24" i="11535"/>
  <c r="AU29" i="11535"/>
  <c r="BF16" i="11535"/>
  <c r="BM16" i="11535"/>
  <c r="BO25" i="11535"/>
  <c r="AY25" i="11535"/>
  <c r="BE25" i="11535" s="1"/>
  <c r="BM22" i="11535"/>
  <c r="BF22" i="11535"/>
  <c r="AU24" i="11535"/>
  <c r="AY16" i="11535"/>
  <c r="BE16" i="11535" s="1"/>
  <c r="BO16" i="11535"/>
  <c r="AU25" i="11535"/>
  <c r="BF15" i="11535"/>
  <c r="BM15" i="11535"/>
  <c r="AU27" i="11535"/>
  <c r="AU31" i="11535"/>
  <c r="BF32" i="11535"/>
  <c r="BM32" i="11535"/>
  <c r="AU18" i="11535"/>
  <c r="BM17" i="11535"/>
  <c r="BF17" i="11535"/>
  <c r="AY27" i="11535"/>
  <c r="BE27" i="11535" s="1"/>
  <c r="BO27" i="11535"/>
  <c r="BF28" i="11535"/>
  <c r="BM28" i="11535"/>
  <c r="AW28" i="11535"/>
  <c r="BC28" i="11535"/>
  <c r="BG28" i="11535"/>
  <c r="BF29" i="11535"/>
  <c r="BM29" i="11535"/>
  <c r="AU17" i="11535"/>
  <c r="AY15" i="11535"/>
  <c r="BE15" i="11535" s="1"/>
  <c r="BO15" i="11535"/>
  <c r="AY17" i="11535"/>
  <c r="BE17" i="11535" s="1"/>
  <c r="BO17" i="11535"/>
  <c r="BF27" i="11535"/>
  <c r="BM27" i="11535"/>
  <c r="AY28" i="11535"/>
  <c r="BE28" i="11535" s="1"/>
  <c r="BO28" i="11535"/>
  <c r="BO22" i="11535"/>
  <c r="AY22" i="11535"/>
  <c r="BE22" i="11535" s="1"/>
  <c r="AY24" i="11535"/>
  <c r="BE24" i="11535" s="1"/>
  <c r="BO24" i="11535"/>
  <c r="BF14" i="11535"/>
  <c r="BF31" i="11535"/>
  <c r="BM31" i="11535"/>
  <c r="AU22" i="11535"/>
  <c r="BO18" i="11535"/>
  <c r="AY18" i="11535"/>
  <c r="BE18" i="11535" s="1"/>
  <c r="AU16" i="11535"/>
  <c r="AU15" i="11535"/>
  <c r="BM34" i="11535"/>
  <c r="BF34" i="11535"/>
  <c r="BO26" i="11535"/>
  <c r="AY26" i="11535"/>
  <c r="BE26" i="11535" s="1"/>
  <c r="AY14" i="11535"/>
  <c r="BE14" i="11535" s="1"/>
  <c r="AU34" i="11535"/>
  <c r="AU26" i="11535"/>
  <c r="AU14" i="11535"/>
  <c r="AU30" i="11535"/>
  <c r="AU19" i="11535"/>
  <c r="BF19" i="11535"/>
  <c r="BM19" i="11535"/>
  <c r="AW29" i="11535"/>
  <c r="BC29" i="11535"/>
  <c r="BG29" i="11535"/>
  <c r="BC31" i="11535"/>
  <c r="BG31" i="11535"/>
  <c r="AW31" i="11535"/>
  <c r="BO34" i="11535"/>
  <c r="AY34" i="11535"/>
  <c r="BE34" i="11535" s="1"/>
  <c r="AW33" i="11535"/>
  <c r="BC33" i="11535"/>
  <c r="BG33" i="11535"/>
  <c r="AU20" i="11535"/>
  <c r="AU21" i="11535"/>
  <c r="BF23" i="11535"/>
  <c r="BM23" i="11535"/>
  <c r="AU33" i="11535"/>
  <c r="AY19" i="11535"/>
  <c r="BE19" i="11535" s="1"/>
  <c r="BO19" i="11535"/>
  <c r="AO28" i="11535"/>
  <c r="AW30" i="11535"/>
  <c r="BG30" i="11535"/>
  <c r="BC30" i="11535"/>
  <c r="AO30" i="11535"/>
  <c r="AW32" i="11535"/>
  <c r="BC32" i="11535"/>
  <c r="BG32" i="11535"/>
  <c r="AO33" i="11535"/>
  <c r="BF20" i="11535"/>
  <c r="BM20" i="11535"/>
  <c r="BF21" i="11535"/>
  <c r="BM21" i="11535"/>
  <c r="BO23" i="11535"/>
  <c r="AY23" i="11535"/>
  <c r="BE23" i="11535" s="1"/>
  <c r="BM33" i="11535"/>
  <c r="BF33" i="11535"/>
  <c r="AU32" i="11535"/>
  <c r="BM18" i="11535"/>
  <c r="BF18" i="11535"/>
  <c r="BO29" i="11535"/>
  <c r="AY29" i="11535"/>
  <c r="BE29" i="11535" s="1"/>
  <c r="AO31" i="11535"/>
  <c r="BM26" i="11535"/>
  <c r="BF26" i="11535"/>
  <c r="AO32" i="11535"/>
  <c r="BG34" i="11535"/>
  <c r="AW34" i="11535"/>
  <c r="BC34" i="11535"/>
  <c r="AY20" i="11535"/>
  <c r="BE20" i="11535" s="1"/>
  <c r="BO20" i="11535"/>
  <c r="AY21" i="11535"/>
  <c r="BE21" i="11535" s="1"/>
  <c r="BO21" i="11535"/>
  <c r="AU23" i="11535"/>
  <c r="AU12" i="11535"/>
  <c r="BF12" i="11535"/>
  <c r="AY12" i="11535"/>
  <c r="BE12" i="11535" s="1"/>
  <c r="BF11" i="11535"/>
  <c r="AU11" i="11535"/>
  <c r="AY11" i="11535"/>
  <c r="BE11" i="11535" s="1"/>
  <c r="AF90" i="11535"/>
  <c r="Q45" i="3" s="1"/>
  <c r="P40" i="3"/>
  <c r="AE69" i="11536"/>
  <c r="H39" i="3"/>
  <c r="H40" i="3" s="1"/>
  <c r="S68" i="11536"/>
  <c r="W68" i="11536" s="1"/>
  <c r="O43" i="11536"/>
  <c r="BE25" i="11536"/>
  <c r="AP28" i="11536"/>
  <c r="G73" i="11536" s="1"/>
  <c r="O73" i="11536" s="1"/>
  <c r="AE89" i="11536" s="1"/>
  <c r="AZ22" i="11536"/>
  <c r="AZ29" i="11536" s="1"/>
  <c r="AU22" i="11536"/>
  <c r="AV29" i="11536"/>
  <c r="BE12" i="11536"/>
  <c r="AE70" i="11536"/>
  <c r="BE16" i="11536"/>
  <c r="BE26" i="11536"/>
  <c r="BE22" i="11536"/>
  <c r="BE24" i="11536"/>
  <c r="BE18" i="11536"/>
  <c r="BE14" i="11536"/>
  <c r="BE20" i="11536"/>
  <c r="AY9" i="11536"/>
  <c r="N28" i="11536"/>
  <c r="BE21" i="11536"/>
  <c r="BE13" i="11536"/>
  <c r="BE19" i="11536"/>
  <c r="BA11" i="11536"/>
  <c r="AE84" i="11536"/>
  <c r="I53" i="11536"/>
  <c r="O53" i="11536" s="1"/>
  <c r="BE15" i="11536"/>
  <c r="AS43" i="11535"/>
  <c r="AP43" i="11535"/>
  <c r="AT43" i="11535"/>
  <c r="AJ43" i="11535"/>
  <c r="AL43" i="11535"/>
  <c r="AM43" i="11535"/>
  <c r="AN43" i="11535"/>
  <c r="AQ43" i="11535"/>
  <c r="CQ16" i="11533"/>
  <c r="AQ15" i="11533"/>
  <c r="BG26" i="11533"/>
  <c r="BG25" i="11533"/>
  <c r="BG24" i="11533"/>
  <c r="BG23" i="11533"/>
  <c r="BK23" i="11533" s="1"/>
  <c r="BG22" i="11533"/>
  <c r="BG21" i="11533"/>
  <c r="BG19" i="11533"/>
  <c r="BG18" i="11533"/>
  <c r="BG17" i="11533"/>
  <c r="BK17" i="11533" s="1"/>
  <c r="BG16" i="11533"/>
  <c r="BG15" i="11533"/>
  <c r="BG14" i="11533"/>
  <c r="BG13" i="11533"/>
  <c r="CV26" i="11533"/>
  <c r="BG20" i="11533"/>
  <c r="CV17" i="11533"/>
  <c r="CV15" i="11533"/>
  <c r="CV13" i="11533"/>
  <c r="BG12" i="11533"/>
  <c r="CV12" i="11533"/>
  <c r="CS11" i="11533"/>
  <c r="BG11" i="11533"/>
  <c r="CV11" i="11533"/>
  <c r="O87" i="11535"/>
  <c r="X96" i="11535"/>
  <c r="AF124" i="11535"/>
  <c r="X68" i="11535"/>
  <c r="X69" i="11535"/>
  <c r="O89" i="11535"/>
  <c r="U99" i="11535"/>
  <c r="X59" i="11535"/>
  <c r="X70" i="11535"/>
  <c r="O85" i="11535"/>
  <c r="E86" i="11535"/>
  <c r="X60" i="11535"/>
  <c r="X71" i="11535"/>
  <c r="O61" i="11535"/>
  <c r="AI43" i="11535"/>
  <c r="X67" i="11535"/>
  <c r="AZ26" i="11534"/>
  <c r="BM26" i="11534" s="1"/>
  <c r="AZ25" i="11534"/>
  <c r="AZ24" i="11534"/>
  <c r="BM24" i="11534" s="1"/>
  <c r="AZ23" i="11534"/>
  <c r="BM23" i="11534" s="1"/>
  <c r="AZ21" i="11534"/>
  <c r="BF21" i="11534" s="1"/>
  <c r="AZ20" i="11534"/>
  <c r="AZ19" i="11534"/>
  <c r="BM19" i="11534" s="1"/>
  <c r="AZ18" i="11534"/>
  <c r="BM18" i="11534" s="1"/>
  <c r="AZ17" i="11534"/>
  <c r="BM17" i="11534" s="1"/>
  <c r="AZ16" i="11534"/>
  <c r="BF16" i="11534" s="1"/>
  <c r="AZ15" i="11534"/>
  <c r="BF15" i="11534" s="1"/>
  <c r="AZ14" i="11534"/>
  <c r="O91" i="11534"/>
  <c r="AF87" i="11534" s="1"/>
  <c r="S48" i="3" s="1"/>
  <c r="V90" i="11534"/>
  <c r="O90" i="11534"/>
  <c r="AF93" i="11534" s="1"/>
  <c r="O89" i="11534"/>
  <c r="O88" i="11534"/>
  <c r="V87" i="11534"/>
  <c r="X87" i="11534" s="1"/>
  <c r="T87" i="11534"/>
  <c r="O87" i="11534"/>
  <c r="V86" i="11534"/>
  <c r="E86" i="11534"/>
  <c r="E84" i="11534"/>
  <c r="O84" i="11534" s="1"/>
  <c r="G83" i="11534"/>
  <c r="G82" i="11534"/>
  <c r="G81" i="11534"/>
  <c r="V80" i="11534"/>
  <c r="X80" i="11534" s="1"/>
  <c r="G80" i="11534"/>
  <c r="V79" i="11534"/>
  <c r="X79" i="11534" s="1"/>
  <c r="G79" i="11534"/>
  <c r="E79" i="11534"/>
  <c r="E81" i="11534" s="1"/>
  <c r="X78" i="11534"/>
  <c r="AF119" i="11534" s="1"/>
  <c r="AF85" i="11534"/>
  <c r="V74" i="11534"/>
  <c r="X74" i="11534" s="1"/>
  <c r="AF84" i="11534"/>
  <c r="Q48" i="3" s="1"/>
  <c r="V73" i="11534"/>
  <c r="X73" i="11534" s="1"/>
  <c r="V72" i="11534"/>
  <c r="L70" i="11534"/>
  <c r="L69" i="11534"/>
  <c r="O68" i="11534"/>
  <c r="X67" i="11534"/>
  <c r="L67" i="11534"/>
  <c r="V66" i="11534"/>
  <c r="X66" i="11534" s="1"/>
  <c r="L66" i="11534"/>
  <c r="L65" i="11534"/>
  <c r="H65" i="11534"/>
  <c r="V64" i="11534"/>
  <c r="L64" i="11534"/>
  <c r="V63" i="11534"/>
  <c r="V62" i="11534"/>
  <c r="T62" i="11534"/>
  <c r="T90" i="11534" s="1"/>
  <c r="V61" i="11534"/>
  <c r="V60" i="11534"/>
  <c r="L60" i="11534"/>
  <c r="O60" i="11534" s="1"/>
  <c r="V59" i="11534"/>
  <c r="O59" i="11534"/>
  <c r="V58" i="11534"/>
  <c r="O58" i="11534"/>
  <c r="AF69" i="11534" s="1"/>
  <c r="V57" i="11534"/>
  <c r="G57" i="11534"/>
  <c r="O57" i="11534" s="1"/>
  <c r="AF68" i="11534" s="1"/>
  <c r="V56" i="11534"/>
  <c r="O56" i="11534"/>
  <c r="AF72" i="11534" s="1"/>
  <c r="I48" i="3" s="1"/>
  <c r="V55" i="11534"/>
  <c r="G55" i="11534"/>
  <c r="V54" i="11534"/>
  <c r="G54" i="11534"/>
  <c r="V53" i="11534"/>
  <c r="C53" i="11534"/>
  <c r="V52" i="11534"/>
  <c r="C52" i="11534"/>
  <c r="V51" i="11534"/>
  <c r="X51" i="11534" s="1"/>
  <c r="C51" i="11534"/>
  <c r="N42" i="11534"/>
  <c r="M41" i="11534"/>
  <c r="M94" i="11534" s="1"/>
  <c r="W40" i="11534"/>
  <c r="W93" i="11534" s="1"/>
  <c r="U40" i="11534"/>
  <c r="BB37" i="11534"/>
  <c r="BA37" i="11534"/>
  <c r="AZ36" i="11534"/>
  <c r="BM36" i="11534" s="1"/>
  <c r="AX36" i="11534"/>
  <c r="BO36" i="11534" s="1"/>
  <c r="AT36" i="11534"/>
  <c r="AS36" i="11534"/>
  <c r="AR36" i="11534"/>
  <c r="AQ36" i="11534"/>
  <c r="AP36" i="11534"/>
  <c r="AO36" i="11534"/>
  <c r="AN36" i="11534"/>
  <c r="AM36" i="11534"/>
  <c r="AL36" i="11534"/>
  <c r="AK36" i="11534"/>
  <c r="AJ36" i="11534"/>
  <c r="AI36" i="11534"/>
  <c r="X36" i="11534"/>
  <c r="W36" i="11534"/>
  <c r="AW36" i="11534" s="1"/>
  <c r="AZ35" i="11534"/>
  <c r="BF35" i="11534" s="1"/>
  <c r="AX35" i="11534"/>
  <c r="AY35" i="11534" s="1"/>
  <c r="AT35" i="11534"/>
  <c r="AS35" i="11534"/>
  <c r="AR35" i="11534"/>
  <c r="AQ35" i="11534"/>
  <c r="AP35" i="11534"/>
  <c r="AO35" i="11534"/>
  <c r="AN35" i="11534"/>
  <c r="AM35" i="11534"/>
  <c r="AL35" i="11534"/>
  <c r="AK35" i="11534"/>
  <c r="AJ35" i="11534"/>
  <c r="AI35" i="11534"/>
  <c r="X35" i="11534"/>
  <c r="W35" i="11534"/>
  <c r="BG35" i="11534" s="1"/>
  <c r="BO34" i="11534"/>
  <c r="AZ34" i="11534"/>
  <c r="BM34" i="11534" s="1"/>
  <c r="AX34" i="11534"/>
  <c r="AY34" i="11534" s="1"/>
  <c r="AT34" i="11534"/>
  <c r="AS34" i="11534"/>
  <c r="AR34" i="11534"/>
  <c r="AQ34" i="11534"/>
  <c r="AP34" i="11534"/>
  <c r="AO34" i="11534"/>
  <c r="AN34" i="11534"/>
  <c r="AM34" i="11534"/>
  <c r="AL34" i="11534"/>
  <c r="AK34" i="11534"/>
  <c r="AJ34" i="11534"/>
  <c r="AI34" i="11534"/>
  <c r="X34" i="11534"/>
  <c r="W34" i="11534"/>
  <c r="BG34" i="11534" s="1"/>
  <c r="AZ33" i="11534"/>
  <c r="BF33" i="11534" s="1"/>
  <c r="AX33" i="11534"/>
  <c r="AY33" i="11534" s="1"/>
  <c r="AT33" i="11534"/>
  <c r="AS33" i="11534"/>
  <c r="AR33" i="11534"/>
  <c r="AQ33" i="11534"/>
  <c r="AP33" i="11534"/>
  <c r="AO33" i="11534"/>
  <c r="AN33" i="11534"/>
  <c r="AM33" i="11534"/>
  <c r="AL33" i="11534"/>
  <c r="AK33" i="11534"/>
  <c r="AJ33" i="11534"/>
  <c r="AI33" i="11534"/>
  <c r="X33" i="11534"/>
  <c r="W33" i="11534"/>
  <c r="BG33" i="11534" s="1"/>
  <c r="AZ32" i="11534"/>
  <c r="BF32" i="11534" s="1"/>
  <c r="AX32" i="11534"/>
  <c r="BO32" i="11534" s="1"/>
  <c r="AT32" i="11534"/>
  <c r="AS32" i="11534"/>
  <c r="AR32" i="11534"/>
  <c r="AQ32" i="11534"/>
  <c r="AP32" i="11534"/>
  <c r="AO32" i="11534"/>
  <c r="AN32" i="11534"/>
  <c r="AM32" i="11534"/>
  <c r="AL32" i="11534"/>
  <c r="AK32" i="11534"/>
  <c r="AJ32" i="11534"/>
  <c r="AI32" i="11534"/>
  <c r="X32" i="11534"/>
  <c r="W32" i="11534"/>
  <c r="BG32" i="11534" s="1"/>
  <c r="AZ31" i="11534"/>
  <c r="BM31" i="11534" s="1"/>
  <c r="AX31" i="11534"/>
  <c r="BO31" i="11534" s="1"/>
  <c r="AT31" i="11534"/>
  <c r="AS31" i="11534"/>
  <c r="AR31" i="11534"/>
  <c r="AQ31" i="11534"/>
  <c r="AP31" i="11534"/>
  <c r="AO31" i="11534"/>
  <c r="AN31" i="11534"/>
  <c r="AM31" i="11534"/>
  <c r="AL31" i="11534"/>
  <c r="AK31" i="11534"/>
  <c r="AJ31" i="11534"/>
  <c r="AI31" i="11534"/>
  <c r="X31" i="11534"/>
  <c r="W31" i="11534"/>
  <c r="AZ30" i="11534"/>
  <c r="BM30" i="11534" s="1"/>
  <c r="AX30" i="11534"/>
  <c r="AY30" i="11534" s="1"/>
  <c r="AT30" i="11534"/>
  <c r="AS30" i="11534"/>
  <c r="AR30" i="11534"/>
  <c r="AQ30" i="11534"/>
  <c r="AP30" i="11534"/>
  <c r="AO30" i="11534"/>
  <c r="AN30" i="11534"/>
  <c r="AM30" i="11534"/>
  <c r="AL30" i="11534"/>
  <c r="AK30" i="11534"/>
  <c r="AJ30" i="11534"/>
  <c r="AI30" i="11534"/>
  <c r="X30" i="11534"/>
  <c r="W30" i="11534"/>
  <c r="BG30" i="11534" s="1"/>
  <c r="AZ29" i="11534"/>
  <c r="BM29" i="11534" s="1"/>
  <c r="AX29" i="11534"/>
  <c r="BO29" i="11534" s="1"/>
  <c r="AT29" i="11534"/>
  <c r="AS29" i="11534"/>
  <c r="AR29" i="11534"/>
  <c r="AQ29" i="11534"/>
  <c r="AP29" i="11534"/>
  <c r="AO29" i="11534"/>
  <c r="AN29" i="11534"/>
  <c r="AM29" i="11534"/>
  <c r="T61" i="11534" s="1"/>
  <c r="AL29" i="11534"/>
  <c r="AK29" i="11534"/>
  <c r="AJ29" i="11534"/>
  <c r="AI29" i="11534"/>
  <c r="X29" i="11534"/>
  <c r="W29" i="11534"/>
  <c r="AW29" i="11534" s="1"/>
  <c r="BG28" i="11534"/>
  <c r="AZ28" i="11534"/>
  <c r="BF28" i="11534" s="1"/>
  <c r="AX28" i="11534"/>
  <c r="BO28" i="11534" s="1"/>
  <c r="AW28" i="11534"/>
  <c r="AT28" i="11534"/>
  <c r="AS28" i="11534"/>
  <c r="AR28" i="11534"/>
  <c r="AQ28" i="11534"/>
  <c r="AP28" i="11534"/>
  <c r="AO28" i="11534"/>
  <c r="AN28" i="11534"/>
  <c r="AM28" i="11534"/>
  <c r="AL28" i="11534"/>
  <c r="AK28" i="11534"/>
  <c r="AJ28" i="11534"/>
  <c r="AI28" i="11534"/>
  <c r="X28" i="11534"/>
  <c r="W28" i="11534"/>
  <c r="AZ27" i="11534"/>
  <c r="BF27" i="11534" s="1"/>
  <c r="AY27" i="11534"/>
  <c r="BE27" i="11534" s="1"/>
  <c r="AX27" i="11534"/>
  <c r="BO27" i="11534" s="1"/>
  <c r="AT27" i="11534"/>
  <c r="AS27" i="11534"/>
  <c r="AR27" i="11534"/>
  <c r="AQ27" i="11534"/>
  <c r="AP27" i="11534"/>
  <c r="AN27" i="11534"/>
  <c r="AM27" i="11534"/>
  <c r="AL27" i="11534"/>
  <c r="AK27" i="11534"/>
  <c r="AJ27" i="11534"/>
  <c r="AI27" i="11534"/>
  <c r="X27" i="11534"/>
  <c r="W27" i="11534"/>
  <c r="BG27" i="11534" s="1"/>
  <c r="AT26" i="11534"/>
  <c r="AS26" i="11534"/>
  <c r="AR26" i="11534"/>
  <c r="AQ26" i="11534"/>
  <c r="AP26" i="11534"/>
  <c r="AN26" i="11534"/>
  <c r="AM26" i="11534"/>
  <c r="AL26" i="11534"/>
  <c r="AK26" i="11534"/>
  <c r="AJ26" i="11534"/>
  <c r="AI26" i="11534"/>
  <c r="AT25" i="11534"/>
  <c r="AS25" i="11534"/>
  <c r="AR25" i="11534"/>
  <c r="AQ25" i="11534"/>
  <c r="AP25" i="11534"/>
  <c r="AN25" i="11534"/>
  <c r="AM25" i="11534"/>
  <c r="AL25" i="11534"/>
  <c r="AK25" i="11534"/>
  <c r="AJ25" i="11534"/>
  <c r="AI25" i="11534"/>
  <c r="AT24" i="11534"/>
  <c r="AS24" i="11534"/>
  <c r="AR24" i="11534"/>
  <c r="AQ24" i="11534"/>
  <c r="AP24" i="11534"/>
  <c r="AN24" i="11534"/>
  <c r="AM24" i="11534"/>
  <c r="AL24" i="11534"/>
  <c r="AK24" i="11534"/>
  <c r="AJ24" i="11534"/>
  <c r="AI24" i="11534"/>
  <c r="AT23" i="11534"/>
  <c r="AS23" i="11534"/>
  <c r="AR23" i="11534"/>
  <c r="AQ23" i="11534"/>
  <c r="AP23" i="11534"/>
  <c r="AN23" i="11534"/>
  <c r="AM23" i="11534"/>
  <c r="AL23" i="11534"/>
  <c r="AK23" i="11534"/>
  <c r="AJ23" i="11534"/>
  <c r="AI23" i="11534"/>
  <c r="AT22" i="11534"/>
  <c r="AS22" i="11534"/>
  <c r="AR22" i="11534"/>
  <c r="AQ22" i="11534"/>
  <c r="AP22" i="11534"/>
  <c r="AN22" i="11534"/>
  <c r="AM22" i="11534"/>
  <c r="AL22" i="11534"/>
  <c r="AK22" i="11534"/>
  <c r="AJ22" i="11534"/>
  <c r="AI22" i="11534"/>
  <c r="AT21" i="11534"/>
  <c r="AS21" i="11534"/>
  <c r="AR21" i="11534"/>
  <c r="AQ21" i="11534"/>
  <c r="AP21" i="11534"/>
  <c r="AN21" i="11534"/>
  <c r="AM21" i="11534"/>
  <c r="AL21" i="11534"/>
  <c r="AK21" i="11534"/>
  <c r="AJ21" i="11534"/>
  <c r="AI21" i="11534"/>
  <c r="AT20" i="11534"/>
  <c r="AS20" i="11534"/>
  <c r="AR20" i="11534"/>
  <c r="AQ20" i="11534"/>
  <c r="AP20" i="11534"/>
  <c r="AN20" i="11534"/>
  <c r="AM20" i="11534"/>
  <c r="AL20" i="11534"/>
  <c r="AK20" i="11534"/>
  <c r="AJ20" i="11534"/>
  <c r="AI20" i="11534"/>
  <c r="AT19" i="11534"/>
  <c r="AS19" i="11534"/>
  <c r="AR19" i="11534"/>
  <c r="AQ19" i="11534"/>
  <c r="AP19" i="11534"/>
  <c r="AN19" i="11534"/>
  <c r="AM19" i="11534"/>
  <c r="AL19" i="11534"/>
  <c r="AK19" i="11534"/>
  <c r="AJ19" i="11534"/>
  <c r="AI19" i="11534"/>
  <c r="AT18" i="11534"/>
  <c r="AS18" i="11534"/>
  <c r="AR18" i="11534"/>
  <c r="AQ18" i="11534"/>
  <c r="AP18" i="11534"/>
  <c r="AN18" i="11534"/>
  <c r="AM18" i="11534"/>
  <c r="AL18" i="11534"/>
  <c r="AK18" i="11534"/>
  <c r="AJ18" i="11534"/>
  <c r="AI18" i="11534"/>
  <c r="AS17" i="11534"/>
  <c r="AR17" i="11534"/>
  <c r="AQ17" i="11534"/>
  <c r="AP17" i="11534"/>
  <c r="AN17" i="11534"/>
  <c r="AM17" i="11534"/>
  <c r="AL17" i="11534"/>
  <c r="AK17" i="11534"/>
  <c r="AJ17" i="11534"/>
  <c r="AI17" i="11534"/>
  <c r="AT16" i="11534"/>
  <c r="AR16" i="11534"/>
  <c r="AQ16" i="11534"/>
  <c r="AP16" i="11534"/>
  <c r="AN16" i="11534"/>
  <c r="AM16" i="11534"/>
  <c r="AL16" i="11534"/>
  <c r="AK16" i="11534"/>
  <c r="AJ16" i="11534"/>
  <c r="AI16" i="11534"/>
  <c r="AT15" i="11534"/>
  <c r="AS15" i="11534"/>
  <c r="AQ15" i="11534"/>
  <c r="AP15" i="11534"/>
  <c r="AN15" i="11534"/>
  <c r="AM15" i="11534"/>
  <c r="AL15" i="11534"/>
  <c r="AK15" i="11534"/>
  <c r="AJ15" i="11534"/>
  <c r="AI15" i="11534"/>
  <c r="AT14" i="11534"/>
  <c r="AS14" i="11534"/>
  <c r="AR14" i="11534"/>
  <c r="AP14" i="11534"/>
  <c r="AN14" i="11534"/>
  <c r="AM14" i="11534"/>
  <c r="AL14" i="11534"/>
  <c r="AK14" i="11534"/>
  <c r="AJ14" i="11534"/>
  <c r="AI14" i="11534"/>
  <c r="AT13" i="11534"/>
  <c r="AS13" i="11534"/>
  <c r="AR13" i="11534"/>
  <c r="AQ13" i="11534"/>
  <c r="AN13" i="11534"/>
  <c r="AM13" i="11534"/>
  <c r="AL13" i="11534"/>
  <c r="AK13" i="11534"/>
  <c r="AJ13" i="11534"/>
  <c r="AI13" i="11534"/>
  <c r="AT12" i="11534"/>
  <c r="AS12" i="11534"/>
  <c r="AR12" i="11534"/>
  <c r="AQ12" i="11534"/>
  <c r="AP12" i="11534"/>
  <c r="AN12" i="11534"/>
  <c r="AM12" i="11534"/>
  <c r="AL12" i="11534"/>
  <c r="AK12" i="11534"/>
  <c r="AJ12" i="11534"/>
  <c r="AI12" i="11534"/>
  <c r="AT11" i="11534"/>
  <c r="AS11" i="11534"/>
  <c r="AR11" i="11534"/>
  <c r="AQ11" i="11534"/>
  <c r="AP11" i="11534"/>
  <c r="AN11" i="11534"/>
  <c r="AM11" i="11534"/>
  <c r="AL11" i="11534"/>
  <c r="AK11" i="11534"/>
  <c r="AJ11" i="11534"/>
  <c r="AI11" i="11534"/>
  <c r="U7" i="11534"/>
  <c r="Q7" i="11534"/>
  <c r="Q6" i="11534"/>
  <c r="U5" i="11534"/>
  <c r="Q5" i="11534"/>
  <c r="Q4" i="11534"/>
  <c r="W3" i="11534"/>
  <c r="V10" i="2826"/>
  <c r="AY35" i="5"/>
  <c r="AX35" i="5"/>
  <c r="AW35" i="5"/>
  <c r="AV35" i="5"/>
  <c r="AU35" i="5"/>
  <c r="AY34" i="5"/>
  <c r="AX34" i="5"/>
  <c r="AW34" i="5"/>
  <c r="AV34" i="5"/>
  <c r="AU34" i="5"/>
  <c r="AY33" i="5"/>
  <c r="AX33" i="5"/>
  <c r="AW33" i="5"/>
  <c r="AV33" i="5"/>
  <c r="AU33" i="5"/>
  <c r="AY32" i="5"/>
  <c r="AX32" i="5"/>
  <c r="AW32" i="5"/>
  <c r="AV32" i="5"/>
  <c r="AU32" i="5"/>
  <c r="C15" i="3"/>
  <c r="AO131" i="11533"/>
  <c r="AC111" i="11533"/>
  <c r="AA111" i="11533"/>
  <c r="O111" i="11533"/>
  <c r="O110" i="11533"/>
  <c r="AO103" i="11533" s="1"/>
  <c r="O109" i="11533"/>
  <c r="AD108" i="11533"/>
  <c r="O108" i="11533"/>
  <c r="AO109" i="11533" s="1"/>
  <c r="AD107" i="11533"/>
  <c r="E107" i="11533"/>
  <c r="O105" i="11533"/>
  <c r="E103" i="11533"/>
  <c r="O103" i="11533" s="1"/>
  <c r="AO134" i="11533" s="1"/>
  <c r="E102" i="11533"/>
  <c r="AD101" i="11533"/>
  <c r="G101" i="11533"/>
  <c r="E101" i="11533"/>
  <c r="AD100" i="11533"/>
  <c r="G100" i="11533"/>
  <c r="E100" i="11533"/>
  <c r="AF99" i="11533"/>
  <c r="AO135" i="11533" s="1"/>
  <c r="G99" i="11533"/>
  <c r="E99" i="11533"/>
  <c r="G98" i="11533"/>
  <c r="AO101" i="11533"/>
  <c r="L89" i="11533"/>
  <c r="O88" i="11533"/>
  <c r="AO114" i="11533" s="1"/>
  <c r="L88" i="11533"/>
  <c r="AD87" i="11533"/>
  <c r="AB87" i="11533"/>
  <c r="L87" i="11533"/>
  <c r="AD86" i="11533"/>
  <c r="L86" i="11533"/>
  <c r="AD85" i="11533"/>
  <c r="L85" i="11533"/>
  <c r="AD84" i="11533"/>
  <c r="L84" i="11533"/>
  <c r="AD83" i="11533"/>
  <c r="L83" i="11533"/>
  <c r="H83" i="11533"/>
  <c r="AD82" i="11533"/>
  <c r="AD81" i="11533"/>
  <c r="AD80" i="11533"/>
  <c r="L80" i="11533"/>
  <c r="AD79" i="11533"/>
  <c r="L79" i="11533"/>
  <c r="AD78" i="11533"/>
  <c r="L78" i="11533"/>
  <c r="AD77" i="11533"/>
  <c r="G77" i="11533"/>
  <c r="AF76" i="11533"/>
  <c r="AD76" i="11533"/>
  <c r="AD75" i="11533"/>
  <c r="AD74" i="11533"/>
  <c r="G74" i="11533"/>
  <c r="AD73" i="11533"/>
  <c r="C73" i="11533"/>
  <c r="AD72" i="11533"/>
  <c r="C72" i="11533"/>
  <c r="C71" i="11533"/>
  <c r="N65" i="11533"/>
  <c r="E65" i="11533"/>
  <c r="M64" i="11533"/>
  <c r="AE63" i="11533"/>
  <c r="AC63" i="11533"/>
  <c r="AM61" i="11533"/>
  <c r="CP14" i="11533" s="1"/>
  <c r="T61" i="11533"/>
  <c r="AP22" i="11533" s="1"/>
  <c r="P61" i="11533"/>
  <c r="AX15" i="11533" s="1"/>
  <c r="AM60" i="11533"/>
  <c r="CO17" i="11533" s="1"/>
  <c r="AF60" i="11533"/>
  <c r="T60" i="11533"/>
  <c r="AO14" i="11533" s="1"/>
  <c r="P60" i="11533"/>
  <c r="AM59" i="11533"/>
  <c r="AF59" i="11533"/>
  <c r="T59" i="11533"/>
  <c r="P59" i="11533"/>
  <c r="AM58" i="11533"/>
  <c r="AF58" i="11533"/>
  <c r="T58" i="11533"/>
  <c r="P58" i="11533"/>
  <c r="AM57" i="11533"/>
  <c r="AF57" i="11533"/>
  <c r="T57" i="11533"/>
  <c r="P57" i="11533"/>
  <c r="AM56" i="11533"/>
  <c r="AF56" i="11533"/>
  <c r="T56" i="11533"/>
  <c r="AU14" i="11533" s="1"/>
  <c r="P56" i="11533"/>
  <c r="BC14" i="11533" s="1"/>
  <c r="AM55" i="11533"/>
  <c r="CT18" i="11533" s="1"/>
  <c r="AF55" i="11533"/>
  <c r="T55" i="11533"/>
  <c r="P55" i="11533"/>
  <c r="AM54" i="11533"/>
  <c r="CS13" i="11533" s="1"/>
  <c r="AF54" i="11533"/>
  <c r="T54" i="11533"/>
  <c r="AS24" i="11533" s="1"/>
  <c r="P54" i="11533"/>
  <c r="BA14" i="11533" s="1"/>
  <c r="AM53" i="11533"/>
  <c r="CR42" i="11533" s="1"/>
  <c r="AF53" i="11533"/>
  <c r="T53" i="11533"/>
  <c r="AR48" i="11533" s="1"/>
  <c r="P53" i="11533"/>
  <c r="AZ27" i="11533" s="1"/>
  <c r="AM52" i="11533"/>
  <c r="CQ18" i="11533" s="1"/>
  <c r="AF52" i="11533"/>
  <c r="T52" i="11533"/>
  <c r="AQ13" i="11533" s="1"/>
  <c r="P52" i="11533"/>
  <c r="CA50" i="11533"/>
  <c r="CN49" i="11533"/>
  <c r="CC49" i="11533"/>
  <c r="CV48" i="11533"/>
  <c r="CU48" i="11533"/>
  <c r="CT48" i="11533"/>
  <c r="CS48" i="11533"/>
  <c r="CP48" i="11533"/>
  <c r="CO48" i="11533"/>
  <c r="BU48" i="11533"/>
  <c r="BH48" i="11533"/>
  <c r="BG48" i="11533"/>
  <c r="BM48" i="11533" s="1"/>
  <c r="BF48" i="11533"/>
  <c r="BC48" i="11533"/>
  <c r="BB48" i="11533"/>
  <c r="BA48" i="11533"/>
  <c r="AX48" i="11533"/>
  <c r="AU48" i="11533"/>
  <c r="AT48" i="11533"/>
  <c r="AS48" i="11533"/>
  <c r="AP48" i="11533"/>
  <c r="AO48" i="11533"/>
  <c r="AE48" i="11533"/>
  <c r="AC48" i="11533"/>
  <c r="BV48" i="11533" s="1"/>
  <c r="T48" i="11533"/>
  <c r="CQ48" i="11533" s="1"/>
  <c r="CV47" i="11533"/>
  <c r="CU47" i="11533"/>
  <c r="CT47" i="11533"/>
  <c r="CS47" i="11533"/>
  <c r="CP47" i="11533"/>
  <c r="CO47" i="11533"/>
  <c r="BU47" i="11533"/>
  <c r="BR47" i="11533"/>
  <c r="BP47" i="11533"/>
  <c r="BL47" i="11533"/>
  <c r="BH47" i="11533"/>
  <c r="BG47" i="11533"/>
  <c r="AC47" i="11533" s="1"/>
  <c r="BV47" i="11533" s="1"/>
  <c r="BF47" i="11533"/>
  <c r="BC47" i="11533"/>
  <c r="BB47" i="11533"/>
  <c r="BA47" i="11533"/>
  <c r="AX47" i="11533"/>
  <c r="AW47" i="11533"/>
  <c r="AU47" i="11533"/>
  <c r="AT47" i="11533"/>
  <c r="AS47" i="11533"/>
  <c r="AP47" i="11533"/>
  <c r="AO47" i="11533"/>
  <c r="AE47" i="11533"/>
  <c r="T47" i="11533"/>
  <c r="CV46" i="11533"/>
  <c r="CU46" i="11533"/>
  <c r="CT46" i="11533"/>
  <c r="CS46" i="11533"/>
  <c r="CP46" i="11533"/>
  <c r="CO46" i="11533"/>
  <c r="BR46" i="11533"/>
  <c r="BI46" i="11533"/>
  <c r="BH46" i="11533"/>
  <c r="BG46" i="11533"/>
  <c r="BF46" i="11533"/>
  <c r="BE46" i="11533"/>
  <c r="BC46" i="11533"/>
  <c r="BB46" i="11533"/>
  <c r="BA46" i="11533"/>
  <c r="AX46" i="11533"/>
  <c r="AU46" i="11533"/>
  <c r="AT46" i="11533"/>
  <c r="AS46" i="11533"/>
  <c r="AQ46" i="11533"/>
  <c r="AP46" i="11533"/>
  <c r="AO46" i="11533"/>
  <c r="AE46" i="11533"/>
  <c r="T46" i="11533"/>
  <c r="CV45" i="11533"/>
  <c r="CU45" i="11533"/>
  <c r="CT45" i="11533"/>
  <c r="CS45" i="11533"/>
  <c r="CP45" i="11533"/>
  <c r="CO45" i="11533"/>
  <c r="BH45" i="11533"/>
  <c r="BG45" i="11533"/>
  <c r="BF45" i="11533"/>
  <c r="BC45" i="11533"/>
  <c r="BB45" i="11533"/>
  <c r="BA45" i="11533"/>
  <c r="AX45" i="11533"/>
  <c r="AU45" i="11533"/>
  <c r="AT45" i="11533"/>
  <c r="AS45" i="11533"/>
  <c r="AP45" i="11533"/>
  <c r="AO45" i="11533"/>
  <c r="AE45" i="11533"/>
  <c r="T45" i="11533"/>
  <c r="CV44" i="11533"/>
  <c r="CU44" i="11533"/>
  <c r="CT44" i="11533"/>
  <c r="CS44" i="11533"/>
  <c r="CP44" i="11533"/>
  <c r="CO44" i="11533"/>
  <c r="BH44" i="11533"/>
  <c r="BG44" i="11533"/>
  <c r="BE44" i="11533" s="1"/>
  <c r="BF44" i="11533"/>
  <c r="BC44" i="11533"/>
  <c r="BB44" i="11533"/>
  <c r="BA44" i="11533"/>
  <c r="AX44" i="11533"/>
  <c r="AU44" i="11533"/>
  <c r="AT44" i="11533"/>
  <c r="AS44" i="11533"/>
  <c r="AP44" i="11533"/>
  <c r="AO44" i="11533"/>
  <c r="AE44" i="11533"/>
  <c r="T44" i="11533"/>
  <c r="AQ44" i="11533" s="1"/>
  <c r="CV43" i="11533"/>
  <c r="CU43" i="11533"/>
  <c r="CT43" i="11533"/>
  <c r="CS43" i="11533"/>
  <c r="CP43" i="11533"/>
  <c r="CO43" i="11533"/>
  <c r="BH43" i="11533"/>
  <c r="BG43" i="11533"/>
  <c r="BF43" i="11533"/>
  <c r="BC43" i="11533"/>
  <c r="BB43" i="11533"/>
  <c r="BA43" i="11533"/>
  <c r="AZ43" i="11533"/>
  <c r="AX43" i="11533"/>
  <c r="AU43" i="11533"/>
  <c r="AT43" i="11533"/>
  <c r="AS43" i="11533"/>
  <c r="AP43" i="11533"/>
  <c r="AO43" i="11533"/>
  <c r="AE43" i="11533"/>
  <c r="T43" i="11533"/>
  <c r="CQ43" i="11533" s="1"/>
  <c r="CV42" i="11533"/>
  <c r="CU42" i="11533"/>
  <c r="CT42" i="11533"/>
  <c r="CS42" i="11533"/>
  <c r="CP42" i="11533"/>
  <c r="CO42" i="11533"/>
  <c r="BH42" i="11533"/>
  <c r="BG42" i="11533"/>
  <c r="AC42" i="11533" s="1"/>
  <c r="BF42" i="11533"/>
  <c r="BC42" i="11533"/>
  <c r="BB42" i="11533"/>
  <c r="BA42" i="11533"/>
  <c r="AX42" i="11533"/>
  <c r="AU42" i="11533"/>
  <c r="AT42" i="11533"/>
  <c r="AS42" i="11533"/>
  <c r="AP42" i="11533"/>
  <c r="AO42" i="11533"/>
  <c r="AE42" i="11533"/>
  <c r="T42" i="11533"/>
  <c r="CQ42" i="11533" s="1"/>
  <c r="CV41" i="11533"/>
  <c r="CU41" i="11533"/>
  <c r="CT41" i="11533"/>
  <c r="CS41" i="11533"/>
  <c r="CP41" i="11533"/>
  <c r="CO41" i="11533"/>
  <c r="BJ41" i="11533"/>
  <c r="BH41" i="11533"/>
  <c r="BG41" i="11533"/>
  <c r="BF41" i="11533"/>
  <c r="BC41" i="11533"/>
  <c r="BB41" i="11533"/>
  <c r="BA41" i="11533"/>
  <c r="AX41" i="11533"/>
  <c r="AU41" i="11533"/>
  <c r="AT41" i="11533"/>
  <c r="AS41" i="11533"/>
  <c r="AR41" i="11533"/>
  <c r="AP41" i="11533"/>
  <c r="AO41" i="11533"/>
  <c r="AE41" i="11533"/>
  <c r="T41" i="11533"/>
  <c r="CV40" i="11533"/>
  <c r="CU40" i="11533"/>
  <c r="CT40" i="11533"/>
  <c r="CS40" i="11533"/>
  <c r="CP40" i="11533"/>
  <c r="CO40" i="11533"/>
  <c r="BH40" i="11533"/>
  <c r="BG40" i="11533"/>
  <c r="BF40" i="11533"/>
  <c r="BC40" i="11533"/>
  <c r="BB40" i="11533"/>
  <c r="BA40" i="11533"/>
  <c r="AX40" i="11533"/>
  <c r="AU40" i="11533"/>
  <c r="AT40" i="11533"/>
  <c r="AS40" i="11533"/>
  <c r="AP40" i="11533"/>
  <c r="AO40" i="11533"/>
  <c r="AE40" i="11533"/>
  <c r="T40" i="11533"/>
  <c r="AQ40" i="11533" s="1"/>
  <c r="CV39" i="11533"/>
  <c r="CU39" i="11533"/>
  <c r="CT39" i="11533"/>
  <c r="CS39" i="11533"/>
  <c r="CP39" i="11533"/>
  <c r="CO39" i="11533"/>
  <c r="BH39" i="11533"/>
  <c r="BG39" i="11533"/>
  <c r="BF39" i="11533"/>
  <c r="BC39" i="11533"/>
  <c r="BB39" i="11533"/>
  <c r="BA39" i="11533"/>
  <c r="AX39" i="11533"/>
  <c r="AU39" i="11533"/>
  <c r="AT39" i="11533"/>
  <c r="AS39" i="11533"/>
  <c r="AQ39" i="11533"/>
  <c r="AP39" i="11533"/>
  <c r="AO39" i="11533"/>
  <c r="AE39" i="11533"/>
  <c r="T39" i="11533"/>
  <c r="CV38" i="11533"/>
  <c r="CU38" i="11533"/>
  <c r="CT38" i="11533"/>
  <c r="CS38" i="11533"/>
  <c r="CQ38" i="11533"/>
  <c r="CP38" i="11533"/>
  <c r="CO38" i="11533"/>
  <c r="BH38" i="11533"/>
  <c r="BG38" i="11533"/>
  <c r="BF38" i="11533"/>
  <c r="BC38" i="11533"/>
  <c r="BB38" i="11533"/>
  <c r="BA38" i="11533"/>
  <c r="AX38" i="11533"/>
  <c r="AU38" i="11533"/>
  <c r="AT38" i="11533"/>
  <c r="AS38" i="11533"/>
  <c r="AP38" i="11533"/>
  <c r="AO38" i="11533"/>
  <c r="AE38" i="11533"/>
  <c r="T38" i="11533"/>
  <c r="CV37" i="11533"/>
  <c r="CU37" i="11533"/>
  <c r="CT37" i="11533"/>
  <c r="CS37" i="11533"/>
  <c r="CR37" i="11533"/>
  <c r="CP37" i="11533"/>
  <c r="CO37" i="11533"/>
  <c r="BJ37" i="11533"/>
  <c r="BH37" i="11533"/>
  <c r="BG37" i="11533"/>
  <c r="BF37" i="11533"/>
  <c r="BC37" i="11533"/>
  <c r="BB37" i="11533"/>
  <c r="BA37" i="11533"/>
  <c r="AX37" i="11533"/>
  <c r="AU37" i="11533"/>
  <c r="AT37" i="11533"/>
  <c r="AS37" i="11533"/>
  <c r="AR37" i="11533"/>
  <c r="AP37" i="11533"/>
  <c r="AO37" i="11533"/>
  <c r="AE37" i="11533"/>
  <c r="T37" i="11533"/>
  <c r="CV36" i="11533"/>
  <c r="CU36" i="11533"/>
  <c r="CT36" i="11533"/>
  <c r="CS36" i="11533"/>
  <c r="CR36" i="11533"/>
  <c r="CP36" i="11533"/>
  <c r="CO36" i="11533"/>
  <c r="BJ36" i="11533"/>
  <c r="BH36" i="11533"/>
  <c r="BG36" i="11533"/>
  <c r="BF36" i="11533"/>
  <c r="BC36" i="11533"/>
  <c r="BB36" i="11533"/>
  <c r="BA36" i="11533"/>
  <c r="AZ36" i="11533"/>
  <c r="AX36" i="11533"/>
  <c r="AU36" i="11533"/>
  <c r="AT36" i="11533"/>
  <c r="AS36" i="11533"/>
  <c r="AP36" i="11533"/>
  <c r="AO36" i="11533"/>
  <c r="AE36" i="11533"/>
  <c r="T36" i="11533"/>
  <c r="CQ36" i="11533" s="1"/>
  <c r="CV35" i="11533"/>
  <c r="CU35" i="11533"/>
  <c r="CT35" i="11533"/>
  <c r="CS35" i="11533"/>
  <c r="CP35" i="11533"/>
  <c r="CO35" i="11533"/>
  <c r="BW35" i="11533"/>
  <c r="BT35" i="11533"/>
  <c r="BS35" i="11533"/>
  <c r="BP35" i="11533"/>
  <c r="BN35" i="11533"/>
  <c r="BM35" i="11533"/>
  <c r="BL35" i="11533"/>
  <c r="BK35" i="11533"/>
  <c r="BJ35" i="11533"/>
  <c r="BI35" i="11533"/>
  <c r="BH35" i="11533"/>
  <c r="BG35" i="11533"/>
  <c r="AC35" i="11533" s="1"/>
  <c r="BF35" i="11533"/>
  <c r="BC35" i="11533"/>
  <c r="BB35" i="11533"/>
  <c r="BA35" i="11533"/>
  <c r="AZ35" i="11533"/>
  <c r="AX35" i="11533"/>
  <c r="AW35" i="11533"/>
  <c r="AU35" i="11533"/>
  <c r="AT35" i="11533"/>
  <c r="AS35" i="11533"/>
  <c r="AP35" i="11533"/>
  <c r="AO35" i="11533"/>
  <c r="AE35" i="11533"/>
  <c r="BV35" i="11533"/>
  <c r="T35" i="11533"/>
  <c r="CQ35" i="11533" s="1"/>
  <c r="CV34" i="11533"/>
  <c r="CU34" i="11533"/>
  <c r="CT34" i="11533"/>
  <c r="CS34" i="11533"/>
  <c r="CP34" i="11533"/>
  <c r="CO34" i="11533"/>
  <c r="BH34" i="11533"/>
  <c r="BG34" i="11533"/>
  <c r="BF34" i="11533"/>
  <c r="BC34" i="11533"/>
  <c r="BB34" i="11533"/>
  <c r="BA34" i="11533"/>
  <c r="AX34" i="11533"/>
  <c r="AU34" i="11533"/>
  <c r="AT34" i="11533"/>
  <c r="AS34" i="11533"/>
  <c r="AP34" i="11533"/>
  <c r="AO34" i="11533"/>
  <c r="AE34" i="11533"/>
  <c r="T34" i="11533"/>
  <c r="CV33" i="11533"/>
  <c r="CU33" i="11533"/>
  <c r="CT33" i="11533"/>
  <c r="CS33" i="11533"/>
  <c r="CP33" i="11533"/>
  <c r="CO33" i="11533"/>
  <c r="BW33" i="11533"/>
  <c r="BT33" i="11533"/>
  <c r="BH33" i="11533"/>
  <c r="BG33" i="11533"/>
  <c r="AW33" i="11533" s="1"/>
  <c r="BF33" i="11533"/>
  <c r="BC33" i="11533"/>
  <c r="BB33" i="11533"/>
  <c r="BA33" i="11533"/>
  <c r="AZ33" i="11533"/>
  <c r="AX33" i="11533"/>
  <c r="AU33" i="11533"/>
  <c r="AT33" i="11533"/>
  <c r="AS33" i="11533"/>
  <c r="AR33" i="11533"/>
  <c r="AP33" i="11533"/>
  <c r="AO33" i="11533"/>
  <c r="AE33" i="11533"/>
  <c r="T33" i="11533"/>
  <c r="AY33" i="11533" s="1"/>
  <c r="CV32" i="11533"/>
  <c r="CU32" i="11533"/>
  <c r="CT32" i="11533"/>
  <c r="CS32" i="11533"/>
  <c r="CP32" i="11533"/>
  <c r="CO32" i="11533"/>
  <c r="BH32" i="11533"/>
  <c r="BG32" i="11533"/>
  <c r="AC32" i="11533" s="1"/>
  <c r="BF32" i="11533"/>
  <c r="BC32" i="11533"/>
  <c r="BB32" i="11533"/>
  <c r="BA32" i="11533"/>
  <c r="AZ32" i="11533"/>
  <c r="AX32" i="11533"/>
  <c r="AU32" i="11533"/>
  <c r="AT32" i="11533"/>
  <c r="AS32" i="11533"/>
  <c r="AP32" i="11533"/>
  <c r="AO32" i="11533"/>
  <c r="AE32" i="11533"/>
  <c r="T32" i="11533"/>
  <c r="AQ32" i="11533" s="1"/>
  <c r="CV31" i="11533"/>
  <c r="CU31" i="11533"/>
  <c r="CT31" i="11533"/>
  <c r="CS31" i="11533"/>
  <c r="CP31" i="11533"/>
  <c r="CO31" i="11533"/>
  <c r="BH31" i="11533"/>
  <c r="BG31" i="11533"/>
  <c r="BU31" i="11533" s="1"/>
  <c r="BF31" i="11533"/>
  <c r="BC31" i="11533"/>
  <c r="BB31" i="11533"/>
  <c r="BA31" i="11533"/>
  <c r="AZ31" i="11533"/>
  <c r="AX31" i="11533"/>
  <c r="AU31" i="11533"/>
  <c r="AT31" i="11533"/>
  <c r="AS31" i="11533"/>
  <c r="AP31" i="11533"/>
  <c r="AO31" i="11533"/>
  <c r="AE31" i="11533"/>
  <c r="T31" i="11533"/>
  <c r="CV30" i="11533"/>
  <c r="CU30" i="11533"/>
  <c r="CT30" i="11533"/>
  <c r="CS30" i="11533"/>
  <c r="CP30" i="11533"/>
  <c r="CO30" i="11533"/>
  <c r="BH30" i="11533"/>
  <c r="BG30" i="11533"/>
  <c r="BS30" i="11533" s="1"/>
  <c r="BF30" i="11533"/>
  <c r="BC30" i="11533"/>
  <c r="BB30" i="11533"/>
  <c r="BA30" i="11533"/>
  <c r="AZ30" i="11533"/>
  <c r="AX30" i="11533"/>
  <c r="AU30" i="11533"/>
  <c r="AT30" i="11533"/>
  <c r="AS30" i="11533"/>
  <c r="AP30" i="11533"/>
  <c r="AO30" i="11533"/>
  <c r="AE30" i="11533"/>
  <c r="T30" i="11533"/>
  <c r="CV29" i="11533"/>
  <c r="CU29" i="11533"/>
  <c r="CT29" i="11533"/>
  <c r="CS29" i="11533"/>
  <c r="CP29" i="11533"/>
  <c r="CO29" i="11533"/>
  <c r="BM29" i="11533"/>
  <c r="BI29" i="11533"/>
  <c r="BH29" i="11533"/>
  <c r="BG29" i="11533"/>
  <c r="BS29" i="11533" s="1"/>
  <c r="BF29" i="11533"/>
  <c r="BC29" i="11533"/>
  <c r="BB29" i="11533"/>
  <c r="BA29" i="11533"/>
  <c r="AZ29" i="11533"/>
  <c r="AX29" i="11533"/>
  <c r="AU29" i="11533"/>
  <c r="AT29" i="11533"/>
  <c r="AS29" i="11533"/>
  <c r="AP29" i="11533"/>
  <c r="AO29" i="11533"/>
  <c r="AE29" i="11533"/>
  <c r="T29" i="11533"/>
  <c r="CV28" i="11533"/>
  <c r="CU28" i="11533"/>
  <c r="CT28" i="11533"/>
  <c r="CS28" i="11533"/>
  <c r="CR28" i="11533"/>
  <c r="CP28" i="11533"/>
  <c r="CO28" i="11533"/>
  <c r="BH28" i="11533"/>
  <c r="BG28" i="11533"/>
  <c r="BT28" i="11533" s="1"/>
  <c r="BF28" i="11533"/>
  <c r="BC28" i="11533"/>
  <c r="BB28" i="11533"/>
  <c r="BA28" i="11533"/>
  <c r="AZ28" i="11533"/>
  <c r="AX28" i="11533"/>
  <c r="AU28" i="11533"/>
  <c r="AT28" i="11533"/>
  <c r="AS28" i="11533"/>
  <c r="AP28" i="11533"/>
  <c r="AO28" i="11533"/>
  <c r="AE28" i="11533"/>
  <c r="T28" i="11533"/>
  <c r="AY28" i="11533" s="1"/>
  <c r="CV27" i="11533"/>
  <c r="CU27" i="11533"/>
  <c r="CT27" i="11533"/>
  <c r="CS27" i="11533"/>
  <c r="CP27" i="11533"/>
  <c r="CO27" i="11533"/>
  <c r="BH27" i="11533"/>
  <c r="BG27" i="11533"/>
  <c r="AC27" i="11533" s="1"/>
  <c r="BV27" i="11533" s="1"/>
  <c r="BF27" i="11533"/>
  <c r="BC27" i="11533"/>
  <c r="BB27" i="11533"/>
  <c r="BA27" i="11533"/>
  <c r="AX27" i="11533"/>
  <c r="AU27" i="11533"/>
  <c r="AT27" i="11533"/>
  <c r="AS27" i="11533"/>
  <c r="AP27" i="11533"/>
  <c r="AO27" i="11533"/>
  <c r="AE27" i="11533"/>
  <c r="T27" i="11533"/>
  <c r="CU26" i="11533"/>
  <c r="CT26" i="11533"/>
  <c r="BH26" i="11533"/>
  <c r="BF26" i="11533"/>
  <c r="BC26" i="11533"/>
  <c r="BB26" i="11533"/>
  <c r="AU26" i="11533"/>
  <c r="AT26" i="11533"/>
  <c r="CU25" i="11533"/>
  <c r="CT25" i="11533"/>
  <c r="BH25" i="11533"/>
  <c r="BF25" i="11533"/>
  <c r="BC25" i="11533"/>
  <c r="BB25" i="11533"/>
  <c r="AU25" i="11533"/>
  <c r="AT25" i="11533"/>
  <c r="CU24" i="11533"/>
  <c r="CT24" i="11533"/>
  <c r="BH24" i="11533"/>
  <c r="BF24" i="11533"/>
  <c r="BC24" i="11533"/>
  <c r="BB24" i="11533"/>
  <c r="AU24" i="11533"/>
  <c r="AT24" i="11533"/>
  <c r="CU23" i="11533"/>
  <c r="CT23" i="11533"/>
  <c r="BH23" i="11533"/>
  <c r="BF23" i="11533"/>
  <c r="BC23" i="11533"/>
  <c r="BB23" i="11533"/>
  <c r="AU23" i="11533"/>
  <c r="AT23" i="11533"/>
  <c r="CU22" i="11533"/>
  <c r="CT22" i="11533"/>
  <c r="BH22" i="11533"/>
  <c r="BF22" i="11533"/>
  <c r="BC22" i="11533"/>
  <c r="BB22" i="11533"/>
  <c r="AU22" i="11533"/>
  <c r="AT22" i="11533"/>
  <c r="CU21" i="11533"/>
  <c r="CT21" i="11533"/>
  <c r="BH21" i="11533"/>
  <c r="BF21" i="11533"/>
  <c r="BC21" i="11533"/>
  <c r="BB21" i="11533"/>
  <c r="AU21" i="11533"/>
  <c r="AT21" i="11533"/>
  <c r="CU20" i="11533"/>
  <c r="CT20" i="11533"/>
  <c r="BH20" i="11533"/>
  <c r="BF20" i="11533"/>
  <c r="BC20" i="11533"/>
  <c r="BB20" i="11533"/>
  <c r="AU20" i="11533"/>
  <c r="AT20" i="11533"/>
  <c r="CU19" i="11533"/>
  <c r="CT19" i="11533"/>
  <c r="BH19" i="11533"/>
  <c r="BF19" i="11533"/>
  <c r="BC19" i="11533"/>
  <c r="BB19" i="11533"/>
  <c r="AU19" i="11533"/>
  <c r="AT19" i="11533"/>
  <c r="CU18" i="11533"/>
  <c r="BH18" i="11533"/>
  <c r="BF18" i="11533"/>
  <c r="BC18" i="11533"/>
  <c r="BB18" i="11533"/>
  <c r="AU18" i="11533"/>
  <c r="AT18" i="11533"/>
  <c r="CU17" i="11533"/>
  <c r="CT17" i="11533"/>
  <c r="BH17" i="11533"/>
  <c r="BF17" i="11533"/>
  <c r="BC17" i="11533"/>
  <c r="BB17" i="11533"/>
  <c r="AU17" i="11533"/>
  <c r="AT17" i="11533"/>
  <c r="CU16" i="11533"/>
  <c r="CT16" i="11533"/>
  <c r="BH16" i="11533"/>
  <c r="BF16" i="11533"/>
  <c r="BB16" i="11533"/>
  <c r="AU16" i="11533"/>
  <c r="AT16" i="11533"/>
  <c r="CU15" i="11533"/>
  <c r="CT15" i="11533"/>
  <c r="BH15" i="11533"/>
  <c r="BF15" i="11533"/>
  <c r="BB15" i="11533"/>
  <c r="AU15" i="11533"/>
  <c r="AT15" i="11533"/>
  <c r="CU14" i="11533"/>
  <c r="CT14" i="11533"/>
  <c r="BH14" i="11533"/>
  <c r="BF14" i="11533"/>
  <c r="BB14" i="11533"/>
  <c r="AT14" i="11533"/>
  <c r="CU13" i="11533"/>
  <c r="CT13" i="11533"/>
  <c r="BH13" i="11533"/>
  <c r="BF13" i="11533"/>
  <c r="BB13" i="11533"/>
  <c r="AU13" i="11533"/>
  <c r="AT13" i="11533"/>
  <c r="CU12" i="11533"/>
  <c r="CT12" i="11533"/>
  <c r="BH12" i="11533"/>
  <c r="BF12" i="11533"/>
  <c r="BB12" i="11533"/>
  <c r="AU12" i="11533"/>
  <c r="AT12" i="11533"/>
  <c r="CU11" i="11533"/>
  <c r="CT11" i="11533"/>
  <c r="BH11" i="11533"/>
  <c r="BF11" i="11533"/>
  <c r="BB11" i="11533"/>
  <c r="AT11" i="11533"/>
  <c r="AA7" i="11533"/>
  <c r="S7" i="11533"/>
  <c r="S6" i="11533"/>
  <c r="AA5" i="11533"/>
  <c r="S5" i="11533"/>
  <c r="S4" i="11533"/>
  <c r="AC3" i="11533"/>
  <c r="AO131" i="11532"/>
  <c r="AO114" i="11532"/>
  <c r="AC111" i="11532"/>
  <c r="AA111" i="11532"/>
  <c r="O111" i="11532"/>
  <c r="O110" i="11532"/>
  <c r="O109" i="11532"/>
  <c r="AD108" i="11532"/>
  <c r="O108" i="11532"/>
  <c r="AO109" i="11532" s="1"/>
  <c r="AD107" i="11532"/>
  <c r="E107" i="11532"/>
  <c r="O105" i="11532"/>
  <c r="AO103" i="11532"/>
  <c r="S16" i="3" s="1"/>
  <c r="E103" i="11532"/>
  <c r="O103" i="11532" s="1"/>
  <c r="AO134" i="11532" s="1"/>
  <c r="E102" i="11532"/>
  <c r="AD101" i="11532"/>
  <c r="G101" i="11532"/>
  <c r="E101" i="11532"/>
  <c r="AD100" i="11532"/>
  <c r="G100" i="11532"/>
  <c r="E100" i="11532"/>
  <c r="AF99" i="11532"/>
  <c r="AO135" i="11532" s="1"/>
  <c r="G99" i="11532"/>
  <c r="E99" i="11532"/>
  <c r="G98" i="11532"/>
  <c r="L89" i="11532"/>
  <c r="O88" i="11532"/>
  <c r="L88" i="11532"/>
  <c r="AD87" i="11532"/>
  <c r="AB87" i="11532"/>
  <c r="L87" i="11532"/>
  <c r="AD86" i="11532"/>
  <c r="L86" i="11532"/>
  <c r="AD85" i="11532"/>
  <c r="L85" i="11532"/>
  <c r="AD84" i="11532"/>
  <c r="L84" i="11532"/>
  <c r="AD83" i="11532"/>
  <c r="L83" i="11532"/>
  <c r="H83" i="11532"/>
  <c r="AD82" i="11532"/>
  <c r="AD81" i="11532"/>
  <c r="AB81" i="11532"/>
  <c r="AD80" i="11532"/>
  <c r="L80" i="11532"/>
  <c r="AD79" i="11532"/>
  <c r="AB79" i="11532"/>
  <c r="L79" i="11532"/>
  <c r="AD78" i="11532"/>
  <c r="L78" i="11532"/>
  <c r="AD77" i="11532"/>
  <c r="G77" i="11532"/>
  <c r="AF76" i="11532"/>
  <c r="AD76" i="11532"/>
  <c r="AB76" i="11532"/>
  <c r="AD75" i="11532"/>
  <c r="AD74" i="11532"/>
  <c r="G74" i="11532"/>
  <c r="AD73" i="11532"/>
  <c r="C73" i="11532"/>
  <c r="AD72" i="11532"/>
  <c r="C72" i="11532"/>
  <c r="C71" i="11532"/>
  <c r="N65" i="11532"/>
  <c r="E65" i="11532"/>
  <c r="M64" i="11532"/>
  <c r="M115" i="11532" s="1"/>
  <c r="AE63" i="11532"/>
  <c r="AE114" i="11532" s="1"/>
  <c r="AC63" i="11532"/>
  <c r="AM61" i="11532"/>
  <c r="T61" i="11532"/>
  <c r="P61" i="11532"/>
  <c r="AM60" i="11532"/>
  <c r="AF60" i="11532"/>
  <c r="T60" i="11532"/>
  <c r="P60" i="11532"/>
  <c r="AM59" i="11532"/>
  <c r="AF59" i="11532"/>
  <c r="T59" i="11532"/>
  <c r="P59" i="11532"/>
  <c r="AM58" i="11532"/>
  <c r="AF58" i="11532"/>
  <c r="T58" i="11532"/>
  <c r="P58" i="11532"/>
  <c r="AM57" i="11532"/>
  <c r="AF57" i="11532"/>
  <c r="T57" i="11532"/>
  <c r="P57" i="11532"/>
  <c r="AM56" i="11532"/>
  <c r="AF56" i="11532"/>
  <c r="T56" i="11532"/>
  <c r="P56" i="11532"/>
  <c r="AM55" i="11532"/>
  <c r="AF55" i="11532"/>
  <c r="T55" i="11532"/>
  <c r="P55" i="11532"/>
  <c r="AM54" i="11532"/>
  <c r="AF54" i="11532"/>
  <c r="T54" i="11532"/>
  <c r="P54" i="11532"/>
  <c r="AM53" i="11532"/>
  <c r="CR44" i="11532" s="1"/>
  <c r="AF53" i="11532"/>
  <c r="T53" i="11532"/>
  <c r="AR28" i="11532" s="1"/>
  <c r="P53" i="11532"/>
  <c r="AZ34" i="11532" s="1"/>
  <c r="AM52" i="11532"/>
  <c r="AF52" i="11532"/>
  <c r="T52" i="11532"/>
  <c r="P52" i="11532"/>
  <c r="AY43" i="11532" s="1"/>
  <c r="CA50" i="11532"/>
  <c r="CN49" i="11532"/>
  <c r="CC49" i="11532"/>
  <c r="K49" i="11532"/>
  <c r="AB80" i="11532" s="1"/>
  <c r="G49" i="11532"/>
  <c r="CV48" i="11532"/>
  <c r="CU48" i="11532"/>
  <c r="CT48" i="11532"/>
  <c r="CS48" i="11532"/>
  <c r="CQ48" i="11532"/>
  <c r="CP48" i="11532"/>
  <c r="CO48" i="11532"/>
  <c r="BH48" i="11532"/>
  <c r="BG48" i="11532"/>
  <c r="BJ48" i="11532" s="1"/>
  <c r="BF48" i="11532"/>
  <c r="BC48" i="11532"/>
  <c r="BB48" i="11532"/>
  <c r="BA48" i="11532"/>
  <c r="AX48" i="11532"/>
  <c r="AU48" i="11532"/>
  <c r="AT48" i="11532"/>
  <c r="AS48" i="11532"/>
  <c r="AP48" i="11532"/>
  <c r="AO48" i="11532"/>
  <c r="AE48" i="11532"/>
  <c r="T48" i="11532"/>
  <c r="AY48" i="11532" s="1"/>
  <c r="CV47" i="11532"/>
  <c r="CU47" i="11532"/>
  <c r="CT47" i="11532"/>
  <c r="CS47" i="11532"/>
  <c r="CP47" i="11532"/>
  <c r="CO47" i="11532"/>
  <c r="BH47" i="11532"/>
  <c r="BG47" i="11532"/>
  <c r="BW47" i="11532" s="1"/>
  <c r="BF47" i="11532"/>
  <c r="BE47" i="11532"/>
  <c r="BC47" i="11532"/>
  <c r="BB47" i="11532"/>
  <c r="BA47" i="11532"/>
  <c r="AX47" i="11532"/>
  <c r="AU47" i="11532"/>
  <c r="AT47" i="11532"/>
  <c r="AS47" i="11532"/>
  <c r="AP47" i="11532"/>
  <c r="AO47" i="11532"/>
  <c r="AE47" i="11532"/>
  <c r="T47" i="11532"/>
  <c r="AY47" i="11532" s="1"/>
  <c r="CV46" i="11532"/>
  <c r="CU46" i="11532"/>
  <c r="CT46" i="11532"/>
  <c r="CS46" i="11532"/>
  <c r="CP46" i="11532"/>
  <c r="CO46" i="11532"/>
  <c r="BH46" i="11532"/>
  <c r="BG46" i="11532"/>
  <c r="BK46" i="11532" s="1"/>
  <c r="BF46" i="11532"/>
  <c r="BE46" i="11532"/>
  <c r="BC46" i="11532"/>
  <c r="BB46" i="11532"/>
  <c r="BA46" i="11532"/>
  <c r="AX46" i="11532"/>
  <c r="AU46" i="11532"/>
  <c r="AT46" i="11532"/>
  <c r="AS46" i="11532"/>
  <c r="AP46" i="11532"/>
  <c r="AO46" i="11532"/>
  <c r="AE46" i="11532"/>
  <c r="T46" i="11532"/>
  <c r="CV45" i="11532"/>
  <c r="CU45" i="11532"/>
  <c r="CT45" i="11532"/>
  <c r="CS45" i="11532"/>
  <c r="CP45" i="11532"/>
  <c r="CO45" i="11532"/>
  <c r="BH45" i="11532"/>
  <c r="BG45" i="11532"/>
  <c r="BE45" i="11532" s="1"/>
  <c r="BF45" i="11532"/>
  <c r="BC45" i="11532"/>
  <c r="BB45" i="11532"/>
  <c r="BA45" i="11532"/>
  <c r="AY45" i="11532"/>
  <c r="AX45" i="11532"/>
  <c r="AW45" i="11532"/>
  <c r="AU45" i="11532"/>
  <c r="AT45" i="11532"/>
  <c r="AS45" i="11532"/>
  <c r="AP45" i="11532"/>
  <c r="AO45" i="11532"/>
  <c r="AE45" i="11532"/>
  <c r="T45" i="11532"/>
  <c r="CV44" i="11532"/>
  <c r="CU44" i="11532"/>
  <c r="CT44" i="11532"/>
  <c r="CS44" i="11532"/>
  <c r="CP44" i="11532"/>
  <c r="CO44" i="11532"/>
  <c r="BQ44" i="11532"/>
  <c r="BN44" i="11532"/>
  <c r="BK44" i="11532"/>
  <c r="BH44" i="11532"/>
  <c r="BG44" i="11532"/>
  <c r="BE44" i="11532" s="1"/>
  <c r="BF44" i="11532"/>
  <c r="BC44" i="11532"/>
  <c r="BB44" i="11532"/>
  <c r="BA44" i="11532"/>
  <c r="AX44" i="11532"/>
  <c r="AU44" i="11532"/>
  <c r="AT44" i="11532"/>
  <c r="AS44" i="11532"/>
  <c r="AP44" i="11532"/>
  <c r="AO44" i="11532"/>
  <c r="AE44" i="11532"/>
  <c r="AC44" i="11532"/>
  <c r="T44" i="11532"/>
  <c r="AQ44" i="11532" s="1"/>
  <c r="CV43" i="11532"/>
  <c r="CU43" i="11532"/>
  <c r="CT43" i="11532"/>
  <c r="CS43" i="11532"/>
  <c r="CQ43" i="11532"/>
  <c r="CP43" i="11532"/>
  <c r="CO43" i="11532"/>
  <c r="BQ43" i="11532"/>
  <c r="BP43" i="11532"/>
  <c r="BN43" i="11532"/>
  <c r="BM43" i="11532"/>
  <c r="BH43" i="11532"/>
  <c r="BG43" i="11532"/>
  <c r="BU43" i="11532" s="1"/>
  <c r="BF43" i="11532"/>
  <c r="BC43" i="11532"/>
  <c r="BB43" i="11532"/>
  <c r="BA43" i="11532"/>
  <c r="AX43" i="11532"/>
  <c r="AW43" i="11532"/>
  <c r="AU43" i="11532"/>
  <c r="AT43" i="11532"/>
  <c r="AS43" i="11532"/>
  <c r="AR43" i="11532"/>
  <c r="AQ43" i="11532"/>
  <c r="AP43" i="11532"/>
  <c r="AO43" i="11532"/>
  <c r="AV43" i="11532" s="1"/>
  <c r="AD43" i="11532" s="1"/>
  <c r="AG43" i="11532" s="1"/>
  <c r="AE43" i="11532"/>
  <c r="T43" i="11532"/>
  <c r="CV42" i="11532"/>
  <c r="CU42" i="11532"/>
  <c r="CT42" i="11532"/>
  <c r="CS42" i="11532"/>
  <c r="CP42" i="11532"/>
  <c r="CO42" i="11532"/>
  <c r="BK42" i="11532"/>
  <c r="BH42" i="11532"/>
  <c r="BG42" i="11532"/>
  <c r="BN42" i="11532" s="1"/>
  <c r="BF42" i="11532"/>
  <c r="BC42" i="11532"/>
  <c r="BB42" i="11532"/>
  <c r="BA42" i="11532"/>
  <c r="AX42" i="11532"/>
  <c r="AU42" i="11532"/>
  <c r="AT42" i="11532"/>
  <c r="AS42" i="11532"/>
  <c r="AR42" i="11532"/>
  <c r="AP42" i="11532"/>
  <c r="AO42" i="11532"/>
  <c r="AE42" i="11532"/>
  <c r="AC42" i="11532"/>
  <c r="T42" i="11532"/>
  <c r="CV41" i="11532"/>
  <c r="CU41" i="11532"/>
  <c r="CT41" i="11532"/>
  <c r="CS41" i="11532"/>
  <c r="CR41" i="11532"/>
  <c r="CQ41" i="11532"/>
  <c r="CP41" i="11532"/>
  <c r="CO41" i="11532"/>
  <c r="BH41" i="11532"/>
  <c r="BG41" i="11532"/>
  <c r="BE41" i="11532" s="1"/>
  <c r="BF41" i="11532"/>
  <c r="BC41" i="11532"/>
  <c r="BB41" i="11532"/>
  <c r="BA41" i="11532"/>
  <c r="AX41" i="11532"/>
  <c r="AU41" i="11532"/>
  <c r="AT41" i="11532"/>
  <c r="AS41" i="11532"/>
  <c r="AP41" i="11532"/>
  <c r="AO41" i="11532"/>
  <c r="AE41" i="11532"/>
  <c r="T41" i="11532"/>
  <c r="AQ41" i="11532" s="1"/>
  <c r="CV40" i="11532"/>
  <c r="CU40" i="11532"/>
  <c r="CT40" i="11532"/>
  <c r="CS40" i="11532"/>
  <c r="CP40" i="11532"/>
  <c r="CO40" i="11532"/>
  <c r="BH40" i="11532"/>
  <c r="BG40" i="11532"/>
  <c r="AW40" i="11532" s="1"/>
  <c r="BF40" i="11532"/>
  <c r="BC40" i="11532"/>
  <c r="BB40" i="11532"/>
  <c r="BA40" i="11532"/>
  <c r="AX40" i="11532"/>
  <c r="AU40" i="11532"/>
  <c r="AT40" i="11532"/>
  <c r="AS40" i="11532"/>
  <c r="AR40" i="11532"/>
  <c r="AP40" i="11532"/>
  <c r="AO40" i="11532"/>
  <c r="AE40" i="11532"/>
  <c r="T40" i="11532"/>
  <c r="CV39" i="11532"/>
  <c r="CU39" i="11532"/>
  <c r="CT39" i="11532"/>
  <c r="CS39" i="11532"/>
  <c r="CQ39" i="11532"/>
  <c r="CP39" i="11532"/>
  <c r="CO39" i="11532"/>
  <c r="BS39" i="11532"/>
  <c r="BN39" i="11532"/>
  <c r="BH39" i="11532"/>
  <c r="BG39" i="11532"/>
  <c r="BP39" i="11532" s="1"/>
  <c r="BF39" i="11532"/>
  <c r="BC39" i="11532"/>
  <c r="BB39" i="11532"/>
  <c r="BA39" i="11532"/>
  <c r="AX39" i="11532"/>
  <c r="AU39" i="11532"/>
  <c r="AT39" i="11532"/>
  <c r="AS39" i="11532"/>
  <c r="AR39" i="11532"/>
  <c r="AQ39" i="11532"/>
  <c r="AP39" i="11532"/>
  <c r="AO39" i="11532"/>
  <c r="AE39" i="11532"/>
  <c r="T39" i="11532"/>
  <c r="AY39" i="11532" s="1"/>
  <c r="CV38" i="11532"/>
  <c r="CU38" i="11532"/>
  <c r="CT38" i="11532"/>
  <c r="CS38" i="11532"/>
  <c r="CP38" i="11532"/>
  <c r="CO38" i="11532"/>
  <c r="BW38" i="11532"/>
  <c r="BS38" i="11532"/>
  <c r="BH38" i="11532"/>
  <c r="BG38" i="11532"/>
  <c r="AC38" i="11532" s="1"/>
  <c r="BV38" i="11532" s="1"/>
  <c r="BF38" i="11532"/>
  <c r="BE38" i="11532"/>
  <c r="BC38" i="11532"/>
  <c r="BB38" i="11532"/>
  <c r="BA38" i="11532"/>
  <c r="AX38" i="11532"/>
  <c r="AU38" i="11532"/>
  <c r="AT38" i="11532"/>
  <c r="AS38" i="11532"/>
  <c r="AR38" i="11532"/>
  <c r="AP38" i="11532"/>
  <c r="AO38" i="11532"/>
  <c r="AE38" i="11532"/>
  <c r="T38" i="11532"/>
  <c r="CV37" i="11532"/>
  <c r="CU37" i="11532"/>
  <c r="CT37" i="11532"/>
  <c r="CS37" i="11532"/>
  <c r="CP37" i="11532"/>
  <c r="CO37" i="11532"/>
  <c r="BW37" i="11532"/>
  <c r="BQ37" i="11532"/>
  <c r="BK37" i="11532"/>
  <c r="BJ37" i="11532"/>
  <c r="BH37" i="11532"/>
  <c r="BG37" i="11532"/>
  <c r="BU37" i="11532" s="1"/>
  <c r="BF37" i="11532"/>
  <c r="BE37" i="11532"/>
  <c r="BC37" i="11532"/>
  <c r="BB37" i="11532"/>
  <c r="BA37" i="11532"/>
  <c r="AZ37" i="11532"/>
  <c r="AX37" i="11532"/>
  <c r="AU37" i="11532"/>
  <c r="AT37" i="11532"/>
  <c r="AS37" i="11532"/>
  <c r="AP37" i="11532"/>
  <c r="AO37" i="11532"/>
  <c r="AE37" i="11532"/>
  <c r="AC37" i="11532"/>
  <c r="T37" i="11532"/>
  <c r="CV36" i="11532"/>
  <c r="CU36" i="11532"/>
  <c r="CT36" i="11532"/>
  <c r="CS36" i="11532"/>
  <c r="CP36" i="11532"/>
  <c r="CO36" i="11532"/>
  <c r="BT36" i="11532"/>
  <c r="BH36" i="11532"/>
  <c r="BG36" i="11532"/>
  <c r="BQ36" i="11532" s="1"/>
  <c r="BF36" i="11532"/>
  <c r="BC36" i="11532"/>
  <c r="BB36" i="11532"/>
  <c r="BA36" i="11532"/>
  <c r="AX36" i="11532"/>
  <c r="AU36" i="11532"/>
  <c r="AT36" i="11532"/>
  <c r="AS36" i="11532"/>
  <c r="AP36" i="11532"/>
  <c r="AO36" i="11532"/>
  <c r="AE36" i="11532"/>
  <c r="T36" i="11532"/>
  <c r="AY36" i="11532" s="1"/>
  <c r="CV35" i="11532"/>
  <c r="CU35" i="11532"/>
  <c r="CT35" i="11532"/>
  <c r="CS35" i="11532"/>
  <c r="CP35" i="11532"/>
  <c r="CO35" i="11532"/>
  <c r="BH35" i="11532"/>
  <c r="BG35" i="11532"/>
  <c r="BN35" i="11532" s="1"/>
  <c r="BF35" i="11532"/>
  <c r="BE35" i="11532"/>
  <c r="BC35" i="11532"/>
  <c r="BB35" i="11532"/>
  <c r="BA35" i="11532"/>
  <c r="AX35" i="11532"/>
  <c r="AU35" i="11532"/>
  <c r="AT35" i="11532"/>
  <c r="AS35" i="11532"/>
  <c r="AR35" i="11532"/>
  <c r="AP35" i="11532"/>
  <c r="AO35" i="11532"/>
  <c r="AE35" i="11532"/>
  <c r="AC35" i="11532"/>
  <c r="BV35" i="11532" s="1"/>
  <c r="T35" i="11532"/>
  <c r="CV34" i="11532"/>
  <c r="CU34" i="11532"/>
  <c r="CT34" i="11532"/>
  <c r="CS34" i="11532"/>
  <c r="CP34" i="11532"/>
  <c r="CO34" i="11532"/>
  <c r="BH34" i="11532"/>
  <c r="BG34" i="11532"/>
  <c r="AC34" i="11532" s="1"/>
  <c r="BV34" i="11532" s="1"/>
  <c r="BF34" i="11532"/>
  <c r="BC34" i="11532"/>
  <c r="BB34" i="11532"/>
  <c r="BA34" i="11532"/>
  <c r="AX34" i="11532"/>
  <c r="AU34" i="11532"/>
  <c r="AT34" i="11532"/>
  <c r="AS34" i="11532"/>
  <c r="AR34" i="11532"/>
  <c r="AP34" i="11532"/>
  <c r="AO34" i="11532"/>
  <c r="AE34" i="11532"/>
  <c r="T34" i="11532"/>
  <c r="CQ34" i="11532" s="1"/>
  <c r="CV33" i="11532"/>
  <c r="CU33" i="11532"/>
  <c r="CT33" i="11532"/>
  <c r="CS33" i="11532"/>
  <c r="CP33" i="11532"/>
  <c r="CO33" i="11532"/>
  <c r="BH33" i="11532"/>
  <c r="BG33" i="11532"/>
  <c r="BM33" i="11532" s="1"/>
  <c r="BF33" i="11532"/>
  <c r="BC33" i="11532"/>
  <c r="BB33" i="11532"/>
  <c r="BA33" i="11532"/>
  <c r="AX33" i="11532"/>
  <c r="AU33" i="11532"/>
  <c r="AT33" i="11532"/>
  <c r="AS33" i="11532"/>
  <c r="AP33" i="11532"/>
  <c r="AO33" i="11532"/>
  <c r="AE33" i="11532"/>
  <c r="T33" i="11532"/>
  <c r="CV32" i="11532"/>
  <c r="CU32" i="11532"/>
  <c r="CT32" i="11532"/>
  <c r="CS32" i="11532"/>
  <c r="CR32" i="11532"/>
  <c r="CP32" i="11532"/>
  <c r="CO32" i="11532"/>
  <c r="BH32" i="11532"/>
  <c r="BG32" i="11532"/>
  <c r="BU32" i="11532" s="1"/>
  <c r="BF32" i="11532"/>
  <c r="BC32" i="11532"/>
  <c r="BB32" i="11532"/>
  <c r="BA32" i="11532"/>
  <c r="AX32" i="11532"/>
  <c r="AU32" i="11532"/>
  <c r="AT32" i="11532"/>
  <c r="AS32" i="11532"/>
  <c r="AR32" i="11532"/>
  <c r="AP32" i="11532"/>
  <c r="AO32" i="11532"/>
  <c r="AE32" i="11532"/>
  <c r="T32" i="11532"/>
  <c r="AQ32" i="11532" s="1"/>
  <c r="CV31" i="11532"/>
  <c r="CU31" i="11532"/>
  <c r="CT31" i="11532"/>
  <c r="CS31" i="11532"/>
  <c r="CP31" i="11532"/>
  <c r="CO31" i="11532"/>
  <c r="BW31" i="11532"/>
  <c r="BU31" i="11532"/>
  <c r="BT31" i="11532"/>
  <c r="BS31" i="11532"/>
  <c r="BH31" i="11532"/>
  <c r="BG31" i="11532"/>
  <c r="BJ31" i="11532" s="1"/>
  <c r="BF31" i="11532"/>
  <c r="BE31" i="11532"/>
  <c r="BC31" i="11532"/>
  <c r="BB31" i="11532"/>
  <c r="BA31" i="11532"/>
  <c r="AX31" i="11532"/>
  <c r="AW31" i="11532"/>
  <c r="CK31" i="11532" s="1"/>
  <c r="AU31" i="11532"/>
  <c r="AT31" i="11532"/>
  <c r="AS31" i="11532"/>
  <c r="AP31" i="11532"/>
  <c r="AO31" i="11532"/>
  <c r="AE31" i="11532"/>
  <c r="AC31" i="11532"/>
  <c r="T31" i="11532"/>
  <c r="AY31" i="11532" s="1"/>
  <c r="CV30" i="11532"/>
  <c r="CU30" i="11532"/>
  <c r="CT30" i="11532"/>
  <c r="CS30" i="11532"/>
  <c r="CP30" i="11532"/>
  <c r="CO30" i="11532"/>
  <c r="BW30" i="11532"/>
  <c r="BS30" i="11532"/>
  <c r="BP30" i="11532"/>
  <c r="BN30" i="11532"/>
  <c r="BH30" i="11532"/>
  <c r="BG30" i="11532"/>
  <c r="BQ30" i="11532" s="1"/>
  <c r="BF30" i="11532"/>
  <c r="BE30" i="11532"/>
  <c r="BC30" i="11532"/>
  <c r="BB30" i="11532"/>
  <c r="BA30" i="11532"/>
  <c r="AX30" i="11532"/>
  <c r="AU30" i="11532"/>
  <c r="AT30" i="11532"/>
  <c r="AS30" i="11532"/>
  <c r="AR30" i="11532"/>
  <c r="AP30" i="11532"/>
  <c r="AO30" i="11532"/>
  <c r="AE30" i="11532"/>
  <c r="T30" i="11532"/>
  <c r="AY30" i="11532" s="1"/>
  <c r="CV29" i="11532"/>
  <c r="CU29" i="11532"/>
  <c r="CT29" i="11532"/>
  <c r="CS29" i="11532"/>
  <c r="CP29" i="11532"/>
  <c r="CO29" i="11532"/>
  <c r="BH29" i="11532"/>
  <c r="BG29" i="11532"/>
  <c r="BE29" i="11532" s="1"/>
  <c r="BF29" i="11532"/>
  <c r="BC29" i="11532"/>
  <c r="BB29" i="11532"/>
  <c r="BA29" i="11532"/>
  <c r="AX29" i="11532"/>
  <c r="AW29" i="11532"/>
  <c r="AU29" i="11532"/>
  <c r="AT29" i="11532"/>
  <c r="AS29" i="11532"/>
  <c r="AP29" i="11532"/>
  <c r="AO29" i="11532"/>
  <c r="AE29" i="11532"/>
  <c r="T29" i="11532"/>
  <c r="AQ29" i="11532" s="1"/>
  <c r="CV28" i="11532"/>
  <c r="CU28" i="11532"/>
  <c r="CT28" i="11532"/>
  <c r="CS28" i="11532"/>
  <c r="CR28" i="11532"/>
  <c r="CP28" i="11532"/>
  <c r="CO28" i="11532"/>
  <c r="BH28" i="11532"/>
  <c r="BG28" i="11532"/>
  <c r="BR28" i="11532" s="1"/>
  <c r="CB28" i="11532" s="1"/>
  <c r="BF28" i="11532"/>
  <c r="BC28" i="11532"/>
  <c r="BB28" i="11532"/>
  <c r="BA28" i="11532"/>
  <c r="AX28" i="11532"/>
  <c r="AU28" i="11532"/>
  <c r="AT28" i="11532"/>
  <c r="AS28" i="11532"/>
  <c r="AP28" i="11532"/>
  <c r="AO28" i="11532"/>
  <c r="AE28" i="11532"/>
  <c r="T28" i="11532"/>
  <c r="AQ28" i="11532" s="1"/>
  <c r="CV27" i="11532"/>
  <c r="CU27" i="11532"/>
  <c r="CT27" i="11532"/>
  <c r="CS27" i="11532"/>
  <c r="CR27" i="11532"/>
  <c r="CP27" i="11532"/>
  <c r="CO27" i="11532"/>
  <c r="BS27" i="11532"/>
  <c r="BN27" i="11532"/>
  <c r="BH27" i="11532"/>
  <c r="BG27" i="11532"/>
  <c r="BE27" i="11532" s="1"/>
  <c r="BF27" i="11532"/>
  <c r="BC27" i="11532"/>
  <c r="BB27" i="11532"/>
  <c r="BA27" i="11532"/>
  <c r="AX27" i="11532"/>
  <c r="AU27" i="11532"/>
  <c r="AT27" i="11532"/>
  <c r="AS27" i="11532"/>
  <c r="AR27" i="11532"/>
  <c r="AP27" i="11532"/>
  <c r="AO27" i="11532"/>
  <c r="AE27" i="11532"/>
  <c r="T27" i="11532"/>
  <c r="AY27" i="11532" s="1"/>
  <c r="CV26" i="11532"/>
  <c r="CU26" i="11532"/>
  <c r="CT26" i="11532"/>
  <c r="CS26" i="11532"/>
  <c r="CP26" i="11532"/>
  <c r="CO26" i="11532"/>
  <c r="BH26" i="11532"/>
  <c r="BG26" i="11532"/>
  <c r="BP26" i="11532" s="1"/>
  <c r="BF26" i="11532"/>
  <c r="BC26" i="11532"/>
  <c r="BB26" i="11532"/>
  <c r="BA26" i="11532"/>
  <c r="AX26" i="11532"/>
  <c r="AU26" i="11532"/>
  <c r="AT26" i="11532"/>
  <c r="AS26" i="11532"/>
  <c r="AR26" i="11532"/>
  <c r="AP26" i="11532"/>
  <c r="AO26" i="11532"/>
  <c r="AE26" i="11532"/>
  <c r="T26" i="11532"/>
  <c r="AQ26" i="11532" s="1"/>
  <c r="CV25" i="11532"/>
  <c r="CU25" i="11532"/>
  <c r="CT25" i="11532"/>
  <c r="CS25" i="11532"/>
  <c r="CP25" i="11532"/>
  <c r="CO25" i="11532"/>
  <c r="BH25" i="11532"/>
  <c r="BG25" i="11532"/>
  <c r="BE25" i="11532" s="1"/>
  <c r="BF25" i="11532"/>
  <c r="BC25" i="11532"/>
  <c r="BB25" i="11532"/>
  <c r="BA25" i="11532"/>
  <c r="AX25" i="11532"/>
  <c r="AU25" i="11532"/>
  <c r="AT25" i="11532"/>
  <c r="AS25" i="11532"/>
  <c r="AP25" i="11532"/>
  <c r="AO25" i="11532"/>
  <c r="AE25" i="11532"/>
  <c r="T25" i="11532"/>
  <c r="CQ25" i="11532" s="1"/>
  <c r="CV24" i="11532"/>
  <c r="CU24" i="11532"/>
  <c r="CT24" i="11532"/>
  <c r="CS24" i="11532"/>
  <c r="CP24" i="11532"/>
  <c r="CO24" i="11532"/>
  <c r="BH24" i="11532"/>
  <c r="BG24" i="11532"/>
  <c r="BE24" i="11532" s="1"/>
  <c r="BF24" i="11532"/>
  <c r="BC24" i="11532"/>
  <c r="BB24" i="11532"/>
  <c r="BA24" i="11532"/>
  <c r="AX24" i="11532"/>
  <c r="AU24" i="11532"/>
  <c r="AT24" i="11532"/>
  <c r="AS24" i="11532"/>
  <c r="AP24" i="11532"/>
  <c r="AO24" i="11532"/>
  <c r="AE24" i="11532"/>
  <c r="T24" i="11532"/>
  <c r="CQ24" i="11532" s="1"/>
  <c r="CV23" i="11532"/>
  <c r="CU23" i="11532"/>
  <c r="CT23" i="11532"/>
  <c r="CS23" i="11532"/>
  <c r="CP23" i="11532"/>
  <c r="CO23" i="11532"/>
  <c r="BH23" i="11532"/>
  <c r="BG23" i="11532"/>
  <c r="AW23" i="11532" s="1"/>
  <c r="CK23" i="11532" s="1"/>
  <c r="BF23" i="11532"/>
  <c r="BC23" i="11532"/>
  <c r="BB23" i="11532"/>
  <c r="BA23" i="11532"/>
  <c r="AX23" i="11532"/>
  <c r="AU23" i="11532"/>
  <c r="AT23" i="11532"/>
  <c r="AS23" i="11532"/>
  <c r="AR23" i="11532"/>
  <c r="AP23" i="11532"/>
  <c r="AO23" i="11532"/>
  <c r="AE23" i="11532"/>
  <c r="T23" i="11532"/>
  <c r="AY23" i="11532" s="1"/>
  <c r="CV22" i="11532"/>
  <c r="CU22" i="11532"/>
  <c r="CT22" i="11532"/>
  <c r="CS22" i="11532"/>
  <c r="CP22" i="11532"/>
  <c r="CO22" i="11532"/>
  <c r="BH22" i="11532"/>
  <c r="BG22" i="11532"/>
  <c r="BQ22" i="11532" s="1"/>
  <c r="BF22" i="11532"/>
  <c r="BC22" i="11532"/>
  <c r="BB22" i="11532"/>
  <c r="BA22" i="11532"/>
  <c r="AX22" i="11532"/>
  <c r="AU22" i="11532"/>
  <c r="AT22" i="11532"/>
  <c r="AS22" i="11532"/>
  <c r="AP22" i="11532"/>
  <c r="AO22" i="11532"/>
  <c r="AE22" i="11532"/>
  <c r="T22" i="11532"/>
  <c r="CV21" i="11532"/>
  <c r="CU21" i="11532"/>
  <c r="CT21" i="11532"/>
  <c r="CS21" i="11532"/>
  <c r="CR21" i="11532"/>
  <c r="CP21" i="11532"/>
  <c r="CO21" i="11532"/>
  <c r="BH21" i="11532"/>
  <c r="BG21" i="11532"/>
  <c r="BI21" i="11532" s="1"/>
  <c r="BF21" i="11532"/>
  <c r="BC21" i="11532"/>
  <c r="BB21" i="11532"/>
  <c r="BA21" i="11532"/>
  <c r="AX21" i="11532"/>
  <c r="AU21" i="11532"/>
  <c r="AT21" i="11532"/>
  <c r="AS21" i="11532"/>
  <c r="AP21" i="11532"/>
  <c r="AO21" i="11532"/>
  <c r="AE21" i="11532"/>
  <c r="T21" i="11532"/>
  <c r="CV20" i="11532"/>
  <c r="CU20" i="11532"/>
  <c r="CT20" i="11532"/>
  <c r="CS20" i="11532"/>
  <c r="CR20" i="11532"/>
  <c r="CP20" i="11532"/>
  <c r="CO20" i="11532"/>
  <c r="BW20" i="11532"/>
  <c r="BU20" i="11532"/>
  <c r="BS20" i="11532"/>
  <c r="BR20" i="11532"/>
  <c r="CB20" i="11532" s="1"/>
  <c r="BQ20" i="11532"/>
  <c r="BN20" i="11532"/>
  <c r="BH20" i="11532"/>
  <c r="BG20" i="11532"/>
  <c r="BT20" i="11532" s="1"/>
  <c r="BF20" i="11532"/>
  <c r="BE20" i="11532"/>
  <c r="BC20" i="11532"/>
  <c r="BB20" i="11532"/>
  <c r="BA20" i="11532"/>
  <c r="AX20" i="11532"/>
  <c r="AW20" i="11532"/>
  <c r="AU20" i="11532"/>
  <c r="AT20" i="11532"/>
  <c r="AS20" i="11532"/>
  <c r="AR20" i="11532"/>
  <c r="AP20" i="11532"/>
  <c r="AO20" i="11532"/>
  <c r="AE20" i="11532"/>
  <c r="T20" i="11532"/>
  <c r="AY20" i="11532" s="1"/>
  <c r="CV19" i="11532"/>
  <c r="CU19" i="11532"/>
  <c r="CT19" i="11532"/>
  <c r="CS19" i="11532"/>
  <c r="CR19" i="11532"/>
  <c r="CP19" i="11532"/>
  <c r="CO19" i="11532"/>
  <c r="BH19" i="11532"/>
  <c r="BG19" i="11532"/>
  <c r="BJ19" i="11532" s="1"/>
  <c r="BF19" i="11532"/>
  <c r="BC19" i="11532"/>
  <c r="BB19" i="11532"/>
  <c r="BA19" i="11532"/>
  <c r="AX19" i="11532"/>
  <c r="AU19" i="11532"/>
  <c r="AT19" i="11532"/>
  <c r="AS19" i="11532"/>
  <c r="AR19" i="11532"/>
  <c r="AP19" i="11532"/>
  <c r="AO19" i="11532"/>
  <c r="AE19" i="11532"/>
  <c r="AC19" i="11532"/>
  <c r="T19" i="11532"/>
  <c r="AY19" i="11532" s="1"/>
  <c r="CV18" i="11532"/>
  <c r="CU18" i="11532"/>
  <c r="CT18" i="11532"/>
  <c r="CS18" i="11532"/>
  <c r="CP18" i="11532"/>
  <c r="CO18" i="11532"/>
  <c r="BI18" i="11532"/>
  <c r="BH18" i="11532"/>
  <c r="BG18" i="11532"/>
  <c r="BS18" i="11532" s="1"/>
  <c r="BF18" i="11532"/>
  <c r="BE18" i="11532"/>
  <c r="BC18" i="11532"/>
  <c r="BB18" i="11532"/>
  <c r="BA18" i="11532"/>
  <c r="AX18" i="11532"/>
  <c r="AU18" i="11532"/>
  <c r="AT18" i="11532"/>
  <c r="AS18" i="11532"/>
  <c r="AR18" i="11532"/>
  <c r="AP18" i="11532"/>
  <c r="AO18" i="11532"/>
  <c r="AE18" i="11532"/>
  <c r="T18" i="11532"/>
  <c r="AY18" i="11532" s="1"/>
  <c r="CV17" i="11532"/>
  <c r="CU17" i="11532"/>
  <c r="CT17" i="11532"/>
  <c r="CS17" i="11532"/>
  <c r="CR17" i="11532"/>
  <c r="CP17" i="11532"/>
  <c r="CO17" i="11532"/>
  <c r="BS17" i="11532"/>
  <c r="BR17" i="11532"/>
  <c r="CB17" i="11532" s="1"/>
  <c r="BQ17" i="11532"/>
  <c r="BM17" i="11532"/>
  <c r="BH17" i="11532"/>
  <c r="BG17" i="11532"/>
  <c r="BF17" i="11532"/>
  <c r="BE17" i="11532"/>
  <c r="BC17" i="11532"/>
  <c r="BB17" i="11532"/>
  <c r="BA17" i="11532"/>
  <c r="AZ17" i="11532"/>
  <c r="AY17" i="11532"/>
  <c r="AX17" i="11532"/>
  <c r="AW17" i="11532"/>
  <c r="AU17" i="11532"/>
  <c r="AT17" i="11532"/>
  <c r="AS17" i="11532"/>
  <c r="AP17" i="11532"/>
  <c r="AO17" i="11532"/>
  <c r="AE17" i="11532"/>
  <c r="T17" i="11532"/>
  <c r="CV16" i="11532"/>
  <c r="CU16" i="11532"/>
  <c r="CT16" i="11532"/>
  <c r="CS16" i="11532"/>
  <c r="CR16" i="11532"/>
  <c r="CP16" i="11532"/>
  <c r="CO16" i="11532"/>
  <c r="BH16" i="11532"/>
  <c r="BG16" i="11532"/>
  <c r="AW16" i="11532" s="1"/>
  <c r="CK16" i="11532" s="1"/>
  <c r="BF16" i="11532"/>
  <c r="BC16" i="11532"/>
  <c r="BB16" i="11532"/>
  <c r="BA16" i="11532"/>
  <c r="AZ16" i="11532"/>
  <c r="AY16" i="11532"/>
  <c r="AX16" i="11532"/>
  <c r="AU16" i="11532"/>
  <c r="AT16" i="11532"/>
  <c r="AS16" i="11532"/>
  <c r="AR16" i="11532"/>
  <c r="AP16" i="11532"/>
  <c r="AO16" i="11532"/>
  <c r="AE16" i="11532"/>
  <c r="T16" i="11532"/>
  <c r="CQ16" i="11532" s="1"/>
  <c r="CV15" i="11532"/>
  <c r="CU15" i="11532"/>
  <c r="CT15" i="11532"/>
  <c r="CS15" i="11532"/>
  <c r="CP15" i="11532"/>
  <c r="CO15" i="11532"/>
  <c r="BH15" i="11532"/>
  <c r="BG15" i="11532"/>
  <c r="BE15" i="11532" s="1"/>
  <c r="BF15" i="11532"/>
  <c r="BC15" i="11532"/>
  <c r="BB15" i="11532"/>
  <c r="BA15" i="11532"/>
  <c r="AY15" i="11532"/>
  <c r="AX15" i="11532"/>
  <c r="AU15" i="11532"/>
  <c r="AT15" i="11532"/>
  <c r="AS15" i="11532"/>
  <c r="AR15" i="11532"/>
  <c r="AP15" i="11532"/>
  <c r="AO15" i="11532"/>
  <c r="AE15" i="11532"/>
  <c r="T15" i="11532"/>
  <c r="CV14" i="11532"/>
  <c r="CU14" i="11532"/>
  <c r="CT14" i="11532"/>
  <c r="CS14" i="11532"/>
  <c r="CQ14" i="11532"/>
  <c r="CP14" i="11532"/>
  <c r="CO14" i="11532"/>
  <c r="BH14" i="11532"/>
  <c r="BG14" i="11532"/>
  <c r="BL14" i="11532" s="1"/>
  <c r="BF14" i="11532"/>
  <c r="BC14" i="11532"/>
  <c r="BB14" i="11532"/>
  <c r="BA14" i="11532"/>
  <c r="AZ14" i="11532"/>
  <c r="AY14" i="11532"/>
  <c r="AX14" i="11532"/>
  <c r="AU14" i="11532"/>
  <c r="AT14" i="11532"/>
  <c r="AS14" i="11532"/>
  <c r="AR14" i="11532"/>
  <c r="AP14" i="11532"/>
  <c r="AO14" i="11532"/>
  <c r="AE14" i="11532"/>
  <c r="T14" i="11532"/>
  <c r="CV13" i="11532"/>
  <c r="CU13" i="11532"/>
  <c r="CT13" i="11532"/>
  <c r="CS13" i="11532"/>
  <c r="CP13" i="11532"/>
  <c r="CO13" i="11532"/>
  <c r="BU13" i="11532"/>
  <c r="BM13" i="11532"/>
  <c r="BJ13" i="11532"/>
  <c r="BH13" i="11532"/>
  <c r="BG13" i="11532"/>
  <c r="BE13" i="11532" s="1"/>
  <c r="BF13" i="11532"/>
  <c r="BC13" i="11532"/>
  <c r="BB13" i="11532"/>
  <c r="BA13" i="11532"/>
  <c r="AZ13" i="11532"/>
  <c r="AX13" i="11532"/>
  <c r="AU13" i="11532"/>
  <c r="AT13" i="11532"/>
  <c r="AS13" i="11532"/>
  <c r="AP13" i="11532"/>
  <c r="AO13" i="11532"/>
  <c r="AE13" i="11532"/>
  <c r="T13" i="11532"/>
  <c r="CQ13" i="11532" s="1"/>
  <c r="CV12" i="11532"/>
  <c r="CU12" i="11532"/>
  <c r="CT12" i="11532"/>
  <c r="CS12" i="11532"/>
  <c r="CR12" i="11532"/>
  <c r="CP12" i="11532"/>
  <c r="CO12" i="11532"/>
  <c r="BH12" i="11532"/>
  <c r="BG12" i="11532"/>
  <c r="BI12" i="11532" s="1"/>
  <c r="BF12" i="11532"/>
  <c r="BC12" i="11532"/>
  <c r="BB12" i="11532"/>
  <c r="BA12" i="11532"/>
  <c r="AX12" i="11532"/>
  <c r="AU12" i="11532"/>
  <c r="AT12" i="11532"/>
  <c r="AS12" i="11532"/>
  <c r="AR12" i="11532"/>
  <c r="AP12" i="11532"/>
  <c r="AO12" i="11532"/>
  <c r="AE12" i="11532"/>
  <c r="T12" i="11532"/>
  <c r="AQ12" i="11532" s="1"/>
  <c r="CV11" i="11532"/>
  <c r="CU11" i="11532"/>
  <c r="CT11" i="11532"/>
  <c r="CS11" i="11532"/>
  <c r="CP11" i="11532"/>
  <c r="CO11" i="11532"/>
  <c r="BW11" i="11532"/>
  <c r="BU11" i="11532"/>
  <c r="BT11" i="11532"/>
  <c r="BL11" i="11532"/>
  <c r="BH11" i="11532"/>
  <c r="BG11" i="11532"/>
  <c r="BM11" i="11532" s="1"/>
  <c r="BF11" i="11532"/>
  <c r="BE11" i="11532"/>
  <c r="BC11" i="11532"/>
  <c r="BB11" i="11532"/>
  <c r="BA11" i="11532"/>
  <c r="AX11" i="11532"/>
  <c r="AW11" i="11532"/>
  <c r="AU11" i="11532"/>
  <c r="AT11" i="11532"/>
  <c r="AS11" i="11532"/>
  <c r="AR11" i="11532"/>
  <c r="AP11" i="11532"/>
  <c r="AO11" i="11532"/>
  <c r="AE11" i="11532"/>
  <c r="T11" i="11532"/>
  <c r="AY11" i="11532" s="1"/>
  <c r="AA7" i="11532"/>
  <c r="S7" i="11532"/>
  <c r="S6" i="11532"/>
  <c r="AA5" i="11532"/>
  <c r="S5" i="11532"/>
  <c r="S4" i="11532"/>
  <c r="AC3" i="11532"/>
  <c r="M65" i="11536" l="1"/>
  <c r="AE116" i="11536"/>
  <c r="R39" i="3" s="1"/>
  <c r="R40" i="3" s="1"/>
  <c r="BF29" i="11534"/>
  <c r="AV34" i="11534"/>
  <c r="BO35" i="11534"/>
  <c r="AV31" i="11534"/>
  <c r="AU29" i="11534"/>
  <c r="AW34" i="11534"/>
  <c r="AF94" i="11534"/>
  <c r="BE34" i="11534"/>
  <c r="BE30" i="11534"/>
  <c r="BF30" i="11534"/>
  <c r="AW33" i="11534"/>
  <c r="H48" i="3"/>
  <c r="BO30" i="11534"/>
  <c r="BM35" i="11534"/>
  <c r="AY29" i="11534"/>
  <c r="BE29" i="11534" s="1"/>
  <c r="AU31" i="11534"/>
  <c r="AU36" i="11534"/>
  <c r="AU27" i="11534"/>
  <c r="AY28" i="11534"/>
  <c r="BE28" i="11534" s="1"/>
  <c r="BC28" i="11534"/>
  <c r="AV32" i="11534"/>
  <c r="BE33" i="11534"/>
  <c r="AV36" i="11534"/>
  <c r="BM33" i="11534"/>
  <c r="AU35" i="11534"/>
  <c r="AU30" i="11534"/>
  <c r="AW32" i="11534"/>
  <c r="AY32" i="11534"/>
  <c r="BE32" i="11534" s="1"/>
  <c r="AU34" i="11534"/>
  <c r="AY31" i="11534"/>
  <c r="BE31" i="11534" s="1"/>
  <c r="AY36" i="11534"/>
  <c r="BE36" i="11534" s="1"/>
  <c r="BM32" i="11534"/>
  <c r="AU28" i="11534"/>
  <c r="AV29" i="11534"/>
  <c r="BF31" i="11534"/>
  <c r="AU33" i="11534"/>
  <c r="BE35" i="11534"/>
  <c r="BE40" i="11532"/>
  <c r="BI41" i="11532"/>
  <c r="BW40" i="11532"/>
  <c r="AF40" i="11532" s="1"/>
  <c r="AH40" i="11532" s="1"/>
  <c r="BJ41" i="11532"/>
  <c r="BK41" i="11532"/>
  <c r="BL18" i="11532"/>
  <c r="AW24" i="11532"/>
  <c r="CK24" i="11532" s="1"/>
  <c r="CR39" i="11532"/>
  <c r="BM41" i="11532"/>
  <c r="BK18" i="11532"/>
  <c r="BN18" i="11532"/>
  <c r="AQ16" i="11532"/>
  <c r="BP18" i="11532"/>
  <c r="AZ22" i="11532"/>
  <c r="AY24" i="11532"/>
  <c r="AZ25" i="11532"/>
  <c r="BE28" i="11532"/>
  <c r="AQ36" i="11532"/>
  <c r="BQ41" i="11532"/>
  <c r="AR46" i="11532"/>
  <c r="AR48" i="11532"/>
  <c r="BQ18" i="11532"/>
  <c r="AZ21" i="11532"/>
  <c r="AZ24" i="11532"/>
  <c r="BD24" i="11532" s="1"/>
  <c r="CD24" i="11532" s="1"/>
  <c r="AW32" i="11532"/>
  <c r="CK32" i="11532" s="1"/>
  <c r="AR36" i="11532"/>
  <c r="CQ38" i="11532"/>
  <c r="BS41" i="11532"/>
  <c r="AW47" i="11532"/>
  <c r="CK47" i="11532" s="1"/>
  <c r="AY34" i="11532"/>
  <c r="BT41" i="11532"/>
  <c r="AR44" i="11532"/>
  <c r="AC18" i="11532"/>
  <c r="BV18" i="11532" s="1"/>
  <c r="BW18" i="11532"/>
  <c r="AF18" i="11532" s="1"/>
  <c r="AH18" i="11532" s="1"/>
  <c r="AY32" i="11532"/>
  <c r="BU41" i="11532"/>
  <c r="BM18" i="11532"/>
  <c r="BP20" i="11532"/>
  <c r="BE22" i="11532"/>
  <c r="BR27" i="11532"/>
  <c r="CB27" i="11532" s="1"/>
  <c r="AV39" i="11532"/>
  <c r="AD39" i="11532" s="1"/>
  <c r="AG39" i="11532" s="1"/>
  <c r="CQ40" i="11532"/>
  <c r="BW41" i="11532"/>
  <c r="AF41" i="11532" s="1"/>
  <c r="AH41" i="11532" s="1"/>
  <c r="BE21" i="11532"/>
  <c r="AC41" i="11532"/>
  <c r="BV41" i="11532" s="1"/>
  <c r="CW41" i="11532"/>
  <c r="BK33" i="11532"/>
  <c r="BW22" i="11532"/>
  <c r="AF22" i="11532" s="1"/>
  <c r="AH22" i="11532" s="1"/>
  <c r="CR23" i="11532"/>
  <c r="CR25" i="11532"/>
  <c r="BW32" i="11532"/>
  <c r="AF32" i="11532" s="1"/>
  <c r="AH32" i="11532" s="1"/>
  <c r="BM34" i="11532"/>
  <c r="BI35" i="11532"/>
  <c r="AZ38" i="11532"/>
  <c r="BR43" i="11532"/>
  <c r="CB43" i="11532" s="1"/>
  <c r="BK34" i="11532"/>
  <c r="BK35" i="11532"/>
  <c r="BS43" i="11532"/>
  <c r="BI47" i="11532"/>
  <c r="BQ48" i="11532"/>
  <c r="CR33" i="11532"/>
  <c r="BM35" i="11532"/>
  <c r="BP36" i="11532"/>
  <c r="AW41" i="11532"/>
  <c r="BT43" i="11532"/>
  <c r="BU47" i="11532"/>
  <c r="BS48" i="11532"/>
  <c r="BI22" i="11532"/>
  <c r="CQ23" i="11532"/>
  <c r="CW23" i="11532" s="1"/>
  <c r="BS11" i="11532"/>
  <c r="BK13" i="11532"/>
  <c r="AQ20" i="11532"/>
  <c r="AV20" i="11532" s="1"/>
  <c r="AD20" i="11532" s="1"/>
  <c r="AG20" i="11532" s="1"/>
  <c r="CQ32" i="11532"/>
  <c r="BP35" i="11532"/>
  <c r="BR36" i="11532"/>
  <c r="CB36" i="11532" s="1"/>
  <c r="AZ40" i="11532"/>
  <c r="BW43" i="11532"/>
  <c r="AF43" i="11532" s="1"/>
  <c r="AH43" i="11532" s="1"/>
  <c r="BU48" i="11532"/>
  <c r="BJ11" i="11533"/>
  <c r="S55" i="11536"/>
  <c r="W55" i="11536" s="1"/>
  <c r="G39" i="3" s="1"/>
  <c r="G40" i="3" s="1"/>
  <c r="G72" i="11536"/>
  <c r="O72" i="11536" s="1"/>
  <c r="BD19" i="11536" s="1"/>
  <c r="AE76" i="11536"/>
  <c r="S78" i="11536"/>
  <c r="W78" i="11536" s="1"/>
  <c r="BB17" i="11536" s="1"/>
  <c r="BD16" i="11536"/>
  <c r="O39" i="3"/>
  <c r="O40" i="3" s="1"/>
  <c r="BA29" i="11536"/>
  <c r="BB16" i="11536"/>
  <c r="BC29" i="11536"/>
  <c r="BG29" i="11536"/>
  <c r="BD13" i="11536"/>
  <c r="BB13" i="11536"/>
  <c r="AE93" i="11536"/>
  <c r="N39" i="3"/>
  <c r="N40" i="3" s="1"/>
  <c r="BD11" i="11536"/>
  <c r="BB11" i="11536"/>
  <c r="J39" i="3"/>
  <c r="J40" i="3" s="1"/>
  <c r="AE72" i="11536"/>
  <c r="AV31" i="11535"/>
  <c r="AV33" i="11535"/>
  <c r="AV30" i="11535"/>
  <c r="AV32" i="11535"/>
  <c r="AV28" i="11535"/>
  <c r="BC15" i="11533"/>
  <c r="BC12" i="11533"/>
  <c r="BC13" i="11533"/>
  <c r="BC16" i="11533"/>
  <c r="AU11" i="11533"/>
  <c r="BC11" i="11533"/>
  <c r="BU36" i="11533"/>
  <c r="AC36" i="11533"/>
  <c r="BL27" i="11533"/>
  <c r="BR37" i="11533"/>
  <c r="AC37" i="11533"/>
  <c r="BV37" i="11533" s="1"/>
  <c r="BE41" i="11533"/>
  <c r="AC41" i="11533"/>
  <c r="BV41" i="11533" s="1"/>
  <c r="BI37" i="11533"/>
  <c r="BU43" i="11533"/>
  <c r="AC43" i="11533"/>
  <c r="BV43" i="11533" s="1"/>
  <c r="BT40" i="11533"/>
  <c r="AC40" i="11533"/>
  <c r="AW44" i="11533"/>
  <c r="AC44" i="11533"/>
  <c r="BK37" i="11533"/>
  <c r="BK41" i="11533"/>
  <c r="BJ42" i="11533"/>
  <c r="BL43" i="11533"/>
  <c r="BL37" i="11533"/>
  <c r="BT41" i="11533"/>
  <c r="BL42" i="11533"/>
  <c r="BN43" i="11533"/>
  <c r="BJ44" i="11533"/>
  <c r="BE45" i="11533"/>
  <c r="AC45" i="11533"/>
  <c r="BV45" i="11533" s="1"/>
  <c r="BM37" i="11533"/>
  <c r="BR39" i="11533"/>
  <c r="AC39" i="11533"/>
  <c r="BU41" i="11533"/>
  <c r="BN42" i="11533"/>
  <c r="BP43" i="11533"/>
  <c r="BL44" i="11533"/>
  <c r="AQ17" i="11533"/>
  <c r="BN37" i="11533"/>
  <c r="BJ38" i="11533"/>
  <c r="AC38" i="11533"/>
  <c r="CQ40" i="11533"/>
  <c r="BW41" i="11533"/>
  <c r="AF41" i="11533" s="1"/>
  <c r="AH41" i="11533" s="1"/>
  <c r="BT44" i="11533"/>
  <c r="BJ45" i="11533"/>
  <c r="AW31" i="11533"/>
  <c r="CK31" i="11533" s="1"/>
  <c r="AW32" i="11533"/>
  <c r="CK32" i="11533" s="1"/>
  <c r="BS37" i="11533"/>
  <c r="BU44" i="11533"/>
  <c r="BN45" i="11533"/>
  <c r="BT46" i="11533"/>
  <c r="AC46" i="11533"/>
  <c r="BT37" i="11533"/>
  <c r="BR38" i="11533"/>
  <c r="BP45" i="11533"/>
  <c r="BI47" i="11533"/>
  <c r="AY35" i="11533"/>
  <c r="BU37" i="11533"/>
  <c r="BR45" i="11533"/>
  <c r="BW37" i="11533"/>
  <c r="CQ44" i="11533"/>
  <c r="BS45" i="11533"/>
  <c r="BM47" i="11533"/>
  <c r="BE48" i="11533"/>
  <c r="BM33" i="11533"/>
  <c r="AC33" i="11533"/>
  <c r="BJ48" i="11533"/>
  <c r="BT34" i="11533"/>
  <c r="AC34" i="11533"/>
  <c r="AY45" i="11533"/>
  <c r="BW47" i="11533"/>
  <c r="AF47" i="11533" s="1"/>
  <c r="AH47" i="11533" s="1"/>
  <c r="BN48" i="11533"/>
  <c r="BW31" i="11533"/>
  <c r="AF31" i="11533" s="1"/>
  <c r="AH31" i="11533" s="1"/>
  <c r="BN33" i="11533"/>
  <c r="BR48" i="11533"/>
  <c r="S12" i="3"/>
  <c r="BP33" i="11533"/>
  <c r="AQ47" i="11533"/>
  <c r="BS48" i="11533"/>
  <c r="BS33" i="11533"/>
  <c r="AZ37" i="11533"/>
  <c r="BT48" i="11533"/>
  <c r="AP18" i="11533"/>
  <c r="CP16" i="11533"/>
  <c r="CP17" i="11533"/>
  <c r="CP19" i="11533"/>
  <c r="AX25" i="11533"/>
  <c r="AP26" i="11533"/>
  <c r="CR39" i="11533"/>
  <c r="AR24" i="11533"/>
  <c r="AR26" i="11533"/>
  <c r="AR44" i="11533"/>
  <c r="BC49" i="11533"/>
  <c r="AR45" i="11533"/>
  <c r="AZ38" i="11533"/>
  <c r="AR46" i="11533"/>
  <c r="AV46" i="11533" s="1"/>
  <c r="CU49" i="11533"/>
  <c r="BC34" i="11534"/>
  <c r="X90" i="11534"/>
  <c r="W79" i="11536"/>
  <c r="AE68" i="11536"/>
  <c r="K39" i="3"/>
  <c r="K40" i="3" s="1"/>
  <c r="BN34" i="11533"/>
  <c r="BE38" i="11533"/>
  <c r="AZ41" i="11533"/>
  <c r="BK43" i="11533"/>
  <c r="AZ44" i="11533"/>
  <c r="BM45" i="11533"/>
  <c r="AZ46" i="11533"/>
  <c r="AZ11" i="11533"/>
  <c r="AQ14" i="11533"/>
  <c r="CO19" i="11533"/>
  <c r="AX24" i="11533"/>
  <c r="BE40" i="11533"/>
  <c r="BM43" i="11533"/>
  <c r="AZ15" i="11533"/>
  <c r="AY12" i="11533"/>
  <c r="AZ16" i="11533"/>
  <c r="BY34" i="11533"/>
  <c r="BS38" i="11533"/>
  <c r="BU39" i="11533"/>
  <c r="CM39" i="11533" s="1"/>
  <c r="BW43" i="11533"/>
  <c r="AF43" i="11533" s="1"/>
  <c r="AH43" i="11533" s="1"/>
  <c r="BT45" i="11533"/>
  <c r="AZ47" i="11533"/>
  <c r="CQ20" i="11533"/>
  <c r="CO20" i="11533"/>
  <c r="AZ17" i="11533"/>
  <c r="BD33" i="11533"/>
  <c r="CD33" i="11533" s="1"/>
  <c r="BU45" i="11533"/>
  <c r="AQ21" i="11533"/>
  <c r="CP20" i="11533"/>
  <c r="AZ18" i="11533"/>
  <c r="BJ27" i="11533"/>
  <c r="BK27" i="11533"/>
  <c r="BI41" i="11533"/>
  <c r="BW45" i="11533"/>
  <c r="AF45" i="11533" s="1"/>
  <c r="AH45" i="11533" s="1"/>
  <c r="AZ20" i="11533"/>
  <c r="AZ19" i="11533"/>
  <c r="AS20" i="11533"/>
  <c r="AS15" i="11533"/>
  <c r="CJ41" i="11533"/>
  <c r="AY24" i="11533"/>
  <c r="AZ21" i="11533"/>
  <c r="AS16" i="11533"/>
  <c r="BM27" i="11533"/>
  <c r="BP27" i="11533"/>
  <c r="CJ27" i="11533" s="1"/>
  <c r="BJ29" i="11533"/>
  <c r="BL36" i="11533"/>
  <c r="BL41" i="11533"/>
  <c r="AZ42" i="11533"/>
  <c r="BM44" i="11533"/>
  <c r="AW45" i="11533"/>
  <c r="BS46" i="11533"/>
  <c r="AY25" i="11533"/>
  <c r="AZ22" i="11533"/>
  <c r="AS17" i="11533"/>
  <c r="BR27" i="11533"/>
  <c r="BI31" i="11533"/>
  <c r="AQ35" i="11533"/>
  <c r="BM36" i="11533"/>
  <c r="AY38" i="11533"/>
  <c r="BM41" i="11533"/>
  <c r="BN44" i="11533"/>
  <c r="AW48" i="11533"/>
  <c r="CK48" i="11533" s="1"/>
  <c r="CQ26" i="11533"/>
  <c r="AZ23" i="11533"/>
  <c r="CS18" i="11533"/>
  <c r="AP14" i="11533"/>
  <c r="AQ43" i="11533"/>
  <c r="CQ28" i="11533"/>
  <c r="CW28" i="11533" s="1"/>
  <c r="BN29" i="11533"/>
  <c r="BJ31" i="11533"/>
  <c r="AZ34" i="11533"/>
  <c r="BN36" i="11533"/>
  <c r="BN41" i="11533"/>
  <c r="BP44" i="11533"/>
  <c r="AO12" i="11533"/>
  <c r="BA19" i="11533"/>
  <c r="AX14" i="11533"/>
  <c r="BP29" i="11533"/>
  <c r="BK31" i="11533"/>
  <c r="BT36" i="11533"/>
  <c r="AY40" i="11533"/>
  <c r="BP41" i="11533"/>
  <c r="AW43" i="11533"/>
  <c r="BQ44" i="11533"/>
  <c r="AZ45" i="11533"/>
  <c r="AZ48" i="11533"/>
  <c r="AX12" i="11533"/>
  <c r="AZ25" i="11533"/>
  <c r="CS21" i="11533"/>
  <c r="BL31" i="11533"/>
  <c r="BR41" i="11533"/>
  <c r="BR44" i="11533"/>
  <c r="CO13" i="11533"/>
  <c r="AS22" i="11533"/>
  <c r="BM31" i="11533"/>
  <c r="AQ38" i="11533"/>
  <c r="BS41" i="11533"/>
  <c r="AY43" i="11533"/>
  <c r="BS44" i="11533"/>
  <c r="AZ12" i="11533"/>
  <c r="AO21" i="11533"/>
  <c r="AS23" i="11533"/>
  <c r="BB49" i="11533"/>
  <c r="CS12" i="11533"/>
  <c r="CO22" i="11533"/>
  <c r="CR14" i="11533"/>
  <c r="AO23" i="11533"/>
  <c r="CS25" i="11533"/>
  <c r="AO24" i="11533"/>
  <c r="BA26" i="11533"/>
  <c r="AC31" i="11533"/>
  <c r="BY31" i="11533" s="1"/>
  <c r="BI34" i="11533"/>
  <c r="CO25" i="11533"/>
  <c r="CQ19" i="11533"/>
  <c r="BM34" i="11533"/>
  <c r="BI45" i="11533"/>
  <c r="AO15" i="11533"/>
  <c r="CO26" i="11533"/>
  <c r="AY11" i="11533"/>
  <c r="AO16" i="11533"/>
  <c r="AP21" i="11533"/>
  <c r="CP13" i="11533"/>
  <c r="AQ28" i="11533"/>
  <c r="BS34" i="11533"/>
  <c r="BP37" i="11533"/>
  <c r="AZ39" i="11533"/>
  <c r="AZ40" i="11533"/>
  <c r="AW41" i="11533"/>
  <c r="CK41" i="11533" s="1"/>
  <c r="BK45" i="11533"/>
  <c r="BL48" i="11533"/>
  <c r="CO11" i="11533"/>
  <c r="AZ13" i="11533"/>
  <c r="BI43" i="11533"/>
  <c r="BL45" i="11533"/>
  <c r="CP11" i="11533"/>
  <c r="AO18" i="11533"/>
  <c r="CP23" i="11533"/>
  <c r="CK40" i="11532"/>
  <c r="BL27" i="11532"/>
  <c r="BQ33" i="11532"/>
  <c r="BE34" i="11532"/>
  <c r="BQ39" i="11532"/>
  <c r="AZ42" i="11532"/>
  <c r="BK48" i="11532"/>
  <c r="BL12" i="11532"/>
  <c r="BM12" i="11532"/>
  <c r="BM27" i="11532"/>
  <c r="CQ30" i="11532"/>
  <c r="AZ32" i="11532"/>
  <c r="BS36" i="11532"/>
  <c r="BR39" i="11532"/>
  <c r="CB39" i="11532" s="1"/>
  <c r="AY40" i="11532"/>
  <c r="BD40" i="11532" s="1"/>
  <c r="CD40" i="11532" s="1"/>
  <c r="BL48" i="11532"/>
  <c r="AY44" i="11532"/>
  <c r="BM48" i="11532"/>
  <c r="AQ40" i="11532"/>
  <c r="AV40" i="11532" s="1"/>
  <c r="AD40" i="11532" s="1"/>
  <c r="AG40" i="11532" s="1"/>
  <c r="CV49" i="11532"/>
  <c r="BI13" i="11532"/>
  <c r="BJ22" i="11532"/>
  <c r="BP27" i="11532"/>
  <c r="BU36" i="11532"/>
  <c r="AQ38" i="11532"/>
  <c r="AC39" i="11532"/>
  <c r="BT39" i="11532"/>
  <c r="BL44" i="11532"/>
  <c r="AZ45" i="11532"/>
  <c r="BD45" i="11532" s="1"/>
  <c r="CD45" i="11532" s="1"/>
  <c r="AZ46" i="11532"/>
  <c r="AR47" i="11532"/>
  <c r="BN48" i="11532"/>
  <c r="AB74" i="11532"/>
  <c r="CQ12" i="11532"/>
  <c r="CQ20" i="11532"/>
  <c r="AV26" i="11532"/>
  <c r="AD26" i="11532" s="1"/>
  <c r="AG26" i="11532" s="1"/>
  <c r="BQ27" i="11532"/>
  <c r="AZ28" i="11532"/>
  <c r="AQ30" i="11532"/>
  <c r="AV30" i="11532" s="1"/>
  <c r="AD30" i="11532" s="1"/>
  <c r="AG30" i="11532" s="1"/>
  <c r="AC33" i="11532"/>
  <c r="BV33" i="11532" s="1"/>
  <c r="BI34" i="11532"/>
  <c r="BW36" i="11532"/>
  <c r="AF36" i="11532" s="1"/>
  <c r="AH36" i="11532" s="1"/>
  <c r="BU39" i="11532"/>
  <c r="CM39" i="11532" s="1"/>
  <c r="BE42" i="11532"/>
  <c r="BM44" i="11532"/>
  <c r="AC48" i="11532"/>
  <c r="BV48" i="11532" s="1"/>
  <c r="BP48" i="11532"/>
  <c r="BL34" i="11532"/>
  <c r="BP44" i="11532"/>
  <c r="BR48" i="11532"/>
  <c r="CB48" i="11532" s="1"/>
  <c r="BT27" i="11532"/>
  <c r="CU49" i="11532"/>
  <c r="BW13" i="11532"/>
  <c r="AF13" i="11532" s="1"/>
  <c r="AH13" i="11532" s="1"/>
  <c r="AV18" i="11532"/>
  <c r="AD18" i="11532" s="1"/>
  <c r="AG18" i="11532" s="1"/>
  <c r="BJ25" i="11532"/>
  <c r="AQ27" i="11532"/>
  <c r="AV27" i="11532" s="1"/>
  <c r="AD27" i="11532" s="1"/>
  <c r="AG27" i="11532" s="1"/>
  <c r="BU27" i="11532"/>
  <c r="CM27" i="11532" s="1"/>
  <c r="BK32" i="11532"/>
  <c r="BN34" i="11532"/>
  <c r="CQ36" i="11532"/>
  <c r="BM37" i="11532"/>
  <c r="BJ42" i="11532"/>
  <c r="BR44" i="11532"/>
  <c r="CB44" i="11532" s="1"/>
  <c r="AQ48" i="11532"/>
  <c r="AV48" i="11532" s="1"/>
  <c r="AD48" i="11532" s="1"/>
  <c r="AG48" i="11532" s="1"/>
  <c r="BT48" i="11532"/>
  <c r="CW28" i="11532"/>
  <c r="AZ30" i="11532"/>
  <c r="BN32" i="11532"/>
  <c r="BQ34" i="11532"/>
  <c r="AW36" i="11532"/>
  <c r="BR37" i="11532"/>
  <c r="CB37" i="11532" s="1"/>
  <c r="BL40" i="11532"/>
  <c r="AY41" i="11532"/>
  <c r="BL42" i="11532"/>
  <c r="BW45" i="11532"/>
  <c r="AF45" i="11532" s="1"/>
  <c r="AH45" i="11532" s="1"/>
  <c r="BM32" i="11532"/>
  <c r="AZ20" i="11532"/>
  <c r="BD20" i="11532" s="1"/>
  <c r="CD20" i="11532" s="1"/>
  <c r="BM25" i="11532"/>
  <c r="AZ29" i="11532"/>
  <c r="AC13" i="11532"/>
  <c r="BS16" i="11532"/>
  <c r="BL19" i="11532"/>
  <c r="BQ25" i="11532"/>
  <c r="AY26" i="11532"/>
  <c r="CW27" i="11532"/>
  <c r="AR31" i="11532"/>
  <c r="BP32" i="11532"/>
  <c r="CJ32" i="11532" s="1"/>
  <c r="AW33" i="11532"/>
  <c r="CK33" i="11532" s="1"/>
  <c r="BS34" i="11532"/>
  <c r="BS37" i="11532"/>
  <c r="BT40" i="11532"/>
  <c r="AZ41" i="11532"/>
  <c r="BM42" i="11532"/>
  <c r="BE43" i="11532"/>
  <c r="BM46" i="11532"/>
  <c r="BW48" i="11532"/>
  <c r="AF48" i="11532" s="1"/>
  <c r="AH48" i="11532" s="1"/>
  <c r="BK25" i="11532"/>
  <c r="BW27" i="11532"/>
  <c r="AF27" i="11532" s="1"/>
  <c r="AH27" i="11532" s="1"/>
  <c r="BP34" i="11532"/>
  <c r="CJ34" i="11532" s="1"/>
  <c r="AQ18" i="11532"/>
  <c r="BT16" i="11532"/>
  <c r="CQ18" i="11532"/>
  <c r="BN19" i="11532"/>
  <c r="BR25" i="11532"/>
  <c r="CB25" i="11532" s="1"/>
  <c r="AZ26" i="11532"/>
  <c r="CQ27" i="11532"/>
  <c r="BP28" i="11532"/>
  <c r="CJ28" i="11532" s="1"/>
  <c r="BQ32" i="11532"/>
  <c r="BW34" i="11532"/>
  <c r="AF34" i="11532" s="1"/>
  <c r="AH34" i="11532" s="1"/>
  <c r="BT37" i="11532"/>
  <c r="BU40" i="11532"/>
  <c r="CM40" i="11532" s="1"/>
  <c r="CQ44" i="11532"/>
  <c r="CW44" i="11532" s="1"/>
  <c r="BN46" i="11532"/>
  <c r="CW48" i="11532"/>
  <c r="BF49" i="11532"/>
  <c r="BI25" i="11532"/>
  <c r="BR16" i="11532"/>
  <c r="CB16" i="11532" s="1"/>
  <c r="BK19" i="11532"/>
  <c r="BU16" i="11532"/>
  <c r="BP19" i="11532"/>
  <c r="AR22" i="11532"/>
  <c r="AQ25" i="11532"/>
  <c r="BS25" i="11532"/>
  <c r="BQ28" i="11532"/>
  <c r="AC32" i="11532"/>
  <c r="BV32" i="11532" s="1"/>
  <c r="BR32" i="11532"/>
  <c r="CB32" i="11532" s="1"/>
  <c r="AZ33" i="11532"/>
  <c r="AQ34" i="11532"/>
  <c r="AV34" i="11532" s="1"/>
  <c r="AD34" i="11532" s="1"/>
  <c r="AG34" i="11532" s="1"/>
  <c r="AZ36" i="11532"/>
  <c r="CW39" i="11532"/>
  <c r="AQ42" i="11532"/>
  <c r="BP46" i="11532"/>
  <c r="CJ46" i="11532" s="1"/>
  <c r="AW48" i="11532"/>
  <c r="BD48" i="11532" s="1"/>
  <c r="CD48" i="11532" s="1"/>
  <c r="CW12" i="11532"/>
  <c r="BW16" i="11532"/>
  <c r="AF16" i="11532" s="1"/>
  <c r="AH16" i="11532" s="1"/>
  <c r="BT25" i="11532"/>
  <c r="BQ46" i="11532"/>
  <c r="BQ19" i="11532"/>
  <c r="AW27" i="11532"/>
  <c r="BK11" i="11532"/>
  <c r="AY12" i="11532"/>
  <c r="AQ14" i="11532"/>
  <c r="AR24" i="11532"/>
  <c r="BU25" i="11532"/>
  <c r="BS28" i="11532"/>
  <c r="BT32" i="11532"/>
  <c r="BL35" i="11532"/>
  <c r="AC40" i="11532"/>
  <c r="BV40" i="11532" s="1"/>
  <c r="CQ42" i="11532"/>
  <c r="BL43" i="11532"/>
  <c r="BS46" i="11532"/>
  <c r="CR48" i="11532"/>
  <c r="AV12" i="11532"/>
  <c r="AD12" i="11532" s="1"/>
  <c r="AG12" i="11532" s="1"/>
  <c r="AC25" i="11532"/>
  <c r="BV25" i="11532" s="1"/>
  <c r="BS32" i="11532"/>
  <c r="BW25" i="11532"/>
  <c r="AF25" i="11532" s="1"/>
  <c r="AH25" i="11532" s="1"/>
  <c r="BE26" i="11532"/>
  <c r="AV42" i="11532"/>
  <c r="AD42" i="11532" s="1"/>
  <c r="AG42" i="11532" s="1"/>
  <c r="BW46" i="11532"/>
  <c r="AF46" i="11532" s="1"/>
  <c r="AH46" i="11532" s="1"/>
  <c r="AZ48" i="11532"/>
  <c r="CW20" i="11532"/>
  <c r="CT49" i="11532"/>
  <c r="BQ16" i="11532"/>
  <c r="AY29" i="11532"/>
  <c r="AZ12" i="11532"/>
  <c r="AZ18" i="11532"/>
  <c r="BE33" i="11532"/>
  <c r="BE36" i="11532"/>
  <c r="CR37" i="11532"/>
  <c r="BI38" i="11532"/>
  <c r="AQ45" i="11532"/>
  <c r="CQ28" i="11532"/>
  <c r="AZ44" i="11532"/>
  <c r="AV28" i="11532"/>
  <c r="AD28" i="11532" s="1"/>
  <c r="AG28" i="11532" s="1"/>
  <c r="BL39" i="11532"/>
  <c r="BE48" i="11532"/>
  <c r="AW25" i="11532"/>
  <c r="BI33" i="11532"/>
  <c r="BN36" i="11532"/>
  <c r="BM39" i="11532"/>
  <c r="AQ46" i="11532"/>
  <c r="AV46" i="11532" s="1"/>
  <c r="AD46" i="11532" s="1"/>
  <c r="AG46" i="11532" s="1"/>
  <c r="AW14" i="11532"/>
  <c r="CK14" i="11532" s="1"/>
  <c r="AQ17" i="11532"/>
  <c r="CQ17" i="11532"/>
  <c r="CW17" i="11532" s="1"/>
  <c r="AY25" i="11532"/>
  <c r="CQ26" i="11532"/>
  <c r="BR41" i="11532"/>
  <c r="CB41" i="11532" s="1"/>
  <c r="AY42" i="11532"/>
  <c r="CE50" i="11533"/>
  <c r="AE115" i="11536"/>
  <c r="AE104" i="11536"/>
  <c r="AU29" i="11536"/>
  <c r="O55" i="11536"/>
  <c r="E55" i="11536" s="1"/>
  <c r="BE29" i="11536"/>
  <c r="AU12" i="11534"/>
  <c r="AO27" i="11534"/>
  <c r="AV27" i="11534" s="1"/>
  <c r="BM27" i="11534"/>
  <c r="BS14" i="11533"/>
  <c r="CS26" i="11533"/>
  <c r="AX20" i="11533"/>
  <c r="CP22" i="11533"/>
  <c r="AX22" i="11533"/>
  <c r="AX21" i="11533"/>
  <c r="BA22" i="11533"/>
  <c r="AP25" i="11533"/>
  <c r="AS26" i="11533"/>
  <c r="AZ24" i="11533"/>
  <c r="BA24" i="11533"/>
  <c r="CS24" i="11533"/>
  <c r="CS23" i="11533"/>
  <c r="BA25" i="11533"/>
  <c r="AX17" i="11533"/>
  <c r="CS22" i="11533"/>
  <c r="CS20" i="11533"/>
  <c r="AS21" i="11533"/>
  <c r="AX23" i="11533"/>
  <c r="CP25" i="11533"/>
  <c r="BA20" i="11533"/>
  <c r="CR17" i="11533"/>
  <c r="CO24" i="11533"/>
  <c r="AO26" i="11533"/>
  <c r="AS25" i="11533"/>
  <c r="CO23" i="11533"/>
  <c r="AO25" i="11533"/>
  <c r="AX26" i="11533"/>
  <c r="CP26" i="11533"/>
  <c r="BA23" i="11533"/>
  <c r="AZ26" i="11533"/>
  <c r="AR25" i="11533"/>
  <c r="BA21" i="11533"/>
  <c r="BS21" i="11533"/>
  <c r="BS22" i="11533"/>
  <c r="CP24" i="11533"/>
  <c r="AP24" i="11533"/>
  <c r="AS14" i="11533"/>
  <c r="CS19" i="11533"/>
  <c r="AP23" i="11533"/>
  <c r="BA17" i="11533"/>
  <c r="BA15" i="11533"/>
  <c r="BA16" i="11533"/>
  <c r="CP21" i="11533"/>
  <c r="CS17" i="11533"/>
  <c r="CS15" i="11533"/>
  <c r="CS16" i="11533"/>
  <c r="BA18" i="11533"/>
  <c r="CS14" i="11533"/>
  <c r="CO21" i="11533"/>
  <c r="AO22" i="11533"/>
  <c r="AS19" i="11533"/>
  <c r="CR19" i="11533"/>
  <c r="CP18" i="11533"/>
  <c r="AS18" i="11533"/>
  <c r="CR13" i="11533"/>
  <c r="CO18" i="11533"/>
  <c r="AP20" i="11533"/>
  <c r="AS13" i="11533"/>
  <c r="BA13" i="11533"/>
  <c r="CO15" i="11533"/>
  <c r="AP19" i="11533"/>
  <c r="AX19" i="11533"/>
  <c r="CO16" i="11533"/>
  <c r="AR14" i="11533"/>
  <c r="AZ14" i="11533"/>
  <c r="AX18" i="11533"/>
  <c r="AP17" i="11533"/>
  <c r="AO20" i="11533"/>
  <c r="AP16" i="11533"/>
  <c r="AX16" i="11533"/>
  <c r="AO17" i="11533"/>
  <c r="CP15" i="11533"/>
  <c r="AO13" i="11533"/>
  <c r="AP15" i="11533"/>
  <c r="CO14" i="11533"/>
  <c r="AP13" i="11533"/>
  <c r="AX13" i="11533"/>
  <c r="AW20" i="11533"/>
  <c r="CK20" i="11533" s="1"/>
  <c r="AO19" i="11533"/>
  <c r="AV44" i="11533"/>
  <c r="CV20" i="11533"/>
  <c r="CV21" i="11533"/>
  <c r="CV24" i="11533"/>
  <c r="CV19" i="11533"/>
  <c r="CV14" i="11533"/>
  <c r="BR22" i="11533"/>
  <c r="CB22" i="11533" s="1"/>
  <c r="BM23" i="11533"/>
  <c r="BS26" i="11533"/>
  <c r="BE26" i="11533"/>
  <c r="AW24" i="11533"/>
  <c r="BR24" i="11533"/>
  <c r="BE24" i="11533"/>
  <c r="CV22" i="11533"/>
  <c r="CV25" i="11533"/>
  <c r="AY21" i="11533"/>
  <c r="BL23" i="11533"/>
  <c r="BT26" i="11533"/>
  <c r="BN23" i="11533"/>
  <c r="BS24" i="11533"/>
  <c r="BU24" i="11533"/>
  <c r="CM24" i="11533" s="1"/>
  <c r="BT21" i="11533"/>
  <c r="BE23" i="11533"/>
  <c r="BP24" i="11533"/>
  <c r="CJ24" i="11533" s="1"/>
  <c r="BQ22" i="11533"/>
  <c r="CQ21" i="11533"/>
  <c r="BL24" i="11533"/>
  <c r="BM24" i="11533"/>
  <c r="BN24" i="11533"/>
  <c r="BT24" i="11533"/>
  <c r="AQ24" i="11533"/>
  <c r="CQ24" i="11533"/>
  <c r="BL25" i="11533"/>
  <c r="BN25" i="11533"/>
  <c r="BR25" i="11533"/>
  <c r="BP23" i="11533"/>
  <c r="CJ23" i="11533" s="1"/>
  <c r="BS25" i="11533"/>
  <c r="BT25" i="11533"/>
  <c r="BN26" i="11533"/>
  <c r="BM26" i="11533"/>
  <c r="BQ21" i="11533"/>
  <c r="BP26" i="11533"/>
  <c r="CJ26" i="11533" s="1"/>
  <c r="BR21" i="11533"/>
  <c r="BQ26" i="11533"/>
  <c r="BR26" i="11533"/>
  <c r="CV23" i="11533"/>
  <c r="BQ24" i="11533"/>
  <c r="AQ26" i="11533"/>
  <c r="BP25" i="11533"/>
  <c r="CJ25" i="11533" s="1"/>
  <c r="BT18" i="11533"/>
  <c r="CV18" i="11533"/>
  <c r="BP16" i="11533"/>
  <c r="CJ16" i="11533" s="1"/>
  <c r="AO11" i="11533"/>
  <c r="CV16" i="11533"/>
  <c r="BQ19" i="11533"/>
  <c r="BE17" i="11533"/>
  <c r="BE15" i="11533"/>
  <c r="BN15" i="11533"/>
  <c r="BT19" i="11533"/>
  <c r="BU19" i="11533"/>
  <c r="CM19" i="11533" s="1"/>
  <c r="BN19" i="11533"/>
  <c r="BL17" i="11533"/>
  <c r="BM18" i="11533"/>
  <c r="BP19" i="11533"/>
  <c r="CJ19" i="11533" s="1"/>
  <c r="BP17" i="11533"/>
  <c r="CJ17" i="11533" s="1"/>
  <c r="BR19" i="11533"/>
  <c r="BS19" i="11533"/>
  <c r="AW16" i="11533"/>
  <c r="CK16" i="11533" s="1"/>
  <c r="BE20" i="11533"/>
  <c r="BJ20" i="11533"/>
  <c r="BE16" i="11533"/>
  <c r="BJ16" i="11533"/>
  <c r="BK16" i="11533"/>
  <c r="BL16" i="11533"/>
  <c r="BM16" i="11533"/>
  <c r="BN16" i="11533"/>
  <c r="BQ16" i="11533"/>
  <c r="BR16" i="11533"/>
  <c r="BS16" i="11533"/>
  <c r="BT16" i="11533"/>
  <c r="BU16" i="11533"/>
  <c r="CM16" i="11533" s="1"/>
  <c r="BJ17" i="11533"/>
  <c r="BM19" i="11533"/>
  <c r="BK20" i="11533"/>
  <c r="BL20" i="11533"/>
  <c r="BM20" i="11533"/>
  <c r="BN20" i="11533"/>
  <c r="BE18" i="11533"/>
  <c r="AW19" i="11533"/>
  <c r="CK19" i="11533" s="1"/>
  <c r="BQ17" i="11533"/>
  <c r="BP18" i="11533"/>
  <c r="CJ18" i="11533" s="1"/>
  <c r="BQ18" i="11533"/>
  <c r="BR18" i="11533"/>
  <c r="BS18" i="11533"/>
  <c r="BK19" i="11533"/>
  <c r="BK15" i="11533"/>
  <c r="BJ19" i="11533"/>
  <c r="BL15" i="11533"/>
  <c r="BM15" i="11533"/>
  <c r="BL19" i="11533"/>
  <c r="AQ16" i="11533"/>
  <c r="CQ15" i="11533"/>
  <c r="AQ18" i="11533"/>
  <c r="AY13" i="11533"/>
  <c r="AY18" i="11533"/>
  <c r="AY14" i="11533"/>
  <c r="AY16" i="11533"/>
  <c r="AB81" i="11533"/>
  <c r="AF81" i="11533" s="1"/>
  <c r="AY15" i="11533"/>
  <c r="AQ19" i="11533"/>
  <c r="CQ13" i="11533"/>
  <c r="CQ14" i="11533"/>
  <c r="AY19" i="11533"/>
  <c r="CQ17" i="11533"/>
  <c r="AY17" i="11533"/>
  <c r="AS12" i="11533"/>
  <c r="AS11" i="11533"/>
  <c r="BA11" i="11533"/>
  <c r="BQ14" i="11533"/>
  <c r="BE14" i="11533"/>
  <c r="BK13" i="11533"/>
  <c r="BN14" i="11533"/>
  <c r="BR14" i="11533"/>
  <c r="CB14" i="11533" s="1"/>
  <c r="BP13" i="11533"/>
  <c r="CJ13" i="11533" s="1"/>
  <c r="CP12" i="11533"/>
  <c r="BE13" i="11533"/>
  <c r="BJ13" i="11533"/>
  <c r="BL13" i="11533"/>
  <c r="BQ13" i="11533"/>
  <c r="AW13" i="11533"/>
  <c r="CK13" i="11533" s="1"/>
  <c r="BM14" i="11533"/>
  <c r="BP14" i="11533"/>
  <c r="CJ14" i="11533" s="1"/>
  <c r="BU12" i="11533"/>
  <c r="CM12" i="11533" s="1"/>
  <c r="CO12" i="11533"/>
  <c r="AP11" i="11533"/>
  <c r="AX11" i="11533"/>
  <c r="G49" i="11533"/>
  <c r="AP12" i="11533"/>
  <c r="CQ12" i="11533"/>
  <c r="AQ12" i="11533"/>
  <c r="BA12" i="11533"/>
  <c r="AW12" i="11533"/>
  <c r="CK12" i="11533" s="1"/>
  <c r="K49" i="11533"/>
  <c r="AB80" i="11533" s="1"/>
  <c r="AF80" i="11533" s="1"/>
  <c r="BR12" i="11533"/>
  <c r="AQ11" i="11533"/>
  <c r="AB79" i="11533"/>
  <c r="AF79" i="11533" s="1"/>
  <c r="BS12" i="11533"/>
  <c r="AB76" i="11533"/>
  <c r="BE12" i="11533"/>
  <c r="BL12" i="11533"/>
  <c r="BP12" i="11533"/>
  <c r="CJ12" i="11533" s="1"/>
  <c r="BJ12" i="11533"/>
  <c r="BQ12" i="11533"/>
  <c r="BK12" i="11533"/>
  <c r="BM12" i="11533"/>
  <c r="BN12" i="11533"/>
  <c r="BT12" i="11533"/>
  <c r="CK33" i="11533"/>
  <c r="AF35" i="11533"/>
  <c r="AH35" i="11533" s="1"/>
  <c r="BC35" i="11534"/>
  <c r="BC31" i="11534"/>
  <c r="O81" i="11534"/>
  <c r="X63" i="11534"/>
  <c r="X53" i="11534"/>
  <c r="O83" i="11534"/>
  <c r="BC32" i="11534"/>
  <c r="W17" i="11535"/>
  <c r="X17" i="11535"/>
  <c r="AO17" i="11535" s="1"/>
  <c r="X12" i="11535"/>
  <c r="AR12" i="11535" s="1"/>
  <c r="W12" i="11535"/>
  <c r="X15" i="11535"/>
  <c r="AO15" i="11535" s="1"/>
  <c r="W15" i="11535"/>
  <c r="X13" i="11535"/>
  <c r="AR13" i="11535" s="1"/>
  <c r="W13" i="11535"/>
  <c r="W23" i="11535"/>
  <c r="X23" i="11535"/>
  <c r="AO23" i="11535" s="1"/>
  <c r="X18" i="11535"/>
  <c r="AO18" i="11535" s="1"/>
  <c r="W18" i="11535"/>
  <c r="X26" i="11535"/>
  <c r="AO26" i="11535" s="1"/>
  <c r="W26" i="11535"/>
  <c r="W22" i="11535"/>
  <c r="X22" i="11535"/>
  <c r="AO22" i="11535" s="1"/>
  <c r="X21" i="11535"/>
  <c r="AO21" i="11535" s="1"/>
  <c r="W21" i="11535"/>
  <c r="W14" i="11535"/>
  <c r="X14" i="11535"/>
  <c r="AR14" i="11535" s="1"/>
  <c r="E88" i="11535"/>
  <c r="O88" i="11535" s="1"/>
  <c r="O86" i="11535"/>
  <c r="X24" i="11535"/>
  <c r="AO24" i="11535" s="1"/>
  <c r="W24" i="11535"/>
  <c r="X20" i="11535"/>
  <c r="AO20" i="11535" s="1"/>
  <c r="W20" i="11535"/>
  <c r="X16" i="11535"/>
  <c r="AO16" i="11535" s="1"/>
  <c r="W16" i="11535"/>
  <c r="X27" i="11535"/>
  <c r="AO27" i="11535" s="1"/>
  <c r="W27" i="11535"/>
  <c r="X19" i="11535"/>
  <c r="AO19" i="11535" s="1"/>
  <c r="W19" i="11535"/>
  <c r="E43" i="11535"/>
  <c r="X11" i="11535"/>
  <c r="AR11" i="11535" s="1"/>
  <c r="W11" i="11535"/>
  <c r="W25" i="11535"/>
  <c r="X25" i="11535"/>
  <c r="AO25" i="11535" s="1"/>
  <c r="AU25" i="11534"/>
  <c r="AU24" i="11534"/>
  <c r="AU16" i="11534"/>
  <c r="AX17" i="11534"/>
  <c r="AY17" i="11534" s="1"/>
  <c r="BE17" i="11534" s="1"/>
  <c r="AU15" i="11534"/>
  <c r="AX26" i="11534"/>
  <c r="AY26" i="11534" s="1"/>
  <c r="BE26" i="11534" s="1"/>
  <c r="W18" i="11534"/>
  <c r="BG18" i="11534" s="1"/>
  <c r="AX16" i="11534"/>
  <c r="AY16" i="11534" s="1"/>
  <c r="BE16" i="11534" s="1"/>
  <c r="AX15" i="11534"/>
  <c r="AY15" i="11534" s="1"/>
  <c r="BE15" i="11534" s="1"/>
  <c r="X16" i="11534"/>
  <c r="W14" i="11534"/>
  <c r="BC14" i="11534" s="1"/>
  <c r="AX19" i="11534"/>
  <c r="AY19" i="11534" s="1"/>
  <c r="BE19" i="11534" s="1"/>
  <c r="BM25" i="11534"/>
  <c r="BF25" i="11534"/>
  <c r="X25" i="11534"/>
  <c r="AO25" i="11534" s="1"/>
  <c r="AX25" i="11534"/>
  <c r="AY25" i="11534" s="1"/>
  <c r="BE25" i="11534" s="1"/>
  <c r="W15" i="11534"/>
  <c r="BG15" i="11534" s="1"/>
  <c r="AX21" i="11534"/>
  <c r="AY21" i="11534" s="1"/>
  <c r="BE21" i="11534" s="1"/>
  <c r="W24" i="11534"/>
  <c r="BG24" i="11534" s="1"/>
  <c r="AX20" i="11534"/>
  <c r="AY20" i="11534" s="1"/>
  <c r="BE20" i="11534" s="1"/>
  <c r="AX18" i="11534"/>
  <c r="AY18" i="11534" s="1"/>
  <c r="BE18" i="11534" s="1"/>
  <c r="AX23" i="11534"/>
  <c r="AY23" i="11534" s="1"/>
  <c r="BE23" i="11534" s="1"/>
  <c r="X20" i="11534"/>
  <c r="AO20" i="11534" s="1"/>
  <c r="AV20" i="11534" s="1"/>
  <c r="BF20" i="11534"/>
  <c r="BM20" i="11534"/>
  <c r="X26" i="11534"/>
  <c r="AO26" i="11534" s="1"/>
  <c r="X18" i="11534"/>
  <c r="AO18" i="11534" s="1"/>
  <c r="X15" i="11534"/>
  <c r="X24" i="11534"/>
  <c r="AO24" i="11534" s="1"/>
  <c r="BF18" i="11534"/>
  <c r="X19" i="11534"/>
  <c r="AO19" i="11534" s="1"/>
  <c r="AV19" i="11534" s="1"/>
  <c r="X17" i="11534"/>
  <c r="X23" i="11534"/>
  <c r="AO23" i="11534" s="1"/>
  <c r="AV23" i="11534" s="1"/>
  <c r="BF26" i="11534"/>
  <c r="W23" i="11534"/>
  <c r="AW23" i="11534" s="1"/>
  <c r="W26" i="11534"/>
  <c r="AW26" i="11534" s="1"/>
  <c r="BF19" i="11534"/>
  <c r="W20" i="11534"/>
  <c r="AW20" i="11534" s="1"/>
  <c r="AX24" i="11534"/>
  <c r="AY24" i="11534" s="1"/>
  <c r="BE24" i="11534" s="1"/>
  <c r="X22" i="11534"/>
  <c r="AO22" i="11534" s="1"/>
  <c r="AV22" i="11534" s="1"/>
  <c r="X14" i="11534"/>
  <c r="BF14" i="11534"/>
  <c r="BM14" i="11534"/>
  <c r="W21" i="11534"/>
  <c r="BC21" i="11534" s="1"/>
  <c r="X21" i="11534"/>
  <c r="AO21" i="11534" s="1"/>
  <c r="AU21" i="11534"/>
  <c r="AU14" i="11534"/>
  <c r="W19" i="11534"/>
  <c r="BC19" i="11534" s="1"/>
  <c r="BF23" i="11534"/>
  <c r="W25" i="11534"/>
  <c r="AU19" i="11534"/>
  <c r="AX22" i="11534"/>
  <c r="AU26" i="11534"/>
  <c r="BF17" i="11534"/>
  <c r="AZ22" i="11534"/>
  <c r="BM22" i="11534" s="1"/>
  <c r="W17" i="11534"/>
  <c r="AW17" i="11534" s="1"/>
  <c r="BM21" i="11534"/>
  <c r="AX14" i="11534"/>
  <c r="AY14" i="11534" s="1"/>
  <c r="BE14" i="11534" s="1"/>
  <c r="BM15" i="11534"/>
  <c r="AU17" i="11534"/>
  <c r="W22" i="11534"/>
  <c r="W16" i="11534"/>
  <c r="AU18" i="11534"/>
  <c r="AU23" i="11534"/>
  <c r="AU22" i="11534"/>
  <c r="AJ37" i="11534"/>
  <c r="AM37" i="11534"/>
  <c r="AK37" i="11534"/>
  <c r="AN37" i="11534"/>
  <c r="AL37" i="11534"/>
  <c r="AU13" i="11534"/>
  <c r="CL33" i="11532"/>
  <c r="CM41" i="11533"/>
  <c r="CJ33" i="11533"/>
  <c r="CJ36" i="11532"/>
  <c r="AF118" i="11534"/>
  <c r="BM16" i="11534"/>
  <c r="BM28" i="11534"/>
  <c r="BC36" i="11534"/>
  <c r="AU20" i="11534"/>
  <c r="AW27" i="11534"/>
  <c r="BC29" i="11534"/>
  <c r="BG31" i="11534"/>
  <c r="AU32" i="11534"/>
  <c r="X62" i="11534"/>
  <c r="BF24" i="11534"/>
  <c r="BF36" i="11534"/>
  <c r="BO33" i="11534"/>
  <c r="BG36" i="11534"/>
  <c r="BC27" i="11534"/>
  <c r="BG29" i="11534"/>
  <c r="AV30" i="11534"/>
  <c r="BF34" i="11534"/>
  <c r="U93" i="11534"/>
  <c r="AW30" i="11534"/>
  <c r="X64" i="11534"/>
  <c r="O79" i="11534"/>
  <c r="AV35" i="11534"/>
  <c r="AU11" i="11534"/>
  <c r="AV28" i="11534"/>
  <c r="AW35" i="11534"/>
  <c r="BC30" i="11534"/>
  <c r="E80" i="11534"/>
  <c r="AV33" i="11534"/>
  <c r="X54" i="11534"/>
  <c r="X65" i="11534"/>
  <c r="O55" i="11534"/>
  <c r="AI37" i="11534"/>
  <c r="AW31" i="11534"/>
  <c r="BC33" i="11534"/>
  <c r="X61" i="11534"/>
  <c r="D47" i="11529"/>
  <c r="D46" i="11529"/>
  <c r="D45" i="11529"/>
  <c r="D44" i="11529"/>
  <c r="D43" i="11529"/>
  <c r="D42" i="11529"/>
  <c r="D41" i="11529"/>
  <c r="D40" i="11529"/>
  <c r="AF31" i="11532"/>
  <c r="AH31" i="11532" s="1"/>
  <c r="CJ43" i="11532"/>
  <c r="CL46" i="11532"/>
  <c r="CL26" i="11532"/>
  <c r="O101" i="11532"/>
  <c r="CM48" i="11533"/>
  <c r="CJ48" i="11532"/>
  <c r="CL31" i="11532"/>
  <c r="CJ39" i="11532"/>
  <c r="BY31" i="11532"/>
  <c r="AF47" i="11532"/>
  <c r="AH47" i="11532" s="1"/>
  <c r="CM16" i="11532"/>
  <c r="CL16" i="11532"/>
  <c r="CJ19" i="11532"/>
  <c r="O100" i="11532"/>
  <c r="CM11" i="11532"/>
  <c r="AF11" i="11532"/>
  <c r="AH11" i="11532" s="1"/>
  <c r="BY48" i="11532"/>
  <c r="O102" i="11532"/>
  <c r="BY34" i="11532"/>
  <c r="CL20" i="11533"/>
  <c r="CL32" i="11532"/>
  <c r="CJ44" i="11532"/>
  <c r="AF38" i="11532"/>
  <c r="AH38" i="11532" s="1"/>
  <c r="AF30" i="11532"/>
  <c r="AH30" i="11532" s="1"/>
  <c r="CM32" i="11532"/>
  <c r="BY37" i="11532"/>
  <c r="AF37" i="11532"/>
  <c r="AH37" i="11532" s="1"/>
  <c r="CM48" i="11532"/>
  <c r="AF106" i="11532"/>
  <c r="CL30" i="11532"/>
  <c r="BY40" i="11532"/>
  <c r="CJ35" i="11532"/>
  <c r="AF87" i="11532"/>
  <c r="CL13" i="11532"/>
  <c r="BY35" i="11532"/>
  <c r="AF37" i="11533"/>
  <c r="AH37" i="11533" s="1"/>
  <c r="CL14" i="11532"/>
  <c r="CL15" i="11532"/>
  <c r="CL25" i="11532"/>
  <c r="CJ18" i="11532"/>
  <c r="CL19" i="11532"/>
  <c r="CL22" i="11532"/>
  <c r="CM31" i="11532"/>
  <c r="CM47" i="11533"/>
  <c r="BY41" i="11532"/>
  <c r="CM43" i="11532"/>
  <c r="AF108" i="11532"/>
  <c r="O79" i="11532"/>
  <c r="CJ20" i="11532"/>
  <c r="CL47" i="11532"/>
  <c r="CL29" i="11532"/>
  <c r="CM41" i="11532"/>
  <c r="O101" i="11533"/>
  <c r="AF88" i="11532"/>
  <c r="AF97" i="11532"/>
  <c r="CM47" i="11532"/>
  <c r="CL21" i="11532"/>
  <c r="CJ26" i="11532"/>
  <c r="CL40" i="11533"/>
  <c r="CM20" i="11532"/>
  <c r="O98" i="11532"/>
  <c r="CL23" i="11532"/>
  <c r="CJ30" i="11532"/>
  <c r="O99" i="11532"/>
  <c r="CM13" i="11532"/>
  <c r="BE21" i="11533"/>
  <c r="BU21" i="11533"/>
  <c r="CM21" i="11533" s="1"/>
  <c r="BM21" i="11533"/>
  <c r="BK21" i="11533"/>
  <c r="BJ21" i="11533"/>
  <c r="BL21" i="11533"/>
  <c r="BN21" i="11533"/>
  <c r="CL32" i="11533"/>
  <c r="CL47" i="11533"/>
  <c r="CL19" i="11533"/>
  <c r="CQ22" i="11533"/>
  <c r="AQ22" i="11533"/>
  <c r="AY22" i="11533"/>
  <c r="AR28" i="11533"/>
  <c r="AY30" i="11533"/>
  <c r="CQ30" i="11533"/>
  <c r="AQ30" i="11533"/>
  <c r="BI32" i="11533"/>
  <c r="BW32" i="11533"/>
  <c r="AF32" i="11533" s="1"/>
  <c r="AH32" i="11533" s="1"/>
  <c r="BK32" i="11533"/>
  <c r="BN32" i="11533"/>
  <c r="BM32" i="11533"/>
  <c r="BE32" i="11533"/>
  <c r="BP32" i="11533"/>
  <c r="CJ32" i="11533" s="1"/>
  <c r="BT32" i="11533"/>
  <c r="BQ32" i="11533"/>
  <c r="BS32" i="11533"/>
  <c r="BR32" i="11533"/>
  <c r="BL32" i="11533"/>
  <c r="BJ32" i="11533"/>
  <c r="BU32" i="11533"/>
  <c r="CM32" i="11533" s="1"/>
  <c r="CQ39" i="11533"/>
  <c r="CW39" i="11533" s="1"/>
  <c r="AY39" i="11533"/>
  <c r="BP21" i="11533"/>
  <c r="CJ21" i="11533" s="1"/>
  <c r="CL23" i="11533"/>
  <c r="CQ27" i="11533"/>
  <c r="AY27" i="11533"/>
  <c r="AQ27" i="11533"/>
  <c r="BE29" i="11533"/>
  <c r="BQ29" i="11533"/>
  <c r="BR29" i="11533"/>
  <c r="AW29" i="11533"/>
  <c r="BW29" i="11533"/>
  <c r="AF29" i="11533" s="1"/>
  <c r="AH29" i="11533" s="1"/>
  <c r="BL29" i="11533"/>
  <c r="BK29" i="11533"/>
  <c r="AC29" i="11533"/>
  <c r="BU29" i="11533"/>
  <c r="CM29" i="11533" s="1"/>
  <c r="AC30" i="11533"/>
  <c r="CR31" i="11533"/>
  <c r="CM43" i="11533"/>
  <c r="L90" i="11533"/>
  <c r="AO102" i="11533"/>
  <c r="CM36" i="11533"/>
  <c r="CL38" i="11533"/>
  <c r="CL16" i="11533"/>
  <c r="AQ29" i="11533"/>
  <c r="CQ29" i="11533"/>
  <c r="AY29" i="11533"/>
  <c r="BP40" i="11533"/>
  <c r="CJ40" i="11533" s="1"/>
  <c r="CM44" i="11533"/>
  <c r="AF96" i="11533"/>
  <c r="CR16" i="11533"/>
  <c r="CL17" i="11533"/>
  <c r="BT29" i="11533"/>
  <c r="BR40" i="11533"/>
  <c r="CL42" i="11533"/>
  <c r="AF97" i="11533"/>
  <c r="CM37" i="11533"/>
  <c r="BY36" i="11533"/>
  <c r="CM45" i="11533"/>
  <c r="AF105" i="11533"/>
  <c r="CL18" i="11533"/>
  <c r="BY27" i="11533"/>
  <c r="CM31" i="11533"/>
  <c r="BJ40" i="11533"/>
  <c r="CL22" i="11533"/>
  <c r="BV36" i="11533"/>
  <c r="BU38" i="11533"/>
  <c r="CM38" i="11533" s="1"/>
  <c r="AW38" i="11533"/>
  <c r="BM38" i="11533"/>
  <c r="BK38" i="11533"/>
  <c r="BW38" i="11533"/>
  <c r="AF38" i="11533" s="1"/>
  <c r="AH38" i="11533" s="1"/>
  <c r="BT38" i="11533"/>
  <c r="BN38" i="11533"/>
  <c r="BI38" i="11533"/>
  <c r="BP38" i="11533"/>
  <c r="CJ38" i="11533" s="1"/>
  <c r="BL40" i="11533"/>
  <c r="CQ11" i="11533"/>
  <c r="BE11" i="11533"/>
  <c r="CL15" i="11533"/>
  <c r="BN17" i="11533"/>
  <c r="BM17" i="11533"/>
  <c r="BU17" i="11533"/>
  <c r="CM17" i="11533" s="1"/>
  <c r="BT17" i="11533"/>
  <c r="BR17" i="11533"/>
  <c r="BS17" i="11533"/>
  <c r="AW17" i="11533"/>
  <c r="AY20" i="11533"/>
  <c r="AQ20" i="11533"/>
  <c r="AR21" i="11533"/>
  <c r="BQ23" i="11533"/>
  <c r="BR23" i="11533"/>
  <c r="BU23" i="11533"/>
  <c r="CM23" i="11533" s="1"/>
  <c r="BS23" i="11533"/>
  <c r="BJ23" i="11533"/>
  <c r="AW23" i="11533"/>
  <c r="BT23" i="11533"/>
  <c r="AR27" i="11533"/>
  <c r="BE28" i="11533"/>
  <c r="BL38" i="11533"/>
  <c r="BS40" i="11533"/>
  <c r="CL41" i="11533"/>
  <c r="BU42" i="11533"/>
  <c r="CM42" i="11533" s="1"/>
  <c r="AW42" i="11533"/>
  <c r="CK42" i="11533" s="1"/>
  <c r="BM42" i="11533"/>
  <c r="BK42" i="11533"/>
  <c r="CW42" i="11533"/>
  <c r="BW42" i="11533"/>
  <c r="AF42" i="11533" s="1"/>
  <c r="AH42" i="11533" s="1"/>
  <c r="BS42" i="11533"/>
  <c r="BE42" i="11533"/>
  <c r="BT42" i="11533"/>
  <c r="BR42" i="11533"/>
  <c r="BQ42" i="11533"/>
  <c r="BI42" i="11533"/>
  <c r="BP42" i="11533"/>
  <c r="CJ42" i="11533" s="1"/>
  <c r="BY43" i="11533"/>
  <c r="AF108" i="11533"/>
  <c r="BF49" i="11533"/>
  <c r="CL11" i="11533"/>
  <c r="CR12" i="11533"/>
  <c r="BR15" i="11533"/>
  <c r="AW15" i="11533"/>
  <c r="BS15" i="11533"/>
  <c r="BU15" i="11533"/>
  <c r="CM15" i="11533" s="1"/>
  <c r="BT15" i="11533"/>
  <c r="BQ15" i="11533"/>
  <c r="BP15" i="11533"/>
  <c r="CJ15" i="11533" s="1"/>
  <c r="BJ15" i="11533"/>
  <c r="CL28" i="11533"/>
  <c r="AR32" i="11533"/>
  <c r="AV32" i="11533" s="1"/>
  <c r="BO35" i="11533"/>
  <c r="BQ38" i="11533"/>
  <c r="CK44" i="11533"/>
  <c r="CK35" i="11533"/>
  <c r="AF103" i="11533"/>
  <c r="AF85" i="11533"/>
  <c r="AF93" i="11533"/>
  <c r="AF83" i="11533"/>
  <c r="AF90" i="11533"/>
  <c r="O81" i="11533"/>
  <c r="AF109" i="11533"/>
  <c r="AF92" i="11533"/>
  <c r="AF84" i="11533"/>
  <c r="O79" i="11533"/>
  <c r="BY41" i="11533"/>
  <c r="CL14" i="11533"/>
  <c r="AF87" i="11533"/>
  <c r="AF106" i="11533"/>
  <c r="AF98" i="11533"/>
  <c r="AF111" i="11533"/>
  <c r="AF88" i="11533"/>
  <c r="CL37" i="11533"/>
  <c r="CL12" i="11533"/>
  <c r="CJ47" i="11533"/>
  <c r="AF86" i="11533"/>
  <c r="AW21" i="11533"/>
  <c r="CK21" i="11533" s="1"/>
  <c r="CK43" i="11533"/>
  <c r="CR46" i="11533"/>
  <c r="CR32" i="11533"/>
  <c r="CR34" i="11533"/>
  <c r="CR41" i="11533"/>
  <c r="CR20" i="11533"/>
  <c r="CR38" i="11533"/>
  <c r="CW38" i="11533" s="1"/>
  <c r="CR27" i="11533"/>
  <c r="CR23" i="11533"/>
  <c r="CR15" i="11533"/>
  <c r="CR11" i="11533"/>
  <c r="CR40" i="11533"/>
  <c r="CW40" i="11533" s="1"/>
  <c r="CR30" i="11533"/>
  <c r="CR22" i="11533"/>
  <c r="CR35" i="11533"/>
  <c r="CW35" i="11533" s="1"/>
  <c r="CR18" i="11533"/>
  <c r="CR25" i="11533"/>
  <c r="CR24" i="11533"/>
  <c r="CR26" i="11533"/>
  <c r="CR21" i="11533"/>
  <c r="CR45" i="11533"/>
  <c r="CR33" i="11533"/>
  <c r="CR48" i="11533"/>
  <c r="CR47" i="11533"/>
  <c r="CR43" i="11533"/>
  <c r="CW43" i="11533" s="1"/>
  <c r="BN11" i="11533"/>
  <c r="AR18" i="11533"/>
  <c r="AR19" i="11533"/>
  <c r="CR29" i="11533"/>
  <c r="BP30" i="11533"/>
  <c r="CJ30" i="11533" s="1"/>
  <c r="AR34" i="11533"/>
  <c r="BL39" i="11533"/>
  <c r="CL43" i="11533"/>
  <c r="CR44" i="11533"/>
  <c r="CW44" i="11533" s="1"/>
  <c r="O80" i="11533"/>
  <c r="AC114" i="11533"/>
  <c r="O102" i="11533"/>
  <c r="O98" i="11533"/>
  <c r="O100" i="11533"/>
  <c r="BR30" i="11533"/>
  <c r="AQ37" i="11533"/>
  <c r="AV37" i="11533" s="1"/>
  <c r="CQ37" i="11533"/>
  <c r="CW37" i="11533" s="1"/>
  <c r="AY37" i="11533"/>
  <c r="BP39" i="11533"/>
  <c r="CJ39" i="11533" s="1"/>
  <c r="CL44" i="11533"/>
  <c r="AR47" i="11533"/>
  <c r="AV47" i="11533" s="1"/>
  <c r="CL35" i="11533"/>
  <c r="CL33" i="11533"/>
  <c r="BI40" i="11533"/>
  <c r="BW40" i="11533"/>
  <c r="AF40" i="11533" s="1"/>
  <c r="AH40" i="11533" s="1"/>
  <c r="BK40" i="11533"/>
  <c r="AW40" i="11533"/>
  <c r="CK40" i="11533" s="1"/>
  <c r="BQ40" i="11533"/>
  <c r="BN40" i="11533"/>
  <c r="BM40" i="11533"/>
  <c r="BU40" i="11533"/>
  <c r="CM40" i="11533" s="1"/>
  <c r="BR11" i="11533"/>
  <c r="BG49" i="11533"/>
  <c r="BU11" i="11533"/>
  <c r="BS11" i="11533"/>
  <c r="BQ11" i="11533"/>
  <c r="BT11" i="11533"/>
  <c r="BP11" i="11533"/>
  <c r="AW11" i="11533"/>
  <c r="BI28" i="11533"/>
  <c r="BW28" i="11533"/>
  <c r="AF28" i="11533" s="1"/>
  <c r="AH28" i="11533" s="1"/>
  <c r="BK28" i="11533"/>
  <c r="BL28" i="11533"/>
  <c r="BJ28" i="11533"/>
  <c r="AC28" i="11533"/>
  <c r="BM28" i="11533"/>
  <c r="AW28" i="11533"/>
  <c r="CK28" i="11533" s="1"/>
  <c r="BS28" i="11533"/>
  <c r="BR28" i="11533"/>
  <c r="CJ29" i="11533"/>
  <c r="CQ31" i="11533"/>
  <c r="AY31" i="11533"/>
  <c r="AQ31" i="11533"/>
  <c r="BV34" i="11533"/>
  <c r="CJ35" i="11533"/>
  <c r="O78" i="11533"/>
  <c r="CL29" i="11533"/>
  <c r="CL39" i="11533"/>
  <c r="CL45" i="11533"/>
  <c r="CQ23" i="11533"/>
  <c r="AY23" i="11533"/>
  <c r="AQ23" i="11533"/>
  <c r="BU22" i="11533"/>
  <c r="CM22" i="11533" s="1"/>
  <c r="AW22" i="11533"/>
  <c r="CK22" i="11533" s="1"/>
  <c r="BK22" i="11533"/>
  <c r="BN22" i="11533"/>
  <c r="BP22" i="11533"/>
  <c r="CJ22" i="11533" s="1"/>
  <c r="BT22" i="11533"/>
  <c r="BE22" i="11533"/>
  <c r="BQ28" i="11533"/>
  <c r="BY35" i="11533"/>
  <c r="BU28" i="11533"/>
  <c r="CM28" i="11533" s="1"/>
  <c r="BM39" i="11533"/>
  <c r="AY42" i="11533"/>
  <c r="AQ42" i="11533"/>
  <c r="AE114" i="11533"/>
  <c r="BL22" i="11533"/>
  <c r="CL34" i="11533"/>
  <c r="BY37" i="11533"/>
  <c r="AQ41" i="11533"/>
  <c r="AV41" i="11533" s="1"/>
  <c r="CQ41" i="11533"/>
  <c r="AY41" i="11533"/>
  <c r="AF104" i="11533"/>
  <c r="CL24" i="11533"/>
  <c r="CL30" i="11533"/>
  <c r="CL13" i="11533"/>
  <c r="CJ45" i="11533"/>
  <c r="BN28" i="11533"/>
  <c r="BK11" i="11533"/>
  <c r="CL21" i="11533"/>
  <c r="AR38" i="11533"/>
  <c r="AR43" i="11533"/>
  <c r="AR31" i="11533"/>
  <c r="AR35" i="11533"/>
  <c r="AR36" i="11533"/>
  <c r="AR20" i="11533"/>
  <c r="AR42" i="11533"/>
  <c r="AR13" i="11533"/>
  <c r="AR39" i="11533"/>
  <c r="AV39" i="11533" s="1"/>
  <c r="AR30" i="11533"/>
  <c r="AR40" i="11533"/>
  <c r="AV40" i="11533" s="1"/>
  <c r="AR29" i="11533"/>
  <c r="AR23" i="11533"/>
  <c r="AR17" i="11533"/>
  <c r="AR11" i="11533"/>
  <c r="AR22" i="11533"/>
  <c r="AR15" i="11533"/>
  <c r="BL11" i="11533"/>
  <c r="BP28" i="11533"/>
  <c r="CJ28" i="11533" s="1"/>
  <c r="BU30" i="11533"/>
  <c r="CM30" i="11533" s="1"/>
  <c r="AW30" i="11533"/>
  <c r="BK30" i="11533"/>
  <c r="BW30" i="11533"/>
  <c r="AF30" i="11533" s="1"/>
  <c r="AH30" i="11533" s="1"/>
  <c r="BN30" i="11533"/>
  <c r="BM30" i="11533"/>
  <c r="BL30" i="11533"/>
  <c r="BE30" i="11533"/>
  <c r="BJ30" i="11533"/>
  <c r="BI30" i="11533"/>
  <c r="BS39" i="11533"/>
  <c r="BQ39" i="11533"/>
  <c r="BE39" i="11533"/>
  <c r="BJ39" i="11533"/>
  <c r="BI39" i="11533"/>
  <c r="BK39" i="11533"/>
  <c r="AW39" i="11533"/>
  <c r="BW39" i="11533"/>
  <c r="AF39" i="11533" s="1"/>
  <c r="AH39" i="11533" s="1"/>
  <c r="BN39" i="11533"/>
  <c r="BM11" i="11533"/>
  <c r="AR16" i="11533"/>
  <c r="CL27" i="11533"/>
  <c r="BQ30" i="11533"/>
  <c r="BY47" i="11533"/>
  <c r="AO100" i="11533"/>
  <c r="Q12" i="3" s="1"/>
  <c r="BJ22" i="11533"/>
  <c r="BQ27" i="11533"/>
  <c r="BE27" i="11533"/>
  <c r="BW27" i="11533"/>
  <c r="AF27" i="11533" s="1"/>
  <c r="AH27" i="11533" s="1"/>
  <c r="AW27" i="11533"/>
  <c r="CK27" i="11533" s="1"/>
  <c r="BU27" i="11533"/>
  <c r="CM27" i="11533" s="1"/>
  <c r="BN27" i="11533"/>
  <c r="BT27" i="11533"/>
  <c r="BS27" i="11533"/>
  <c r="AR12" i="11533"/>
  <c r="BM22" i="11533"/>
  <c r="CL25" i="11533"/>
  <c r="BI27" i="11533"/>
  <c r="BT30" i="11533"/>
  <c r="CL31" i="11533"/>
  <c r="BI36" i="11533"/>
  <c r="CW36" i="11533"/>
  <c r="BW36" i="11533"/>
  <c r="AF36" i="11533" s="1"/>
  <c r="AH36" i="11533" s="1"/>
  <c r="BK36" i="11533"/>
  <c r="BR36" i="11533"/>
  <c r="BP36" i="11533"/>
  <c r="CJ36" i="11533" s="1"/>
  <c r="BQ36" i="11533"/>
  <c r="BE36" i="11533"/>
  <c r="BS36" i="11533"/>
  <c r="AW36" i="11533"/>
  <c r="CK36" i="11533" s="1"/>
  <c r="BT39" i="11533"/>
  <c r="AY46" i="11533"/>
  <c r="CQ46" i="11533"/>
  <c r="CK47" i="11533"/>
  <c r="BS13" i="11533"/>
  <c r="BT14" i="11533"/>
  <c r="BL14" i="11533"/>
  <c r="BU14" i="11533"/>
  <c r="CM14" i="11533" s="1"/>
  <c r="AW14" i="11533"/>
  <c r="BK14" i="11533"/>
  <c r="AY34" i="11533"/>
  <c r="AQ34" i="11533"/>
  <c r="CL36" i="11533"/>
  <c r="BY48" i="11533"/>
  <c r="BH49" i="11533"/>
  <c r="L75" i="11533" s="1"/>
  <c r="O75" i="11533" s="1"/>
  <c r="BQ20" i="11533"/>
  <c r="BP20" i="11533"/>
  <c r="CJ20" i="11533" s="1"/>
  <c r="BR20" i="11533"/>
  <c r="CJ37" i="11533"/>
  <c r="BN13" i="11533"/>
  <c r="BM13" i="11533"/>
  <c r="BQ31" i="11533"/>
  <c r="BE31" i="11533"/>
  <c r="BR31" i="11533"/>
  <c r="BE33" i="11533"/>
  <c r="BQ33" i="11533"/>
  <c r="BU33" i="11533"/>
  <c r="CM33" i="11533" s="1"/>
  <c r="BR33" i="11533"/>
  <c r="BY44" i="11533"/>
  <c r="BV44" i="11533"/>
  <c r="CL46" i="11533"/>
  <c r="CL48" i="11533"/>
  <c r="BR13" i="11533"/>
  <c r="BU18" i="11533"/>
  <c r="CM18" i="11533" s="1"/>
  <c r="AW18" i="11533"/>
  <c r="BK18" i="11533"/>
  <c r="BN18" i="11533"/>
  <c r="BS20" i="11533"/>
  <c r="BE25" i="11533"/>
  <c r="BQ25" i="11533"/>
  <c r="BU25" i="11533"/>
  <c r="CM25" i="11533" s="1"/>
  <c r="BM25" i="11533"/>
  <c r="AW25" i="11533"/>
  <c r="BN31" i="11533"/>
  <c r="AQ33" i="11533"/>
  <c r="AV33" i="11533" s="1"/>
  <c r="CQ33" i="11533"/>
  <c r="BU34" i="11533"/>
  <c r="CM34" i="11533" s="1"/>
  <c r="AW34" i="11533"/>
  <c r="CK34" i="11533" s="1"/>
  <c r="BK34" i="11533"/>
  <c r="BW34" i="11533"/>
  <c r="AF34" i="11533" s="1"/>
  <c r="AH34" i="11533" s="1"/>
  <c r="BQ34" i="11533"/>
  <c r="BP34" i="11533"/>
  <c r="CJ34" i="11533" s="1"/>
  <c r="BE34" i="11533"/>
  <c r="BR34" i="11533"/>
  <c r="CQ34" i="11533"/>
  <c r="BU46" i="11533"/>
  <c r="CM46" i="11533" s="1"/>
  <c r="AW46" i="11533"/>
  <c r="CK46" i="11533" s="1"/>
  <c r="BM46" i="11533"/>
  <c r="BK46" i="11533"/>
  <c r="BW46" i="11533"/>
  <c r="AF46" i="11533" s="1"/>
  <c r="AH46" i="11533" s="1"/>
  <c r="BN46" i="11533"/>
  <c r="BL46" i="11533"/>
  <c r="BJ46" i="11533"/>
  <c r="BS47" i="11533"/>
  <c r="BQ47" i="11533"/>
  <c r="BE47" i="11533"/>
  <c r="BT47" i="11533"/>
  <c r="BN47" i="11533"/>
  <c r="M115" i="11533"/>
  <c r="O99" i="11533"/>
  <c r="BP31" i="11533"/>
  <c r="CJ31" i="11533" s="1"/>
  <c r="BJ33" i="11533"/>
  <c r="CJ43" i="11533"/>
  <c r="AQ45" i="11533"/>
  <c r="CQ45" i="11533"/>
  <c r="CQ47" i="11533"/>
  <c r="AY47" i="11533"/>
  <c r="BU13" i="11533"/>
  <c r="CM13" i="11533" s="1"/>
  <c r="BJ18" i="11533"/>
  <c r="BJ25" i="11533"/>
  <c r="BU26" i="11533"/>
  <c r="CM26" i="11533" s="1"/>
  <c r="AW26" i="11533"/>
  <c r="BK26" i="11533"/>
  <c r="BJ26" i="11533"/>
  <c r="BL26" i="11533"/>
  <c r="BS31" i="11533"/>
  <c r="BK33" i="11533"/>
  <c r="BJ34" i="11533"/>
  <c r="BQ35" i="11533"/>
  <c r="BE35" i="11533"/>
  <c r="BU35" i="11533"/>
  <c r="CM35" i="11533" s="1"/>
  <c r="BR35" i="11533"/>
  <c r="BD35" i="11533"/>
  <c r="CD35" i="11533" s="1"/>
  <c r="BP46" i="11533"/>
  <c r="CJ46" i="11533" s="1"/>
  <c r="BJ47" i="11533"/>
  <c r="CT49" i="11533"/>
  <c r="BT20" i="11533"/>
  <c r="AY32" i="11533"/>
  <c r="CQ32" i="11533"/>
  <c r="BI33" i="11533"/>
  <c r="BT13" i="11533"/>
  <c r="BU20" i="11533"/>
  <c r="CM20" i="11533" s="1"/>
  <c r="CL26" i="11533"/>
  <c r="BJ14" i="11533"/>
  <c r="BL18" i="11533"/>
  <c r="AQ25" i="11533"/>
  <c r="CQ25" i="11533"/>
  <c r="BK25" i="11533"/>
  <c r="BT31" i="11533"/>
  <c r="AF33" i="11533"/>
  <c r="AH33" i="11533" s="1"/>
  <c r="BL33" i="11533"/>
  <c r="BL34" i="11533"/>
  <c r="CJ44" i="11533"/>
  <c r="BQ46" i="11533"/>
  <c r="BK47" i="11533"/>
  <c r="AY48" i="11533"/>
  <c r="AQ48" i="11533"/>
  <c r="AV48" i="11533" s="1"/>
  <c r="AD48" i="11533" s="1"/>
  <c r="AG48" i="11533" s="1"/>
  <c r="BK24" i="11533"/>
  <c r="BE37" i="11533"/>
  <c r="BQ37" i="11533"/>
  <c r="AY44" i="11533"/>
  <c r="BY45" i="11533"/>
  <c r="BS43" i="11533"/>
  <c r="BQ43" i="11533"/>
  <c r="BE43" i="11533"/>
  <c r="AY36" i="11533"/>
  <c r="AW37" i="11533"/>
  <c r="CK37" i="11533" s="1"/>
  <c r="BJ43" i="11533"/>
  <c r="BI48" i="11533"/>
  <c r="AB74" i="11533"/>
  <c r="AF74" i="11533" s="1"/>
  <c r="CW48" i="11533"/>
  <c r="BW48" i="11533"/>
  <c r="AF48" i="11533" s="1"/>
  <c r="AH48" i="11533" s="1"/>
  <c r="BK48" i="11533"/>
  <c r="BE19" i="11533"/>
  <c r="AY26" i="11533"/>
  <c r="BR43" i="11533"/>
  <c r="BP48" i="11533"/>
  <c r="CJ48" i="11533" s="1"/>
  <c r="BJ24" i="11533"/>
  <c r="AQ36" i="11533"/>
  <c r="BT43" i="11533"/>
  <c r="BI44" i="11533"/>
  <c r="BW44" i="11533"/>
  <c r="AF44" i="11533" s="1"/>
  <c r="AH44" i="11533" s="1"/>
  <c r="BK44" i="11533"/>
  <c r="BQ48" i="11533"/>
  <c r="BQ41" i="11533"/>
  <c r="BQ45" i="11533"/>
  <c r="BY38" i="11532"/>
  <c r="CS49" i="11532"/>
  <c r="BV31" i="11532"/>
  <c r="AQ35" i="11532"/>
  <c r="CQ35" i="11532"/>
  <c r="BK23" i="11532"/>
  <c r="BJ12" i="11532"/>
  <c r="BE12" i="11532"/>
  <c r="AW12" i="11532"/>
  <c r="BD12" i="11532" s="1"/>
  <c r="CD12" i="11532" s="1"/>
  <c r="BW12" i="11532"/>
  <c r="AF12" i="11532" s="1"/>
  <c r="AH12" i="11532" s="1"/>
  <c r="BT12" i="11532"/>
  <c r="BY13" i="11532"/>
  <c r="BV13" i="11532"/>
  <c r="BJ21" i="11532"/>
  <c r="BL23" i="11532"/>
  <c r="BY44" i="11532"/>
  <c r="BV44" i="11532"/>
  <c r="AV19" i="11532"/>
  <c r="AD19" i="11532" s="1"/>
  <c r="AG19" i="11532" s="1"/>
  <c r="AQ21" i="11532"/>
  <c r="AV21" i="11532" s="1"/>
  <c r="AD21" i="11532" s="1"/>
  <c r="AG21" i="11532" s="1"/>
  <c r="AY21" i="11532"/>
  <c r="BM21" i="11532"/>
  <c r="BK12" i="11532"/>
  <c r="BO12" i="11532" s="1"/>
  <c r="AC21" i="11532"/>
  <c r="BR21" i="11532"/>
  <c r="CB21" i="11532" s="1"/>
  <c r="AQ37" i="11532"/>
  <c r="AY37" i="11532"/>
  <c r="CQ37" i="11532"/>
  <c r="CW37" i="11532" s="1"/>
  <c r="CQ19" i="11532"/>
  <c r="CW19" i="11532" s="1"/>
  <c r="AC12" i="11532"/>
  <c r="BP12" i="11532"/>
  <c r="CJ12" i="11532" s="1"/>
  <c r="BK14" i="11532"/>
  <c r="BY18" i="11532"/>
  <c r="AY35" i="11532"/>
  <c r="BY39" i="11532"/>
  <c r="BQ15" i="11532"/>
  <c r="BP15" i="11532"/>
  <c r="CJ15" i="11532" s="1"/>
  <c r="BM15" i="11532"/>
  <c r="BN15" i="11532"/>
  <c r="BU15" i="11532"/>
  <c r="CM15" i="11532" s="1"/>
  <c r="BK15" i="11532"/>
  <c r="BJ15" i="11532"/>
  <c r="BI15" i="11532"/>
  <c r="BT15" i="11532"/>
  <c r="BS15" i="11532"/>
  <c r="BR15" i="11532"/>
  <c r="CB15" i="11532" s="1"/>
  <c r="BL15" i="11532"/>
  <c r="AC15" i="11532"/>
  <c r="BV37" i="11532"/>
  <c r="BI14" i="11532"/>
  <c r="CQ21" i="11532"/>
  <c r="CW21" i="11532" s="1"/>
  <c r="BR12" i="11532"/>
  <c r="CB12" i="11532" s="1"/>
  <c r="BS12" i="11532"/>
  <c r="AQ19" i="11532"/>
  <c r="BW15" i="11532"/>
  <c r="AF15" i="11532" s="1"/>
  <c r="AH15" i="11532" s="1"/>
  <c r="BP21" i="11532"/>
  <c r="CJ21" i="11532" s="1"/>
  <c r="BN21" i="11532"/>
  <c r="BL21" i="11532"/>
  <c r="BU21" i="11532"/>
  <c r="CM21" i="11532" s="1"/>
  <c r="AW21" i="11532"/>
  <c r="BW21" i="11532"/>
  <c r="AF21" i="11532" s="1"/>
  <c r="AH21" i="11532" s="1"/>
  <c r="BT21" i="11532"/>
  <c r="BQ21" i="11532"/>
  <c r="BK21" i="11532"/>
  <c r="AQ33" i="11532"/>
  <c r="CQ33" i="11532"/>
  <c r="CW33" i="11532" s="1"/>
  <c r="AY33" i="11532"/>
  <c r="BD33" i="11532" s="1"/>
  <c r="CD33" i="11532" s="1"/>
  <c r="AV17" i="11532"/>
  <c r="AD17" i="11532" s="1"/>
  <c r="AG17" i="11532" s="1"/>
  <c r="BJ24" i="11532"/>
  <c r="BI24" i="11532"/>
  <c r="BS24" i="11532"/>
  <c r="BR24" i="11532"/>
  <c r="CB24" i="11532" s="1"/>
  <c r="BQ24" i="11532"/>
  <c r="BP24" i="11532"/>
  <c r="CJ24" i="11532" s="1"/>
  <c r="BN24" i="11532"/>
  <c r="BU24" i="11532"/>
  <c r="CM24" i="11532" s="1"/>
  <c r="BL24" i="11532"/>
  <c r="BT24" i="11532"/>
  <c r="BW24" i="11532"/>
  <c r="AF24" i="11532" s="1"/>
  <c r="AH24" i="11532" s="1"/>
  <c r="BK24" i="11532"/>
  <c r="BM24" i="11532"/>
  <c r="AC24" i="11532"/>
  <c r="AW15" i="11532"/>
  <c r="CK15" i="11532" s="1"/>
  <c r="BV42" i="11532"/>
  <c r="BY42" i="11532"/>
  <c r="BI23" i="11532"/>
  <c r="AQ13" i="11532"/>
  <c r="AY13" i="11532"/>
  <c r="AC23" i="11532"/>
  <c r="CE50" i="11532"/>
  <c r="AO101" i="11532"/>
  <c r="BN12" i="11532"/>
  <c r="BQ12" i="11532"/>
  <c r="BY32" i="11532"/>
  <c r="BD17" i="11532"/>
  <c r="CD17" i="11532" s="1"/>
  <c r="BW19" i="11532"/>
  <c r="AF19" i="11532" s="1"/>
  <c r="AH19" i="11532" s="1"/>
  <c r="AW19" i="11532"/>
  <c r="CK19" i="11532" s="1"/>
  <c r="BR19" i="11532"/>
  <c r="CB19" i="11532" s="1"/>
  <c r="BU19" i="11532"/>
  <c r="CM19" i="11532" s="1"/>
  <c r="BT19" i="11532"/>
  <c r="BS19" i="11532"/>
  <c r="BE19" i="11532"/>
  <c r="BM19" i="11532"/>
  <c r="CW25" i="11532"/>
  <c r="AV32" i="11532"/>
  <c r="AD32" i="11532" s="1"/>
  <c r="AG32" i="11532" s="1"/>
  <c r="AV36" i="11532"/>
  <c r="AD36" i="11532" s="1"/>
  <c r="AG36" i="11532" s="1"/>
  <c r="BV39" i="11532"/>
  <c r="AF103" i="11532"/>
  <c r="AF80" i="11532"/>
  <c r="AF85" i="11532"/>
  <c r="O80" i="11532"/>
  <c r="AF98" i="11532"/>
  <c r="AF92" i="11532"/>
  <c r="CL48" i="11532"/>
  <c r="AF86" i="11532"/>
  <c r="O81" i="11532"/>
  <c r="AF74" i="11532"/>
  <c r="AF79" i="11532"/>
  <c r="CL36" i="11532"/>
  <c r="CL20" i="11532"/>
  <c r="AF109" i="11532"/>
  <c r="AF105" i="11532"/>
  <c r="AF96" i="11532"/>
  <c r="CL42" i="11532"/>
  <c r="CL37" i="11532"/>
  <c r="CL17" i="11532"/>
  <c r="AF111" i="11532"/>
  <c r="AF104" i="11532"/>
  <c r="CL12" i="11532"/>
  <c r="CL11" i="11532"/>
  <c r="AF90" i="11532"/>
  <c r="CL38" i="11532"/>
  <c r="CL40" i="11532"/>
  <c r="CL39" i="11532"/>
  <c r="AF93" i="11532"/>
  <c r="AC114" i="11532"/>
  <c r="CL44" i="11532"/>
  <c r="CL35" i="11532"/>
  <c r="AF83" i="11532"/>
  <c r="AF84" i="11532"/>
  <c r="CL28" i="11532"/>
  <c r="AF81" i="11532"/>
  <c r="CL24" i="11532"/>
  <c r="CK11" i="11532"/>
  <c r="BS21" i="11532"/>
  <c r="BT14" i="11532"/>
  <c r="BR14" i="11532"/>
  <c r="CB14" i="11532" s="1"/>
  <c r="BE14" i="11532"/>
  <c r="BW14" i="11532"/>
  <c r="AF14" i="11532" s="1"/>
  <c r="AH14" i="11532" s="1"/>
  <c r="BQ14" i="11532"/>
  <c r="BM14" i="11532"/>
  <c r="BU14" i="11532"/>
  <c r="CM14" i="11532" s="1"/>
  <c r="BP14" i="11532"/>
  <c r="CJ14" i="11532" s="1"/>
  <c r="BS14" i="11532"/>
  <c r="BN14" i="11532"/>
  <c r="BJ14" i="11532"/>
  <c r="AC14" i="11532"/>
  <c r="CW16" i="11532"/>
  <c r="BV19" i="11532"/>
  <c r="BY19" i="11532"/>
  <c r="BD23" i="11532"/>
  <c r="CD23" i="11532" s="1"/>
  <c r="BE23" i="11532"/>
  <c r="BU23" i="11532"/>
  <c r="CM23" i="11532" s="1"/>
  <c r="BT23" i="11532"/>
  <c r="BQ23" i="11532"/>
  <c r="BN23" i="11532"/>
  <c r="BS23" i="11532"/>
  <c r="BP23" i="11532"/>
  <c r="CJ23" i="11532" s="1"/>
  <c r="BR23" i="11532"/>
  <c r="CB23" i="11532" s="1"/>
  <c r="BM23" i="11532"/>
  <c r="BJ23" i="11532"/>
  <c r="BW23" i="11532"/>
  <c r="AF23" i="11532" s="1"/>
  <c r="AH23" i="11532" s="1"/>
  <c r="BU12" i="11532"/>
  <c r="BP13" i="11532"/>
  <c r="CJ13" i="11532" s="1"/>
  <c r="BN13" i="11532"/>
  <c r="BL13" i="11532"/>
  <c r="BT13" i="11532"/>
  <c r="BS13" i="11532"/>
  <c r="BR13" i="11532"/>
  <c r="CB13" i="11532" s="1"/>
  <c r="BQ13" i="11532"/>
  <c r="AW13" i="11532"/>
  <c r="AV16" i="11532"/>
  <c r="AD16" i="11532" s="1"/>
  <c r="AG16" i="11532" s="1"/>
  <c r="BI19" i="11532"/>
  <c r="CQ22" i="11532"/>
  <c r="CW22" i="11532" s="1"/>
  <c r="AY22" i="11532"/>
  <c r="AQ22" i="11532"/>
  <c r="AV22" i="11532" s="1"/>
  <c r="AD22" i="11532" s="1"/>
  <c r="AG22" i="11532" s="1"/>
  <c r="BU22" i="11532"/>
  <c r="CM22" i="11532" s="1"/>
  <c r="AW22" i="11532"/>
  <c r="BT22" i="11532"/>
  <c r="BR22" i="11532"/>
  <c r="CB22" i="11532" s="1"/>
  <c r="BP22" i="11532"/>
  <c r="CJ22" i="11532" s="1"/>
  <c r="BL22" i="11532"/>
  <c r="BK22" i="11532"/>
  <c r="BN22" i="11532"/>
  <c r="BM22" i="11532"/>
  <c r="AV35" i="11532"/>
  <c r="AD35" i="11532" s="1"/>
  <c r="AG35" i="11532" s="1"/>
  <c r="CM36" i="11532"/>
  <c r="CM37" i="11532"/>
  <c r="AV44" i="11532"/>
  <c r="AD44" i="11532" s="1"/>
  <c r="AG44" i="11532" s="1"/>
  <c r="BD41" i="11532"/>
  <c r="CD41" i="11532" s="1"/>
  <c r="AC22" i="11532"/>
  <c r="BS22" i="11532"/>
  <c r="AY38" i="11532"/>
  <c r="L90" i="11532"/>
  <c r="AO102" i="11532"/>
  <c r="P16" i="3" s="1"/>
  <c r="BU26" i="11532"/>
  <c r="CM26" i="11532" s="1"/>
  <c r="AW26" i="11532"/>
  <c r="CK26" i="11532" s="1"/>
  <c r="BT26" i="11532"/>
  <c r="BR26" i="11532"/>
  <c r="CB26" i="11532" s="1"/>
  <c r="BS26" i="11532"/>
  <c r="BW26" i="11532"/>
  <c r="AF26" i="11532" s="1"/>
  <c r="AH26" i="11532" s="1"/>
  <c r="BQ26" i="11532"/>
  <c r="BI26" i="11532"/>
  <c r="BP29" i="11532"/>
  <c r="CJ29" i="11532" s="1"/>
  <c r="BN29" i="11532"/>
  <c r="BL29" i="11532"/>
  <c r="BR29" i="11532"/>
  <c r="CB29" i="11532" s="1"/>
  <c r="BQ29" i="11532"/>
  <c r="AC29" i="11532"/>
  <c r="BM29" i="11532"/>
  <c r="BK29" i="11532"/>
  <c r="BJ29" i="11532"/>
  <c r="BI29" i="11532"/>
  <c r="BU30" i="11532"/>
  <c r="CM30" i="11532" s="1"/>
  <c r="AW30" i="11532"/>
  <c r="CK30" i="11532" s="1"/>
  <c r="BT30" i="11532"/>
  <c r="BR30" i="11532"/>
  <c r="CB30" i="11532" s="1"/>
  <c r="BQ47" i="11532"/>
  <c r="BP47" i="11532"/>
  <c r="CJ47" i="11532" s="1"/>
  <c r="BL47" i="11532"/>
  <c r="BN47" i="11532"/>
  <c r="BM47" i="11532"/>
  <c r="BK47" i="11532"/>
  <c r="AO100" i="11532"/>
  <c r="CK45" i="11532"/>
  <c r="CK41" i="11532"/>
  <c r="CK29" i="11532"/>
  <c r="CK17" i="11532"/>
  <c r="CK43" i="11532"/>
  <c r="CK27" i="11532"/>
  <c r="CK20" i="11532"/>
  <c r="CK36" i="11532"/>
  <c r="BP45" i="11532"/>
  <c r="CJ45" i="11532" s="1"/>
  <c r="BN45" i="11532"/>
  <c r="BL45" i="11532"/>
  <c r="BR45" i="11532"/>
  <c r="CB45" i="11532" s="1"/>
  <c r="BI45" i="11532"/>
  <c r="BQ45" i="11532"/>
  <c r="BM45" i="11532"/>
  <c r="BK45" i="11532"/>
  <c r="BJ45" i="11532"/>
  <c r="AC45" i="11532"/>
  <c r="AV14" i="11532"/>
  <c r="AD14" i="11532" s="1"/>
  <c r="AG14" i="11532" s="1"/>
  <c r="AC26" i="11532"/>
  <c r="BP17" i="11532"/>
  <c r="CJ17" i="11532" s="1"/>
  <c r="BN17" i="11532"/>
  <c r="BL17" i="11532"/>
  <c r="BW17" i="11532"/>
  <c r="AF17" i="11532" s="1"/>
  <c r="AH17" i="11532" s="1"/>
  <c r="BT17" i="11532"/>
  <c r="BU17" i="11532"/>
  <c r="CM17" i="11532" s="1"/>
  <c r="O78" i="11532"/>
  <c r="BR11" i="11532"/>
  <c r="BQ11" i="11532"/>
  <c r="BP11" i="11532"/>
  <c r="BN11" i="11532"/>
  <c r="BG49" i="11532"/>
  <c r="CK12" i="11532"/>
  <c r="AC16" i="11532"/>
  <c r="BM16" i="11532"/>
  <c r="BL26" i="11532"/>
  <c r="BK28" i="11532"/>
  <c r="BT29" i="11532"/>
  <c r="BJ30" i="11532"/>
  <c r="BI31" i="11532"/>
  <c r="BJ32" i="11532"/>
  <c r="BI32" i="11532"/>
  <c r="BE32" i="11532"/>
  <c r="BD32" i="11532"/>
  <c r="CD32" i="11532" s="1"/>
  <c r="BP33" i="11532"/>
  <c r="CJ33" i="11532" s="1"/>
  <c r="BN33" i="11532"/>
  <c r="BL33" i="11532"/>
  <c r="BW33" i="11532"/>
  <c r="AF33" i="11532" s="1"/>
  <c r="AH33" i="11532" s="1"/>
  <c r="BU33" i="11532"/>
  <c r="CM33" i="11532" s="1"/>
  <c r="BT33" i="11532"/>
  <c r="BS33" i="11532"/>
  <c r="BR33" i="11532"/>
  <c r="CB33" i="11532" s="1"/>
  <c r="BW35" i="11532"/>
  <c r="AF35" i="11532" s="1"/>
  <c r="AH35" i="11532" s="1"/>
  <c r="AW35" i="11532"/>
  <c r="CK35" i="11532" s="1"/>
  <c r="BR35" i="11532"/>
  <c r="CB35" i="11532" s="1"/>
  <c r="BU35" i="11532"/>
  <c r="CM35" i="11532" s="1"/>
  <c r="BT35" i="11532"/>
  <c r="BS35" i="11532"/>
  <c r="BQ35" i="11532"/>
  <c r="CR35" i="11532"/>
  <c r="CR36" i="11532"/>
  <c r="BU38" i="11532"/>
  <c r="CM38" i="11532" s="1"/>
  <c r="AW38" i="11532"/>
  <c r="BT38" i="11532"/>
  <c r="BR38" i="11532"/>
  <c r="CB38" i="11532" s="1"/>
  <c r="BP38" i="11532"/>
  <c r="CJ38" i="11532" s="1"/>
  <c r="BN38" i="11532"/>
  <c r="BL38" i="11532"/>
  <c r="BM38" i="11532"/>
  <c r="BK38" i="11532"/>
  <c r="BJ38" i="11532"/>
  <c r="CR43" i="11532"/>
  <c r="CW43" i="11532" s="1"/>
  <c r="BI46" i="11532"/>
  <c r="BJ47" i="11532"/>
  <c r="BB49" i="11532"/>
  <c r="AQ15" i="11532"/>
  <c r="AV15" i="11532" s="1"/>
  <c r="AD15" i="11532" s="1"/>
  <c r="AG15" i="11532" s="1"/>
  <c r="CQ15" i="11532"/>
  <c r="CW15" i="11532" s="1"/>
  <c r="BK16" i="11532"/>
  <c r="CL45" i="11532"/>
  <c r="BS29" i="11532"/>
  <c r="BI30" i="11532"/>
  <c r="BE39" i="11532"/>
  <c r="BW39" i="11532"/>
  <c r="AF39" i="11532" s="1"/>
  <c r="AH39" i="11532" s="1"/>
  <c r="AW39" i="11532"/>
  <c r="CK39" i="11532" s="1"/>
  <c r="CR46" i="11532"/>
  <c r="CR42" i="11532"/>
  <c r="CW42" i="11532" s="1"/>
  <c r="CR38" i="11532"/>
  <c r="CW38" i="11532" s="1"/>
  <c r="CR34" i="11532"/>
  <c r="CW34" i="11532" s="1"/>
  <c r="CR30" i="11532"/>
  <c r="CW30" i="11532" s="1"/>
  <c r="CR26" i="11532"/>
  <c r="CW26" i="11532" s="1"/>
  <c r="CR22" i="11532"/>
  <c r="CR18" i="11532"/>
  <c r="CW18" i="11532" s="1"/>
  <c r="CR14" i="11532"/>
  <c r="CW14" i="11532" s="1"/>
  <c r="CR24" i="11532"/>
  <c r="CW24" i="11532" s="1"/>
  <c r="CR45" i="11532"/>
  <c r="CR29" i="11532"/>
  <c r="CR31" i="11532"/>
  <c r="CR15" i="11532"/>
  <c r="CR11" i="11532"/>
  <c r="CR40" i="11532"/>
  <c r="CW40" i="11532" s="1"/>
  <c r="CR47" i="11532"/>
  <c r="CR13" i="11532"/>
  <c r="CW13" i="11532" s="1"/>
  <c r="BH49" i="11532"/>
  <c r="L75" i="11532" s="1"/>
  <c r="O75" i="11532" s="1"/>
  <c r="CP49" i="11532"/>
  <c r="BN16" i="11532"/>
  <c r="BI17" i="11532"/>
  <c r="CL18" i="11532"/>
  <c r="AQ23" i="11532"/>
  <c r="AV23" i="11532" s="1"/>
  <c r="AD23" i="11532" s="1"/>
  <c r="AG23" i="11532" s="1"/>
  <c r="BM26" i="11532"/>
  <c r="BL28" i="11532"/>
  <c r="BU29" i="11532"/>
  <c r="CM29" i="11532" s="1"/>
  <c r="AC30" i="11532"/>
  <c r="BK30" i="11532"/>
  <c r="BP37" i="11532"/>
  <c r="CJ37" i="11532" s="1"/>
  <c r="BN37" i="11532"/>
  <c r="BL37" i="11532"/>
  <c r="AW37" i="11532"/>
  <c r="BD37" i="11532" s="1"/>
  <c r="CD37" i="11532" s="1"/>
  <c r="BI39" i="11532"/>
  <c r="BJ40" i="11532"/>
  <c r="BI40" i="11532"/>
  <c r="BS40" i="11532"/>
  <c r="BN40" i="11532"/>
  <c r="BR40" i="11532"/>
  <c r="CB40" i="11532" s="1"/>
  <c r="BQ40" i="11532"/>
  <c r="BP40" i="11532"/>
  <c r="CJ40" i="11532" s="1"/>
  <c r="BM40" i="11532"/>
  <c r="BU42" i="11532"/>
  <c r="CM42" i="11532" s="1"/>
  <c r="AW42" i="11532"/>
  <c r="BT42" i="11532"/>
  <c r="BR42" i="11532"/>
  <c r="CB42" i="11532" s="1"/>
  <c r="BW42" i="11532"/>
  <c r="AF42" i="11532" s="1"/>
  <c r="AH42" i="11532" s="1"/>
  <c r="BS42" i="11532"/>
  <c r="BQ42" i="11532"/>
  <c r="BP42" i="11532"/>
  <c r="CJ42" i="11532" s="1"/>
  <c r="CL43" i="11532"/>
  <c r="BS45" i="11532"/>
  <c r="AY46" i="11532"/>
  <c r="CQ46" i="11532"/>
  <c r="CW46" i="11532" s="1"/>
  <c r="BJ46" i="11532"/>
  <c r="BR47" i="11532"/>
  <c r="CB47" i="11532" s="1"/>
  <c r="BC49" i="11532"/>
  <c r="BJ16" i="11532"/>
  <c r="BI16" i="11532"/>
  <c r="BE16" i="11532"/>
  <c r="BD16" i="11532"/>
  <c r="CD16" i="11532" s="1"/>
  <c r="CL27" i="11532"/>
  <c r="BJ26" i="11532"/>
  <c r="BQ31" i="11532"/>
  <c r="BP31" i="11532"/>
  <c r="CJ31" i="11532" s="1"/>
  <c r="BM31" i="11532"/>
  <c r="BL31" i="11532"/>
  <c r="BN31" i="11532"/>
  <c r="CL41" i="11532"/>
  <c r="BL16" i="11532"/>
  <c r="BK26" i="11532"/>
  <c r="AC11" i="11532"/>
  <c r="BJ17" i="11532"/>
  <c r="CM25" i="11532"/>
  <c r="BN26" i="11532"/>
  <c r="BM28" i="11532"/>
  <c r="BL30" i="11532"/>
  <c r="BK31" i="11532"/>
  <c r="BJ39" i="11532"/>
  <c r="BJ44" i="11532"/>
  <c r="BI44" i="11532"/>
  <c r="BW44" i="11532"/>
  <c r="AF44" i="11532" s="1"/>
  <c r="AH44" i="11532" s="1"/>
  <c r="AW44" i="11532"/>
  <c r="BU44" i="11532"/>
  <c r="CM44" i="11532" s="1"/>
  <c r="BT44" i="11532"/>
  <c r="BS44" i="11532"/>
  <c r="BT45" i="11532"/>
  <c r="AC46" i="11532"/>
  <c r="AQ47" i="11532"/>
  <c r="AV47" i="11532" s="1"/>
  <c r="AD47" i="11532" s="1"/>
  <c r="AG47" i="11532" s="1"/>
  <c r="CQ47" i="11532"/>
  <c r="BS47" i="11532"/>
  <c r="BJ28" i="11532"/>
  <c r="BI28" i="11532"/>
  <c r="BU28" i="11532"/>
  <c r="CM28" i="11532" s="1"/>
  <c r="BW28" i="11532"/>
  <c r="AF28" i="11532" s="1"/>
  <c r="AH28" i="11532" s="1"/>
  <c r="AW28" i="11532"/>
  <c r="BT28" i="11532"/>
  <c r="BU46" i="11532"/>
  <c r="CM46" i="11532" s="1"/>
  <c r="AW46" i="11532"/>
  <c r="BT46" i="11532"/>
  <c r="BR46" i="11532"/>
  <c r="CB46" i="11532" s="1"/>
  <c r="CL34" i="11532"/>
  <c r="CO49" i="11532"/>
  <c r="AQ11" i="11532"/>
  <c r="AV11" i="11532" s="1"/>
  <c r="CQ11" i="11532"/>
  <c r="BI11" i="11532"/>
  <c r="BJ11" i="11532"/>
  <c r="BP16" i="11532"/>
  <c r="CJ16" i="11532" s="1"/>
  <c r="AC17" i="11532"/>
  <c r="BK17" i="11532"/>
  <c r="CJ27" i="11532"/>
  <c r="AC28" i="11532"/>
  <c r="BN28" i="11532"/>
  <c r="BW29" i="11532"/>
  <c r="AF29" i="11532" s="1"/>
  <c r="AH29" i="11532" s="1"/>
  <c r="BM30" i="11532"/>
  <c r="AQ31" i="11532"/>
  <c r="CQ31" i="11532"/>
  <c r="BR31" i="11532"/>
  <c r="CB31" i="11532" s="1"/>
  <c r="BL32" i="11532"/>
  <c r="CW32" i="11532"/>
  <c r="BJ33" i="11532"/>
  <c r="BJ35" i="11532"/>
  <c r="BO35" i="11532" s="1"/>
  <c r="BI37" i="11532"/>
  <c r="BQ38" i="11532"/>
  <c r="BK39" i="11532"/>
  <c r="BK40" i="11532"/>
  <c r="BI42" i="11532"/>
  <c r="BU45" i="11532"/>
  <c r="CM45" i="11532" s="1"/>
  <c r="BL46" i="11532"/>
  <c r="AC47" i="11532"/>
  <c r="BT47" i="11532"/>
  <c r="BJ36" i="11532"/>
  <c r="BI36" i="11532"/>
  <c r="AF20" i="11532"/>
  <c r="AH20" i="11532" s="1"/>
  <c r="BJ20" i="11532"/>
  <c r="BI20" i="11532"/>
  <c r="BU18" i="11532"/>
  <c r="CM18" i="11532" s="1"/>
  <c r="AW18" i="11532"/>
  <c r="BD18" i="11532" s="1"/>
  <c r="CD18" i="11532" s="1"/>
  <c r="BT18" i="11532"/>
  <c r="BR18" i="11532"/>
  <c r="CB18" i="11532" s="1"/>
  <c r="CQ29" i="11532"/>
  <c r="CW29" i="11532" s="1"/>
  <c r="BU34" i="11532"/>
  <c r="CM34" i="11532" s="1"/>
  <c r="AW34" i="11532"/>
  <c r="BD34" i="11532" s="1"/>
  <c r="CD34" i="11532" s="1"/>
  <c r="BT34" i="11532"/>
  <c r="BR34" i="11532"/>
  <c r="CB34" i="11532" s="1"/>
  <c r="CQ45" i="11532"/>
  <c r="AC20" i="11532"/>
  <c r="BK20" i="11532"/>
  <c r="AQ24" i="11532"/>
  <c r="AV24" i="11532" s="1"/>
  <c r="AD24" i="11532" s="1"/>
  <c r="AG24" i="11532" s="1"/>
  <c r="AC27" i="11532"/>
  <c r="BI27" i="11532"/>
  <c r="AC36" i="11532"/>
  <c r="BK36" i="11532"/>
  <c r="AC43" i="11532"/>
  <c r="BI43" i="11532"/>
  <c r="BL20" i="11532"/>
  <c r="BP25" i="11532"/>
  <c r="CJ25" i="11532" s="1"/>
  <c r="BN25" i="11532"/>
  <c r="BL25" i="11532"/>
  <c r="BJ27" i="11532"/>
  <c r="BL36" i="11532"/>
  <c r="AV38" i="11532"/>
  <c r="AD38" i="11532" s="1"/>
  <c r="AG38" i="11532" s="1"/>
  <c r="BP41" i="11532"/>
  <c r="CJ41" i="11532" s="1"/>
  <c r="BN41" i="11532"/>
  <c r="BL41" i="11532"/>
  <c r="BJ43" i="11532"/>
  <c r="AZ47" i="11532"/>
  <c r="BD47" i="11532" s="1"/>
  <c r="CD47" i="11532" s="1"/>
  <c r="AZ43" i="11532"/>
  <c r="BD43" i="11532" s="1"/>
  <c r="CD43" i="11532" s="1"/>
  <c r="AZ39" i="11532"/>
  <c r="AZ35" i="11532"/>
  <c r="AZ31" i="11532"/>
  <c r="BD31" i="11532" s="1"/>
  <c r="CD31" i="11532" s="1"/>
  <c r="AZ27" i="11532"/>
  <c r="BD27" i="11532" s="1"/>
  <c r="CD27" i="11532" s="1"/>
  <c r="AZ23" i="11532"/>
  <c r="AZ19" i="11532"/>
  <c r="AZ15" i="11532"/>
  <c r="AZ11" i="11532"/>
  <c r="BD11" i="11532" s="1"/>
  <c r="BJ18" i="11532"/>
  <c r="BM20" i="11532"/>
  <c r="BK27" i="11532"/>
  <c r="AY28" i="11532"/>
  <c r="BJ34" i="11532"/>
  <c r="BM36" i="11532"/>
  <c r="BK43" i="11532"/>
  <c r="AR45" i="11532"/>
  <c r="AV45" i="11532" s="1"/>
  <c r="AD45" i="11532" s="1"/>
  <c r="AG45" i="11532" s="1"/>
  <c r="AR41" i="11532"/>
  <c r="AV41" i="11532" s="1"/>
  <c r="AD41" i="11532" s="1"/>
  <c r="AG41" i="11532" s="1"/>
  <c r="AR37" i="11532"/>
  <c r="AR33" i="11532"/>
  <c r="AR29" i="11532"/>
  <c r="AV29" i="11532" s="1"/>
  <c r="AD29" i="11532" s="1"/>
  <c r="AG29" i="11532" s="1"/>
  <c r="AR25" i="11532"/>
  <c r="AV25" i="11532" s="1"/>
  <c r="AD25" i="11532" s="1"/>
  <c r="AG25" i="11532" s="1"/>
  <c r="AR21" i="11532"/>
  <c r="AR17" i="11532"/>
  <c r="AR13" i="11532"/>
  <c r="BI48" i="11532"/>
  <c r="AV33" i="11532" l="1"/>
  <c r="AD33" i="11532" s="1"/>
  <c r="AG33" i="11532" s="1"/>
  <c r="AV13" i="11532"/>
  <c r="AD13" i="11532" s="1"/>
  <c r="AG13" i="11532" s="1"/>
  <c r="BD25" i="11532"/>
  <c r="CD25" i="11532" s="1"/>
  <c r="BD30" i="11532"/>
  <c r="CD30" i="11532" s="1"/>
  <c r="BO25" i="11532"/>
  <c r="CW47" i="11532"/>
  <c r="CK18" i="11532"/>
  <c r="CW31" i="11532"/>
  <c r="CK34" i="11532"/>
  <c r="BK49" i="11532"/>
  <c r="L73" i="11532" s="1"/>
  <c r="BM49" i="11532"/>
  <c r="CB20" i="11533"/>
  <c r="CB17" i="11533"/>
  <c r="CB18" i="11533"/>
  <c r="CB15" i="11533"/>
  <c r="CB16" i="11533"/>
  <c r="CB12" i="11533"/>
  <c r="CB26" i="11533"/>
  <c r="CB23" i="11533"/>
  <c r="CB21" i="11533"/>
  <c r="CB19" i="11533"/>
  <c r="CB24" i="11533"/>
  <c r="CB13" i="11533"/>
  <c r="CB25" i="11533"/>
  <c r="CB11" i="11533"/>
  <c r="CB49" i="11533" s="1"/>
  <c r="BD14" i="11536"/>
  <c r="BD29" i="11536" s="1"/>
  <c r="BB14" i="11536"/>
  <c r="AE71" i="11536"/>
  <c r="BB19" i="11536"/>
  <c r="AV14" i="11535"/>
  <c r="AW21" i="11535"/>
  <c r="BC21" i="11535"/>
  <c r="BG21" i="11535"/>
  <c r="BG22" i="11535"/>
  <c r="AW22" i="11535"/>
  <c r="BC22" i="11535"/>
  <c r="AW26" i="11535"/>
  <c r="BC26" i="11535"/>
  <c r="BG26" i="11535"/>
  <c r="AV22" i="11535"/>
  <c r="AV25" i="11535"/>
  <c r="AV26" i="11535"/>
  <c r="BG14" i="11535"/>
  <c r="AW14" i="11535"/>
  <c r="BC14" i="11535"/>
  <c r="AW25" i="11535"/>
  <c r="BC25" i="11535"/>
  <c r="BG25" i="11535"/>
  <c r="BG18" i="11535"/>
  <c r="AW18" i="11535"/>
  <c r="BC18" i="11535"/>
  <c r="AV18" i="11535"/>
  <c r="AV23" i="11535"/>
  <c r="BC23" i="11535"/>
  <c r="BG23" i="11535"/>
  <c r="AW23" i="11535"/>
  <c r="BC19" i="11535"/>
  <c r="BG19" i="11535"/>
  <c r="AW19" i="11535"/>
  <c r="AV19" i="11535"/>
  <c r="BC27" i="11535"/>
  <c r="BG27" i="11535"/>
  <c r="AW27" i="11535"/>
  <c r="BC15" i="11535"/>
  <c r="BG15" i="11535"/>
  <c r="AW15" i="11535"/>
  <c r="AV27" i="11535"/>
  <c r="AV15" i="11535"/>
  <c r="AW16" i="11535"/>
  <c r="BC16" i="11535"/>
  <c r="BG16" i="11535"/>
  <c r="AV16" i="11535"/>
  <c r="AV21" i="11535"/>
  <c r="AW20" i="11535"/>
  <c r="BC20" i="11535"/>
  <c r="BG20" i="11535"/>
  <c r="AV17" i="11535"/>
  <c r="AV20" i="11535"/>
  <c r="AW17" i="11535"/>
  <c r="BC17" i="11535"/>
  <c r="BG17" i="11535"/>
  <c r="AW24" i="11535"/>
  <c r="BC24" i="11535"/>
  <c r="BG24" i="11535"/>
  <c r="AV24" i="11535"/>
  <c r="BC11" i="11535"/>
  <c r="AW11" i="11535"/>
  <c r="BG11" i="11535"/>
  <c r="AV11" i="11535"/>
  <c r="BC12" i="11535"/>
  <c r="AW12" i="11535"/>
  <c r="BG12" i="11535"/>
  <c r="AV12" i="11535"/>
  <c r="BC13" i="11535"/>
  <c r="BG13" i="11535"/>
  <c r="AW13" i="11535"/>
  <c r="AV13" i="11535"/>
  <c r="BD31" i="11533"/>
  <c r="CD31" i="11533" s="1"/>
  <c r="AV45" i="11533"/>
  <c r="CW27" i="11533"/>
  <c r="BO37" i="11533"/>
  <c r="BD32" i="11533"/>
  <c r="CD32" i="11533" s="1"/>
  <c r="BD48" i="11533"/>
  <c r="CD48" i="11533" s="1"/>
  <c r="BV31" i="11533"/>
  <c r="AV27" i="11533"/>
  <c r="AD27" i="11533" s="1"/>
  <c r="AG27" i="11533" s="1"/>
  <c r="BO45" i="11533"/>
  <c r="CW34" i="11533"/>
  <c r="CW33" i="11533"/>
  <c r="BD43" i="11533"/>
  <c r="CD43" i="11533" s="1"/>
  <c r="BD28" i="11533"/>
  <c r="CD28" i="11533" s="1"/>
  <c r="BD45" i="11533"/>
  <c r="CD45" i="11533" s="1"/>
  <c r="CW30" i="11533"/>
  <c r="AV29" i="11533"/>
  <c r="AD29" i="11533" s="1"/>
  <c r="AG29" i="11533" s="1"/>
  <c r="AV43" i="11533"/>
  <c r="AD43" i="11533" s="1"/>
  <c r="AG43" i="11533" s="1"/>
  <c r="AV38" i="11533"/>
  <c r="AD38" i="11533" s="1"/>
  <c r="AG38" i="11533" s="1"/>
  <c r="CK45" i="11533"/>
  <c r="AV28" i="11533"/>
  <c r="AD28" i="11533" s="1"/>
  <c r="AG28" i="11533" s="1"/>
  <c r="AV31" i="11533"/>
  <c r="AD31" i="11533" s="1"/>
  <c r="AG31" i="11533" s="1"/>
  <c r="BD44" i="11533"/>
  <c r="CD44" i="11533" s="1"/>
  <c r="BD40" i="11533"/>
  <c r="CD40" i="11533" s="1"/>
  <c r="BO41" i="11533"/>
  <c r="CW46" i="11533"/>
  <c r="AV36" i="11533"/>
  <c r="AD36" i="11533" s="1"/>
  <c r="AG36" i="11533" s="1"/>
  <c r="AD46" i="11533"/>
  <c r="AG46" i="11533" s="1"/>
  <c r="AD41" i="11533"/>
  <c r="AG41" i="11533" s="1"/>
  <c r="AD40" i="11533"/>
  <c r="AG40" i="11533" s="1"/>
  <c r="AD37" i="11533"/>
  <c r="AG37" i="11533" s="1"/>
  <c r="CW45" i="11533"/>
  <c r="BD27" i="11533"/>
  <c r="CD27" i="11533" s="1"/>
  <c r="AD39" i="11533"/>
  <c r="AG39" i="11533" s="1"/>
  <c r="AD45" i="11533"/>
  <c r="AG45" i="11533" s="1"/>
  <c r="AV35" i="11533"/>
  <c r="CW31" i="11533"/>
  <c r="AD44" i="11533"/>
  <c r="AG44" i="11533" s="1"/>
  <c r="BO47" i="11533"/>
  <c r="BD46" i="11533"/>
  <c r="CD46" i="11533" s="1"/>
  <c r="AD32" i="11533"/>
  <c r="AG32" i="11533" s="1"/>
  <c r="AD47" i="11533"/>
  <c r="AG47" i="11533" s="1"/>
  <c r="AD33" i="11533"/>
  <c r="AG33" i="11533" s="1"/>
  <c r="BD37" i="11533"/>
  <c r="CD37" i="11533" s="1"/>
  <c r="P12" i="3"/>
  <c r="BO43" i="11533"/>
  <c r="AV42" i="11533"/>
  <c r="AV30" i="11533"/>
  <c r="AD30" i="11533" s="1"/>
  <c r="AG30" i="11533" s="1"/>
  <c r="BO29" i="11533"/>
  <c r="CW32" i="11533"/>
  <c r="AV15" i="11533"/>
  <c r="AD15" i="11533" s="1"/>
  <c r="AG15" i="11533" s="1"/>
  <c r="BD42" i="11533"/>
  <c r="CD42" i="11533" s="1"/>
  <c r="BD47" i="11533"/>
  <c r="CD47" i="11533" s="1"/>
  <c r="BD41" i="11533"/>
  <c r="CD41" i="11533" s="1"/>
  <c r="CW47" i="11533"/>
  <c r="BD39" i="11533"/>
  <c r="CD39" i="11533" s="1"/>
  <c r="AV31" i="11532"/>
  <c r="AD31" i="11532" s="1"/>
  <c r="AG31" i="11532" s="1"/>
  <c r="BL49" i="11532"/>
  <c r="BD21" i="11532"/>
  <c r="CD21" i="11532" s="1"/>
  <c r="BO21" i="11532"/>
  <c r="CK48" i="11532"/>
  <c r="CW45" i="11532"/>
  <c r="CK21" i="11532"/>
  <c r="CK25" i="11532"/>
  <c r="BD14" i="11532"/>
  <c r="CD14" i="11532" s="1"/>
  <c r="BO22" i="11532"/>
  <c r="BE49" i="11532"/>
  <c r="BD46" i="11532"/>
  <c r="CD46" i="11532" s="1"/>
  <c r="Q16" i="3"/>
  <c r="BY33" i="11532"/>
  <c r="CW35" i="11532"/>
  <c r="BD36" i="11532"/>
  <c r="CD36" i="11532" s="1"/>
  <c r="BD29" i="11532"/>
  <c r="CD29" i="11532" s="1"/>
  <c r="AV37" i="11532"/>
  <c r="AD37" i="11532" s="1"/>
  <c r="AG37" i="11532" s="1"/>
  <c r="BY25" i="11532"/>
  <c r="CG50" i="11532"/>
  <c r="BO33" i="11532"/>
  <c r="CW36" i="11532"/>
  <c r="BD25" i="11533"/>
  <c r="AV14" i="11533"/>
  <c r="AD14" i="11533" s="1"/>
  <c r="AG14" i="11533" s="1"/>
  <c r="BD14" i="11533"/>
  <c r="CP49" i="11533"/>
  <c r="AV21" i="11533"/>
  <c r="AD21" i="11533" s="1"/>
  <c r="AG21" i="11533" s="1"/>
  <c r="AV25" i="11533"/>
  <c r="AD25" i="11533" s="1"/>
  <c r="AG25" i="11533" s="1"/>
  <c r="BD24" i="11533"/>
  <c r="CW26" i="11533"/>
  <c r="AV26" i="11533"/>
  <c r="AD26" i="11533" s="1"/>
  <c r="AG26" i="11533" s="1"/>
  <c r="AV24" i="11533"/>
  <c r="AD24" i="11533" s="1"/>
  <c r="AG24" i="11533" s="1"/>
  <c r="AV18" i="11533"/>
  <c r="AD18" i="11533" s="1"/>
  <c r="BI18" i="11533" s="1"/>
  <c r="AV23" i="11533"/>
  <c r="AD23" i="11533" s="1"/>
  <c r="AG23" i="11533" s="1"/>
  <c r="CW17" i="11533"/>
  <c r="CS49" i="11533"/>
  <c r="AV17" i="11533"/>
  <c r="AD17" i="11533" s="1"/>
  <c r="AG17" i="11533" s="1"/>
  <c r="CW23" i="11533"/>
  <c r="CW13" i="11533"/>
  <c r="CW19" i="11533"/>
  <c r="CW25" i="11533"/>
  <c r="CK24" i="11533"/>
  <c r="AV13" i="11533"/>
  <c r="AD13" i="11533" s="1"/>
  <c r="AG13" i="11533" s="1"/>
  <c r="AV20" i="11533"/>
  <c r="AD20" i="11533" s="1"/>
  <c r="AG20" i="11533" s="1"/>
  <c r="CW18" i="11533"/>
  <c r="BD20" i="11533"/>
  <c r="CO49" i="11533"/>
  <c r="AV19" i="11533"/>
  <c r="AD19" i="11533" s="1"/>
  <c r="AG19" i="11533" s="1"/>
  <c r="CW20" i="11533"/>
  <c r="CW21" i="11533"/>
  <c r="CW24" i="11533"/>
  <c r="CW15" i="11533"/>
  <c r="CW14" i="11533"/>
  <c r="CV49" i="11533"/>
  <c r="CW16" i="11533"/>
  <c r="AV16" i="11533"/>
  <c r="AD16" i="11533" s="1"/>
  <c r="BI16" i="11533" s="1"/>
  <c r="BD22" i="11533"/>
  <c r="BD17" i="11533"/>
  <c r="BD19" i="11533"/>
  <c r="BD16" i="11533"/>
  <c r="BD13" i="11533"/>
  <c r="BJ49" i="11533"/>
  <c r="L72" i="11533" s="1"/>
  <c r="BD11" i="11533"/>
  <c r="CD11" i="11533" s="1"/>
  <c r="CW12" i="11533"/>
  <c r="AV12" i="11533"/>
  <c r="AD12" i="11533" s="1"/>
  <c r="AG12" i="11533" s="1"/>
  <c r="AV11" i="11533"/>
  <c r="AD11" i="11533" s="1"/>
  <c r="BD12" i="11533"/>
  <c r="CD12" i="11533" s="1"/>
  <c r="CK11" i="11533"/>
  <c r="AX43" i="11535"/>
  <c r="L68" i="11535" s="1"/>
  <c r="V43" i="11535"/>
  <c r="X43" i="11535"/>
  <c r="AK43" i="11535"/>
  <c r="L58" i="11535" s="1"/>
  <c r="L67" i="11535"/>
  <c r="O67" i="11535" s="1"/>
  <c r="AF80" i="11535" s="1"/>
  <c r="T61" i="11535"/>
  <c r="X61" i="11535" s="1"/>
  <c r="T63" i="11535"/>
  <c r="X63" i="11535" s="1"/>
  <c r="AZ43" i="11535"/>
  <c r="AF123" i="11535"/>
  <c r="R45" i="3" s="1"/>
  <c r="M87" i="11535"/>
  <c r="AV21" i="11534"/>
  <c r="AV24" i="11534"/>
  <c r="AV18" i="11534"/>
  <c r="AW19" i="11534"/>
  <c r="AV26" i="11534"/>
  <c r="AV25" i="11534"/>
  <c r="AQ14" i="11534"/>
  <c r="AQ37" i="11534" s="1"/>
  <c r="AO14" i="11534"/>
  <c r="AS16" i="11534"/>
  <c r="AS37" i="11534" s="1"/>
  <c r="AO16" i="11534"/>
  <c r="AV16" i="11534" s="1"/>
  <c r="AT17" i="11534"/>
  <c r="AO17" i="11534"/>
  <c r="AR15" i="11534"/>
  <c r="AR37" i="11534" s="1"/>
  <c r="L53" i="11534" s="1"/>
  <c r="AO15" i="11534"/>
  <c r="AW14" i="11534"/>
  <c r="BC18" i="11534"/>
  <c r="AW18" i="11534"/>
  <c r="AW24" i="11534"/>
  <c r="BG14" i="11534"/>
  <c r="AW15" i="11534"/>
  <c r="BG19" i="11534"/>
  <c r="BC15" i="11534"/>
  <c r="BC24" i="11534"/>
  <c r="BC26" i="11534"/>
  <c r="BF22" i="11534"/>
  <c r="BC20" i="11534"/>
  <c r="BG20" i="11534"/>
  <c r="BG23" i="11534"/>
  <c r="BC23" i="11534"/>
  <c r="BG26" i="11534"/>
  <c r="BG21" i="11534"/>
  <c r="AW21" i="11534"/>
  <c r="AY22" i="11534"/>
  <c r="BE22" i="11534" s="1"/>
  <c r="BC17" i="11534"/>
  <c r="BG16" i="11534"/>
  <c r="BC16" i="11534"/>
  <c r="AW16" i="11534"/>
  <c r="BC25" i="11534"/>
  <c r="BG25" i="11534"/>
  <c r="AW25" i="11534"/>
  <c r="BG22" i="11534"/>
  <c r="BC22" i="11534"/>
  <c r="AW22" i="11534"/>
  <c r="BG17" i="11534"/>
  <c r="X13" i="11534"/>
  <c r="W13" i="11534"/>
  <c r="AZ13" i="11534"/>
  <c r="AX13" i="11534"/>
  <c r="X12" i="11534"/>
  <c r="AO12" i="11534" s="1"/>
  <c r="W12" i="11534"/>
  <c r="AZ12" i="11534"/>
  <c r="AX12" i="11534"/>
  <c r="X11" i="11534"/>
  <c r="AZ11" i="11534"/>
  <c r="W11" i="11534"/>
  <c r="AX11" i="11534"/>
  <c r="E37" i="11534"/>
  <c r="O80" i="11534"/>
  <c r="E82" i="11534"/>
  <c r="O82" i="11534" s="1"/>
  <c r="AU37" i="11534"/>
  <c r="AG33" i="5"/>
  <c r="AG35" i="5"/>
  <c r="AG34" i="5"/>
  <c r="AG32" i="5"/>
  <c r="AI34" i="5"/>
  <c r="AS34" i="5" s="1"/>
  <c r="AI35" i="5"/>
  <c r="AS35" i="5" s="1"/>
  <c r="AI32" i="5"/>
  <c r="AS32" i="5" s="1"/>
  <c r="AI33" i="5"/>
  <c r="AS33" i="5" s="1"/>
  <c r="BH35" i="5"/>
  <c r="BH34" i="5"/>
  <c r="BH33" i="5"/>
  <c r="BH32" i="5"/>
  <c r="M100" i="11532"/>
  <c r="AO90" i="11532"/>
  <c r="AO133" i="11532"/>
  <c r="R16" i="3" s="1"/>
  <c r="BO36" i="11533"/>
  <c r="CK25" i="11533"/>
  <c r="BY28" i="11533"/>
  <c r="BV28" i="11533"/>
  <c r="BO27" i="11533"/>
  <c r="BD30" i="11533"/>
  <c r="CD30" i="11533" s="1"/>
  <c r="CK30" i="11533"/>
  <c r="CR49" i="11533"/>
  <c r="CK38" i="11533"/>
  <c r="BD38" i="11533"/>
  <c r="CD38" i="11533" s="1"/>
  <c r="BV32" i="11533"/>
  <c r="BY32" i="11533"/>
  <c r="BV46" i="11533"/>
  <c r="BY46" i="11533"/>
  <c r="BL49" i="11533"/>
  <c r="CK17" i="11533"/>
  <c r="BY29" i="11533"/>
  <c r="BV29" i="11533"/>
  <c r="BO28" i="11533"/>
  <c r="BQ49" i="11533"/>
  <c r="BD15" i="11533"/>
  <c r="CK15" i="11533"/>
  <c r="BO31" i="11533"/>
  <c r="CK29" i="11533"/>
  <c r="BD29" i="11533"/>
  <c r="CD29" i="11533" s="1"/>
  <c r="BY39" i="11533"/>
  <c r="BV39" i="11533"/>
  <c r="BN49" i="11533"/>
  <c r="BD21" i="11533"/>
  <c r="BO40" i="11533"/>
  <c r="BO34" i="11533"/>
  <c r="CW11" i="11533"/>
  <c r="BD26" i="11533"/>
  <c r="BD36" i="11533"/>
  <c r="CD36" i="11533" s="1"/>
  <c r="BU49" i="11533"/>
  <c r="L77" i="11533" s="1"/>
  <c r="O77" i="11533" s="1"/>
  <c r="CM11" i="11533"/>
  <c r="CM49" i="11533" s="1"/>
  <c r="CL49" i="11533"/>
  <c r="CW29" i="11533"/>
  <c r="BO33" i="11533"/>
  <c r="BD23" i="11533"/>
  <c r="CK23" i="11533"/>
  <c r="BE49" i="11533"/>
  <c r="BO32" i="11533"/>
  <c r="BV30" i="11533"/>
  <c r="BY30" i="11533"/>
  <c r="CK14" i="11533"/>
  <c r="CW41" i="11533"/>
  <c r="BO30" i="11533"/>
  <c r="CK26" i="11533"/>
  <c r="BV38" i="11533"/>
  <c r="BY38" i="11533"/>
  <c r="BO48" i="11533"/>
  <c r="BY42" i="11533"/>
  <c r="BV42" i="11533"/>
  <c r="BY33" i="11533"/>
  <c r="BV33" i="11533"/>
  <c r="BD18" i="11533"/>
  <c r="CK18" i="11533"/>
  <c r="CQ49" i="11533"/>
  <c r="BY40" i="11533"/>
  <c r="BV40" i="11533"/>
  <c r="AO133" i="11533"/>
  <c r="R12" i="3" s="1"/>
  <c r="M100" i="11533"/>
  <c r="CG50" i="11533"/>
  <c r="CK39" i="11533"/>
  <c r="BO42" i="11533"/>
  <c r="BO38" i="11533"/>
  <c r="CJ11" i="11533"/>
  <c r="CJ49" i="11533" s="1"/>
  <c r="BP49" i="11533"/>
  <c r="L76" i="11533" s="1"/>
  <c r="O76" i="11533" s="1"/>
  <c r="BT49" i="11533"/>
  <c r="D49" i="11533" s="1"/>
  <c r="BO39" i="11533"/>
  <c r="AV22" i="11533"/>
  <c r="AD22" i="11533" s="1"/>
  <c r="BK49" i="11533"/>
  <c r="L73" i="11533" s="1"/>
  <c r="BM49" i="11533"/>
  <c r="BO46" i="11533"/>
  <c r="BO44" i="11533"/>
  <c r="AO90" i="11533"/>
  <c r="BR49" i="11533"/>
  <c r="I87" i="11533" s="1"/>
  <c r="BD34" i="11533"/>
  <c r="CD34" i="11533" s="1"/>
  <c r="AV34" i="11533"/>
  <c r="CW22" i="11533"/>
  <c r="AH49" i="11532"/>
  <c r="CD11" i="11532"/>
  <c r="BY16" i="11532"/>
  <c r="BV16" i="11532"/>
  <c r="BO45" i="11532"/>
  <c r="BO24" i="11532"/>
  <c r="BO19" i="11532"/>
  <c r="BO14" i="11532"/>
  <c r="BY23" i="11532"/>
  <c r="BV23" i="11532"/>
  <c r="BD28" i="11532"/>
  <c r="CD28" i="11532" s="1"/>
  <c r="CK28" i="11532"/>
  <c r="BO18" i="11532"/>
  <c r="BT49" i="11532"/>
  <c r="D49" i="11532" s="1"/>
  <c r="BY12" i="11532"/>
  <c r="BV12" i="11532"/>
  <c r="BY21" i="11532"/>
  <c r="BV21" i="11532"/>
  <c r="BO46" i="11532"/>
  <c r="BD13" i="11532"/>
  <c r="CD13" i="11532" s="1"/>
  <c r="BY36" i="11532"/>
  <c r="BV36" i="11532"/>
  <c r="BO39" i="11532"/>
  <c r="BO27" i="11532"/>
  <c r="BV30" i="11532"/>
  <c r="BY30" i="11532"/>
  <c r="BJ49" i="11532"/>
  <c r="L72" i="11532" s="1"/>
  <c r="BY47" i="11532"/>
  <c r="BV47" i="11532"/>
  <c r="BO13" i="11532"/>
  <c r="BO40" i="11532"/>
  <c r="BV15" i="11532"/>
  <c r="BY15" i="11532"/>
  <c r="BY28" i="11532"/>
  <c r="BV28" i="11532"/>
  <c r="BO48" i="11532"/>
  <c r="CM12" i="11532"/>
  <c r="CM49" i="11532" s="1"/>
  <c r="BU49" i="11532"/>
  <c r="L77" i="11532" s="1"/>
  <c r="O77" i="11532" s="1"/>
  <c r="CK38" i="11532"/>
  <c r="BD38" i="11532"/>
  <c r="CD38" i="11532" s="1"/>
  <c r="AD11" i="11532"/>
  <c r="AG11" i="11532" s="1"/>
  <c r="BO31" i="11532"/>
  <c r="BO47" i="11532"/>
  <c r="BD19" i="11532"/>
  <c r="CD19" i="11532" s="1"/>
  <c r="BO16" i="11532"/>
  <c r="BD35" i="11532"/>
  <c r="CD35" i="11532" s="1"/>
  <c r="BY43" i="11532"/>
  <c r="BV43" i="11532"/>
  <c r="CJ11" i="11532"/>
  <c r="CJ49" i="11532" s="1"/>
  <c r="BP49" i="11532"/>
  <c r="L76" i="11532" s="1"/>
  <c r="O76" i="11532" s="1"/>
  <c r="BY11" i="11532"/>
  <c r="BV11" i="11532"/>
  <c r="BO36" i="11532"/>
  <c r="BO43" i="11532"/>
  <c r="BO23" i="11532"/>
  <c r="CK46" i="11532"/>
  <c r="BO44" i="11532"/>
  <c r="BD26" i="11532"/>
  <c r="CD26" i="11532" s="1"/>
  <c r="BO41" i="11532"/>
  <c r="BO30" i="11532"/>
  <c r="BO26" i="11532"/>
  <c r="CL49" i="11532"/>
  <c r="BD15" i="11532"/>
  <c r="CD15" i="11532" s="1"/>
  <c r="CR49" i="11532"/>
  <c r="BN49" i="11532"/>
  <c r="BQ49" i="11532"/>
  <c r="BO29" i="11532"/>
  <c r="BO15" i="11532"/>
  <c r="BV14" i="11532"/>
  <c r="BY14" i="11532"/>
  <c r="BO11" i="11532"/>
  <c r="BI49" i="11532"/>
  <c r="L71" i="11532" s="1"/>
  <c r="BV26" i="11532"/>
  <c r="BY26" i="11532"/>
  <c r="BD44" i="11532"/>
  <c r="CD44" i="11532" s="1"/>
  <c r="CK44" i="11532"/>
  <c r="BO42" i="11532"/>
  <c r="CK37" i="11532"/>
  <c r="BY45" i="11532"/>
  <c r="BV45" i="11532"/>
  <c r="BV22" i="11532"/>
  <c r="BY22" i="11532"/>
  <c r="BV46" i="11532"/>
  <c r="BY46" i="11532"/>
  <c r="BV17" i="11532"/>
  <c r="BY17" i="11532"/>
  <c r="CK13" i="11532"/>
  <c r="BV29" i="11532"/>
  <c r="BY29" i="11532"/>
  <c r="BO32" i="11532"/>
  <c r="CQ49" i="11532"/>
  <c r="CW11" i="11532"/>
  <c r="CK42" i="11532"/>
  <c r="BD42" i="11532"/>
  <c r="CD42" i="11532" s="1"/>
  <c r="BO38" i="11532"/>
  <c r="BD22" i="11532"/>
  <c r="CD22" i="11532" s="1"/>
  <c r="CK22" i="11532"/>
  <c r="BO28" i="11532"/>
  <c r="CB11" i="11532"/>
  <c r="CB49" i="11532" s="1"/>
  <c r="BR49" i="11532"/>
  <c r="I87" i="11532" s="1"/>
  <c r="BY27" i="11532"/>
  <c r="BV27" i="11532"/>
  <c r="BY20" i="11532"/>
  <c r="BV20" i="11532"/>
  <c r="BY24" i="11532"/>
  <c r="BV24" i="11532"/>
  <c r="BO17" i="11532"/>
  <c r="BD39" i="11532"/>
  <c r="CD39" i="11532" s="1"/>
  <c r="BO34" i="11532"/>
  <c r="BO37" i="11532"/>
  <c r="BO20" i="11532"/>
  <c r="AT32" i="267"/>
  <c r="AS32" i="267"/>
  <c r="AR32" i="267"/>
  <c r="AQ32" i="267"/>
  <c r="AP32" i="267"/>
  <c r="AN32" i="267"/>
  <c r="AM32" i="267"/>
  <c r="AL32" i="267"/>
  <c r="AJ32" i="267"/>
  <c r="AI32" i="267"/>
  <c r="AT31" i="267"/>
  <c r="AS31" i="267"/>
  <c r="AR31" i="267"/>
  <c r="AQ31" i="267"/>
  <c r="AP31" i="267"/>
  <c r="AN31" i="267"/>
  <c r="AM31" i="267"/>
  <c r="AL31" i="267"/>
  <c r="AJ31" i="267"/>
  <c r="AI31" i="267"/>
  <c r="AT30" i="267"/>
  <c r="AS30" i="267"/>
  <c r="AR30" i="267"/>
  <c r="AQ30" i="267"/>
  <c r="AP30" i="267"/>
  <c r="AN30" i="267"/>
  <c r="AM30" i="267"/>
  <c r="AL30" i="267"/>
  <c r="AJ30" i="267"/>
  <c r="AI30" i="267"/>
  <c r="AT29" i="267"/>
  <c r="AS29" i="267"/>
  <c r="AR29" i="267"/>
  <c r="AQ29" i="267"/>
  <c r="AP29" i="267"/>
  <c r="AN29" i="267"/>
  <c r="AM29" i="267"/>
  <c r="AL29" i="267"/>
  <c r="AJ29" i="267"/>
  <c r="AI29" i="267"/>
  <c r="AT28" i="267"/>
  <c r="AS28" i="267"/>
  <c r="AR28" i="267"/>
  <c r="AQ28" i="267"/>
  <c r="AP28" i="267"/>
  <c r="AN28" i="267"/>
  <c r="AM28" i="267"/>
  <c r="AL28" i="267"/>
  <c r="AJ28" i="267"/>
  <c r="AI28" i="267"/>
  <c r="AT27" i="267"/>
  <c r="AS27" i="267"/>
  <c r="AR27" i="267"/>
  <c r="AQ27" i="267"/>
  <c r="AP27" i="267"/>
  <c r="AN27" i="267"/>
  <c r="AM27" i="267"/>
  <c r="AL27" i="267"/>
  <c r="AJ27" i="267"/>
  <c r="AI27" i="267"/>
  <c r="F63" i="2826"/>
  <c r="F62" i="2826"/>
  <c r="F63" i="12"/>
  <c r="G77" i="2096"/>
  <c r="G161" i="8080"/>
  <c r="G77" i="11531"/>
  <c r="G77" i="9"/>
  <c r="G81" i="11530"/>
  <c r="G87" i="267"/>
  <c r="G80" i="11530"/>
  <c r="G86" i="267"/>
  <c r="G64" i="8"/>
  <c r="G70" i="5"/>
  <c r="G100" i="6"/>
  <c r="G99" i="6"/>
  <c r="S6" i="11524"/>
  <c r="S4" i="11524"/>
  <c r="V6" i="2826"/>
  <c r="V4" i="2826"/>
  <c r="T6" i="12"/>
  <c r="T4" i="12"/>
  <c r="U7" i="7"/>
  <c r="U5" i="7"/>
  <c r="U7" i="2096"/>
  <c r="U5" i="2096"/>
  <c r="U7" i="8080"/>
  <c r="U5" i="8080"/>
  <c r="U7" i="11531"/>
  <c r="U5" i="11531"/>
  <c r="U7" i="9"/>
  <c r="U5" i="9"/>
  <c r="U7" i="11530"/>
  <c r="U5" i="11530"/>
  <c r="U7" i="267"/>
  <c r="U5" i="267"/>
  <c r="T7" i="8"/>
  <c r="T5" i="8"/>
  <c r="T7" i="5"/>
  <c r="T5" i="5"/>
  <c r="AA7" i="6"/>
  <c r="AA5" i="6"/>
  <c r="S5" i="3"/>
  <c r="S6" i="3"/>
  <c r="AT12" i="6"/>
  <c r="AU12" i="6"/>
  <c r="BB12" i="6"/>
  <c r="BC12" i="6"/>
  <c r="BF12" i="6"/>
  <c r="BG12" i="6"/>
  <c r="BU12" i="6" s="1"/>
  <c r="BH12" i="6"/>
  <c r="AT13" i="6"/>
  <c r="AU13" i="6"/>
  <c r="BB13" i="6"/>
  <c r="BC13" i="6"/>
  <c r="BF13" i="6"/>
  <c r="BG13" i="6"/>
  <c r="BH13" i="6"/>
  <c r="AT14" i="6"/>
  <c r="AU14" i="6"/>
  <c r="BB14" i="6"/>
  <c r="BC14" i="6"/>
  <c r="BF14" i="6"/>
  <c r="BG14" i="6"/>
  <c r="BH14" i="6"/>
  <c r="AT15" i="6"/>
  <c r="AU15" i="6"/>
  <c r="BB15" i="6"/>
  <c r="BC15" i="6"/>
  <c r="BF15" i="6"/>
  <c r="BG15" i="6"/>
  <c r="BK15" i="6" s="1"/>
  <c r="BH15" i="6"/>
  <c r="AT16" i="6"/>
  <c r="AU16" i="6"/>
  <c r="BB16" i="6"/>
  <c r="BC16" i="6"/>
  <c r="BF16" i="6"/>
  <c r="BG16" i="6"/>
  <c r="BE16" i="6" s="1"/>
  <c r="BH16" i="6"/>
  <c r="AT17" i="6"/>
  <c r="AU17" i="6"/>
  <c r="BB17" i="6"/>
  <c r="BC17" i="6"/>
  <c r="BF17" i="6"/>
  <c r="BG17" i="6"/>
  <c r="BK17" i="6" s="1"/>
  <c r="BH17" i="6"/>
  <c r="AT18" i="6"/>
  <c r="AU18" i="6"/>
  <c r="BB18" i="6"/>
  <c r="BC18" i="6"/>
  <c r="BF18" i="6"/>
  <c r="BG18" i="6"/>
  <c r="BQ18" i="6" s="1"/>
  <c r="BH18" i="6"/>
  <c r="AT19" i="6"/>
  <c r="AU19" i="6"/>
  <c r="BB19" i="6"/>
  <c r="BC19" i="6"/>
  <c r="BF19" i="6"/>
  <c r="BG19" i="6"/>
  <c r="BJ19" i="6" s="1"/>
  <c r="BH19" i="6"/>
  <c r="AT20" i="6"/>
  <c r="AU20" i="6"/>
  <c r="BB20" i="6"/>
  <c r="BC20" i="6"/>
  <c r="BF20" i="6"/>
  <c r="BG20" i="6"/>
  <c r="BL20" i="6" s="1"/>
  <c r="BH20" i="6"/>
  <c r="AT21" i="6"/>
  <c r="AU21" i="6"/>
  <c r="BB21" i="6"/>
  <c r="BC21" i="6"/>
  <c r="BF21" i="6"/>
  <c r="BG21" i="6"/>
  <c r="BE21" i="6" s="1"/>
  <c r="BH21" i="6"/>
  <c r="AT22" i="6"/>
  <c r="AU22" i="6"/>
  <c r="BB22" i="6"/>
  <c r="BC22" i="6"/>
  <c r="BF22" i="6"/>
  <c r="BG22" i="6"/>
  <c r="BN22" i="6" s="1"/>
  <c r="BH22" i="6"/>
  <c r="AT23" i="6"/>
  <c r="AU23" i="6"/>
  <c r="BB23" i="6"/>
  <c r="BC23" i="6"/>
  <c r="BF23" i="6"/>
  <c r="BG23" i="6"/>
  <c r="BJ23" i="6" s="1"/>
  <c r="BH23" i="6"/>
  <c r="AT24" i="6"/>
  <c r="AU24" i="6"/>
  <c r="BB24" i="6"/>
  <c r="BC24" i="6"/>
  <c r="BF24" i="6"/>
  <c r="BG24" i="6"/>
  <c r="BK24" i="6" s="1"/>
  <c r="BH24" i="6"/>
  <c r="AT25" i="6"/>
  <c r="AU25" i="6"/>
  <c r="BB25" i="6"/>
  <c r="BC25" i="6"/>
  <c r="BF25" i="6"/>
  <c r="BG25" i="6"/>
  <c r="BR25" i="6" s="1"/>
  <c r="CB25" i="6" s="1"/>
  <c r="BH25" i="6"/>
  <c r="AT26" i="6"/>
  <c r="AU26" i="6"/>
  <c r="BB26" i="6"/>
  <c r="BC26" i="6"/>
  <c r="BF26" i="6"/>
  <c r="BG26" i="6"/>
  <c r="BH26" i="6"/>
  <c r="AT27" i="6"/>
  <c r="AU27" i="6"/>
  <c r="BB27" i="6"/>
  <c r="BC27" i="6"/>
  <c r="BF27" i="6"/>
  <c r="BG27" i="6"/>
  <c r="BJ27" i="6" s="1"/>
  <c r="BH27" i="6"/>
  <c r="AT28" i="6"/>
  <c r="AU28" i="6"/>
  <c r="BB28" i="6"/>
  <c r="BC28" i="6"/>
  <c r="BF28" i="6"/>
  <c r="BG28" i="6"/>
  <c r="BE28" i="6" s="1"/>
  <c r="BH28" i="6"/>
  <c r="AT29" i="6"/>
  <c r="AU29" i="6"/>
  <c r="BB29" i="6"/>
  <c r="BC29" i="6"/>
  <c r="BF29" i="6"/>
  <c r="BG29" i="6"/>
  <c r="BH29" i="6"/>
  <c r="AT30" i="6"/>
  <c r="AU30" i="6"/>
  <c r="BB30" i="6"/>
  <c r="BC30" i="6"/>
  <c r="BF30" i="6"/>
  <c r="BG30" i="6"/>
  <c r="BE30" i="6" s="1"/>
  <c r="BH30" i="6"/>
  <c r="AT31" i="6"/>
  <c r="AU31" i="6"/>
  <c r="BB31" i="6"/>
  <c r="BC31" i="6"/>
  <c r="BF31" i="6"/>
  <c r="BG31" i="6"/>
  <c r="BJ31" i="6" s="1"/>
  <c r="BH31" i="6"/>
  <c r="AT32" i="6"/>
  <c r="AU32" i="6"/>
  <c r="BB32" i="6"/>
  <c r="BC32" i="6"/>
  <c r="BF32" i="6"/>
  <c r="BG32" i="6"/>
  <c r="BK32" i="6" s="1"/>
  <c r="BH32" i="6"/>
  <c r="AT33" i="6"/>
  <c r="AU33" i="6"/>
  <c r="BB33" i="6"/>
  <c r="BC33" i="6"/>
  <c r="BF33" i="6"/>
  <c r="BG33" i="6"/>
  <c r="BN33" i="6" s="1"/>
  <c r="BH33" i="6"/>
  <c r="AT34" i="6"/>
  <c r="AU34" i="6"/>
  <c r="BB34" i="6"/>
  <c r="BC34" i="6"/>
  <c r="BF34" i="6"/>
  <c r="BG34" i="6"/>
  <c r="BM34" i="6" s="1"/>
  <c r="BH34" i="6"/>
  <c r="AT35" i="6"/>
  <c r="AU35" i="6"/>
  <c r="BB35" i="6"/>
  <c r="BC35" i="6"/>
  <c r="BF35" i="6"/>
  <c r="BG35" i="6"/>
  <c r="BE35" i="6" s="1"/>
  <c r="BH35" i="6"/>
  <c r="AO36" i="6"/>
  <c r="AP36" i="6"/>
  <c r="AS36" i="6"/>
  <c r="AT36" i="6"/>
  <c r="AU36" i="6"/>
  <c r="AX36" i="6"/>
  <c r="BA36" i="6"/>
  <c r="BB36" i="6"/>
  <c r="BC36" i="6"/>
  <c r="BF36" i="6"/>
  <c r="BG36" i="6"/>
  <c r="BE36" i="6" s="1"/>
  <c r="BH36" i="6"/>
  <c r="AO37" i="6"/>
  <c r="AP37" i="6"/>
  <c r="AS37" i="6"/>
  <c r="AT37" i="6"/>
  <c r="AU37" i="6"/>
  <c r="AX37" i="6"/>
  <c r="BA37" i="6"/>
  <c r="BB37" i="6"/>
  <c r="BC37" i="6"/>
  <c r="BF37" i="6"/>
  <c r="BG37" i="6"/>
  <c r="AW37" i="6" s="1"/>
  <c r="BH37" i="6"/>
  <c r="AO38" i="6"/>
  <c r="AP38" i="6"/>
  <c r="AS38" i="6"/>
  <c r="AT38" i="6"/>
  <c r="AU38" i="6"/>
  <c r="AX38" i="6"/>
  <c r="BA38" i="6"/>
  <c r="BB38" i="6"/>
  <c r="BC38" i="6"/>
  <c r="BF38" i="6"/>
  <c r="BG38" i="6"/>
  <c r="BP38" i="6" s="1"/>
  <c r="BH38" i="6"/>
  <c r="BQ38" i="6"/>
  <c r="BS38" i="6"/>
  <c r="BT38" i="6"/>
  <c r="AO39" i="6"/>
  <c r="AP39" i="6"/>
  <c r="AS39" i="6"/>
  <c r="AT39" i="6"/>
  <c r="AU39" i="6"/>
  <c r="AX39" i="6"/>
  <c r="BA39" i="6"/>
  <c r="BB39" i="6"/>
  <c r="BC39" i="6"/>
  <c r="BF39" i="6"/>
  <c r="BG39" i="6"/>
  <c r="BU39" i="6" s="1"/>
  <c r="BH39" i="6"/>
  <c r="BJ39" i="6"/>
  <c r="BN39" i="6"/>
  <c r="BP39" i="6"/>
  <c r="AO40" i="6"/>
  <c r="AP40" i="6"/>
  <c r="AS40" i="6"/>
  <c r="AT40" i="6"/>
  <c r="AU40" i="6"/>
  <c r="AX40" i="6"/>
  <c r="BA40" i="6"/>
  <c r="BB40" i="6"/>
  <c r="BC40" i="6"/>
  <c r="BF40" i="6"/>
  <c r="BG40" i="6"/>
  <c r="BE40" i="6" s="1"/>
  <c r="BH40" i="6"/>
  <c r="AO41" i="6"/>
  <c r="AP41" i="6"/>
  <c r="AS41" i="6"/>
  <c r="AT41" i="6"/>
  <c r="AU41" i="6"/>
  <c r="AX41" i="6"/>
  <c r="BA41" i="6"/>
  <c r="BB41" i="6"/>
  <c r="BC41" i="6"/>
  <c r="BF41" i="6"/>
  <c r="BG41" i="6"/>
  <c r="BK41" i="6" s="1"/>
  <c r="BH41" i="6"/>
  <c r="BL41" i="6"/>
  <c r="BN41" i="6"/>
  <c r="BP41" i="6"/>
  <c r="BQ41" i="6"/>
  <c r="BR41" i="6"/>
  <c r="CB41" i="6" s="1"/>
  <c r="BS41" i="6"/>
  <c r="BT41" i="6"/>
  <c r="BU41" i="6"/>
  <c r="AO42" i="6"/>
  <c r="AP42" i="6"/>
  <c r="AS42" i="6"/>
  <c r="AT42" i="6"/>
  <c r="AU42" i="6"/>
  <c r="AX42" i="6"/>
  <c r="BA42" i="6"/>
  <c r="BB42" i="6"/>
  <c r="BC42" i="6"/>
  <c r="BF42" i="6"/>
  <c r="BG42" i="6"/>
  <c r="BE42" i="6" s="1"/>
  <c r="BH42" i="6"/>
  <c r="BJ42" i="6"/>
  <c r="AO43" i="6"/>
  <c r="AP43" i="6"/>
  <c r="AS43" i="6"/>
  <c r="AT43" i="6"/>
  <c r="AU43" i="6"/>
  <c r="AX43" i="6"/>
  <c r="BA43" i="6"/>
  <c r="BB43" i="6"/>
  <c r="BC43" i="6"/>
  <c r="BF43" i="6"/>
  <c r="BG43" i="6"/>
  <c r="BS43" i="6" s="1"/>
  <c r="BH43" i="6"/>
  <c r="BJ43" i="6"/>
  <c r="BK43" i="6"/>
  <c r="AO44" i="6"/>
  <c r="AP44" i="6"/>
  <c r="AS44" i="6"/>
  <c r="AT44" i="6"/>
  <c r="AU44" i="6"/>
  <c r="AX44" i="6"/>
  <c r="BA44" i="6"/>
  <c r="BB44" i="6"/>
  <c r="BC44" i="6"/>
  <c r="BF44" i="6"/>
  <c r="BG44" i="6"/>
  <c r="BJ44" i="6" s="1"/>
  <c r="BH44" i="6"/>
  <c r="BL44" i="6"/>
  <c r="AO45" i="6"/>
  <c r="AP45" i="6"/>
  <c r="AS45" i="6"/>
  <c r="AT45" i="6"/>
  <c r="AU45" i="6"/>
  <c r="AX45" i="6"/>
  <c r="BA45" i="6"/>
  <c r="BB45" i="6"/>
  <c r="BC45" i="6"/>
  <c r="BF45" i="6"/>
  <c r="BG45" i="6"/>
  <c r="BL45" i="6" s="1"/>
  <c r="BH45" i="6"/>
  <c r="BI45" i="6"/>
  <c r="AO46" i="6"/>
  <c r="AP46" i="6"/>
  <c r="AS46" i="6"/>
  <c r="AT46" i="6"/>
  <c r="AU46" i="6"/>
  <c r="AX46" i="6"/>
  <c r="BA46" i="6"/>
  <c r="BB46" i="6"/>
  <c r="BC46" i="6"/>
  <c r="BF46" i="6"/>
  <c r="BG46" i="6"/>
  <c r="BN46" i="6" s="1"/>
  <c r="BH46" i="6"/>
  <c r="BI46" i="6"/>
  <c r="BJ46" i="6"/>
  <c r="BK46" i="6"/>
  <c r="BL46" i="6"/>
  <c r="AO47" i="6"/>
  <c r="AP47" i="6"/>
  <c r="AS47" i="6"/>
  <c r="AT47" i="6"/>
  <c r="AU47" i="6"/>
  <c r="AX47" i="6"/>
  <c r="BA47" i="6"/>
  <c r="BB47" i="6"/>
  <c r="BC47" i="6"/>
  <c r="BF47" i="6"/>
  <c r="BG47" i="6"/>
  <c r="BI47" i="6" s="1"/>
  <c r="BH47" i="6"/>
  <c r="BL47" i="6"/>
  <c r="BM47" i="6"/>
  <c r="BN47" i="6"/>
  <c r="AO48" i="6"/>
  <c r="AP48" i="6"/>
  <c r="AS48" i="6"/>
  <c r="AT48" i="6"/>
  <c r="AU48" i="6"/>
  <c r="AX48" i="6"/>
  <c r="BA48" i="6"/>
  <c r="BB48" i="6"/>
  <c r="BC48" i="6"/>
  <c r="BF48" i="6"/>
  <c r="BG48" i="6"/>
  <c r="BH48" i="6"/>
  <c r="T44" i="6"/>
  <c r="T43" i="6"/>
  <c r="T42" i="6"/>
  <c r="T41" i="6"/>
  <c r="T40" i="6"/>
  <c r="T39" i="6"/>
  <c r="T38" i="6"/>
  <c r="T37" i="6"/>
  <c r="T36" i="6"/>
  <c r="CR12" i="6"/>
  <c r="CV12" i="6"/>
  <c r="CV11" i="6"/>
  <c r="CT12" i="6"/>
  <c r="CU12" i="6"/>
  <c r="CT13" i="6"/>
  <c r="CU13" i="6"/>
  <c r="CT14" i="6"/>
  <c r="CU14" i="6"/>
  <c r="CT15" i="6"/>
  <c r="CU15" i="6"/>
  <c r="CT16" i="6"/>
  <c r="CU16" i="6"/>
  <c r="CT17" i="6"/>
  <c r="CU17" i="6"/>
  <c r="CT18" i="6"/>
  <c r="CU18" i="6"/>
  <c r="CT19" i="6"/>
  <c r="CU19" i="6"/>
  <c r="CT20" i="6"/>
  <c r="CU20" i="6"/>
  <c r="CR21" i="6"/>
  <c r="CS21" i="6"/>
  <c r="CT21" i="6"/>
  <c r="CU21" i="6"/>
  <c r="CT22" i="6"/>
  <c r="CU22" i="6"/>
  <c r="CT23" i="6"/>
  <c r="CU23" i="6"/>
  <c r="CT24" i="6"/>
  <c r="CU24" i="6"/>
  <c r="CT25" i="6"/>
  <c r="CU25" i="6"/>
  <c r="CT26" i="6"/>
  <c r="CU26" i="6"/>
  <c r="CT27" i="6"/>
  <c r="CU27" i="6"/>
  <c r="CT28" i="6"/>
  <c r="CU28" i="6"/>
  <c r="CT29" i="6"/>
  <c r="CU29" i="6"/>
  <c r="CT30" i="6"/>
  <c r="CU30" i="6"/>
  <c r="CO31" i="6"/>
  <c r="CR31" i="6"/>
  <c r="CT31" i="6"/>
  <c r="CU31" i="6"/>
  <c r="CT32" i="6"/>
  <c r="CU32" i="6"/>
  <c r="CT33" i="6"/>
  <c r="CU33" i="6"/>
  <c r="CT34" i="6"/>
  <c r="CU34" i="6"/>
  <c r="CT35" i="6"/>
  <c r="CU35" i="6"/>
  <c r="CO36" i="6"/>
  <c r="CP36" i="6"/>
  <c r="CS36" i="6"/>
  <c r="CT36" i="6"/>
  <c r="CU36" i="6"/>
  <c r="CO37" i="6"/>
  <c r="CP37" i="6"/>
  <c r="CS37" i="6"/>
  <c r="CT37" i="6"/>
  <c r="CU37" i="6"/>
  <c r="CO38" i="6"/>
  <c r="CP38" i="6"/>
  <c r="CS38" i="6"/>
  <c r="CT38" i="6"/>
  <c r="CU38" i="6"/>
  <c r="CO39" i="6"/>
  <c r="CP39" i="6"/>
  <c r="CS39" i="6"/>
  <c r="CT39" i="6"/>
  <c r="CU39" i="6"/>
  <c r="CO40" i="6"/>
  <c r="CP40" i="6"/>
  <c r="CS40" i="6"/>
  <c r="CT40" i="6"/>
  <c r="CU40" i="6"/>
  <c r="CO41" i="6"/>
  <c r="CP41" i="6"/>
  <c r="CS41" i="6"/>
  <c r="CT41" i="6"/>
  <c r="CU41" i="6"/>
  <c r="CO42" i="6"/>
  <c r="CP42" i="6"/>
  <c r="CS42" i="6"/>
  <c r="CT42" i="6"/>
  <c r="CU42" i="6"/>
  <c r="CO43" i="6"/>
  <c r="CP43" i="6"/>
  <c r="CS43" i="6"/>
  <c r="CT43" i="6"/>
  <c r="CU43" i="6"/>
  <c r="CO44" i="6"/>
  <c r="CP44" i="6"/>
  <c r="CS44" i="6"/>
  <c r="CT44" i="6"/>
  <c r="CU44" i="6"/>
  <c r="CO45" i="6"/>
  <c r="CP45" i="6"/>
  <c r="CS45" i="6"/>
  <c r="CT45" i="6"/>
  <c r="CU45" i="6"/>
  <c r="CO46" i="6"/>
  <c r="CP46" i="6"/>
  <c r="CS46" i="6"/>
  <c r="CT46" i="6"/>
  <c r="CU46" i="6"/>
  <c r="CO47" i="6"/>
  <c r="CP47" i="6"/>
  <c r="CS47" i="6"/>
  <c r="CT47" i="6"/>
  <c r="CU47" i="6"/>
  <c r="CO48" i="6"/>
  <c r="CP48" i="6"/>
  <c r="CS48" i="6"/>
  <c r="CT48" i="6"/>
  <c r="CU48" i="6"/>
  <c r="CU11" i="6"/>
  <c r="CT11" i="6"/>
  <c r="AM53" i="6"/>
  <c r="CR11" i="6" s="1"/>
  <c r="AM54" i="6"/>
  <c r="CS22" i="6" s="1"/>
  <c r="AM55" i="6"/>
  <c r="AM56" i="6"/>
  <c r="AM57" i="6"/>
  <c r="AM58" i="6"/>
  <c r="AM59" i="6"/>
  <c r="AM60" i="6"/>
  <c r="CO20" i="6" s="1"/>
  <c r="AM52" i="6"/>
  <c r="CQ39" i="6" s="1"/>
  <c r="AD85" i="2826"/>
  <c r="S42" i="3"/>
  <c r="G42" i="3"/>
  <c r="H53" i="2826"/>
  <c r="Q53" i="2826" s="1"/>
  <c r="U10" i="2826"/>
  <c r="AP10" i="2826"/>
  <c r="V11" i="2826"/>
  <c r="W37" i="8"/>
  <c r="W36" i="8"/>
  <c r="W35" i="8"/>
  <c r="Y36" i="2826"/>
  <c r="Y35" i="2826"/>
  <c r="Y34" i="2826"/>
  <c r="AO11" i="2826"/>
  <c r="BF11" i="2826" s="1"/>
  <c r="AO12" i="2826"/>
  <c r="BF12" i="2826" s="1"/>
  <c r="AO13" i="2826"/>
  <c r="AO14" i="2826"/>
  <c r="AO15" i="2826"/>
  <c r="AO16" i="2826"/>
  <c r="AO17" i="2826"/>
  <c r="AO18" i="2826"/>
  <c r="AO19" i="2826"/>
  <c r="AO20" i="2826"/>
  <c r="AO21" i="2826"/>
  <c r="AO22" i="2826"/>
  <c r="AO23" i="2826"/>
  <c r="BF23" i="2826" s="1"/>
  <c r="AO24" i="2826"/>
  <c r="BF24" i="2826" s="1"/>
  <c r="AO25" i="2826"/>
  <c r="BF25" i="2826" s="1"/>
  <c r="AO26" i="2826"/>
  <c r="BF26" i="2826" s="1"/>
  <c r="AX11" i="2826"/>
  <c r="AX12" i="2826"/>
  <c r="AX13" i="2826"/>
  <c r="AX14" i="2826"/>
  <c r="AX15" i="2826"/>
  <c r="AX16" i="2826"/>
  <c r="AX17" i="2826"/>
  <c r="AX18" i="2826"/>
  <c r="AX19" i="2826"/>
  <c r="AX20" i="2826"/>
  <c r="AX21" i="2826"/>
  <c r="AX22" i="2826"/>
  <c r="AX23" i="2826"/>
  <c r="AX24" i="2826"/>
  <c r="AX25" i="2826"/>
  <c r="AX26" i="2826"/>
  <c r="AX10" i="2826"/>
  <c r="AO10" i="2826"/>
  <c r="BF10" i="2826" s="1"/>
  <c r="BF13" i="2826"/>
  <c r="BF14" i="2826"/>
  <c r="BF15" i="2826"/>
  <c r="BF16" i="2826"/>
  <c r="BF17" i="2826"/>
  <c r="BF18" i="2826"/>
  <c r="BF19" i="2826"/>
  <c r="BF20" i="2826"/>
  <c r="BF21" i="2826"/>
  <c r="BF22" i="2826"/>
  <c r="AP11" i="2826"/>
  <c r="BG11" i="2826" s="1"/>
  <c r="AP12" i="2826"/>
  <c r="AP13" i="2826"/>
  <c r="AP14" i="2826"/>
  <c r="AP15" i="2826"/>
  <c r="AP16" i="2826"/>
  <c r="AP17" i="2826"/>
  <c r="AP18" i="2826"/>
  <c r="AP19" i="2826"/>
  <c r="BG19" i="2826" s="1"/>
  <c r="AP20" i="2826"/>
  <c r="AP21" i="2826"/>
  <c r="BG21" i="2826" s="1"/>
  <c r="AP22" i="2826"/>
  <c r="BG22" i="2826" s="1"/>
  <c r="AP23" i="2826"/>
  <c r="AP24" i="2826"/>
  <c r="AP25" i="2826"/>
  <c r="AP26" i="2826"/>
  <c r="AQ11" i="2826"/>
  <c r="BH11" i="2826" s="1"/>
  <c r="AQ12" i="2826"/>
  <c r="AQ13" i="2826"/>
  <c r="AQ14" i="2826"/>
  <c r="AQ15" i="2826"/>
  <c r="BH15" i="2826" s="1"/>
  <c r="AQ16" i="2826"/>
  <c r="BH16" i="2826" s="1"/>
  <c r="AQ17" i="2826"/>
  <c r="BH17" i="2826" s="1"/>
  <c r="AQ18" i="2826"/>
  <c r="BH18" i="2826" s="1"/>
  <c r="AQ19" i="2826"/>
  <c r="BH19" i="2826" s="1"/>
  <c r="AQ20" i="2826"/>
  <c r="BH20" i="2826" s="1"/>
  <c r="AQ21" i="2826"/>
  <c r="BH21" i="2826" s="1"/>
  <c r="AQ22" i="2826"/>
  <c r="BH22" i="2826" s="1"/>
  <c r="AQ23" i="2826"/>
  <c r="AQ24" i="2826"/>
  <c r="AQ25" i="2826"/>
  <c r="AQ26" i="2826"/>
  <c r="BG12" i="2826"/>
  <c r="BH12" i="2826"/>
  <c r="BG13" i="2826"/>
  <c r="BH13" i="2826"/>
  <c r="BG14" i="2826"/>
  <c r="BH14" i="2826"/>
  <c r="BG15" i="2826"/>
  <c r="BH23" i="2826"/>
  <c r="BG24" i="2826"/>
  <c r="BH24" i="2826"/>
  <c r="BG25" i="2826"/>
  <c r="BH25" i="2826"/>
  <c r="BG26" i="2826"/>
  <c r="BH26" i="2826"/>
  <c r="AQ10" i="2826"/>
  <c r="BH10" i="2826" s="1"/>
  <c r="CR16" i="6" l="1"/>
  <c r="CR42" i="6"/>
  <c r="CR46" i="6"/>
  <c r="CQ15" i="6"/>
  <c r="CO12" i="6"/>
  <c r="CQ16" i="6"/>
  <c r="AW42" i="6"/>
  <c r="CQ29" i="6"/>
  <c r="CQ17" i="6"/>
  <c r="CS11" i="6"/>
  <c r="CR27" i="6"/>
  <c r="CQ30" i="6"/>
  <c r="CQ22" i="6"/>
  <c r="CO27" i="6"/>
  <c r="CQ36" i="6"/>
  <c r="BK47" i="6"/>
  <c r="CS35" i="6"/>
  <c r="CQ37" i="6"/>
  <c r="CR35" i="6"/>
  <c r="CO35" i="6"/>
  <c r="CS26" i="6"/>
  <c r="CS16" i="6"/>
  <c r="BU42" i="6"/>
  <c r="BU36" i="6"/>
  <c r="CQ41" i="6"/>
  <c r="CQ43" i="6"/>
  <c r="BQ42" i="6"/>
  <c r="BQ43" i="6"/>
  <c r="BP42" i="6"/>
  <c r="BT36" i="6"/>
  <c r="CR43" i="6"/>
  <c r="BR43" i="6"/>
  <c r="CB43" i="6" s="1"/>
  <c r="BP43" i="6"/>
  <c r="BN42" i="6"/>
  <c r="BL36" i="6"/>
  <c r="BT42" i="6"/>
  <c r="BR42" i="6"/>
  <c r="CB42" i="6" s="1"/>
  <c r="BN43" i="6"/>
  <c r="BM42" i="6"/>
  <c r="BK36" i="6"/>
  <c r="CQ40" i="6"/>
  <c r="CO16" i="6"/>
  <c r="BM43" i="6"/>
  <c r="BL42" i="6"/>
  <c r="BR39" i="6"/>
  <c r="CB39" i="6" s="1"/>
  <c r="BJ36" i="6"/>
  <c r="BS42" i="6"/>
  <c r="CS31" i="6"/>
  <c r="CO22" i="6"/>
  <c r="BL43" i="6"/>
  <c r="BK42" i="6"/>
  <c r="BQ39" i="6"/>
  <c r="BB29" i="11536"/>
  <c r="BC43" i="11535"/>
  <c r="AR43" i="11535"/>
  <c r="L59" i="11535" s="1"/>
  <c r="AD35" i="11533"/>
  <c r="AG35" i="11533" s="1"/>
  <c r="AD34" i="11533"/>
  <c r="AG34" i="11533" s="1"/>
  <c r="AD42" i="11533"/>
  <c r="AG42" i="11533" s="1"/>
  <c r="BI15" i="11533"/>
  <c r="BO15" i="11533" s="1"/>
  <c r="BI21" i="11533"/>
  <c r="BO21" i="11533" s="1"/>
  <c r="BI25" i="11533"/>
  <c r="BO25" i="11533" s="1"/>
  <c r="W16" i="3"/>
  <c r="CW49" i="11532"/>
  <c r="CO50" i="11532" s="1"/>
  <c r="AB89" i="11532" s="1"/>
  <c r="AV49" i="11532"/>
  <c r="CR39" i="6"/>
  <c r="CS27" i="6"/>
  <c r="CR22" i="6"/>
  <c r="CO11" i="6"/>
  <c r="BW47" i="6"/>
  <c r="BM46" i="6"/>
  <c r="BO46" i="6" s="1"/>
  <c r="BS39" i="6"/>
  <c r="BU38" i="6"/>
  <c r="BJ47" i="6"/>
  <c r="BM40" i="6"/>
  <c r="BM39" i="6"/>
  <c r="CR26" i="6"/>
  <c r="BL40" i="6"/>
  <c r="BL39" i="6"/>
  <c r="CR38" i="6"/>
  <c r="CS34" i="6"/>
  <c r="CS30" i="6"/>
  <c r="CO26" i="6"/>
  <c r="CS15" i="6"/>
  <c r="BK40" i="6"/>
  <c r="BK39" i="6"/>
  <c r="CS20" i="6"/>
  <c r="CR15" i="6"/>
  <c r="BJ40" i="6"/>
  <c r="CR20" i="6"/>
  <c r="CO15" i="6"/>
  <c r="CO30" i="6"/>
  <c r="CO34" i="6"/>
  <c r="CR45" i="6"/>
  <c r="CR25" i="6"/>
  <c r="CQ23" i="6"/>
  <c r="BM41" i="6"/>
  <c r="CR41" i="6"/>
  <c r="CS19" i="6"/>
  <c r="CS14" i="6"/>
  <c r="CR30" i="6"/>
  <c r="CS33" i="6"/>
  <c r="CS29" i="6"/>
  <c r="CR19" i="6"/>
  <c r="CR14" i="6"/>
  <c r="BK44" i="6"/>
  <c r="BJ41" i="6"/>
  <c r="CR34" i="6"/>
  <c r="CR48" i="6"/>
  <c r="CR37" i="6"/>
  <c r="CR33" i="6"/>
  <c r="CR29" i="6"/>
  <c r="CS24" i="6"/>
  <c r="CO19" i="6"/>
  <c r="CO14" i="6"/>
  <c r="CQ38" i="6"/>
  <c r="CR24" i="6"/>
  <c r="CQ27" i="6"/>
  <c r="CS25" i="6"/>
  <c r="CO33" i="6"/>
  <c r="CO29" i="6"/>
  <c r="CS18" i="6"/>
  <c r="CS13" i="6"/>
  <c r="CR44" i="6"/>
  <c r="CS23" i="6"/>
  <c r="CS28" i="6"/>
  <c r="BU37" i="6"/>
  <c r="CR28" i="6"/>
  <c r="BT37" i="6"/>
  <c r="CR18" i="6"/>
  <c r="CR47" i="6"/>
  <c r="CO28" i="6"/>
  <c r="CS12" i="6"/>
  <c r="CQ33" i="6"/>
  <c r="BS37" i="6"/>
  <c r="CR40" i="6"/>
  <c r="CS32" i="6"/>
  <c r="CR23" i="6"/>
  <c r="CR32" i="6"/>
  <c r="CO23" i="6"/>
  <c r="CO32" i="6"/>
  <c r="CS17" i="6"/>
  <c r="BP46" i="6"/>
  <c r="AW41" i="6"/>
  <c r="BR37" i="6"/>
  <c r="CB37" i="6" s="1"/>
  <c r="CR13" i="6"/>
  <c r="CO18" i="6"/>
  <c r="CR36" i="6"/>
  <c r="CR17" i="6"/>
  <c r="BT39" i="6"/>
  <c r="BJ37" i="6"/>
  <c r="R32" i="5"/>
  <c r="AJ32" i="5" s="1"/>
  <c r="AH32" i="5"/>
  <c r="AK32" i="5" s="1"/>
  <c r="R34" i="5"/>
  <c r="R33" i="5"/>
  <c r="AJ33" i="5" s="1"/>
  <c r="S33" i="5"/>
  <c r="AT33" i="5" s="1"/>
  <c r="AR33" i="5" s="1"/>
  <c r="S34" i="5"/>
  <c r="AT34" i="5" s="1"/>
  <c r="AL34" i="5" s="1"/>
  <c r="AH35" i="5"/>
  <c r="AK35" i="5" s="1"/>
  <c r="S35" i="5"/>
  <c r="AT35" i="5" s="1"/>
  <c r="AL35" i="5" s="1"/>
  <c r="AC11" i="11533"/>
  <c r="BV11" i="11533" s="1"/>
  <c r="CD13" i="11533"/>
  <c r="AC13" i="11533"/>
  <c r="CD16" i="11533"/>
  <c r="AC16" i="11533"/>
  <c r="CD19" i="11533"/>
  <c r="AC19" i="11533"/>
  <c r="CD23" i="11533"/>
  <c r="AC23" i="11533"/>
  <c r="S32" i="5"/>
  <c r="AT32" i="5" s="1"/>
  <c r="AL32" i="5" s="1"/>
  <c r="CD18" i="11533"/>
  <c r="AC18" i="11533"/>
  <c r="CD15" i="11533"/>
  <c r="AC15" i="11533"/>
  <c r="CD17" i="11533"/>
  <c r="AC17" i="11533"/>
  <c r="CD22" i="11533"/>
  <c r="AC22" i="11533"/>
  <c r="R35" i="5"/>
  <c r="CD26" i="11533"/>
  <c r="AC26" i="11533"/>
  <c r="AH33" i="5"/>
  <c r="AK33" i="5" s="1"/>
  <c r="CD24" i="11533"/>
  <c r="AC24" i="11533"/>
  <c r="AH34" i="5"/>
  <c r="AK34" i="5" s="1"/>
  <c r="CD14" i="11533"/>
  <c r="AC14" i="11533"/>
  <c r="CD21" i="11533"/>
  <c r="AC21" i="11533"/>
  <c r="CD20" i="11533"/>
  <c r="AC20" i="11533"/>
  <c r="CD25" i="11533"/>
  <c r="AC25" i="11533"/>
  <c r="BI14" i="11533"/>
  <c r="BO14" i="11533" s="1"/>
  <c r="BI26" i="11533"/>
  <c r="BI24" i="11533"/>
  <c r="AC12" i="11533"/>
  <c r="BV12" i="11533" s="1"/>
  <c r="BI23" i="11533"/>
  <c r="AG18" i="11533"/>
  <c r="BI17" i="11533"/>
  <c r="BO17" i="11533" s="1"/>
  <c r="BI19" i="11533"/>
  <c r="BI20" i="11533"/>
  <c r="BI13" i="11533"/>
  <c r="AG16" i="11533"/>
  <c r="BO18" i="11533"/>
  <c r="AG22" i="11533"/>
  <c r="BI22" i="11533"/>
  <c r="BI12" i="11533"/>
  <c r="BO12" i="11533" s="1"/>
  <c r="BO16" i="11533"/>
  <c r="AG11" i="11533"/>
  <c r="BI11" i="11533"/>
  <c r="M81" i="11534"/>
  <c r="BF43" i="11535"/>
  <c r="I70" i="11535"/>
  <c r="C46" i="3" s="1"/>
  <c r="AO43" i="11535"/>
  <c r="L57" i="11535" s="1"/>
  <c r="W45" i="3" s="1"/>
  <c r="BG43" i="11535"/>
  <c r="L60" i="11535"/>
  <c r="V44" i="11535"/>
  <c r="AW43" i="11535"/>
  <c r="AU43" i="11535"/>
  <c r="I76" i="11535" s="1"/>
  <c r="AY43" i="11535"/>
  <c r="BE43" i="11535"/>
  <c r="T78" i="11535"/>
  <c r="X78" i="11535" s="1"/>
  <c r="O68" i="11535"/>
  <c r="AF89" i="11535" s="1"/>
  <c r="AV15" i="11534"/>
  <c r="AV17" i="11534"/>
  <c r="AT37" i="11534"/>
  <c r="AV14" i="11534"/>
  <c r="AO13" i="11534"/>
  <c r="AP13" i="11534"/>
  <c r="AP37" i="11534" s="1"/>
  <c r="L52" i="11534" s="1"/>
  <c r="T55" i="11534"/>
  <c r="X55" i="11534" s="1"/>
  <c r="T57" i="11534"/>
  <c r="X57" i="11534" s="1"/>
  <c r="L61" i="11534"/>
  <c r="O61" i="11534" s="1"/>
  <c r="AF74" i="11534" s="1"/>
  <c r="AY11" i="11534"/>
  <c r="AX37" i="11534"/>
  <c r="L62" i="11534" s="1"/>
  <c r="BG11" i="11534"/>
  <c r="BC11" i="11534"/>
  <c r="V37" i="11534"/>
  <c r="AW11" i="11534"/>
  <c r="AZ37" i="11534"/>
  <c r="BM11" i="11534"/>
  <c r="BF11" i="11534"/>
  <c r="X37" i="11534"/>
  <c r="AO11" i="11534"/>
  <c r="AY12" i="11534"/>
  <c r="BE12" i="11534" s="1"/>
  <c r="BM12" i="11534"/>
  <c r="BF12" i="11534"/>
  <c r="BG12" i="11534"/>
  <c r="BC12" i="11534"/>
  <c r="AW12" i="11534"/>
  <c r="AV12" i="11534"/>
  <c r="AY13" i="11534"/>
  <c r="BE13" i="11534" s="1"/>
  <c r="BM13" i="11534"/>
  <c r="BF13" i="11534"/>
  <c r="BC13" i="11534"/>
  <c r="BG13" i="11534"/>
  <c r="AW13" i="11534"/>
  <c r="AF117" i="11534"/>
  <c r="R48" i="3" s="1"/>
  <c r="CQ32" i="6"/>
  <c r="CQ35" i="6"/>
  <c r="CQ34" i="6"/>
  <c r="CQ31" i="6"/>
  <c r="BL34" i="6"/>
  <c r="BM33" i="6"/>
  <c r="BL33" i="6"/>
  <c r="BK33" i="6"/>
  <c r="BS29" i="6"/>
  <c r="BK34" i="6"/>
  <c r="BJ34" i="6"/>
  <c r="BU29" i="6"/>
  <c r="BT29" i="6"/>
  <c r="BR29" i="6"/>
  <c r="CB29" i="6" s="1"/>
  <c r="BQ29" i="6"/>
  <c r="BP30" i="6"/>
  <c r="BN30" i="6"/>
  <c r="BP29" i="6"/>
  <c r="BM30" i="6"/>
  <c r="BN29" i="6"/>
  <c r="BM29" i="6"/>
  <c r="BJ33" i="6"/>
  <c r="BK30" i="6"/>
  <c r="BL29" i="6"/>
  <c r="BL30" i="6"/>
  <c r="BJ30" i="6"/>
  <c r="BK29" i="6"/>
  <c r="BJ29" i="6"/>
  <c r="BM22" i="6"/>
  <c r="BU25" i="6"/>
  <c r="BT25" i="6"/>
  <c r="BL22" i="6"/>
  <c r="BJ22" i="6"/>
  <c r="BJ24" i="6"/>
  <c r="BS25" i="6"/>
  <c r="BM23" i="6"/>
  <c r="BL23" i="6"/>
  <c r="BK23" i="6"/>
  <c r="BM28" i="6"/>
  <c r="BU28" i="6"/>
  <c r="BT28" i="6"/>
  <c r="BS28" i="6"/>
  <c r="BR28" i="6"/>
  <c r="CB28" i="6" s="1"/>
  <c r="BQ28" i="6"/>
  <c r="BP28" i="6"/>
  <c r="BN28" i="6"/>
  <c r="BS17" i="6"/>
  <c r="BQ17" i="6"/>
  <c r="BP17" i="6"/>
  <c r="BU17" i="6"/>
  <c r="BT17" i="6"/>
  <c r="BN18" i="6"/>
  <c r="BM18" i="6"/>
  <c r="BL18" i="6"/>
  <c r="BR17" i="6"/>
  <c r="CB17" i="6" s="1"/>
  <c r="BJ17" i="6"/>
  <c r="BJ20" i="6"/>
  <c r="BN17" i="6"/>
  <c r="BM17" i="6"/>
  <c r="BL17" i="6"/>
  <c r="BK20" i="6"/>
  <c r="BP18" i="6"/>
  <c r="BK18" i="6"/>
  <c r="BJ18" i="6"/>
  <c r="CQ28" i="6"/>
  <c r="CQ18" i="6"/>
  <c r="CQ21" i="6"/>
  <c r="CQ25" i="6"/>
  <c r="CU49" i="6"/>
  <c r="CO25" i="6"/>
  <c r="CO21" i="6"/>
  <c r="CO17" i="6"/>
  <c r="CO13" i="6"/>
  <c r="CO24" i="6"/>
  <c r="CT49" i="6"/>
  <c r="BT16" i="6"/>
  <c r="BQ16" i="6"/>
  <c r="BS16" i="6"/>
  <c r="BP16" i="6"/>
  <c r="BN16" i="6"/>
  <c r="BM16" i="6"/>
  <c r="BL16" i="6"/>
  <c r="BK16" i="6"/>
  <c r="BJ16" i="6"/>
  <c r="BR16" i="6"/>
  <c r="CB16" i="6" s="1"/>
  <c r="BU16" i="6"/>
  <c r="BT13" i="6"/>
  <c r="BS13" i="6"/>
  <c r="BU13" i="6"/>
  <c r="CK49" i="11533"/>
  <c r="CK49" i="11532"/>
  <c r="AB82" i="11533"/>
  <c r="AF82" i="11533" s="1"/>
  <c r="AB75" i="11533"/>
  <c r="CM50" i="11533"/>
  <c r="AO84" i="11533"/>
  <c r="H12" i="3" s="1"/>
  <c r="AV49" i="11533"/>
  <c r="CW49" i="11533"/>
  <c r="CO50" i="11533" s="1"/>
  <c r="AB89" i="11533" s="1"/>
  <c r="AO88" i="11533"/>
  <c r="CJ50" i="11533"/>
  <c r="CE47" i="11533"/>
  <c r="CG42" i="11533"/>
  <c r="CE33" i="11533"/>
  <c r="CE21" i="11533"/>
  <c r="CG19" i="11533"/>
  <c r="CG16" i="11533"/>
  <c r="CG12" i="11533"/>
  <c r="CE35" i="11533"/>
  <c r="CG37" i="11533"/>
  <c r="CG46" i="11533"/>
  <c r="CE39" i="11533"/>
  <c r="CG32" i="11533"/>
  <c r="CG30" i="11533"/>
  <c r="CG22" i="11533"/>
  <c r="CE17" i="11533"/>
  <c r="CE13" i="11533"/>
  <c r="CG48" i="11533"/>
  <c r="CE41" i="11533"/>
  <c r="CG36" i="11533"/>
  <c r="CG34" i="11533"/>
  <c r="CG35" i="11533"/>
  <c r="CE42" i="11533"/>
  <c r="CG39" i="11533"/>
  <c r="CG28" i="11533"/>
  <c r="CE28" i="11533"/>
  <c r="CE40" i="11533"/>
  <c r="CE22" i="11533"/>
  <c r="CE12" i="11533"/>
  <c r="CG40" i="11533"/>
  <c r="CG38" i="11533"/>
  <c r="CE37" i="11533"/>
  <c r="CE29" i="11533"/>
  <c r="CE38" i="11533"/>
  <c r="CE16" i="11533"/>
  <c r="CG25" i="11533"/>
  <c r="CG24" i="11533"/>
  <c r="CG21" i="11533"/>
  <c r="CE18" i="11533"/>
  <c r="CE48" i="11533"/>
  <c r="CG45" i="11533"/>
  <c r="CG44" i="11533"/>
  <c r="CE34" i="11533"/>
  <c r="CG29" i="11533"/>
  <c r="CE19" i="11533"/>
  <c r="CG27" i="11533"/>
  <c r="G106" i="11533"/>
  <c r="O106" i="11533" s="1"/>
  <c r="CE36" i="11533"/>
  <c r="CE24" i="11533"/>
  <c r="CG18" i="11533"/>
  <c r="CG23" i="11533"/>
  <c r="CE25" i="11533"/>
  <c r="CG26" i="11533"/>
  <c r="CE26" i="11533"/>
  <c r="CE15" i="11533"/>
  <c r="AB100" i="11533"/>
  <c r="AF100" i="11533" s="1"/>
  <c r="CE20" i="11533"/>
  <c r="CG43" i="11533"/>
  <c r="CE31" i="11533"/>
  <c r="CE44" i="11533"/>
  <c r="CE43" i="11533"/>
  <c r="CG14" i="11533"/>
  <c r="CG47" i="11533"/>
  <c r="CE23" i="11533"/>
  <c r="CG20" i="11533"/>
  <c r="CG31" i="11533"/>
  <c r="CE45" i="11533"/>
  <c r="CE46" i="11533"/>
  <c r="CE27" i="11533"/>
  <c r="CE32" i="11533"/>
  <c r="CG41" i="11533"/>
  <c r="CG13" i="11533"/>
  <c r="CE14" i="11533"/>
  <c r="CG11" i="11533"/>
  <c r="I83" i="11533"/>
  <c r="C12" i="3" s="1"/>
  <c r="CG33" i="11533"/>
  <c r="CE30" i="11533"/>
  <c r="CG17" i="11533"/>
  <c r="CG15" i="11533"/>
  <c r="CE11" i="11533"/>
  <c r="O87" i="11533"/>
  <c r="AO118" i="11533" s="1"/>
  <c r="AB77" i="11533"/>
  <c r="AF77" i="11533" s="1"/>
  <c r="BD49" i="11533"/>
  <c r="L74" i="11533" s="1"/>
  <c r="BO49" i="11532"/>
  <c r="G107" i="11532" s="1"/>
  <c r="O107" i="11532" s="1"/>
  <c r="AO106" i="11532" s="1"/>
  <c r="CI48" i="11532"/>
  <c r="CI44" i="11532"/>
  <c r="CI40" i="11532"/>
  <c r="CI36" i="11532"/>
  <c r="CI32" i="11532"/>
  <c r="CI28" i="11532"/>
  <c r="CI24" i="11532"/>
  <c r="CI20" i="11532"/>
  <c r="CI16" i="11532"/>
  <c r="CI12" i="11532"/>
  <c r="CH48" i="11532"/>
  <c r="CH44" i="11532"/>
  <c r="CH40" i="11532"/>
  <c r="CH36" i="11532"/>
  <c r="CH32" i="11532"/>
  <c r="CH28" i="11532"/>
  <c r="CH24" i="11532"/>
  <c r="CH20" i="11532"/>
  <c r="CH16" i="11532"/>
  <c r="CG48" i="11532"/>
  <c r="CG44" i="11532"/>
  <c r="CG40" i="11532"/>
  <c r="CG36" i="11532"/>
  <c r="CG32" i="11532"/>
  <c r="CG28" i="11532"/>
  <c r="CG24" i="11532"/>
  <c r="CG20" i="11532"/>
  <c r="CG16" i="11532"/>
  <c r="CG12" i="11532"/>
  <c r="CF48" i="11532"/>
  <c r="CE48" i="11532"/>
  <c r="CE44" i="11532"/>
  <c r="CE40" i="11532"/>
  <c r="CE36" i="11532"/>
  <c r="CE32" i="11532"/>
  <c r="CE28" i="11532"/>
  <c r="CE24" i="11532"/>
  <c r="CE20" i="11532"/>
  <c r="CE16" i="11532"/>
  <c r="CE12" i="11532"/>
  <c r="CG46" i="11532"/>
  <c r="CH39" i="11532"/>
  <c r="CE37" i="11532"/>
  <c r="CG30" i="11532"/>
  <c r="CH23" i="11532"/>
  <c r="CE21" i="11532"/>
  <c r="CG14" i="11532"/>
  <c r="CF12" i="11532"/>
  <c r="CF16" i="11532"/>
  <c r="CF46" i="11532"/>
  <c r="CG39" i="11532"/>
  <c r="CF32" i="11532"/>
  <c r="CF30" i="11532"/>
  <c r="CG23" i="11532"/>
  <c r="CF14" i="11532"/>
  <c r="CI43" i="11532"/>
  <c r="CF41" i="11532"/>
  <c r="CI27" i="11532"/>
  <c r="CF25" i="11532"/>
  <c r="CE46" i="11532"/>
  <c r="CI41" i="11532"/>
  <c r="CF39" i="11532"/>
  <c r="CE30" i="11532"/>
  <c r="CI25" i="11532"/>
  <c r="CF23" i="11532"/>
  <c r="CE14" i="11532"/>
  <c r="CG25" i="11532"/>
  <c r="CI18" i="11532"/>
  <c r="J64" i="11532"/>
  <c r="J115" i="11532" s="1"/>
  <c r="CH41" i="11532"/>
  <c r="CE39" i="11532"/>
  <c r="CH25" i="11532"/>
  <c r="CE23" i="11532"/>
  <c r="CI34" i="11532"/>
  <c r="CG41" i="11532"/>
  <c r="CH34" i="11532"/>
  <c r="AB100" i="11532"/>
  <c r="AF100" i="11532" s="1"/>
  <c r="CH43" i="11532"/>
  <c r="CE41" i="11532"/>
  <c r="CG34" i="11532"/>
  <c r="CF47" i="11532"/>
  <c r="CH22" i="11532"/>
  <c r="CI21" i="11532"/>
  <c r="CH13" i="11532"/>
  <c r="CG13" i="11532"/>
  <c r="CE13" i="11532"/>
  <c r="CG19" i="11532"/>
  <c r="CE18" i="11532"/>
  <c r="CE43" i="11532"/>
  <c r="CG22" i="11532"/>
  <c r="CH21" i="11532"/>
  <c r="CF20" i="11532"/>
  <c r="CH18" i="11532"/>
  <c r="CH12" i="11532"/>
  <c r="CF36" i="11532"/>
  <c r="CF19" i="11532"/>
  <c r="CI11" i="11532"/>
  <c r="CF22" i="11532"/>
  <c r="CG21" i="11532"/>
  <c r="CF13" i="11532"/>
  <c r="CI19" i="11532"/>
  <c r="CG43" i="11532"/>
  <c r="CF43" i="11532"/>
  <c r="CE22" i="11532"/>
  <c r="CF21" i="11532"/>
  <c r="CG18" i="11532"/>
  <c r="CF34" i="11532"/>
  <c r="CH19" i="11532"/>
  <c r="CF18" i="11532"/>
  <c r="CI45" i="11532"/>
  <c r="CF44" i="11532"/>
  <c r="CH42" i="11532"/>
  <c r="CI38" i="11532"/>
  <c r="CH37" i="11532"/>
  <c r="CI35" i="11532"/>
  <c r="CI33" i="11532"/>
  <c r="CH27" i="11532"/>
  <c r="CH17" i="11532"/>
  <c r="CF11" i="11532"/>
  <c r="I83" i="11532"/>
  <c r="C16" i="3" s="1"/>
  <c r="CH45" i="11532"/>
  <c r="CG42" i="11532"/>
  <c r="CF40" i="11532"/>
  <c r="CI39" i="11532"/>
  <c r="CH38" i="11532"/>
  <c r="CG37" i="11532"/>
  <c r="CH35" i="11532"/>
  <c r="CH33" i="11532"/>
  <c r="CI31" i="11532"/>
  <c r="CI47" i="11532"/>
  <c r="CE31" i="11532"/>
  <c r="CF29" i="11532"/>
  <c r="CH26" i="11532"/>
  <c r="CE25" i="11532"/>
  <c r="CI15" i="11532"/>
  <c r="CH47" i="11532"/>
  <c r="CF45" i="11532"/>
  <c r="CE27" i="11532"/>
  <c r="CI22" i="11532"/>
  <c r="CE34" i="11532"/>
  <c r="CE17" i="11532"/>
  <c r="CF28" i="11532"/>
  <c r="CI13" i="11532"/>
  <c r="CI26" i="11532"/>
  <c r="CG47" i="11532"/>
  <c r="CE45" i="11532"/>
  <c r="CF24" i="11532"/>
  <c r="CI14" i="11532"/>
  <c r="CF33" i="11532"/>
  <c r="CI37" i="11532"/>
  <c r="CI30" i="11532"/>
  <c r="CE19" i="11532"/>
  <c r="CE47" i="11532"/>
  <c r="CH29" i="11532"/>
  <c r="CI42" i="11532"/>
  <c r="CG29" i="11532"/>
  <c r="CE29" i="11532"/>
  <c r="CG26" i="11532"/>
  <c r="CE11" i="11532"/>
  <c r="CH14" i="11532"/>
  <c r="CI17" i="11532"/>
  <c r="CG33" i="11532"/>
  <c r="CF17" i="11532"/>
  <c r="CE33" i="11532"/>
  <c r="CI46" i="11532"/>
  <c r="CH46" i="11532"/>
  <c r="CF38" i="11532"/>
  <c r="CE38" i="11532"/>
  <c r="CG11" i="11532"/>
  <c r="CI29" i="11532"/>
  <c r="CH11" i="11532"/>
  <c r="CG17" i="11532"/>
  <c r="CF42" i="11532"/>
  <c r="CF37" i="11532"/>
  <c r="CH30" i="11532"/>
  <c r="CF15" i="11532"/>
  <c r="CF31" i="11532"/>
  <c r="CH15" i="11532"/>
  <c r="CG35" i="11532"/>
  <c r="CI23" i="11532"/>
  <c r="CG15" i="11532"/>
  <c r="G106" i="11532"/>
  <c r="O106" i="11532" s="1"/>
  <c r="CF35" i="11532"/>
  <c r="CE35" i="11532"/>
  <c r="CH31" i="11532"/>
  <c r="CE15" i="11532"/>
  <c r="CG38" i="11532"/>
  <c r="CG31" i="11532"/>
  <c r="CE42" i="11532"/>
  <c r="CG27" i="11532"/>
  <c r="CF26" i="11532"/>
  <c r="CG45" i="11532"/>
  <c r="CF27" i="11532"/>
  <c r="CE26" i="11532"/>
  <c r="AO88" i="11532"/>
  <c r="I16" i="3" s="1"/>
  <c r="CJ50" i="11532"/>
  <c r="BV49" i="11532"/>
  <c r="BY49" i="11532"/>
  <c r="AB75" i="11532"/>
  <c r="AB82" i="11532"/>
  <c r="AF82" i="11532" s="1"/>
  <c r="O87" i="11532"/>
  <c r="AO118" i="11532" s="1"/>
  <c r="AB77" i="11532"/>
  <c r="AF77" i="11532" s="1"/>
  <c r="AB91" i="11532"/>
  <c r="AF91" i="11532" s="1"/>
  <c r="AF89" i="11532"/>
  <c r="CD49" i="11532"/>
  <c r="AO84" i="11532"/>
  <c r="H16" i="3" s="1"/>
  <c r="CM50" i="11532"/>
  <c r="BD49" i="11532"/>
  <c r="L74" i="11532" s="1"/>
  <c r="BE15" i="6"/>
  <c r="CQ20" i="6"/>
  <c r="BS31" i="6"/>
  <c r="BR27" i="6"/>
  <c r="CB27" i="6" s="1"/>
  <c r="BQ15" i="6"/>
  <c r="BT44" i="6"/>
  <c r="AW43" i="6"/>
  <c r="BU40" i="6"/>
  <c r="BR31" i="6"/>
  <c r="CB31" i="6" s="1"/>
  <c r="BL28" i="6"/>
  <c r="BQ27" i="6"/>
  <c r="BS20" i="6"/>
  <c r="BP15" i="6"/>
  <c r="BE44" i="6"/>
  <c r="BU27" i="6"/>
  <c r="BT27" i="6"/>
  <c r="CQ44" i="6"/>
  <c r="BQ31" i="6"/>
  <c r="BP27" i="6"/>
  <c r="CQ26" i="6"/>
  <c r="CQ19" i="6"/>
  <c r="BR44" i="6"/>
  <c r="CB44" i="6" s="1"/>
  <c r="BS40" i="6"/>
  <c r="AW38" i="6"/>
  <c r="BP31" i="6"/>
  <c r="BU30" i="6"/>
  <c r="BJ28" i="6"/>
  <c r="BN27" i="6"/>
  <c r="BQ20" i="6"/>
  <c r="BN19" i="6"/>
  <c r="BU18" i="6"/>
  <c r="BM15" i="6"/>
  <c r="BE39" i="6"/>
  <c r="BS15" i="6"/>
  <c r="BS44" i="6"/>
  <c r="BT40" i="6"/>
  <c r="BK28" i="6"/>
  <c r="BR20" i="6"/>
  <c r="CB20" i="6" s="1"/>
  <c r="BN15" i="6"/>
  <c r="BQ44" i="6"/>
  <c r="BR40" i="6"/>
  <c r="CB40" i="6" s="1"/>
  <c r="BR33" i="6"/>
  <c r="CB33" i="6" s="1"/>
  <c r="BN31" i="6"/>
  <c r="BT30" i="6"/>
  <c r="BM27" i="6"/>
  <c r="BP20" i="6"/>
  <c r="BM19" i="6"/>
  <c r="BT18" i="6"/>
  <c r="BL15" i="6"/>
  <c r="BE27" i="6"/>
  <c r="CQ42" i="6"/>
  <c r="BE38" i="6"/>
  <c r="CQ24" i="6"/>
  <c r="BT15" i="6"/>
  <c r="BU31" i="6"/>
  <c r="BR15" i="6"/>
  <c r="CB15" i="6" s="1"/>
  <c r="BP44" i="6"/>
  <c r="AW39" i="6"/>
  <c r="BQ33" i="6"/>
  <c r="BM31" i="6"/>
  <c r="BL19" i="6"/>
  <c r="BS18" i="6"/>
  <c r="BN44" i="6"/>
  <c r="BT43" i="6"/>
  <c r="BP40" i="6"/>
  <c r="BN34" i="6"/>
  <c r="BP33" i="6"/>
  <c r="BL31" i="6"/>
  <c r="BR30" i="6"/>
  <c r="CB30" i="6" s="1"/>
  <c r="BK27" i="6"/>
  <c r="BM20" i="6"/>
  <c r="BK19" i="6"/>
  <c r="BR18" i="6"/>
  <c r="CB18" i="6" s="1"/>
  <c r="BJ15" i="6"/>
  <c r="BU15" i="6"/>
  <c r="AW40" i="6"/>
  <c r="BT31" i="6"/>
  <c r="BS27" i="6"/>
  <c r="BU43" i="6"/>
  <c r="BQ40" i="6"/>
  <c r="BP34" i="6"/>
  <c r="BS30" i="6"/>
  <c r="BL27" i="6"/>
  <c r="BN20" i="6"/>
  <c r="BM44" i="6"/>
  <c r="BN40" i="6"/>
  <c r="BQ30" i="6"/>
  <c r="BR14" i="6"/>
  <c r="CB14" i="6" s="1"/>
  <c r="BK12" i="6"/>
  <c r="BQ14" i="6"/>
  <c r="BE14" i="6"/>
  <c r="BL32" i="6"/>
  <c r="BN26" i="6"/>
  <c r="BJ26" i="6"/>
  <c r="BM26" i="6"/>
  <c r="BK26" i="6"/>
  <c r="BL26" i="6"/>
  <c r="BP26" i="6"/>
  <c r="BQ26" i="6"/>
  <c r="BR26" i="6"/>
  <c r="CB26" i="6" s="1"/>
  <c r="BU26" i="6"/>
  <c r="BS26" i="6"/>
  <c r="BT26" i="6"/>
  <c r="BM12" i="6"/>
  <c r="BR12" i="6"/>
  <c r="CB12" i="6" s="1"/>
  <c r="BN12" i="6"/>
  <c r="BP12" i="6"/>
  <c r="BQ12" i="6"/>
  <c r="BS12" i="6"/>
  <c r="BT12" i="6"/>
  <c r="BL12" i="6"/>
  <c r="BE12" i="6"/>
  <c r="BJ12" i="6"/>
  <c r="BM24" i="6"/>
  <c r="BN24" i="6"/>
  <c r="BQ24" i="6"/>
  <c r="BP24" i="6"/>
  <c r="BR24" i="6"/>
  <c r="CB24" i="6" s="1"/>
  <c r="BT24" i="6"/>
  <c r="BS24" i="6"/>
  <c r="BL24" i="6"/>
  <c r="BU24" i="6"/>
  <c r="BU32" i="6"/>
  <c r="BM32" i="6"/>
  <c r="BN32" i="6"/>
  <c r="BT32" i="6"/>
  <c r="BP32" i="6"/>
  <c r="BR32" i="6"/>
  <c r="CB32" i="6" s="1"/>
  <c r="BS32" i="6"/>
  <c r="BQ32" i="6"/>
  <c r="BE32" i="6"/>
  <c r="BJ32" i="6"/>
  <c r="BM48" i="6"/>
  <c r="BN48" i="6"/>
  <c r="BQ48" i="6"/>
  <c r="BP48" i="6"/>
  <c r="BR48" i="6"/>
  <c r="CB48" i="6" s="1"/>
  <c r="BS48" i="6"/>
  <c r="BT48" i="6"/>
  <c r="BI48" i="6"/>
  <c r="BK48" i="6"/>
  <c r="BJ48" i="6"/>
  <c r="BU48" i="6"/>
  <c r="BW48" i="6"/>
  <c r="BL48" i="6"/>
  <c r="AW48" i="6"/>
  <c r="BE48" i="6"/>
  <c r="BE26" i="6"/>
  <c r="BS45" i="6"/>
  <c r="BW45" i="6"/>
  <c r="BT45" i="6"/>
  <c r="AW45" i="6"/>
  <c r="BU45" i="6"/>
  <c r="BM45" i="6"/>
  <c r="BP45" i="6"/>
  <c r="BN45" i="6"/>
  <c r="BR45" i="6"/>
  <c r="CB45" i="6" s="1"/>
  <c r="BQ45" i="6"/>
  <c r="BE45" i="6"/>
  <c r="BJ45" i="6"/>
  <c r="BN14" i="6"/>
  <c r="BP14" i="6"/>
  <c r="BJ14" i="6"/>
  <c r="BK14" i="6"/>
  <c r="BL14" i="6"/>
  <c r="BM14" i="6"/>
  <c r="BS14" i="6"/>
  <c r="BT14" i="6"/>
  <c r="BU14" i="6"/>
  <c r="BK45" i="6"/>
  <c r="BE24" i="6"/>
  <c r="BT35" i="6"/>
  <c r="BP35" i="6"/>
  <c r="BQ35" i="6"/>
  <c r="BR35" i="6"/>
  <c r="CB35" i="6" s="1"/>
  <c r="BS35" i="6"/>
  <c r="BU35" i="6"/>
  <c r="BS21" i="6"/>
  <c r="BT21" i="6"/>
  <c r="BU21" i="6"/>
  <c r="BR21" i="6"/>
  <c r="CB21" i="6" s="1"/>
  <c r="BM36" i="6"/>
  <c r="BR36" i="6"/>
  <c r="CB36" i="6" s="1"/>
  <c r="BN36" i="6"/>
  <c r="BQ36" i="6"/>
  <c r="BP36" i="6"/>
  <c r="BS36" i="6"/>
  <c r="BK22" i="6"/>
  <c r="BE19" i="6"/>
  <c r="BK13" i="6"/>
  <c r="BL13" i="6"/>
  <c r="BM13" i="6"/>
  <c r="BN13" i="6"/>
  <c r="BP13" i="6"/>
  <c r="BQ13" i="6"/>
  <c r="BR13" i="6"/>
  <c r="CB13" i="6" s="1"/>
  <c r="BJ13" i="6"/>
  <c r="BE25" i="6"/>
  <c r="BP21" i="6"/>
  <c r="BU20" i="6"/>
  <c r="BT20" i="6"/>
  <c r="BU19" i="6"/>
  <c r="BE13" i="6"/>
  <c r="BS33" i="6"/>
  <c r="BT33" i="6"/>
  <c r="BU33" i="6"/>
  <c r="BE22" i="6"/>
  <c r="BE46" i="6"/>
  <c r="BK37" i="6"/>
  <c r="BL37" i="6"/>
  <c r="BM37" i="6"/>
  <c r="BP37" i="6"/>
  <c r="BN37" i="6"/>
  <c r="BQ37" i="6"/>
  <c r="BE33" i="6"/>
  <c r="BQ21" i="6"/>
  <c r="BT19" i="6"/>
  <c r="BS47" i="6"/>
  <c r="BP47" i="6"/>
  <c r="BQ47" i="6"/>
  <c r="BR47" i="6"/>
  <c r="CB47" i="6" s="1"/>
  <c r="BT47" i="6"/>
  <c r="AW47" i="6"/>
  <c r="BU47" i="6"/>
  <c r="BR38" i="6"/>
  <c r="CB38" i="6" s="1"/>
  <c r="BN35" i="6"/>
  <c r="BQ34" i="6"/>
  <c r="BU34" i="6"/>
  <c r="BR34" i="6"/>
  <c r="CB34" i="6" s="1"/>
  <c r="BS34" i="6"/>
  <c r="BT34" i="6"/>
  <c r="BK31" i="6"/>
  <c r="BN21" i="6"/>
  <c r="BE20" i="6"/>
  <c r="BS19" i="6"/>
  <c r="BP23" i="6"/>
  <c r="BT23" i="6"/>
  <c r="BQ23" i="6"/>
  <c r="BR23" i="6"/>
  <c r="CB23" i="6" s="1"/>
  <c r="BS23" i="6"/>
  <c r="BU23" i="6"/>
  <c r="BN23" i="6"/>
  <c r="BM21" i="6"/>
  <c r="BR19" i="6"/>
  <c r="CB19" i="6" s="1"/>
  <c r="BQ46" i="6"/>
  <c r="BU46" i="6"/>
  <c r="BR46" i="6"/>
  <c r="CB46" i="6" s="1"/>
  <c r="BS46" i="6"/>
  <c r="AW46" i="6"/>
  <c r="BT46" i="6"/>
  <c r="BW46" i="6"/>
  <c r="BK25" i="6"/>
  <c r="BP25" i="6"/>
  <c r="BL25" i="6"/>
  <c r="BM25" i="6"/>
  <c r="BN25" i="6"/>
  <c r="BQ25" i="6"/>
  <c r="BJ25" i="6"/>
  <c r="BE43" i="6"/>
  <c r="BM35" i="6"/>
  <c r="BE47" i="6"/>
  <c r="BL35" i="6"/>
  <c r="BE34" i="6"/>
  <c r="BL21" i="6"/>
  <c r="BQ19" i="6"/>
  <c r="AW44" i="6"/>
  <c r="BU44" i="6"/>
  <c r="BK35" i="6"/>
  <c r="BE23" i="6"/>
  <c r="BK21" i="6"/>
  <c r="BP19" i="6"/>
  <c r="BQ22" i="6"/>
  <c r="BR22" i="6"/>
  <c r="CB22" i="6" s="1"/>
  <c r="BU22" i="6"/>
  <c r="BS22" i="6"/>
  <c r="BT22" i="6"/>
  <c r="BP22" i="6"/>
  <c r="BE37" i="6"/>
  <c r="AW36" i="6"/>
  <c r="BM38" i="6"/>
  <c r="BN38" i="6"/>
  <c r="BJ38" i="6"/>
  <c r="BK38" i="6"/>
  <c r="BL38" i="6"/>
  <c r="BJ35" i="6"/>
  <c r="BE31" i="6"/>
  <c r="BJ21" i="6"/>
  <c r="BE18" i="6"/>
  <c r="BE41" i="6"/>
  <c r="BE29" i="6"/>
  <c r="BE17" i="6"/>
  <c r="BG10" i="2826"/>
  <c r="BG28" i="2826" s="1"/>
  <c r="AP27" i="2826"/>
  <c r="F74" i="2826" s="1"/>
  <c r="Q74" i="2826" s="1"/>
  <c r="AQ27" i="2826"/>
  <c r="F75" i="2826" s="1"/>
  <c r="Q75" i="2826" s="1"/>
  <c r="BG23" i="2826"/>
  <c r="BG18" i="2826"/>
  <c r="BG17" i="2826"/>
  <c r="BG16" i="2826"/>
  <c r="BG20" i="2826"/>
  <c r="BF28" i="2826"/>
  <c r="AO27" i="2826"/>
  <c r="F73" i="2826" s="1"/>
  <c r="BO47" i="6" l="1"/>
  <c r="BK11" i="11535"/>
  <c r="BK12" i="11535"/>
  <c r="BK36" i="11535"/>
  <c r="BK38" i="11535"/>
  <c r="BK15" i="11535"/>
  <c r="BK16" i="11535"/>
  <c r="BK17" i="11535"/>
  <c r="BK18" i="11535"/>
  <c r="BK19" i="11535"/>
  <c r="BK21" i="11535"/>
  <c r="BK22" i="11535"/>
  <c r="BK26" i="11535"/>
  <c r="BK28" i="11535"/>
  <c r="BK30" i="11535"/>
  <c r="BK32" i="11535"/>
  <c r="BK34" i="11535"/>
  <c r="BK13" i="11535"/>
  <c r="BK37" i="11535"/>
  <c r="BK14" i="11535"/>
  <c r="BK39" i="11535"/>
  <c r="BK40" i="11535"/>
  <c r="BK41" i="11535"/>
  <c r="BK42" i="11535"/>
  <c r="BK20" i="11535"/>
  <c r="BK23" i="11535"/>
  <c r="BK24" i="11535"/>
  <c r="BK25" i="11535"/>
  <c r="BK27" i="11535"/>
  <c r="BK29" i="11535"/>
  <c r="BK31" i="11535"/>
  <c r="BK35" i="11535"/>
  <c r="BK33" i="11535"/>
  <c r="BH39" i="11535"/>
  <c r="BH22" i="11535"/>
  <c r="BH42" i="11535"/>
  <c r="BH35" i="11535"/>
  <c r="BH41" i="11535"/>
  <c r="BH15" i="11535"/>
  <c r="BH19" i="11535"/>
  <c r="BH23" i="11535"/>
  <c r="BH27" i="11535"/>
  <c r="BH31" i="11535"/>
  <c r="BH26" i="11535"/>
  <c r="BH38" i="11535"/>
  <c r="BH16" i="11535"/>
  <c r="BH20" i="11535"/>
  <c r="BH24" i="11535"/>
  <c r="BH28" i="11535"/>
  <c r="BH32" i="11535"/>
  <c r="BH36" i="11535"/>
  <c r="BH40" i="11535"/>
  <c r="BH37" i="11535"/>
  <c r="BH30" i="11535"/>
  <c r="BH18" i="11535"/>
  <c r="BH34" i="11535"/>
  <c r="BH17" i="11535"/>
  <c r="BH21" i="11535"/>
  <c r="BH25" i="11535"/>
  <c r="BH29" i="11535"/>
  <c r="BH33" i="11535"/>
  <c r="BH14" i="11535"/>
  <c r="BH12" i="11535"/>
  <c r="BH11" i="11535"/>
  <c r="BH13" i="11535"/>
  <c r="AR34" i="5"/>
  <c r="AL33" i="5"/>
  <c r="CS49" i="6"/>
  <c r="CR49" i="6"/>
  <c r="CD49" i="11533"/>
  <c r="AJ34" i="5"/>
  <c r="I12" i="3"/>
  <c r="I13" i="3" s="1"/>
  <c r="AR32" i="5"/>
  <c r="BY11" i="11533"/>
  <c r="AR35" i="5"/>
  <c r="AJ35" i="5"/>
  <c r="BV22" i="11533"/>
  <c r="BY22" i="11533"/>
  <c r="BV17" i="11533"/>
  <c r="BY17" i="11533"/>
  <c r="BV25" i="11533"/>
  <c r="BY25" i="11533"/>
  <c r="BY15" i="11533"/>
  <c r="BV15" i="11533"/>
  <c r="BV18" i="11533"/>
  <c r="BY18" i="11533"/>
  <c r="BV20" i="11533"/>
  <c r="BY20" i="11533"/>
  <c r="BV21" i="11533"/>
  <c r="BY21" i="11533"/>
  <c r="BY23" i="11533"/>
  <c r="BV23" i="11533"/>
  <c r="BV14" i="11533"/>
  <c r="BY14" i="11533"/>
  <c r="BV19" i="11533"/>
  <c r="BY19" i="11533"/>
  <c r="BV24" i="11533"/>
  <c r="BY24" i="11533"/>
  <c r="BV16" i="11533"/>
  <c r="BY16" i="11533"/>
  <c r="BY26" i="11533"/>
  <c r="BV26" i="11533"/>
  <c r="BV13" i="11533"/>
  <c r="BY13" i="11533"/>
  <c r="BO26" i="11533"/>
  <c r="BO24" i="11533"/>
  <c r="BY12" i="11533"/>
  <c r="BO23" i="11533"/>
  <c r="BO19" i="11533"/>
  <c r="BO13" i="11533"/>
  <c r="BO20" i="11533"/>
  <c r="BO22" i="11533"/>
  <c r="H13" i="3"/>
  <c r="BI49" i="11533"/>
  <c r="L71" i="11533" s="1"/>
  <c r="AA50" i="11533" s="1"/>
  <c r="BO11" i="11533"/>
  <c r="Y92" i="11532"/>
  <c r="Y93" i="11532" s="1"/>
  <c r="AV43" i="11535"/>
  <c r="I71" i="11535"/>
  <c r="C45" i="3" s="1"/>
  <c r="O76" i="11535"/>
  <c r="G92" i="11535"/>
  <c r="O92" i="11535" s="1"/>
  <c r="AF96" i="11535" s="1"/>
  <c r="N45" i="3" s="1"/>
  <c r="T87" i="11535"/>
  <c r="X87" i="11535" s="1"/>
  <c r="AF77" i="11535" s="1"/>
  <c r="I75" i="11535"/>
  <c r="O75" i="11535" s="1"/>
  <c r="O60" i="11535"/>
  <c r="AF76" i="11535" s="1"/>
  <c r="L70" i="11535"/>
  <c r="AV13" i="11534"/>
  <c r="AO37" i="11534"/>
  <c r="L51" i="11534" s="1"/>
  <c r="AV11" i="11534"/>
  <c r="BF37" i="11534"/>
  <c r="I64" i="11534"/>
  <c r="G42" i="11534"/>
  <c r="AW37" i="11534"/>
  <c r="L54" i="11534"/>
  <c r="V38" i="11534"/>
  <c r="BC37" i="11534"/>
  <c r="BG37" i="11534"/>
  <c r="T72" i="11534"/>
  <c r="X72" i="11534" s="1"/>
  <c r="O62" i="11534"/>
  <c r="AF83" i="11534" s="1"/>
  <c r="BE11" i="11534"/>
  <c r="BE37" i="11534" s="1"/>
  <c r="AY37" i="11534"/>
  <c r="I65" i="11534" s="1"/>
  <c r="CO49" i="6"/>
  <c r="BO45" i="6"/>
  <c r="I89" i="11533"/>
  <c r="O89" i="11533" s="1"/>
  <c r="AO132" i="11533" s="1"/>
  <c r="AB102" i="11533"/>
  <c r="AF102" i="11533" s="1"/>
  <c r="O74" i="11533"/>
  <c r="CE49" i="11533"/>
  <c r="AB91" i="11533"/>
  <c r="AF91" i="11533" s="1"/>
  <c r="AF89" i="11533"/>
  <c r="AB101" i="11533"/>
  <c r="AF101" i="11533" s="1"/>
  <c r="O86" i="11533"/>
  <c r="AO119" i="11533" s="1"/>
  <c r="BZ31" i="11533"/>
  <c r="BZ29" i="11533"/>
  <c r="BZ15" i="11533"/>
  <c r="BZ11" i="11533"/>
  <c r="BZ40" i="11533"/>
  <c r="BZ47" i="11533"/>
  <c r="AB107" i="11533"/>
  <c r="AF107" i="11533" s="1"/>
  <c r="AO91" i="11533" s="1"/>
  <c r="M12" i="3" s="1"/>
  <c r="O85" i="11533"/>
  <c r="AO117" i="11533" s="1"/>
  <c r="BZ42" i="11533"/>
  <c r="BZ41" i="11533"/>
  <c r="BZ23" i="11533"/>
  <c r="BZ19" i="11533"/>
  <c r="BZ28" i="11533"/>
  <c r="BZ39" i="11533"/>
  <c r="AA52" i="11533"/>
  <c r="BZ30" i="11533"/>
  <c r="BZ37" i="11533"/>
  <c r="BZ26" i="11533"/>
  <c r="BZ14" i="11533"/>
  <c r="BZ34" i="11533"/>
  <c r="BZ20" i="11533"/>
  <c r="O83" i="11533"/>
  <c r="BZ24" i="11533"/>
  <c r="BZ38" i="11533"/>
  <c r="BZ25" i="11533"/>
  <c r="BZ48" i="11533"/>
  <c r="BZ35" i="11533"/>
  <c r="BZ18" i="11533"/>
  <c r="BZ17" i="11533"/>
  <c r="BZ43" i="11533"/>
  <c r="BZ44" i="11533"/>
  <c r="BZ21" i="11533"/>
  <c r="BZ27" i="11533"/>
  <c r="O84" i="11533"/>
  <c r="AO116" i="11533" s="1"/>
  <c r="BZ22" i="11533"/>
  <c r="BZ12" i="11533"/>
  <c r="BZ16" i="11533"/>
  <c r="BZ45" i="11533"/>
  <c r="BZ36" i="11533"/>
  <c r="BZ32" i="11533"/>
  <c r="BZ46" i="11533"/>
  <c r="BZ13" i="11533"/>
  <c r="BZ33" i="11533"/>
  <c r="CG49" i="11533"/>
  <c r="AB73" i="11533"/>
  <c r="AB78" i="11533"/>
  <c r="AF78" i="11533" s="1"/>
  <c r="AF75" i="11533"/>
  <c r="AO110" i="11533"/>
  <c r="AO110" i="11532"/>
  <c r="N16" i="3" s="1"/>
  <c r="CH50" i="11532"/>
  <c r="CE49" i="11532"/>
  <c r="CH49" i="11532"/>
  <c r="CF49" i="11532"/>
  <c r="AB102" i="11532"/>
  <c r="AF102" i="11532" s="1"/>
  <c r="I89" i="11532"/>
  <c r="O89" i="11532" s="1"/>
  <c r="AO132" i="11532" s="1"/>
  <c r="O74" i="11532"/>
  <c r="AB78" i="11532"/>
  <c r="AF78" i="11532" s="1"/>
  <c r="AB73" i="11532"/>
  <c r="AF75" i="11532"/>
  <c r="CG49" i="11532"/>
  <c r="CI49" i="11532"/>
  <c r="CA47" i="11532"/>
  <c r="CA43" i="11532"/>
  <c r="CA39" i="11532"/>
  <c r="CA35" i="11532"/>
  <c r="CA31" i="11532"/>
  <c r="CA27" i="11532"/>
  <c r="CA23" i="11532"/>
  <c r="CA19" i="11532"/>
  <c r="CA15" i="11532"/>
  <c r="E90" i="11532"/>
  <c r="BZ47" i="11532"/>
  <c r="BZ43" i="11532"/>
  <c r="BZ39" i="11532"/>
  <c r="BZ35" i="11532"/>
  <c r="BZ31" i="11532"/>
  <c r="BZ27" i="11532"/>
  <c r="BZ23" i="11532"/>
  <c r="BZ19" i="11532"/>
  <c r="BZ15" i="11532"/>
  <c r="BZ11" i="11532"/>
  <c r="O85" i="11532"/>
  <c r="AO117" i="11532" s="1"/>
  <c r="AE71" i="11532"/>
  <c r="BZ42" i="11532"/>
  <c r="BZ26" i="11532"/>
  <c r="CA16" i="11532"/>
  <c r="CA46" i="11532"/>
  <c r="BZ21" i="11532"/>
  <c r="BZ12" i="11532"/>
  <c r="CA30" i="11532"/>
  <c r="O86" i="11532"/>
  <c r="AO119" i="11532" s="1"/>
  <c r="CA37" i="11532"/>
  <c r="CA21" i="11532"/>
  <c r="CA12" i="11532"/>
  <c r="CA32" i="11532"/>
  <c r="BZ32" i="11532"/>
  <c r="AB107" i="11532"/>
  <c r="AF107" i="11532" s="1"/>
  <c r="AO91" i="11532" s="1"/>
  <c r="M16" i="3" s="1"/>
  <c r="AA52" i="11532"/>
  <c r="BZ37" i="11532"/>
  <c r="CA48" i="11532"/>
  <c r="BZ48" i="11532"/>
  <c r="BZ46" i="11532"/>
  <c r="O83" i="11532"/>
  <c r="CA13" i="11532"/>
  <c r="BZ20" i="11532"/>
  <c r="BZ13" i="11532"/>
  <c r="CA20" i="11532"/>
  <c r="BZ22" i="11532"/>
  <c r="O84" i="11532"/>
  <c r="AO116" i="11532" s="1"/>
  <c r="CA22" i="11532"/>
  <c r="BZ36" i="11532"/>
  <c r="BZ18" i="11532"/>
  <c r="CA41" i="11532"/>
  <c r="CA34" i="11532"/>
  <c r="BZ40" i="11532"/>
  <c r="CA26" i="11532"/>
  <c r="CA24" i="11532"/>
  <c r="C64" i="11532"/>
  <c r="C115" i="11532" s="1"/>
  <c r="CA42" i="11532"/>
  <c r="CA29" i="11532"/>
  <c r="CA14" i="11532"/>
  <c r="CA33" i="11532"/>
  <c r="AB101" i="11532"/>
  <c r="AF101" i="11532" s="1"/>
  <c r="BZ29" i="11532"/>
  <c r="CA17" i="11532"/>
  <c r="BZ33" i="11532"/>
  <c r="CA40" i="11532"/>
  <c r="BZ30" i="11532"/>
  <c r="CA45" i="11532"/>
  <c r="BZ24" i="11532"/>
  <c r="CA18" i="11532"/>
  <c r="BZ17" i="11532"/>
  <c r="CA44" i="11532"/>
  <c r="CA28" i="11532"/>
  <c r="CA38" i="11532"/>
  <c r="AA50" i="11532"/>
  <c r="BZ45" i="11532"/>
  <c r="CA25" i="11532"/>
  <c r="BZ14" i="11532"/>
  <c r="BZ34" i="11532"/>
  <c r="BZ25" i="11532"/>
  <c r="BZ44" i="11532"/>
  <c r="BZ28" i="11532"/>
  <c r="BZ41" i="11532"/>
  <c r="BZ38" i="11532"/>
  <c r="CA36" i="11532"/>
  <c r="BZ16" i="11532"/>
  <c r="CA11" i="11532"/>
  <c r="AK29" i="267"/>
  <c r="AK30" i="267"/>
  <c r="AU30" i="267" s="1"/>
  <c r="AZ30" i="267"/>
  <c r="AX30" i="267"/>
  <c r="X30" i="267"/>
  <c r="W30" i="267"/>
  <c r="BC30" i="267" s="1"/>
  <c r="AK31" i="267"/>
  <c r="AU31" i="267" s="1"/>
  <c r="X31" i="267"/>
  <c r="W31" i="267"/>
  <c r="BC31" i="267" s="1"/>
  <c r="AZ31" i="267"/>
  <c r="AX31" i="267"/>
  <c r="AK28" i="267"/>
  <c r="AX27" i="267"/>
  <c r="AZ27" i="267"/>
  <c r="X27" i="267"/>
  <c r="W27" i="267"/>
  <c r="BC27" i="267" s="1"/>
  <c r="AK27" i="267"/>
  <c r="AU27" i="267" s="1"/>
  <c r="AX32" i="267"/>
  <c r="AZ32" i="267"/>
  <c r="AK32" i="267"/>
  <c r="AU32" i="267" s="1"/>
  <c r="W32" i="267"/>
  <c r="BC32" i="267" s="1"/>
  <c r="X32" i="267"/>
  <c r="BO48" i="6"/>
  <c r="CV13" i="6"/>
  <c r="CV14" i="6"/>
  <c r="CV15" i="6"/>
  <c r="CV16" i="6"/>
  <c r="CV17" i="6"/>
  <c r="CV18" i="6"/>
  <c r="CV19" i="6"/>
  <c r="CV20" i="6"/>
  <c r="CV21" i="6"/>
  <c r="CV22" i="6"/>
  <c r="CV23" i="6"/>
  <c r="CV24" i="6"/>
  <c r="CV25" i="6"/>
  <c r="CV26" i="6"/>
  <c r="CV27" i="6"/>
  <c r="CV28" i="6"/>
  <c r="CV29" i="6"/>
  <c r="CV30" i="6"/>
  <c r="CV31" i="6"/>
  <c r="CV32" i="6"/>
  <c r="CV33" i="6"/>
  <c r="CV34" i="6"/>
  <c r="CV35" i="6"/>
  <c r="CV36" i="6"/>
  <c r="CV37" i="6"/>
  <c r="CV38" i="6"/>
  <c r="CV39" i="6"/>
  <c r="CV40" i="6"/>
  <c r="CV41" i="6"/>
  <c r="CV42" i="6"/>
  <c r="CV43" i="6"/>
  <c r="CV44" i="6"/>
  <c r="CV45" i="6"/>
  <c r="CV46" i="6"/>
  <c r="CV47" i="6"/>
  <c r="CV48" i="6"/>
  <c r="CA50" i="6"/>
  <c r="D99" i="11528"/>
  <c r="C99" i="11528"/>
  <c r="D90" i="11528"/>
  <c r="D91" i="11528"/>
  <c r="D92" i="11528"/>
  <c r="D93" i="11528"/>
  <c r="D94" i="11528"/>
  <c r="D95" i="11528"/>
  <c r="D96" i="11528"/>
  <c r="D97" i="11528"/>
  <c r="D98" i="11528"/>
  <c r="D100" i="11528"/>
  <c r="D101" i="11528"/>
  <c r="D102" i="11528"/>
  <c r="D103" i="11528"/>
  <c r="D104" i="11528"/>
  <c r="D105" i="11528"/>
  <c r="D106" i="11528"/>
  <c r="D107" i="11528"/>
  <c r="D108" i="11528"/>
  <c r="D109" i="11528"/>
  <c r="C109" i="11528"/>
  <c r="C108" i="11528"/>
  <c r="C107" i="11528"/>
  <c r="C106" i="11528"/>
  <c r="C105" i="11528"/>
  <c r="C104" i="11528"/>
  <c r="C103" i="11528"/>
  <c r="C101" i="11528"/>
  <c r="C102" i="11528"/>
  <c r="C100" i="11528"/>
  <c r="B109" i="11528"/>
  <c r="B108" i="11528"/>
  <c r="B107" i="11528"/>
  <c r="B106" i="11528"/>
  <c r="B104" i="11528"/>
  <c r="B105" i="11528"/>
  <c r="B103" i="11528"/>
  <c r="B101" i="11528"/>
  <c r="B102" i="11528"/>
  <c r="B100" i="11528"/>
  <c r="B99" i="11528"/>
  <c r="C90" i="11528"/>
  <c r="C91" i="11528"/>
  <c r="C92" i="11528"/>
  <c r="C93" i="11528"/>
  <c r="C94" i="11528"/>
  <c r="C95" i="11528"/>
  <c r="C96" i="11528"/>
  <c r="C97" i="11528"/>
  <c r="C98" i="11528"/>
  <c r="B90" i="11528"/>
  <c r="B91" i="11528"/>
  <c r="B92" i="11528"/>
  <c r="B93" i="11528"/>
  <c r="B94" i="11528"/>
  <c r="B95" i="11528"/>
  <c r="B96" i="11528"/>
  <c r="B97" i="11528"/>
  <c r="B98" i="11528"/>
  <c r="B87" i="11528"/>
  <c r="C87" i="11528"/>
  <c r="B88" i="11528"/>
  <c r="C88" i="11528"/>
  <c r="B89" i="11528"/>
  <c r="C89" i="11528"/>
  <c r="H102" i="11528"/>
  <c r="H103" i="11528"/>
  <c r="H104" i="11528"/>
  <c r="H105" i="11528"/>
  <c r="H106" i="11528"/>
  <c r="H107" i="11528"/>
  <c r="H108" i="11528"/>
  <c r="H109" i="11528"/>
  <c r="H110" i="11528"/>
  <c r="G107" i="11528"/>
  <c r="G106" i="11528"/>
  <c r="G105" i="11528"/>
  <c r="G103" i="11528"/>
  <c r="G104" i="11528"/>
  <c r="G97" i="11528"/>
  <c r="G98" i="11528"/>
  <c r="G99" i="11528"/>
  <c r="G100" i="11528"/>
  <c r="G101" i="11528"/>
  <c r="G87" i="11528"/>
  <c r="G88" i="11528"/>
  <c r="H91" i="11528"/>
  <c r="H92" i="11528"/>
  <c r="H93" i="11528"/>
  <c r="H94" i="11528"/>
  <c r="H95" i="11528"/>
  <c r="H96" i="11528"/>
  <c r="H97" i="11528"/>
  <c r="H98" i="11528"/>
  <c r="H99" i="11528"/>
  <c r="H100" i="11528"/>
  <c r="H101" i="11528"/>
  <c r="H90" i="11528"/>
  <c r="F110" i="11528"/>
  <c r="F109" i="11528"/>
  <c r="F108" i="11528"/>
  <c r="F106" i="11528"/>
  <c r="F107" i="11528"/>
  <c r="F105" i="11528"/>
  <c r="F103" i="11528"/>
  <c r="F104" i="11528"/>
  <c r="F102" i="11528"/>
  <c r="B86" i="11528"/>
  <c r="F87" i="11528"/>
  <c r="F88" i="11528"/>
  <c r="F89" i="11528"/>
  <c r="F90" i="11528"/>
  <c r="F91" i="11528"/>
  <c r="F92" i="11528"/>
  <c r="F93" i="11528"/>
  <c r="F94" i="11528"/>
  <c r="F95" i="11528"/>
  <c r="F96" i="11528"/>
  <c r="F97" i="11528"/>
  <c r="F98" i="11528"/>
  <c r="F99" i="11528"/>
  <c r="F100" i="11528"/>
  <c r="F101" i="11528"/>
  <c r="F86" i="11528"/>
  <c r="F59" i="11528"/>
  <c r="C86" i="11528"/>
  <c r="B112" i="11528"/>
  <c r="O34" i="11524"/>
  <c r="V12" i="2826"/>
  <c r="V13" i="2826"/>
  <c r="V14" i="2826"/>
  <c r="V15" i="2826"/>
  <c r="V16" i="2826"/>
  <c r="V17" i="2826"/>
  <c r="V18" i="2826"/>
  <c r="V19" i="2826"/>
  <c r="V20" i="2826"/>
  <c r="V21" i="2826"/>
  <c r="V22" i="2826"/>
  <c r="V23" i="2826"/>
  <c r="V24" i="2826"/>
  <c r="V25" i="2826"/>
  <c r="V26" i="2826"/>
  <c r="AW10" i="2826"/>
  <c r="AV10" i="2826"/>
  <c r="Q52" i="2826"/>
  <c r="N54" i="2826"/>
  <c r="N53" i="2826"/>
  <c r="H54" i="2826"/>
  <c r="N11" i="11524"/>
  <c r="Q11" i="11524" s="1"/>
  <c r="N12" i="11524"/>
  <c r="N10" i="11524"/>
  <c r="R11" i="11524"/>
  <c r="AD11" i="11524" s="1"/>
  <c r="AE11" i="11524"/>
  <c r="T11" i="11524"/>
  <c r="M11" i="11524"/>
  <c r="I11" i="11524"/>
  <c r="B29" i="13"/>
  <c r="K3" i="4"/>
  <c r="G3" i="4"/>
  <c r="H3" i="4" s="1"/>
  <c r="I3" i="4" s="1"/>
  <c r="J3" i="4" s="1"/>
  <c r="AG11" i="2826"/>
  <c r="AG12" i="2826"/>
  <c r="AG13" i="2826"/>
  <c r="AG14" i="2826"/>
  <c r="AG15" i="2826"/>
  <c r="AG16" i="2826"/>
  <c r="AG17" i="2826"/>
  <c r="AG18" i="2826"/>
  <c r="AG19" i="2826"/>
  <c r="AG20" i="2826"/>
  <c r="AG21" i="2826"/>
  <c r="AG22" i="2826"/>
  <c r="AG23" i="2826"/>
  <c r="AG24" i="2826"/>
  <c r="AG25" i="2826"/>
  <c r="AG26" i="2826"/>
  <c r="AG10" i="2826"/>
  <c r="AI11" i="8"/>
  <c r="N50" i="4"/>
  <c r="N6" i="4"/>
  <c r="N4" i="4"/>
  <c r="N3" i="4"/>
  <c r="C24" i="3"/>
  <c r="F24" i="3" s="1"/>
  <c r="M124" i="8080"/>
  <c r="M32" i="8"/>
  <c r="U11" i="7"/>
  <c r="V11" i="7"/>
  <c r="W11" i="7"/>
  <c r="U13" i="7"/>
  <c r="V13" i="7"/>
  <c r="W13" i="7"/>
  <c r="U15" i="7"/>
  <c r="V15" i="7"/>
  <c r="W15" i="7"/>
  <c r="U17" i="7"/>
  <c r="V17" i="7"/>
  <c r="W17" i="7"/>
  <c r="U19" i="7"/>
  <c r="V19" i="7"/>
  <c r="W19" i="7"/>
  <c r="U21" i="7"/>
  <c r="V21" i="7"/>
  <c r="W21" i="7"/>
  <c r="U23" i="7"/>
  <c r="V23" i="7"/>
  <c r="W23" i="7"/>
  <c r="U25" i="7"/>
  <c r="V25" i="7"/>
  <c r="W25" i="7"/>
  <c r="U27" i="7"/>
  <c r="V27" i="7"/>
  <c r="W27" i="7"/>
  <c r="U29" i="7"/>
  <c r="V29" i="7"/>
  <c r="W29" i="7"/>
  <c r="U31" i="7"/>
  <c r="V31" i="7"/>
  <c r="W31" i="7"/>
  <c r="U33" i="7"/>
  <c r="V33" i="7"/>
  <c r="W33" i="7"/>
  <c r="U35" i="7"/>
  <c r="V35" i="7"/>
  <c r="W35" i="7"/>
  <c r="Y119" i="8080"/>
  <c r="X119" i="8080"/>
  <c r="W119" i="8080"/>
  <c r="V119" i="8080"/>
  <c r="Y118" i="8080"/>
  <c r="X118" i="8080"/>
  <c r="W118" i="8080"/>
  <c r="V118" i="8080"/>
  <c r="Y117" i="8080"/>
  <c r="X117" i="8080"/>
  <c r="W117" i="8080"/>
  <c r="V117" i="8080"/>
  <c r="Y116" i="8080"/>
  <c r="X116" i="8080"/>
  <c r="W116" i="8080"/>
  <c r="V116" i="8080"/>
  <c r="Y115" i="8080"/>
  <c r="X115" i="8080"/>
  <c r="W115" i="8080"/>
  <c r="V115" i="8080"/>
  <c r="Y114" i="8080"/>
  <c r="X114" i="8080"/>
  <c r="W114" i="8080"/>
  <c r="V114" i="8080"/>
  <c r="Y113" i="8080"/>
  <c r="X113" i="8080"/>
  <c r="W113" i="8080"/>
  <c r="V113" i="8080"/>
  <c r="Y112" i="8080"/>
  <c r="X112" i="8080"/>
  <c r="W112" i="8080"/>
  <c r="V112" i="8080"/>
  <c r="Y111" i="8080"/>
  <c r="X111" i="8080"/>
  <c r="W111" i="8080"/>
  <c r="V111" i="8080"/>
  <c r="Y110" i="8080"/>
  <c r="X110" i="8080"/>
  <c r="W110" i="8080"/>
  <c r="V110" i="8080"/>
  <c r="Y109" i="8080"/>
  <c r="X109" i="8080"/>
  <c r="W109" i="8080"/>
  <c r="V109" i="8080"/>
  <c r="Y108" i="8080"/>
  <c r="X108" i="8080"/>
  <c r="W108" i="8080"/>
  <c r="V108" i="8080"/>
  <c r="Y107" i="8080"/>
  <c r="X107" i="8080"/>
  <c r="W107" i="8080"/>
  <c r="V107" i="8080"/>
  <c r="Y106" i="8080"/>
  <c r="X106" i="8080"/>
  <c r="W106" i="8080"/>
  <c r="V106" i="8080"/>
  <c r="Y105" i="8080"/>
  <c r="X105" i="8080"/>
  <c r="W105" i="8080"/>
  <c r="V105" i="8080"/>
  <c r="Y104" i="8080"/>
  <c r="X104" i="8080"/>
  <c r="W104" i="8080"/>
  <c r="V104" i="8080"/>
  <c r="Y103" i="8080"/>
  <c r="X103" i="8080"/>
  <c r="W103" i="8080"/>
  <c r="V103" i="8080"/>
  <c r="Y102" i="8080"/>
  <c r="X102" i="8080"/>
  <c r="W102" i="8080"/>
  <c r="V102" i="8080"/>
  <c r="Y101" i="8080"/>
  <c r="X101" i="8080"/>
  <c r="W101" i="8080"/>
  <c r="V101" i="8080"/>
  <c r="Y100" i="8080"/>
  <c r="X100" i="8080"/>
  <c r="W100" i="8080"/>
  <c r="V100" i="8080"/>
  <c r="Y99" i="8080"/>
  <c r="X99" i="8080"/>
  <c r="W99" i="8080"/>
  <c r="V99" i="8080"/>
  <c r="Y98" i="8080"/>
  <c r="X98" i="8080"/>
  <c r="W98" i="8080"/>
  <c r="V98" i="8080"/>
  <c r="Y97" i="8080"/>
  <c r="X97" i="8080"/>
  <c r="W97" i="8080"/>
  <c r="V97" i="8080"/>
  <c r="Y96" i="8080"/>
  <c r="X96" i="8080"/>
  <c r="W96" i="8080"/>
  <c r="V96" i="8080"/>
  <c r="Y95" i="8080"/>
  <c r="X95" i="8080"/>
  <c r="W95" i="8080"/>
  <c r="V95" i="8080"/>
  <c r="Y94" i="8080"/>
  <c r="X94" i="8080"/>
  <c r="W94" i="8080"/>
  <c r="V94" i="8080"/>
  <c r="Y93" i="8080"/>
  <c r="X93" i="8080"/>
  <c r="W93" i="8080"/>
  <c r="V93" i="8080"/>
  <c r="Y92" i="8080"/>
  <c r="X92" i="8080"/>
  <c r="W92" i="8080"/>
  <c r="V92" i="8080"/>
  <c r="Y91" i="8080"/>
  <c r="X91" i="8080"/>
  <c r="W91" i="8080"/>
  <c r="V91" i="8080"/>
  <c r="Y90" i="8080"/>
  <c r="X90" i="8080"/>
  <c r="W90" i="8080"/>
  <c r="V90" i="8080"/>
  <c r="Y89" i="8080"/>
  <c r="X89" i="8080"/>
  <c r="W89" i="8080"/>
  <c r="V89" i="8080"/>
  <c r="Y88" i="8080"/>
  <c r="X88" i="8080"/>
  <c r="W88" i="8080"/>
  <c r="V88" i="8080"/>
  <c r="Y87" i="8080"/>
  <c r="X87" i="8080"/>
  <c r="W87" i="8080"/>
  <c r="V87" i="8080"/>
  <c r="Y86" i="8080"/>
  <c r="X86" i="8080"/>
  <c r="W86" i="8080"/>
  <c r="V86" i="8080"/>
  <c r="Y85" i="8080"/>
  <c r="X85" i="8080"/>
  <c r="W85" i="8080"/>
  <c r="V85" i="8080"/>
  <c r="Y84" i="8080"/>
  <c r="X84" i="8080"/>
  <c r="W84" i="8080"/>
  <c r="V84" i="8080"/>
  <c r="Y83" i="8080"/>
  <c r="X83" i="8080"/>
  <c r="W83" i="8080"/>
  <c r="V83" i="8080"/>
  <c r="Y82" i="8080"/>
  <c r="X82" i="8080"/>
  <c r="W82" i="8080"/>
  <c r="V82" i="8080"/>
  <c r="Y81" i="8080"/>
  <c r="X81" i="8080"/>
  <c r="W81" i="8080"/>
  <c r="V81" i="8080"/>
  <c r="Y80" i="8080"/>
  <c r="X80" i="8080"/>
  <c r="W80" i="8080"/>
  <c r="V80" i="8080"/>
  <c r="Y79" i="8080"/>
  <c r="X79" i="8080"/>
  <c r="W79" i="8080"/>
  <c r="V79" i="8080"/>
  <c r="Y78" i="8080"/>
  <c r="X78" i="8080"/>
  <c r="W78" i="8080"/>
  <c r="V78" i="8080"/>
  <c r="Y77" i="8080"/>
  <c r="X77" i="8080"/>
  <c r="W77" i="8080"/>
  <c r="V77" i="8080"/>
  <c r="Y76" i="8080"/>
  <c r="X76" i="8080"/>
  <c r="W76" i="8080"/>
  <c r="V76" i="8080"/>
  <c r="Y75" i="8080"/>
  <c r="X75" i="8080"/>
  <c r="W75" i="8080"/>
  <c r="V75" i="8080"/>
  <c r="Y74" i="8080"/>
  <c r="X74" i="8080"/>
  <c r="W74" i="8080"/>
  <c r="V74" i="8080"/>
  <c r="Y73" i="8080"/>
  <c r="X73" i="8080"/>
  <c r="W73" i="8080"/>
  <c r="V73" i="8080"/>
  <c r="Y72" i="8080"/>
  <c r="X72" i="8080"/>
  <c r="W72" i="8080"/>
  <c r="V72" i="8080"/>
  <c r="Y71" i="8080"/>
  <c r="X71" i="8080"/>
  <c r="W71" i="8080"/>
  <c r="V71" i="8080"/>
  <c r="Y70" i="8080"/>
  <c r="X70" i="8080"/>
  <c r="W70" i="8080"/>
  <c r="V70" i="8080"/>
  <c r="Y69" i="8080"/>
  <c r="X69" i="8080"/>
  <c r="W69" i="8080"/>
  <c r="V69" i="8080"/>
  <c r="Y68" i="8080"/>
  <c r="X68" i="8080"/>
  <c r="W68" i="8080"/>
  <c r="V68" i="8080"/>
  <c r="Y67" i="8080"/>
  <c r="X67" i="8080"/>
  <c r="W67" i="8080"/>
  <c r="V67" i="8080"/>
  <c r="Y66" i="8080"/>
  <c r="X66" i="8080"/>
  <c r="W66" i="8080"/>
  <c r="V66" i="8080"/>
  <c r="Y65" i="8080"/>
  <c r="X65" i="8080"/>
  <c r="W65" i="8080"/>
  <c r="V65" i="8080"/>
  <c r="Y64" i="8080"/>
  <c r="X64" i="8080"/>
  <c r="W64" i="8080"/>
  <c r="V64" i="8080"/>
  <c r="Y63" i="8080"/>
  <c r="X63" i="8080"/>
  <c r="W63" i="8080"/>
  <c r="V63" i="8080"/>
  <c r="Y62" i="8080"/>
  <c r="X62" i="8080"/>
  <c r="W62" i="8080"/>
  <c r="V62" i="8080"/>
  <c r="Y61" i="8080"/>
  <c r="X61" i="8080"/>
  <c r="W61" i="8080"/>
  <c r="V61" i="8080"/>
  <c r="Y60" i="8080"/>
  <c r="X60" i="8080"/>
  <c r="W60" i="8080"/>
  <c r="V60" i="8080"/>
  <c r="Y59" i="8080"/>
  <c r="X59" i="8080"/>
  <c r="W59" i="8080"/>
  <c r="V59" i="8080"/>
  <c r="Y58" i="8080"/>
  <c r="X58" i="8080"/>
  <c r="W58" i="8080"/>
  <c r="V58" i="8080"/>
  <c r="Y57" i="8080"/>
  <c r="X57" i="8080"/>
  <c r="W57" i="8080"/>
  <c r="V57" i="8080"/>
  <c r="Y56" i="8080"/>
  <c r="X56" i="8080"/>
  <c r="W56" i="8080"/>
  <c r="V56" i="8080"/>
  <c r="Y55" i="8080"/>
  <c r="X55" i="8080"/>
  <c r="W55" i="8080"/>
  <c r="V55" i="8080"/>
  <c r="Y54" i="8080"/>
  <c r="X54" i="8080"/>
  <c r="W54" i="8080"/>
  <c r="V54" i="8080"/>
  <c r="Y53" i="8080"/>
  <c r="X53" i="8080"/>
  <c r="W53" i="8080"/>
  <c r="V53" i="8080"/>
  <c r="Y52" i="8080"/>
  <c r="X52" i="8080"/>
  <c r="W52" i="8080"/>
  <c r="V52" i="8080"/>
  <c r="Y51" i="8080"/>
  <c r="X51" i="8080"/>
  <c r="W51" i="8080"/>
  <c r="V51" i="8080"/>
  <c r="Y50" i="8080"/>
  <c r="X50" i="8080"/>
  <c r="W50" i="8080"/>
  <c r="V50" i="8080"/>
  <c r="Y49" i="8080"/>
  <c r="X49" i="8080"/>
  <c r="W49" i="8080"/>
  <c r="V49" i="8080"/>
  <c r="Y48" i="8080"/>
  <c r="X48" i="8080"/>
  <c r="W48" i="8080"/>
  <c r="V48" i="8080"/>
  <c r="Y47" i="8080"/>
  <c r="X47" i="8080"/>
  <c r="W47" i="8080"/>
  <c r="V47" i="8080"/>
  <c r="Y46" i="8080"/>
  <c r="X46" i="8080"/>
  <c r="W46" i="8080"/>
  <c r="V46" i="8080"/>
  <c r="Y45" i="8080"/>
  <c r="X45" i="8080"/>
  <c r="W45" i="8080"/>
  <c r="V45" i="8080"/>
  <c r="Y44" i="8080"/>
  <c r="X44" i="8080"/>
  <c r="W44" i="8080"/>
  <c r="V44" i="8080"/>
  <c r="Y43" i="8080"/>
  <c r="X43" i="8080"/>
  <c r="W43" i="8080"/>
  <c r="V43" i="8080"/>
  <c r="Y42" i="8080"/>
  <c r="X42" i="8080"/>
  <c r="W42" i="8080"/>
  <c r="V42" i="8080"/>
  <c r="Y41" i="8080"/>
  <c r="X41" i="8080"/>
  <c r="W41" i="8080"/>
  <c r="V41" i="8080"/>
  <c r="Y40" i="8080"/>
  <c r="X40" i="8080"/>
  <c r="W40" i="8080"/>
  <c r="V40" i="8080"/>
  <c r="Y39" i="8080"/>
  <c r="X39" i="8080"/>
  <c r="W39" i="8080"/>
  <c r="V39" i="8080"/>
  <c r="Y38" i="8080"/>
  <c r="X38" i="8080"/>
  <c r="W38" i="8080"/>
  <c r="V38" i="8080"/>
  <c r="Y37" i="8080"/>
  <c r="X37" i="8080"/>
  <c r="W37" i="8080"/>
  <c r="V37" i="8080"/>
  <c r="Y36" i="8080"/>
  <c r="X36" i="8080"/>
  <c r="W36" i="8080"/>
  <c r="V36" i="8080"/>
  <c r="Y35" i="8080"/>
  <c r="X35" i="8080"/>
  <c r="W35" i="8080"/>
  <c r="V35" i="8080"/>
  <c r="Y34" i="8080"/>
  <c r="X34" i="8080"/>
  <c r="W34" i="8080"/>
  <c r="V34" i="8080"/>
  <c r="Y33" i="8080"/>
  <c r="X33" i="8080"/>
  <c r="W33" i="8080"/>
  <c r="V33" i="8080"/>
  <c r="Y32" i="8080"/>
  <c r="X32" i="8080"/>
  <c r="W32" i="8080"/>
  <c r="V32" i="8080"/>
  <c r="Y31" i="8080"/>
  <c r="X31" i="8080"/>
  <c r="W31" i="8080"/>
  <c r="V31" i="8080"/>
  <c r="Y30" i="8080"/>
  <c r="X30" i="8080"/>
  <c r="W30" i="8080"/>
  <c r="V30" i="8080"/>
  <c r="Y29" i="8080"/>
  <c r="X29" i="8080"/>
  <c r="W29" i="8080"/>
  <c r="V29" i="8080"/>
  <c r="Y28" i="8080"/>
  <c r="X28" i="8080"/>
  <c r="W28" i="8080"/>
  <c r="V28" i="8080"/>
  <c r="Y27" i="8080"/>
  <c r="X27" i="8080"/>
  <c r="W27" i="8080"/>
  <c r="V27" i="8080"/>
  <c r="Y26" i="8080"/>
  <c r="X26" i="8080"/>
  <c r="W26" i="8080"/>
  <c r="V26" i="8080"/>
  <c r="Y25" i="8080"/>
  <c r="X25" i="8080"/>
  <c r="W25" i="8080"/>
  <c r="V25" i="8080"/>
  <c r="Y24" i="8080"/>
  <c r="X24" i="8080"/>
  <c r="W24" i="8080"/>
  <c r="V24" i="8080"/>
  <c r="Y23" i="8080"/>
  <c r="X23" i="8080"/>
  <c r="W23" i="8080"/>
  <c r="V23" i="8080"/>
  <c r="Y22" i="8080"/>
  <c r="X22" i="8080"/>
  <c r="W22" i="8080"/>
  <c r="V22" i="8080"/>
  <c r="Y21" i="8080"/>
  <c r="X21" i="8080"/>
  <c r="W21" i="8080"/>
  <c r="V21" i="8080"/>
  <c r="Y20" i="8080"/>
  <c r="X20" i="8080"/>
  <c r="W20" i="8080"/>
  <c r="V20" i="8080"/>
  <c r="Y19" i="8080"/>
  <c r="X19" i="8080"/>
  <c r="W19" i="8080"/>
  <c r="V19" i="8080"/>
  <c r="Y18" i="8080"/>
  <c r="X18" i="8080"/>
  <c r="W18" i="8080"/>
  <c r="V18" i="8080"/>
  <c r="Y17" i="8080"/>
  <c r="X17" i="8080"/>
  <c r="W17" i="8080"/>
  <c r="V17" i="8080"/>
  <c r="Y16" i="8080"/>
  <c r="X16" i="8080"/>
  <c r="W16" i="8080"/>
  <c r="V16" i="8080"/>
  <c r="Y15" i="8080"/>
  <c r="X15" i="8080"/>
  <c r="W15" i="8080"/>
  <c r="V15" i="8080"/>
  <c r="Y14" i="8080"/>
  <c r="X14" i="8080"/>
  <c r="W14" i="8080"/>
  <c r="V14" i="8080"/>
  <c r="Y13" i="8080"/>
  <c r="X13" i="8080"/>
  <c r="W13" i="8080"/>
  <c r="V13" i="8080"/>
  <c r="CB9" i="11532" l="1"/>
  <c r="AO31" i="267"/>
  <c r="AV31" i="267" s="1"/>
  <c r="AO30" i="267"/>
  <c r="AV30" i="267" s="1"/>
  <c r="AO32" i="267"/>
  <c r="AV32" i="267" s="1"/>
  <c r="AU28" i="267"/>
  <c r="AO28" i="267"/>
  <c r="AV28" i="267" s="1"/>
  <c r="AU29" i="267"/>
  <c r="AO29" i="267"/>
  <c r="AV29" i="267" s="1"/>
  <c r="BH43" i="11535"/>
  <c r="BV49" i="11533"/>
  <c r="BY49" i="11533"/>
  <c r="CI16" i="11533"/>
  <c r="BO49" i="11533"/>
  <c r="G107" i="11533" s="1"/>
  <c r="O107" i="11533" s="1"/>
  <c r="CH22" i="11533" s="1"/>
  <c r="CA41" i="11533"/>
  <c r="CI31" i="11533"/>
  <c r="CA35" i="11533"/>
  <c r="CI25" i="11533"/>
  <c r="CA21" i="11533"/>
  <c r="CI39" i="11533"/>
  <c r="CA14" i="11533"/>
  <c r="CA26" i="11533"/>
  <c r="CA33" i="11533"/>
  <c r="CI32" i="11533"/>
  <c r="CA28" i="11533"/>
  <c r="CI18" i="11533"/>
  <c r="CI44" i="11533"/>
  <c r="CA40" i="11533"/>
  <c r="CI46" i="11533"/>
  <c r="CA46" i="11533"/>
  <c r="CA25" i="11533"/>
  <c r="CA30" i="11533"/>
  <c r="CI34" i="11533"/>
  <c r="CI29" i="11533"/>
  <c r="CI24" i="11533"/>
  <c r="CI20" i="11533"/>
  <c r="CI11" i="11533"/>
  <c r="CI43" i="11533"/>
  <c r="CI13" i="11533"/>
  <c r="CI47" i="11533"/>
  <c r="CI28" i="11533"/>
  <c r="CI27" i="11533"/>
  <c r="CI45" i="11533"/>
  <c r="CI35" i="11533"/>
  <c r="CI40" i="11533"/>
  <c r="CI38" i="11533"/>
  <c r="CI21" i="11533"/>
  <c r="CI42" i="11533"/>
  <c r="CI41" i="11533"/>
  <c r="CI36" i="11533"/>
  <c r="CI30" i="11533"/>
  <c r="CI14" i="11533"/>
  <c r="CI48" i="11533"/>
  <c r="CI15" i="11533"/>
  <c r="CA34" i="11533"/>
  <c r="CA19" i="11533"/>
  <c r="CA37" i="11533"/>
  <c r="CA27" i="11533"/>
  <c r="CA13" i="11533"/>
  <c r="CA23" i="11533"/>
  <c r="CA17" i="11533"/>
  <c r="CA36" i="11533"/>
  <c r="CA18" i="11533"/>
  <c r="CA31" i="11533"/>
  <c r="W12" i="3"/>
  <c r="CA11" i="11533"/>
  <c r="CA39" i="11533"/>
  <c r="CI22" i="11533"/>
  <c r="CA48" i="11533"/>
  <c r="CA20" i="11533"/>
  <c r="CA29" i="11533"/>
  <c r="CB9" i="11533" s="1"/>
  <c r="CA47" i="11533"/>
  <c r="CI26" i="11533"/>
  <c r="CA16" i="11533"/>
  <c r="CA43" i="11533"/>
  <c r="CA24" i="11533"/>
  <c r="CI19" i="11533"/>
  <c r="CA45" i="11533"/>
  <c r="CA12" i="11533"/>
  <c r="CA38" i="11533"/>
  <c r="CA44" i="11533"/>
  <c r="CI37" i="11533"/>
  <c r="CI17" i="11533"/>
  <c r="CA15" i="11533"/>
  <c r="CA22" i="11533"/>
  <c r="CI33" i="11533"/>
  <c r="CI12" i="11533"/>
  <c r="CA32" i="11533"/>
  <c r="CA42" i="11533"/>
  <c r="CI23" i="11533"/>
  <c r="K45" i="3"/>
  <c r="J45" i="3"/>
  <c r="T58" i="11535"/>
  <c r="X58" i="11535" s="1"/>
  <c r="O73" i="11535"/>
  <c r="T62" i="11535"/>
  <c r="X62" i="11535" s="1"/>
  <c r="O72" i="11535"/>
  <c r="T92" i="11535"/>
  <c r="X92" i="11535" s="1"/>
  <c r="AF83" i="11535" s="1"/>
  <c r="M45" i="3" s="1"/>
  <c r="L71" i="11535"/>
  <c r="L77" i="11535" s="1"/>
  <c r="O74" i="11535"/>
  <c r="T65" i="11535"/>
  <c r="T64" i="11535"/>
  <c r="X64" i="11535" s="1"/>
  <c r="AF122" i="11535"/>
  <c r="AV37" i="11534"/>
  <c r="I70" i="11534" s="1"/>
  <c r="BH19" i="11534" s="1"/>
  <c r="C48" i="3"/>
  <c r="T58" i="11534"/>
  <c r="X58" i="11534" s="1"/>
  <c r="T52" i="11534"/>
  <c r="X52" i="11534" s="1"/>
  <c r="O65" i="11534"/>
  <c r="L68" i="11534"/>
  <c r="T86" i="11534"/>
  <c r="X86" i="11534" s="1"/>
  <c r="AF77" i="11534" s="1"/>
  <c r="M48" i="3" s="1"/>
  <c r="O67" i="11534"/>
  <c r="T56" i="11534"/>
  <c r="X56" i="11534" s="1"/>
  <c r="O66" i="11534"/>
  <c r="T59" i="11534"/>
  <c r="T81" i="11534"/>
  <c r="X81" i="11534" s="1"/>
  <c r="AF71" i="11534" s="1"/>
  <c r="I69" i="11534"/>
  <c r="O69" i="11534" s="1"/>
  <c r="O54" i="11534"/>
  <c r="AF70" i="11534" s="1"/>
  <c r="J48" i="3" s="1"/>
  <c r="B35" i="11534"/>
  <c r="O64" i="11534"/>
  <c r="W48" i="3"/>
  <c r="G86" i="11534"/>
  <c r="O86" i="11534" s="1"/>
  <c r="AF90" i="11534" s="1"/>
  <c r="N48" i="3" s="1"/>
  <c r="AO87" i="11533"/>
  <c r="K12" i="3" s="1"/>
  <c r="AO27" i="267"/>
  <c r="AV27" i="267" s="1"/>
  <c r="Y92" i="11533"/>
  <c r="Y93" i="11533" s="1"/>
  <c r="CI50" i="11532"/>
  <c r="CI50" i="11533"/>
  <c r="BZ49" i="11533"/>
  <c r="BY50" i="11533"/>
  <c r="AO86" i="11533"/>
  <c r="J12" i="3" s="1"/>
  <c r="J13" i="3" s="1"/>
  <c r="AB72" i="11533"/>
  <c r="AF72" i="11533" s="1"/>
  <c r="AF73" i="11533"/>
  <c r="O90" i="11533"/>
  <c r="AO115" i="11533"/>
  <c r="O90" i="11532"/>
  <c r="BZ50" i="11532" s="1"/>
  <c r="AO115" i="11532"/>
  <c r="O16" i="3" s="1"/>
  <c r="BY50" i="11532"/>
  <c r="AO86" i="11532"/>
  <c r="J16" i="3" s="1"/>
  <c r="CA49" i="11532"/>
  <c r="AO87" i="11532"/>
  <c r="K16" i="3" s="1"/>
  <c r="AB72" i="11532"/>
  <c r="AF72" i="11532" s="1"/>
  <c r="AF73" i="11532"/>
  <c r="BZ49" i="11532"/>
  <c r="BM28" i="267"/>
  <c r="BF28" i="267"/>
  <c r="BM31" i="267"/>
  <c r="BF31" i="267"/>
  <c r="AW30" i="267"/>
  <c r="BG30" i="267"/>
  <c r="AY30" i="267"/>
  <c r="BF27" i="267"/>
  <c r="BM27" i="267"/>
  <c r="BO31" i="267"/>
  <c r="AY31" i="267"/>
  <c r="BG31" i="267"/>
  <c r="AW31" i="267"/>
  <c r="BF30" i="267"/>
  <c r="BM30" i="267"/>
  <c r="AW32" i="267"/>
  <c r="BG32" i="267"/>
  <c r="BF29" i="267"/>
  <c r="BM29" i="267"/>
  <c r="AW27" i="267"/>
  <c r="BG27" i="267"/>
  <c r="AY27" i="267"/>
  <c r="BG28" i="267"/>
  <c r="AW28" i="267"/>
  <c r="BM32" i="267"/>
  <c r="BF32" i="267"/>
  <c r="BG29" i="267"/>
  <c r="AW29" i="267"/>
  <c r="BO32" i="267"/>
  <c r="AY32" i="267"/>
  <c r="CV49" i="6"/>
  <c r="AG27" i="2826"/>
  <c r="S11" i="11524"/>
  <c r="W11" i="11524" s="1"/>
  <c r="T24" i="3"/>
  <c r="O12" i="3" l="1"/>
  <c r="CH28" i="11533"/>
  <c r="CH33" i="11533"/>
  <c r="CH19" i="11533"/>
  <c r="CH39" i="11533"/>
  <c r="CH14" i="11533"/>
  <c r="CH48" i="11533"/>
  <c r="CH38" i="11533"/>
  <c r="CH44" i="11533"/>
  <c r="CH16" i="11533"/>
  <c r="CH34" i="11533"/>
  <c r="CH13" i="11533"/>
  <c r="CH15" i="11533"/>
  <c r="CH35" i="11533"/>
  <c r="CH17" i="11533"/>
  <c r="CH41" i="11533"/>
  <c r="CH43" i="11533"/>
  <c r="CH25" i="11533"/>
  <c r="CH11" i="11533"/>
  <c r="CH27" i="11533"/>
  <c r="CH45" i="11533"/>
  <c r="CH47" i="11533"/>
  <c r="CH20" i="11533"/>
  <c r="CH30" i="11533"/>
  <c r="CH23" i="11533"/>
  <c r="CH31" i="11533"/>
  <c r="CH18" i="11533"/>
  <c r="CH26" i="11533"/>
  <c r="CH37" i="11533"/>
  <c r="CH24" i="11533"/>
  <c r="CH46" i="11533"/>
  <c r="CH32" i="11533"/>
  <c r="CH36" i="11533"/>
  <c r="CH42" i="11533"/>
  <c r="CH40" i="11533"/>
  <c r="CH12" i="11533"/>
  <c r="CH29" i="11533"/>
  <c r="CH21" i="11533"/>
  <c r="AO106" i="11533"/>
  <c r="CH50" i="11533"/>
  <c r="CA49" i="11533"/>
  <c r="CI49" i="11533"/>
  <c r="BZ50" i="11533"/>
  <c r="E90" i="11533"/>
  <c r="CF25" i="11533"/>
  <c r="CF34" i="11533"/>
  <c r="CF28" i="11533"/>
  <c r="CF35" i="11533"/>
  <c r="CF23" i="11533"/>
  <c r="CF17" i="11533"/>
  <c r="CF20" i="11533"/>
  <c r="CF30" i="11533"/>
  <c r="CF15" i="11533"/>
  <c r="CF27" i="11533"/>
  <c r="CF48" i="11533"/>
  <c r="CF39" i="11533"/>
  <c r="CF13" i="11533"/>
  <c r="CF31" i="11533"/>
  <c r="CF14" i="11533"/>
  <c r="CF44" i="11533"/>
  <c r="CF47" i="11533"/>
  <c r="CF11" i="11533"/>
  <c r="CF21" i="11533"/>
  <c r="CF42" i="11533"/>
  <c r="CF33" i="11533"/>
  <c r="CF43" i="11533"/>
  <c r="CF46" i="11533"/>
  <c r="CF22" i="11533"/>
  <c r="CF16" i="11533"/>
  <c r="CF19" i="11533"/>
  <c r="CF32" i="11533"/>
  <c r="CF12" i="11533"/>
  <c r="CF24" i="11533"/>
  <c r="CF40" i="11533"/>
  <c r="CF38" i="11533"/>
  <c r="CF29" i="11533"/>
  <c r="CF45" i="11533"/>
  <c r="CF41" i="11533"/>
  <c r="CF36" i="11533"/>
  <c r="CF37" i="11533"/>
  <c r="CF18" i="11533"/>
  <c r="CF26" i="11533"/>
  <c r="AF92" i="11535"/>
  <c r="P45" i="3" s="1"/>
  <c r="T66" i="11535"/>
  <c r="X66" i="11535" s="1"/>
  <c r="X65" i="11535"/>
  <c r="O77" i="11535"/>
  <c r="E77" i="11535" s="1"/>
  <c r="AF113" i="11535"/>
  <c r="O45" i="3" s="1"/>
  <c r="BH36" i="11534"/>
  <c r="BH12" i="11534"/>
  <c r="BH24" i="11534"/>
  <c r="BH34" i="11534"/>
  <c r="BH17" i="11534"/>
  <c r="BH29" i="11534"/>
  <c r="BH11" i="11534"/>
  <c r="BH27" i="11534"/>
  <c r="BH22" i="11534"/>
  <c r="BH23" i="11534"/>
  <c r="BH25" i="11534"/>
  <c r="BH30" i="11534"/>
  <c r="BH21" i="11534"/>
  <c r="BH20" i="11534"/>
  <c r="BH13" i="11534"/>
  <c r="BH18" i="11534"/>
  <c r="BH35" i="11534"/>
  <c r="BH14" i="11534"/>
  <c r="BH28" i="11534"/>
  <c r="O70" i="11534"/>
  <c r="O71" i="11534" s="1"/>
  <c r="BH32" i="11534"/>
  <c r="BH33" i="11534"/>
  <c r="BH16" i="11534"/>
  <c r="BH15" i="11534"/>
  <c r="BH26" i="11534"/>
  <c r="BH31" i="11534"/>
  <c r="K48" i="3"/>
  <c r="AF86" i="11534"/>
  <c r="P48" i="3" s="1"/>
  <c r="L71" i="11534"/>
  <c r="T60" i="11534"/>
  <c r="X60" i="11534" s="1"/>
  <c r="X59" i="11534"/>
  <c r="AF116" i="11534"/>
  <c r="BY51" i="11533"/>
  <c r="AF112" i="11533"/>
  <c r="CF50" i="11533"/>
  <c r="AO83" i="11533"/>
  <c r="AF112" i="11532"/>
  <c r="CF50" i="11532"/>
  <c r="AO83" i="11532"/>
  <c r="BY51" i="11532"/>
  <c r="N12" i="3" l="1"/>
  <c r="CH49" i="11533"/>
  <c r="CF49" i="11533"/>
  <c r="AE71" i="11533"/>
  <c r="AF73" i="11535"/>
  <c r="G45" i="3" s="1"/>
  <c r="X97" i="11535"/>
  <c r="BH37" i="11534"/>
  <c r="AF107" i="11534"/>
  <c r="O48" i="3" s="1"/>
  <c r="E71" i="11534"/>
  <c r="X91" i="11534"/>
  <c r="AF67" i="11534"/>
  <c r="G16" i="3"/>
  <c r="G12" i="3"/>
  <c r="G13" i="3" s="1"/>
  <c r="AE48" i="6"/>
  <c r="BI42" i="11535" l="1"/>
  <c r="BI39" i="11535"/>
  <c r="BI16" i="11535"/>
  <c r="BI20" i="11535"/>
  <c r="BI24" i="11535"/>
  <c r="BI35" i="11535"/>
  <c r="BI28" i="11535"/>
  <c r="BI32" i="11535"/>
  <c r="BI36" i="11535"/>
  <c r="BI33" i="11535"/>
  <c r="BI40" i="11535"/>
  <c r="BI15" i="11535"/>
  <c r="BI19" i="11535"/>
  <c r="BI23" i="11535"/>
  <c r="BI38" i="11535"/>
  <c r="BI34" i="11535"/>
  <c r="BI29" i="11535"/>
  <c r="BI30" i="11535"/>
  <c r="BI25" i="11535"/>
  <c r="BI41" i="11535"/>
  <c r="BI26" i="11535"/>
  <c r="BI21" i="11535"/>
  <c r="BI22" i="11535"/>
  <c r="BI17" i="11535"/>
  <c r="BI31" i="11535"/>
  <c r="BI18" i="11535"/>
  <c r="BI37" i="11535"/>
  <c r="BI27" i="11535"/>
  <c r="BI14" i="11535"/>
  <c r="BI12" i="11535"/>
  <c r="BI11" i="11535"/>
  <c r="BI13" i="11535"/>
  <c r="G48" i="3"/>
  <c r="BI31" i="11534"/>
  <c r="BI32" i="11534"/>
  <c r="BI24" i="11534"/>
  <c r="BI16" i="11534"/>
  <c r="BI12" i="11534"/>
  <c r="BI22" i="11534"/>
  <c r="BI33" i="11534"/>
  <c r="BI15" i="11534"/>
  <c r="BI20" i="11534"/>
  <c r="BI26" i="11534"/>
  <c r="BI13" i="11534"/>
  <c r="BI27" i="11534"/>
  <c r="BI25" i="11534"/>
  <c r="BI28" i="11534"/>
  <c r="BI23" i="11534"/>
  <c r="BI11" i="11534"/>
  <c r="BI19" i="11534"/>
  <c r="BI18" i="11534"/>
  <c r="BI29" i="11534"/>
  <c r="BI30" i="11534"/>
  <c r="BI35" i="11534"/>
  <c r="BI14" i="11534"/>
  <c r="BI21" i="11534"/>
  <c r="BI17" i="11534"/>
  <c r="BI34" i="11534"/>
  <c r="BI36" i="11534"/>
  <c r="Y38" i="3"/>
  <c r="Y41" i="3"/>
  <c r="Y30" i="3"/>
  <c r="BI43" i="11535" l="1"/>
  <c r="BI37" i="11534"/>
  <c r="J41" i="11534"/>
  <c r="J94" i="11534" s="1"/>
  <c r="AF57" i="6"/>
  <c r="AF58" i="6"/>
  <c r="AF59" i="6"/>
  <c r="AF60" i="6"/>
  <c r="AC111" i="6"/>
  <c r="AU11" i="6"/>
  <c r="T52" i="6"/>
  <c r="T53" i="6"/>
  <c r="T54" i="6"/>
  <c r="T55" i="6"/>
  <c r="T56" i="6"/>
  <c r="T57" i="6"/>
  <c r="T58" i="6"/>
  <c r="T59" i="6"/>
  <c r="T60" i="6"/>
  <c r="P57" i="6"/>
  <c r="P58" i="6"/>
  <c r="P59" i="6"/>
  <c r="P60" i="6"/>
  <c r="AR10" i="2826"/>
  <c r="T34" i="11524"/>
  <c r="AF52" i="6"/>
  <c r="AO30" i="6" l="1"/>
  <c r="AO32" i="6"/>
  <c r="AO34" i="6"/>
  <c r="AO29" i="6"/>
  <c r="AO31" i="6"/>
  <c r="AO33" i="6"/>
  <c r="AO35" i="6"/>
  <c r="AR28" i="6"/>
  <c r="AR43" i="6"/>
  <c r="AR15" i="6"/>
  <c r="AR35" i="6"/>
  <c r="AR26" i="6"/>
  <c r="AR13" i="6"/>
  <c r="AR30" i="6"/>
  <c r="AR39" i="6"/>
  <c r="AR40" i="6"/>
  <c r="AR48" i="6"/>
  <c r="AR21" i="6"/>
  <c r="AR44" i="6"/>
  <c r="AR24" i="6"/>
  <c r="AR47" i="6"/>
  <c r="AR22" i="6"/>
  <c r="AR41" i="6"/>
  <c r="AR32" i="6"/>
  <c r="AR46" i="6"/>
  <c r="AR20" i="6"/>
  <c r="AR38" i="6"/>
  <c r="AR18" i="6"/>
  <c r="AR34" i="6"/>
  <c r="AR19" i="6"/>
  <c r="AR16" i="6"/>
  <c r="AR37" i="6"/>
  <c r="AR42" i="6"/>
  <c r="AR27" i="6"/>
  <c r="AR29" i="6"/>
  <c r="AR14" i="6"/>
  <c r="AR25" i="6"/>
  <c r="AR45" i="6"/>
  <c r="AR12" i="6"/>
  <c r="AR36" i="6"/>
  <c r="AR33" i="6"/>
  <c r="AR23" i="6"/>
  <c r="AR31" i="6"/>
  <c r="AR17" i="6"/>
  <c r="AW35" i="6"/>
  <c r="AW33" i="6"/>
  <c r="AW30" i="6"/>
  <c r="AW29" i="6"/>
  <c r="AW34" i="6"/>
  <c r="AW31" i="6"/>
  <c r="AW32" i="6"/>
  <c r="AS17" i="6"/>
  <c r="AS28" i="6"/>
  <c r="AS21" i="6"/>
  <c r="AS15" i="6"/>
  <c r="AS35" i="6"/>
  <c r="AS26" i="6"/>
  <c r="AS13" i="6"/>
  <c r="AS30" i="6"/>
  <c r="AS24" i="6"/>
  <c r="AS22" i="6"/>
  <c r="AS19" i="6"/>
  <c r="AS32" i="6"/>
  <c r="AS20" i="6"/>
  <c r="AS18" i="6"/>
  <c r="AS34" i="6"/>
  <c r="AS16" i="6"/>
  <c r="AS27" i="6"/>
  <c r="AS29" i="6"/>
  <c r="AS14" i="6"/>
  <c r="AS25" i="6"/>
  <c r="AS12" i="6"/>
  <c r="AS23" i="6"/>
  <c r="AS31" i="6"/>
  <c r="AS33" i="6"/>
  <c r="AQ39" i="6"/>
  <c r="AQ41" i="6"/>
  <c r="AQ38" i="6"/>
  <c r="AQ35" i="6"/>
  <c r="AQ19" i="6"/>
  <c r="AQ22" i="6"/>
  <c r="AQ16" i="6"/>
  <c r="AQ32" i="6"/>
  <c r="AQ43" i="6"/>
  <c r="AV43" i="6" s="1"/>
  <c r="AQ36" i="6"/>
  <c r="AQ30" i="6"/>
  <c r="AQ44" i="6"/>
  <c r="AQ40" i="6"/>
  <c r="AQ29" i="6"/>
  <c r="AQ33" i="6"/>
  <c r="AQ26" i="6"/>
  <c r="AQ18" i="6"/>
  <c r="AQ23" i="6"/>
  <c r="AQ27" i="6"/>
  <c r="AQ24" i="6"/>
  <c r="AQ21" i="6"/>
  <c r="AQ42" i="6"/>
  <c r="AQ17" i="6"/>
  <c r="AQ37" i="6"/>
  <c r="AQ28" i="6"/>
  <c r="AQ34" i="6"/>
  <c r="AQ15" i="6"/>
  <c r="AQ20" i="6"/>
  <c r="AQ25" i="6"/>
  <c r="AQ31" i="6"/>
  <c r="C41" i="11534"/>
  <c r="BK29" i="11534"/>
  <c r="BK28" i="11534"/>
  <c r="BK18" i="11534"/>
  <c r="BK31" i="11534"/>
  <c r="BK19" i="11534"/>
  <c r="BK14" i="11534"/>
  <c r="BK21" i="11534"/>
  <c r="BK16" i="11534"/>
  <c r="BK30" i="11534"/>
  <c r="BK36" i="11534"/>
  <c r="BK13" i="11534"/>
  <c r="BK24" i="11534"/>
  <c r="BK12" i="11534"/>
  <c r="BK32" i="11534"/>
  <c r="BK27" i="11534"/>
  <c r="BK33" i="11534"/>
  <c r="BK17" i="11534"/>
  <c r="BK15" i="11534"/>
  <c r="BK35" i="11534"/>
  <c r="BK22" i="11534"/>
  <c r="BK11" i="11534"/>
  <c r="BK25" i="11534"/>
  <c r="BK20" i="11534"/>
  <c r="BK26" i="11534"/>
  <c r="BK34" i="11534"/>
  <c r="BK23" i="11534"/>
  <c r="AW28" i="6"/>
  <c r="AW25" i="6"/>
  <c r="AW22" i="6"/>
  <c r="AW26" i="6"/>
  <c r="AW17" i="6"/>
  <c r="AW13" i="6"/>
  <c r="AW18" i="6"/>
  <c r="AW12" i="6"/>
  <c r="AW21" i="6"/>
  <c r="AW16" i="6"/>
  <c r="AW27" i="6"/>
  <c r="AW23" i="6"/>
  <c r="AW24" i="6"/>
  <c r="AW20" i="6"/>
  <c r="AW14" i="6"/>
  <c r="AW19" i="6"/>
  <c r="AW15" i="6"/>
  <c r="AO27" i="6"/>
  <c r="AO13" i="6"/>
  <c r="AO25" i="6"/>
  <c r="AO22" i="6"/>
  <c r="AO12" i="6"/>
  <c r="AO19" i="6"/>
  <c r="AO28" i="6"/>
  <c r="AO15" i="6"/>
  <c r="AO26" i="6"/>
  <c r="AO23" i="6"/>
  <c r="AO17" i="6"/>
  <c r="AO18" i="6"/>
  <c r="AO21" i="6"/>
  <c r="AO16" i="6"/>
  <c r="AO14" i="6"/>
  <c r="AO24" i="6"/>
  <c r="AO20" i="6"/>
  <c r="AO11" i="6"/>
  <c r="CQ13" i="6"/>
  <c r="AQ13" i="6"/>
  <c r="CQ14" i="6"/>
  <c r="AQ14" i="6"/>
  <c r="AR11" i="6"/>
  <c r="AS11" i="6"/>
  <c r="AT11" i="6"/>
  <c r="E100" i="6"/>
  <c r="E101" i="6"/>
  <c r="E99" i="6"/>
  <c r="E70" i="5"/>
  <c r="R28" i="4"/>
  <c r="S26" i="4"/>
  <c r="R26" i="4"/>
  <c r="X26" i="4" s="1"/>
  <c r="L21" i="4"/>
  <c r="L20" i="4"/>
  <c r="L19" i="4"/>
  <c r="L18" i="4"/>
  <c r="Y16" i="4"/>
  <c r="X16" i="4"/>
  <c r="W16" i="4"/>
  <c r="V16" i="4"/>
  <c r="U16" i="4"/>
  <c r="T16" i="4"/>
  <c r="L16" i="4"/>
  <c r="L15" i="4"/>
  <c r="L14" i="4"/>
  <c r="L13" i="4"/>
  <c r="AA5" i="4"/>
  <c r="G2" i="4"/>
  <c r="G40" i="11536" s="1"/>
  <c r="O40" i="11536" s="1"/>
  <c r="F2" i="4"/>
  <c r="U44" i="3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10" i="12"/>
  <c r="AE10" i="12"/>
  <c r="AE27" i="12" s="1"/>
  <c r="X12" i="11530"/>
  <c r="X13" i="11530"/>
  <c r="X14" i="11530"/>
  <c r="X15" i="11530"/>
  <c r="X16" i="11530"/>
  <c r="X17" i="11530"/>
  <c r="X18" i="11530"/>
  <c r="X19" i="11530"/>
  <c r="X20" i="11530"/>
  <c r="X21" i="11530"/>
  <c r="X22" i="11530"/>
  <c r="X23" i="11530"/>
  <c r="X24" i="11530"/>
  <c r="X25" i="11530"/>
  <c r="X26" i="11530"/>
  <c r="X27" i="11530"/>
  <c r="X28" i="11530"/>
  <c r="X29" i="11530"/>
  <c r="X30" i="11530"/>
  <c r="X31" i="11530"/>
  <c r="X32" i="11530"/>
  <c r="X33" i="11530"/>
  <c r="X34" i="11530"/>
  <c r="X35" i="11530"/>
  <c r="X36" i="11530"/>
  <c r="D71" i="11"/>
  <c r="D71" i="12"/>
  <c r="E97" i="7"/>
  <c r="E83" i="2096"/>
  <c r="E167" i="8080"/>
  <c r="E82" i="11531"/>
  <c r="E82" i="9"/>
  <c r="E86" i="11530"/>
  <c r="E92" i="267"/>
  <c r="E78" i="5"/>
  <c r="E107" i="6"/>
  <c r="W11" i="11530"/>
  <c r="X11" i="11530"/>
  <c r="W12" i="11530"/>
  <c r="AV38" i="6" l="1"/>
  <c r="BM14" i="11535"/>
  <c r="BK43" i="11535"/>
  <c r="AV40" i="6"/>
  <c r="AV36" i="6"/>
  <c r="AV41" i="6"/>
  <c r="AV44" i="6"/>
  <c r="AV39" i="6"/>
  <c r="AV37" i="6"/>
  <c r="AV42" i="6"/>
  <c r="A2" i="4"/>
  <c r="J8" i="11536" s="1"/>
  <c r="G57" i="11535"/>
  <c r="O57" i="11535" s="1"/>
  <c r="G71" i="11532"/>
  <c r="O71" i="11532" s="1"/>
  <c r="G71" i="11533"/>
  <c r="O71" i="11533" s="1"/>
  <c r="G51" i="11534"/>
  <c r="O51" i="11534" s="1"/>
  <c r="G58" i="11535"/>
  <c r="O58" i="11535" s="1"/>
  <c r="G72" i="11532"/>
  <c r="O72" i="11532" s="1"/>
  <c r="G72" i="11533"/>
  <c r="O72" i="11533" s="1"/>
  <c r="G52" i="11534"/>
  <c r="O52" i="11534" s="1"/>
  <c r="BO17" i="11534"/>
  <c r="BO24" i="11534"/>
  <c r="BO14" i="11534"/>
  <c r="BO19" i="11534"/>
  <c r="BO18" i="11534"/>
  <c r="BO21" i="11534"/>
  <c r="BO20" i="11534"/>
  <c r="BO16" i="11534"/>
  <c r="BO25" i="11534"/>
  <c r="BO23" i="11534"/>
  <c r="BO22" i="11534"/>
  <c r="BO26" i="11534"/>
  <c r="BO15" i="11534"/>
  <c r="BO12" i="11534"/>
  <c r="BO13" i="11534"/>
  <c r="C94" i="11534"/>
  <c r="C42" i="11534"/>
  <c r="F48" i="3" s="1"/>
  <c r="BK37" i="11534"/>
  <c r="X10" i="4"/>
  <c r="Y10" i="4"/>
  <c r="X14" i="4"/>
  <c r="Y14" i="4"/>
  <c r="V14" i="4"/>
  <c r="T10" i="4"/>
  <c r="U10" i="4"/>
  <c r="V10" i="4"/>
  <c r="T14" i="4"/>
  <c r="W10" i="4"/>
  <c r="U14" i="4"/>
  <c r="W14" i="4"/>
  <c r="W12" i="4"/>
  <c r="V12" i="4"/>
  <c r="Y12" i="4"/>
  <c r="X12" i="4"/>
  <c r="T12" i="4"/>
  <c r="U12" i="4"/>
  <c r="I2" i="4"/>
  <c r="G42" i="11536" s="1"/>
  <c r="O42" i="11536" s="1"/>
  <c r="H2" i="4"/>
  <c r="G41" i="11536" s="1"/>
  <c r="O41" i="11536" s="1"/>
  <c r="S21" i="3"/>
  <c r="W13" i="11530"/>
  <c r="BG13" i="11530" s="1"/>
  <c r="W14" i="11530"/>
  <c r="BG14" i="11530" s="1"/>
  <c r="W15" i="11530"/>
  <c r="AW15" i="11530" s="1"/>
  <c r="W16" i="11530"/>
  <c r="AW16" i="11530" s="1"/>
  <c r="W17" i="11530"/>
  <c r="AW17" i="11530" s="1"/>
  <c r="W18" i="11530"/>
  <c r="AW18" i="11530" s="1"/>
  <c r="W19" i="11530"/>
  <c r="AW19" i="11530" s="1"/>
  <c r="W20" i="11530"/>
  <c r="BG20" i="11530" s="1"/>
  <c r="W21" i="11530"/>
  <c r="AW21" i="11530" s="1"/>
  <c r="W22" i="11530"/>
  <c r="BG22" i="11530" s="1"/>
  <c r="W23" i="11530"/>
  <c r="BG23" i="11530" s="1"/>
  <c r="W24" i="11530"/>
  <c r="AW24" i="11530" s="1"/>
  <c r="W25" i="11530"/>
  <c r="BG25" i="11530" s="1"/>
  <c r="W26" i="11530"/>
  <c r="AW26" i="11530" s="1"/>
  <c r="W27" i="11530"/>
  <c r="AW27" i="11530" s="1"/>
  <c r="W28" i="11530"/>
  <c r="AW28" i="11530" s="1"/>
  <c r="W29" i="11530"/>
  <c r="AW29" i="11530" s="1"/>
  <c r="W30" i="11530"/>
  <c r="AW30" i="11530" s="1"/>
  <c r="W31" i="11530"/>
  <c r="BG31" i="11530" s="1"/>
  <c r="W32" i="11530"/>
  <c r="AW32" i="11530" s="1"/>
  <c r="W33" i="11530"/>
  <c r="BG33" i="11530" s="1"/>
  <c r="W34" i="11530"/>
  <c r="BG34" i="11530" s="1"/>
  <c r="W35" i="11530"/>
  <c r="W36" i="11530"/>
  <c r="AW11" i="11530"/>
  <c r="BG12" i="11530"/>
  <c r="AW35" i="11530"/>
  <c r="AW36" i="11530"/>
  <c r="AZ11" i="11530"/>
  <c r="AX15" i="11530"/>
  <c r="AX16" i="11530"/>
  <c r="AY16" i="11530" s="1"/>
  <c r="AX17" i="11530"/>
  <c r="AX18" i="11530"/>
  <c r="AX19" i="11530"/>
  <c r="AX20" i="11530"/>
  <c r="AY20" i="11530" s="1"/>
  <c r="BE20" i="11530" s="1"/>
  <c r="AX21" i="11530"/>
  <c r="AY21" i="11530" s="1"/>
  <c r="BE21" i="11530" s="1"/>
  <c r="AX22" i="11530"/>
  <c r="BO22" i="11530" s="1"/>
  <c r="AX23" i="11530"/>
  <c r="BO23" i="11530" s="1"/>
  <c r="AX24" i="11530"/>
  <c r="AY24" i="11530" s="1"/>
  <c r="AX25" i="11530"/>
  <c r="AY25" i="11530" s="1"/>
  <c r="AX26" i="11530"/>
  <c r="BO26" i="11530" s="1"/>
  <c r="AX27" i="11530"/>
  <c r="AY27" i="11530" s="1"/>
  <c r="AX28" i="11530"/>
  <c r="AY28" i="11530" s="1"/>
  <c r="AX29" i="11530"/>
  <c r="BO29" i="11530" s="1"/>
  <c r="AX30" i="11530"/>
  <c r="AY30" i="11530" s="1"/>
  <c r="AX31" i="11530"/>
  <c r="AY31" i="11530" s="1"/>
  <c r="AX32" i="11530"/>
  <c r="BO32" i="11530" s="1"/>
  <c r="AX33" i="11530"/>
  <c r="AY33" i="11530" s="1"/>
  <c r="AX34" i="11530"/>
  <c r="BO34" i="11530" s="1"/>
  <c r="AX35" i="11530"/>
  <c r="AY35" i="11530" s="1"/>
  <c r="AX36" i="11530"/>
  <c r="BO36" i="11530" s="1"/>
  <c r="AX11" i="11530"/>
  <c r="AX12" i="11530"/>
  <c r="AX13" i="11530"/>
  <c r="AY13" i="11530" s="1"/>
  <c r="AX14" i="11530"/>
  <c r="O87" i="11531"/>
  <c r="AF85" i="11531" s="1"/>
  <c r="V86" i="11531"/>
  <c r="T86" i="11531"/>
  <c r="O85" i="11531"/>
  <c r="O84" i="11531"/>
  <c r="AF92" i="11531" s="1"/>
  <c r="V83" i="11531"/>
  <c r="T83" i="11531"/>
  <c r="O83" i="11531"/>
  <c r="V82" i="11531"/>
  <c r="V81" i="11531"/>
  <c r="X81" i="11531" s="1"/>
  <c r="X80" i="11531"/>
  <c r="E80" i="11531"/>
  <c r="O80" i="11531" s="1"/>
  <c r="X79" i="11531"/>
  <c r="G79" i="11531"/>
  <c r="X78" i="11531"/>
  <c r="G78" i="11531"/>
  <c r="E78" i="11531"/>
  <c r="X76" i="11531"/>
  <c r="G76" i="11531"/>
  <c r="E76" i="11531"/>
  <c r="V75" i="11531"/>
  <c r="G75" i="11531"/>
  <c r="E75" i="11531"/>
  <c r="X74" i="11531"/>
  <c r="AF117" i="11531" s="1"/>
  <c r="V73" i="11531"/>
  <c r="T73" i="11531"/>
  <c r="X73" i="11531" s="1"/>
  <c r="E73" i="11531"/>
  <c r="O73" i="11531" s="1"/>
  <c r="AF83" i="11531" s="1"/>
  <c r="V72" i="11531"/>
  <c r="T72" i="11531"/>
  <c r="X72" i="11531" s="1"/>
  <c r="O72" i="11531"/>
  <c r="V71" i="11531"/>
  <c r="O71" i="11531"/>
  <c r="V70" i="11531"/>
  <c r="V69" i="11531"/>
  <c r="T69" i="11531"/>
  <c r="V68" i="11531"/>
  <c r="T68" i="11531"/>
  <c r="X68" i="11531" s="1"/>
  <c r="L68" i="11531"/>
  <c r="V67" i="11531"/>
  <c r="T67" i="11531"/>
  <c r="X67" i="11531" s="1"/>
  <c r="L67" i="11531"/>
  <c r="X66" i="11531"/>
  <c r="L66" i="11531"/>
  <c r="X65" i="11531"/>
  <c r="L65" i="11531"/>
  <c r="V64" i="11531"/>
  <c r="X64" i="11531" s="1"/>
  <c r="L64" i="11531"/>
  <c r="V63" i="11531"/>
  <c r="X63" i="11531" s="1"/>
  <c r="L63" i="11531"/>
  <c r="H63" i="11531"/>
  <c r="V62" i="11531"/>
  <c r="L62" i="11531"/>
  <c r="V61" i="11531"/>
  <c r="V60" i="11531"/>
  <c r="T60" i="11531"/>
  <c r="V59" i="11531"/>
  <c r="T59" i="11531"/>
  <c r="L59" i="11531"/>
  <c r="O59" i="11531" s="1"/>
  <c r="V58" i="11531"/>
  <c r="L58" i="11531"/>
  <c r="O58" i="11531" s="1"/>
  <c r="V57" i="11531"/>
  <c r="O57" i="11531"/>
  <c r="V56" i="11531"/>
  <c r="O56" i="11531"/>
  <c r="AF69" i="11531" s="1"/>
  <c r="V55" i="11531"/>
  <c r="T55" i="11531"/>
  <c r="L55" i="11531"/>
  <c r="O55" i="11531" s="1"/>
  <c r="AF68" i="11531" s="1"/>
  <c r="V54" i="11531"/>
  <c r="O54" i="11531"/>
  <c r="AF72" i="11531" s="1"/>
  <c r="I21" i="3" s="1"/>
  <c r="V53" i="11531"/>
  <c r="G53" i="11531"/>
  <c r="V52" i="11531"/>
  <c r="G52" i="11531"/>
  <c r="V51" i="11531"/>
  <c r="C51" i="11531"/>
  <c r="V50" i="11531"/>
  <c r="G50" i="11531"/>
  <c r="C50" i="11531"/>
  <c r="V49" i="11531"/>
  <c r="X49" i="11531" s="1"/>
  <c r="G49" i="11531"/>
  <c r="C49" i="11531"/>
  <c r="N42" i="11531"/>
  <c r="M41" i="11531"/>
  <c r="M90" i="11531" s="1"/>
  <c r="W40" i="11531"/>
  <c r="W89" i="11531" s="1"/>
  <c r="U40" i="11531"/>
  <c r="BA37" i="11531"/>
  <c r="AZ37" i="11531"/>
  <c r="E37" i="11531"/>
  <c r="BE36" i="11531"/>
  <c r="AY36" i="11531"/>
  <c r="AX36" i="11531"/>
  <c r="AW36" i="11531"/>
  <c r="AT36" i="11531"/>
  <c r="AS36" i="11531"/>
  <c r="AR36" i="11531"/>
  <c r="AQ36" i="11531"/>
  <c r="AP36" i="11531"/>
  <c r="AO36" i="11531"/>
  <c r="X36" i="11531"/>
  <c r="W36" i="11531"/>
  <c r="BF36" i="11531" s="1"/>
  <c r="BE35" i="11531"/>
  <c r="AY35" i="11531"/>
  <c r="AX35" i="11531"/>
  <c r="AW35" i="11531"/>
  <c r="AT35" i="11531"/>
  <c r="AS35" i="11531"/>
  <c r="AR35" i="11531"/>
  <c r="AQ35" i="11531"/>
  <c r="AP35" i="11531"/>
  <c r="AO35" i="11531"/>
  <c r="X35" i="11531"/>
  <c r="W35" i="11531"/>
  <c r="BF35" i="11531" s="1"/>
  <c r="BE34" i="11531"/>
  <c r="AY34" i="11531"/>
  <c r="AX34" i="11531"/>
  <c r="AW34" i="11531"/>
  <c r="AT34" i="11531"/>
  <c r="AS34" i="11531"/>
  <c r="AR34" i="11531"/>
  <c r="AQ34" i="11531"/>
  <c r="AP34" i="11531"/>
  <c r="AO34" i="11531"/>
  <c r="X34" i="11531"/>
  <c r="W34" i="11531"/>
  <c r="BF34" i="11531" s="1"/>
  <c r="BE33" i="11531"/>
  <c r="AY33" i="11531"/>
  <c r="AX33" i="11531"/>
  <c r="AW33" i="11531"/>
  <c r="AT33" i="11531"/>
  <c r="AS33" i="11531"/>
  <c r="AR33" i="11531"/>
  <c r="AQ33" i="11531"/>
  <c r="AP33" i="11531"/>
  <c r="AO33" i="11531"/>
  <c r="X33" i="11531"/>
  <c r="W33" i="11531"/>
  <c r="BF33" i="11531" s="1"/>
  <c r="BE32" i="11531"/>
  <c r="AY32" i="11531"/>
  <c r="AX32" i="11531"/>
  <c r="AW32" i="11531"/>
  <c r="AT32" i="11531"/>
  <c r="AS32" i="11531"/>
  <c r="AR32" i="11531"/>
  <c r="AQ32" i="11531"/>
  <c r="AP32" i="11531"/>
  <c r="AO32" i="11531"/>
  <c r="X32" i="11531"/>
  <c r="W32" i="11531"/>
  <c r="BF32" i="11531" s="1"/>
  <c r="BE31" i="11531"/>
  <c r="AY31" i="11531"/>
  <c r="AX31" i="11531"/>
  <c r="AW31" i="11531"/>
  <c r="AT31" i="11531"/>
  <c r="AS31" i="11531"/>
  <c r="AR31" i="11531"/>
  <c r="AQ31" i="11531"/>
  <c r="AP31" i="11531"/>
  <c r="AO31" i="11531"/>
  <c r="X31" i="11531"/>
  <c r="W31" i="11531"/>
  <c r="BF31" i="11531" s="1"/>
  <c r="BE30" i="11531"/>
  <c r="AY30" i="11531"/>
  <c r="AX30" i="11531"/>
  <c r="AW30" i="11531"/>
  <c r="AT30" i="11531"/>
  <c r="AS30" i="11531"/>
  <c r="AR30" i="11531"/>
  <c r="AQ30" i="11531"/>
  <c r="AP30" i="11531"/>
  <c r="AO30" i="11531"/>
  <c r="X30" i="11531"/>
  <c r="W30" i="11531"/>
  <c r="BF30" i="11531" s="1"/>
  <c r="BE29" i="11531"/>
  <c r="AY29" i="11531"/>
  <c r="AX29" i="11531"/>
  <c r="AW29" i="11531"/>
  <c r="AT29" i="11531"/>
  <c r="AS29" i="11531"/>
  <c r="AR29" i="11531"/>
  <c r="AQ29" i="11531"/>
  <c r="AP29" i="11531"/>
  <c r="AO29" i="11531"/>
  <c r="X29" i="11531"/>
  <c r="W29" i="11531"/>
  <c r="BF29" i="11531" s="1"/>
  <c r="BE28" i="11531"/>
  <c r="AY28" i="11531"/>
  <c r="AX28" i="11531"/>
  <c r="AW28" i="11531"/>
  <c r="AT28" i="11531"/>
  <c r="AS28" i="11531"/>
  <c r="AR28" i="11531"/>
  <c r="AQ28" i="11531"/>
  <c r="AP28" i="11531"/>
  <c r="AO28" i="11531"/>
  <c r="X28" i="11531"/>
  <c r="W28" i="11531"/>
  <c r="BF28" i="11531" s="1"/>
  <c r="BE27" i="11531"/>
  <c r="AY27" i="11531"/>
  <c r="AX27" i="11531"/>
  <c r="AW27" i="11531"/>
  <c r="AT27" i="11531"/>
  <c r="AS27" i="11531"/>
  <c r="AR27" i="11531"/>
  <c r="AQ27" i="11531"/>
  <c r="AP27" i="11531"/>
  <c r="AO27" i="11531"/>
  <c r="X27" i="11531"/>
  <c r="W27" i="11531"/>
  <c r="BF27" i="11531" s="1"/>
  <c r="BF26" i="11531"/>
  <c r="BE26" i="11531"/>
  <c r="AY26" i="11531"/>
  <c r="AX26" i="11531"/>
  <c r="AW26" i="11531"/>
  <c r="AT26" i="11531"/>
  <c r="AS26" i="11531"/>
  <c r="AR26" i="11531"/>
  <c r="AQ26" i="11531"/>
  <c r="AP26" i="11531"/>
  <c r="AO26" i="11531"/>
  <c r="X26" i="11531"/>
  <c r="W26" i="11531"/>
  <c r="BE25" i="11531"/>
  <c r="AY25" i="11531"/>
  <c r="AX25" i="11531"/>
  <c r="AW25" i="11531"/>
  <c r="AT25" i="11531"/>
  <c r="AS25" i="11531"/>
  <c r="AR25" i="11531"/>
  <c r="AQ25" i="11531"/>
  <c r="AP25" i="11531"/>
  <c r="AO25" i="11531"/>
  <c r="X25" i="11531"/>
  <c r="W25" i="11531"/>
  <c r="BF25" i="11531" s="1"/>
  <c r="BE24" i="11531"/>
  <c r="AY24" i="11531"/>
  <c r="AX24" i="11531"/>
  <c r="AW24" i="11531"/>
  <c r="AT24" i="11531"/>
  <c r="AS24" i="11531"/>
  <c r="AR24" i="11531"/>
  <c r="AQ24" i="11531"/>
  <c r="AP24" i="11531"/>
  <c r="AO24" i="11531"/>
  <c r="X24" i="11531"/>
  <c r="W24" i="11531"/>
  <c r="BF24" i="11531" s="1"/>
  <c r="BE23" i="11531"/>
  <c r="AY23" i="11531"/>
  <c r="AX23" i="11531"/>
  <c r="AW23" i="11531"/>
  <c r="AT23" i="11531"/>
  <c r="AS23" i="11531"/>
  <c r="AR23" i="11531"/>
  <c r="AQ23" i="11531"/>
  <c r="AP23" i="11531"/>
  <c r="AO23" i="11531"/>
  <c r="X23" i="11531"/>
  <c r="W23" i="11531"/>
  <c r="BF23" i="11531" s="1"/>
  <c r="BE22" i="11531"/>
  <c r="AY22" i="11531"/>
  <c r="AX22" i="11531"/>
  <c r="AW22" i="11531"/>
  <c r="AT22" i="11531"/>
  <c r="AS22" i="11531"/>
  <c r="AR22" i="11531"/>
  <c r="AQ22" i="11531"/>
  <c r="AP22" i="11531"/>
  <c r="AO22" i="11531"/>
  <c r="X22" i="11531"/>
  <c r="W22" i="11531"/>
  <c r="BF22" i="11531" s="1"/>
  <c r="BE21" i="11531"/>
  <c r="AY21" i="11531"/>
  <c r="AX21" i="11531"/>
  <c r="AW21" i="11531"/>
  <c r="AT21" i="11531"/>
  <c r="AS21" i="11531"/>
  <c r="AR21" i="11531"/>
  <c r="AQ21" i="11531"/>
  <c r="AP21" i="11531"/>
  <c r="AO21" i="11531"/>
  <c r="X21" i="11531"/>
  <c r="W21" i="11531"/>
  <c r="BF21" i="11531" s="1"/>
  <c r="BE20" i="11531"/>
  <c r="AY20" i="11531"/>
  <c r="AX20" i="11531"/>
  <c r="AW20" i="11531"/>
  <c r="AT20" i="11531"/>
  <c r="AS20" i="11531"/>
  <c r="AR20" i="11531"/>
  <c r="AQ20" i="11531"/>
  <c r="AP20" i="11531"/>
  <c r="AO20" i="11531"/>
  <c r="X20" i="11531"/>
  <c r="W20" i="11531"/>
  <c r="BF20" i="11531" s="1"/>
  <c r="BE19" i="11531"/>
  <c r="AY19" i="11531"/>
  <c r="AX19" i="11531"/>
  <c r="AW19" i="11531"/>
  <c r="AT19" i="11531"/>
  <c r="AS19" i="11531"/>
  <c r="AR19" i="11531"/>
  <c r="AQ19" i="11531"/>
  <c r="AP19" i="11531"/>
  <c r="AO19" i="11531"/>
  <c r="X19" i="11531"/>
  <c r="W19" i="11531"/>
  <c r="BF19" i="11531" s="1"/>
  <c r="BE18" i="11531"/>
  <c r="AY18" i="11531"/>
  <c r="AX18" i="11531"/>
  <c r="AW18" i="11531"/>
  <c r="AT18" i="11531"/>
  <c r="AS18" i="11531"/>
  <c r="AR18" i="11531"/>
  <c r="AQ18" i="11531"/>
  <c r="AP18" i="11531"/>
  <c r="AO18" i="11531"/>
  <c r="X18" i="11531"/>
  <c r="W18" i="11531"/>
  <c r="BF18" i="11531" s="1"/>
  <c r="BE17" i="11531"/>
  <c r="AY17" i="11531"/>
  <c r="AX17" i="11531"/>
  <c r="AW17" i="11531"/>
  <c r="AT17" i="11531"/>
  <c r="AS17" i="11531"/>
  <c r="AR17" i="11531"/>
  <c r="AQ17" i="11531"/>
  <c r="AP17" i="11531"/>
  <c r="AO17" i="11531"/>
  <c r="X17" i="11531"/>
  <c r="W17" i="11531"/>
  <c r="BF17" i="11531" s="1"/>
  <c r="BE16" i="11531"/>
  <c r="AY16" i="11531"/>
  <c r="AX16" i="11531"/>
  <c r="AW16" i="11531"/>
  <c r="AT16" i="11531"/>
  <c r="AS16" i="11531"/>
  <c r="AR16" i="11531"/>
  <c r="AQ16" i="11531"/>
  <c r="AP16" i="11531"/>
  <c r="AO16" i="11531"/>
  <c r="X16" i="11531"/>
  <c r="W16" i="11531"/>
  <c r="BF16" i="11531" s="1"/>
  <c r="BE15" i="11531"/>
  <c r="AY15" i="11531"/>
  <c r="AX15" i="11531"/>
  <c r="AW15" i="11531"/>
  <c r="AT15" i="11531"/>
  <c r="AS15" i="11531"/>
  <c r="AR15" i="11531"/>
  <c r="AQ15" i="11531"/>
  <c r="AP15" i="11531"/>
  <c r="AO15" i="11531"/>
  <c r="X15" i="11531"/>
  <c r="W15" i="11531"/>
  <c r="BF15" i="11531" s="1"/>
  <c r="BE14" i="11531"/>
  <c r="AY14" i="11531"/>
  <c r="AX14" i="11531"/>
  <c r="AW14" i="11531"/>
  <c r="AT14" i="11531"/>
  <c r="AS14" i="11531"/>
  <c r="AR14" i="11531"/>
  <c r="AQ14" i="11531"/>
  <c r="AP14" i="11531"/>
  <c r="AO14" i="11531"/>
  <c r="X14" i="11531"/>
  <c r="W14" i="11531"/>
  <c r="BF14" i="11531" s="1"/>
  <c r="BE13" i="11531"/>
  <c r="AY13" i="11531"/>
  <c r="AX13" i="11531"/>
  <c r="AW13" i="11531"/>
  <c r="AT13" i="11531"/>
  <c r="AS13" i="11531"/>
  <c r="AR13" i="11531"/>
  <c r="AQ13" i="11531"/>
  <c r="AP13" i="11531"/>
  <c r="AO13" i="11531"/>
  <c r="X13" i="11531"/>
  <c r="W13" i="11531"/>
  <c r="BF13" i="11531" s="1"/>
  <c r="BF12" i="11531"/>
  <c r="BE12" i="11531"/>
  <c r="AY12" i="11531"/>
  <c r="AX12" i="11531"/>
  <c r="AW12" i="11531"/>
  <c r="AT12" i="11531"/>
  <c r="AS12" i="11531"/>
  <c r="AR12" i="11531"/>
  <c r="AQ12" i="11531"/>
  <c r="AP12" i="11531"/>
  <c r="AO12" i="11531"/>
  <c r="X12" i="11531"/>
  <c r="W12" i="11531"/>
  <c r="BE11" i="11531"/>
  <c r="AY11" i="11531"/>
  <c r="AX11" i="11531"/>
  <c r="AW11" i="11531"/>
  <c r="AT11" i="11531"/>
  <c r="AS11" i="11531"/>
  <c r="AR11" i="11531"/>
  <c r="AQ11" i="11531"/>
  <c r="AP11" i="11531"/>
  <c r="X11" i="11531"/>
  <c r="AO11" i="11531" s="1"/>
  <c r="W11" i="11531"/>
  <c r="AV11" i="11531" s="1"/>
  <c r="AV37" i="11531" s="1"/>
  <c r="J8" i="11531"/>
  <c r="W3" i="11531"/>
  <c r="O91" i="11530"/>
  <c r="AF87" i="11530" s="1"/>
  <c r="S47" i="3" s="1"/>
  <c r="V90" i="11530"/>
  <c r="O90" i="11530"/>
  <c r="AF93" i="11530" s="1"/>
  <c r="O89" i="11530"/>
  <c r="O88" i="11530"/>
  <c r="V87" i="11530"/>
  <c r="T87" i="11530"/>
  <c r="G109" i="11528" s="1"/>
  <c r="O87" i="11530"/>
  <c r="V86" i="11530"/>
  <c r="E84" i="11530"/>
  <c r="O84" i="11530" s="1"/>
  <c r="G83" i="11530"/>
  <c r="G82" i="11530"/>
  <c r="V80" i="11530"/>
  <c r="X80" i="11530" s="1"/>
  <c r="V79" i="11530"/>
  <c r="X79" i="11530" s="1"/>
  <c r="G79" i="11530"/>
  <c r="E79" i="11530"/>
  <c r="E80" i="11530" s="1"/>
  <c r="X78" i="11530"/>
  <c r="AF119" i="11530" s="1"/>
  <c r="AF85" i="11530"/>
  <c r="V74" i="11530"/>
  <c r="X74" i="11530" s="1"/>
  <c r="V73" i="11530"/>
  <c r="X73" i="11530" s="1"/>
  <c r="V72" i="11530"/>
  <c r="L70" i="11530"/>
  <c r="L69" i="11530"/>
  <c r="X67" i="11530"/>
  <c r="L67" i="11530"/>
  <c r="V66" i="11530"/>
  <c r="X66" i="11530" s="1"/>
  <c r="L66" i="11530"/>
  <c r="L65" i="11530"/>
  <c r="H65" i="11530"/>
  <c r="V64" i="11530"/>
  <c r="L64" i="11530"/>
  <c r="V63" i="11530"/>
  <c r="V62" i="11530"/>
  <c r="T62" i="11530"/>
  <c r="V61" i="11530"/>
  <c r="V60" i="11530"/>
  <c r="L60" i="11530"/>
  <c r="O60" i="11530" s="1"/>
  <c r="V59" i="11530"/>
  <c r="O59" i="11530"/>
  <c r="V58" i="11530"/>
  <c r="O58" i="11530"/>
  <c r="AF69" i="11530" s="1"/>
  <c r="V57" i="11530"/>
  <c r="G57" i="11530"/>
  <c r="O57" i="11530" s="1"/>
  <c r="AF68" i="11530" s="1"/>
  <c r="H47" i="3" s="1"/>
  <c r="V56" i="11530"/>
  <c r="O56" i="11530"/>
  <c r="AF72" i="11530" s="1"/>
  <c r="I47" i="3" s="1"/>
  <c r="V55" i="11530"/>
  <c r="G55" i="11530"/>
  <c r="V54" i="11530"/>
  <c r="G54" i="11530"/>
  <c r="V53" i="11530"/>
  <c r="C53" i="11530"/>
  <c r="V52" i="11530"/>
  <c r="G52" i="11530"/>
  <c r="C52" i="11530"/>
  <c r="V51" i="11530"/>
  <c r="X51" i="11530" s="1"/>
  <c r="G51" i="11530"/>
  <c r="C51" i="11530"/>
  <c r="N42" i="11530"/>
  <c r="M41" i="11530"/>
  <c r="M94" i="11530" s="1"/>
  <c r="W40" i="11530"/>
  <c r="U40" i="11530"/>
  <c r="BB37" i="11530"/>
  <c r="BA37" i="11530"/>
  <c r="E37" i="11530"/>
  <c r="AZ36" i="11530"/>
  <c r="BM36" i="11530" s="1"/>
  <c r="AT36" i="11530"/>
  <c r="AS36" i="11530"/>
  <c r="AR36" i="11530"/>
  <c r="AQ36" i="11530"/>
  <c r="AP36" i="11530"/>
  <c r="AO36" i="11530"/>
  <c r="AN36" i="11530"/>
  <c r="AM36" i="11530"/>
  <c r="AL36" i="11530"/>
  <c r="AK36" i="11530"/>
  <c r="AJ36" i="11530"/>
  <c r="AI36" i="11530"/>
  <c r="BG36" i="11530"/>
  <c r="AZ35" i="11530"/>
  <c r="BM35" i="11530" s="1"/>
  <c r="AT35" i="11530"/>
  <c r="AS35" i="11530"/>
  <c r="AR35" i="11530"/>
  <c r="AQ35" i="11530"/>
  <c r="AP35" i="11530"/>
  <c r="AO35" i="11530"/>
  <c r="AN35" i="11530"/>
  <c r="AM35" i="11530"/>
  <c r="AL35" i="11530"/>
  <c r="AK35" i="11530"/>
  <c r="AJ35" i="11530"/>
  <c r="AI35" i="11530"/>
  <c r="AZ34" i="11530"/>
  <c r="BF34" i="11530" s="1"/>
  <c r="AT34" i="11530"/>
  <c r="AS34" i="11530"/>
  <c r="AR34" i="11530"/>
  <c r="AQ34" i="11530"/>
  <c r="AP34" i="11530"/>
  <c r="AO34" i="11530"/>
  <c r="AN34" i="11530"/>
  <c r="AM34" i="11530"/>
  <c r="AL34" i="11530"/>
  <c r="AK34" i="11530"/>
  <c r="AJ34" i="11530"/>
  <c r="AI34" i="11530"/>
  <c r="AZ33" i="11530"/>
  <c r="BF33" i="11530" s="1"/>
  <c r="AT33" i="11530"/>
  <c r="AS33" i="11530"/>
  <c r="AR33" i="11530"/>
  <c r="AQ33" i="11530"/>
  <c r="AP33" i="11530"/>
  <c r="AO33" i="11530"/>
  <c r="AN33" i="11530"/>
  <c r="AM33" i="11530"/>
  <c r="AL33" i="11530"/>
  <c r="AK33" i="11530"/>
  <c r="AJ33" i="11530"/>
  <c r="AI33" i="11530"/>
  <c r="AZ32" i="11530"/>
  <c r="BM32" i="11530" s="1"/>
  <c r="AT32" i="11530"/>
  <c r="AS32" i="11530"/>
  <c r="AR32" i="11530"/>
  <c r="AQ32" i="11530"/>
  <c r="AP32" i="11530"/>
  <c r="AO32" i="11530"/>
  <c r="AN32" i="11530"/>
  <c r="AM32" i="11530"/>
  <c r="AL32" i="11530"/>
  <c r="AK32" i="11530"/>
  <c r="AJ32" i="11530"/>
  <c r="AI32" i="11530"/>
  <c r="AZ31" i="11530"/>
  <c r="BF31" i="11530" s="1"/>
  <c r="AT31" i="11530"/>
  <c r="AS31" i="11530"/>
  <c r="AR31" i="11530"/>
  <c r="AQ31" i="11530"/>
  <c r="AP31" i="11530"/>
  <c r="AO31" i="11530"/>
  <c r="AN31" i="11530"/>
  <c r="AM31" i="11530"/>
  <c r="AL31" i="11530"/>
  <c r="AK31" i="11530"/>
  <c r="AJ31" i="11530"/>
  <c r="AI31" i="11530"/>
  <c r="AZ30" i="11530"/>
  <c r="BM30" i="11530" s="1"/>
  <c r="AT30" i="11530"/>
  <c r="AS30" i="11530"/>
  <c r="AR30" i="11530"/>
  <c r="AQ30" i="11530"/>
  <c r="AP30" i="11530"/>
  <c r="AO30" i="11530"/>
  <c r="AN30" i="11530"/>
  <c r="AM30" i="11530"/>
  <c r="AL30" i="11530"/>
  <c r="AK30" i="11530"/>
  <c r="AJ30" i="11530"/>
  <c r="AI30" i="11530"/>
  <c r="AZ29" i="11530"/>
  <c r="BM29" i="11530" s="1"/>
  <c r="AT29" i="11530"/>
  <c r="AS29" i="11530"/>
  <c r="AR29" i="11530"/>
  <c r="AQ29" i="11530"/>
  <c r="AP29" i="11530"/>
  <c r="AO29" i="11530"/>
  <c r="AN29" i="11530"/>
  <c r="AM29" i="11530"/>
  <c r="T61" i="11530" s="1"/>
  <c r="G95" i="11528" s="1"/>
  <c r="AL29" i="11530"/>
  <c r="AK29" i="11530"/>
  <c r="AJ29" i="11530"/>
  <c r="AI29" i="11530"/>
  <c r="AZ28" i="11530"/>
  <c r="BM28" i="11530" s="1"/>
  <c r="AT28" i="11530"/>
  <c r="AS28" i="11530"/>
  <c r="AR28" i="11530"/>
  <c r="AQ28" i="11530"/>
  <c r="AP28" i="11530"/>
  <c r="AO28" i="11530"/>
  <c r="AN28" i="11530"/>
  <c r="AM28" i="11530"/>
  <c r="AL28" i="11530"/>
  <c r="AK28" i="11530"/>
  <c r="AJ28" i="11530"/>
  <c r="AI28" i="11530"/>
  <c r="AZ27" i="11530"/>
  <c r="BF27" i="11530" s="1"/>
  <c r="AT27" i="11530"/>
  <c r="AS27" i="11530"/>
  <c r="AR27" i="11530"/>
  <c r="AQ27" i="11530"/>
  <c r="AP27" i="11530"/>
  <c r="AO27" i="11530"/>
  <c r="AN27" i="11530"/>
  <c r="AM27" i="11530"/>
  <c r="AL27" i="11530"/>
  <c r="AK27" i="11530"/>
  <c r="AJ27" i="11530"/>
  <c r="AI27" i="11530"/>
  <c r="AZ26" i="11530"/>
  <c r="BM26" i="11530" s="1"/>
  <c r="AT26" i="11530"/>
  <c r="AS26" i="11530"/>
  <c r="AR26" i="11530"/>
  <c r="AQ26" i="11530"/>
  <c r="AP26" i="11530"/>
  <c r="AN26" i="11530"/>
  <c r="AM26" i="11530"/>
  <c r="AL26" i="11530"/>
  <c r="AK26" i="11530"/>
  <c r="AJ26" i="11530"/>
  <c r="AI26" i="11530"/>
  <c r="AZ25" i="11530"/>
  <c r="BM25" i="11530" s="1"/>
  <c r="AT25" i="11530"/>
  <c r="AS25" i="11530"/>
  <c r="AR25" i="11530"/>
  <c r="AQ25" i="11530"/>
  <c r="AP25" i="11530"/>
  <c r="AN25" i="11530"/>
  <c r="AM25" i="11530"/>
  <c r="AL25" i="11530"/>
  <c r="AK25" i="11530"/>
  <c r="AJ25" i="11530"/>
  <c r="AI25" i="11530"/>
  <c r="AZ24" i="11530"/>
  <c r="BM24" i="11530" s="1"/>
  <c r="AT24" i="11530"/>
  <c r="AS24" i="11530"/>
  <c r="AR24" i="11530"/>
  <c r="AQ24" i="11530"/>
  <c r="AP24" i="11530"/>
  <c r="AN24" i="11530"/>
  <c r="AM24" i="11530"/>
  <c r="AL24" i="11530"/>
  <c r="AK24" i="11530"/>
  <c r="AJ24" i="11530"/>
  <c r="AI24" i="11530"/>
  <c r="AZ23" i="11530"/>
  <c r="BM23" i="11530" s="1"/>
  <c r="AT23" i="11530"/>
  <c r="AS23" i="11530"/>
  <c r="AR23" i="11530"/>
  <c r="AQ23" i="11530"/>
  <c r="AP23" i="11530"/>
  <c r="AN23" i="11530"/>
  <c r="AM23" i="11530"/>
  <c r="AL23" i="11530"/>
  <c r="AK23" i="11530"/>
  <c r="AJ23" i="11530"/>
  <c r="AI23" i="11530"/>
  <c r="AZ22" i="11530"/>
  <c r="BM22" i="11530" s="1"/>
  <c r="AT22" i="11530"/>
  <c r="AS22" i="11530"/>
  <c r="AR22" i="11530"/>
  <c r="AQ22" i="11530"/>
  <c r="AP22" i="11530"/>
  <c r="AN22" i="11530"/>
  <c r="AM22" i="11530"/>
  <c r="AL22" i="11530"/>
  <c r="AK22" i="11530"/>
  <c r="AJ22" i="11530"/>
  <c r="AI22" i="11530"/>
  <c r="AZ21" i="11530"/>
  <c r="BM21" i="11530" s="1"/>
  <c r="AT21" i="11530"/>
  <c r="AS21" i="11530"/>
  <c r="AR21" i="11530"/>
  <c r="AQ21" i="11530"/>
  <c r="AP21" i="11530"/>
  <c r="AN21" i="11530"/>
  <c r="AM21" i="11530"/>
  <c r="AL21" i="11530"/>
  <c r="AK21" i="11530"/>
  <c r="AJ21" i="11530"/>
  <c r="AI21" i="11530"/>
  <c r="AZ20" i="11530"/>
  <c r="BF20" i="11530" s="1"/>
  <c r="AT20" i="11530"/>
  <c r="AS20" i="11530"/>
  <c r="AR20" i="11530"/>
  <c r="AQ20" i="11530"/>
  <c r="AP20" i="11530"/>
  <c r="AN20" i="11530"/>
  <c r="AM20" i="11530"/>
  <c r="AL20" i="11530"/>
  <c r="AK20" i="11530"/>
  <c r="AJ20" i="11530"/>
  <c r="AI20" i="11530"/>
  <c r="AZ19" i="11530"/>
  <c r="BM19" i="11530" s="1"/>
  <c r="AT19" i="11530"/>
  <c r="AS19" i="11530"/>
  <c r="AR19" i="11530"/>
  <c r="AQ19" i="11530"/>
  <c r="AP19" i="11530"/>
  <c r="AN19" i="11530"/>
  <c r="AM19" i="11530"/>
  <c r="AL19" i="11530"/>
  <c r="AK19" i="11530"/>
  <c r="AJ19" i="11530"/>
  <c r="AI19" i="11530"/>
  <c r="AZ18" i="11530"/>
  <c r="BM18" i="11530" s="1"/>
  <c r="AT18" i="11530"/>
  <c r="AS18" i="11530"/>
  <c r="AR18" i="11530"/>
  <c r="AQ18" i="11530"/>
  <c r="AP18" i="11530"/>
  <c r="AN18" i="11530"/>
  <c r="AM18" i="11530"/>
  <c r="AL18" i="11530"/>
  <c r="AK18" i="11530"/>
  <c r="AJ18" i="11530"/>
  <c r="AI18" i="11530"/>
  <c r="AZ17" i="11530"/>
  <c r="BM17" i="11530" s="1"/>
  <c r="AT17" i="11530"/>
  <c r="AS17" i="11530"/>
  <c r="AR17" i="11530"/>
  <c r="AQ17" i="11530"/>
  <c r="AP17" i="11530"/>
  <c r="AN17" i="11530"/>
  <c r="AM17" i="11530"/>
  <c r="AL17" i="11530"/>
  <c r="AK17" i="11530"/>
  <c r="AJ17" i="11530"/>
  <c r="AI17" i="11530"/>
  <c r="AZ16" i="11530"/>
  <c r="BF16" i="11530" s="1"/>
  <c r="AT16" i="11530"/>
  <c r="AS16" i="11530"/>
  <c r="AR16" i="11530"/>
  <c r="AQ16" i="11530"/>
  <c r="AP16" i="11530"/>
  <c r="AN16" i="11530"/>
  <c r="AM16" i="11530"/>
  <c r="AL16" i="11530"/>
  <c r="AK16" i="11530"/>
  <c r="AJ16" i="11530"/>
  <c r="AI16" i="11530"/>
  <c r="AZ15" i="11530"/>
  <c r="BF15" i="11530" s="1"/>
  <c r="AT15" i="11530"/>
  <c r="AS15" i="11530"/>
  <c r="AR15" i="11530"/>
  <c r="AQ15" i="11530"/>
  <c r="AP15" i="11530"/>
  <c r="AN15" i="11530"/>
  <c r="AM15" i="11530"/>
  <c r="AL15" i="11530"/>
  <c r="AK15" i="11530"/>
  <c r="AJ15" i="11530"/>
  <c r="AI15" i="11530"/>
  <c r="AZ14" i="11530"/>
  <c r="BF14" i="11530" s="1"/>
  <c r="AT14" i="11530"/>
  <c r="AS14" i="11530"/>
  <c r="AR14" i="11530"/>
  <c r="AQ14" i="11530"/>
  <c r="AP14" i="11530"/>
  <c r="AN14" i="11530"/>
  <c r="AM14" i="11530"/>
  <c r="AL14" i="11530"/>
  <c r="AK14" i="11530"/>
  <c r="AJ14" i="11530"/>
  <c r="AI14" i="11530"/>
  <c r="AZ13" i="11530"/>
  <c r="BF13" i="11530" s="1"/>
  <c r="AT13" i="11530"/>
  <c r="AS13" i="11530"/>
  <c r="AR13" i="11530"/>
  <c r="AQ13" i="11530"/>
  <c r="AP13" i="11530"/>
  <c r="AN13" i="11530"/>
  <c r="AM13" i="11530"/>
  <c r="AL13" i="11530"/>
  <c r="AK13" i="11530"/>
  <c r="AJ13" i="11530"/>
  <c r="AI13" i="11530"/>
  <c r="AZ12" i="11530"/>
  <c r="BF12" i="11530" s="1"/>
  <c r="AT12" i="11530"/>
  <c r="AS12" i="11530"/>
  <c r="AR12" i="11530"/>
  <c r="AQ12" i="11530"/>
  <c r="AP12" i="11530"/>
  <c r="AN12" i="11530"/>
  <c r="AM12" i="11530"/>
  <c r="AL12" i="11530"/>
  <c r="AK12" i="11530"/>
  <c r="AJ12" i="11530"/>
  <c r="AI12" i="11530"/>
  <c r="AT11" i="11530"/>
  <c r="AS11" i="11530"/>
  <c r="AR11" i="11530"/>
  <c r="AQ11" i="11530"/>
  <c r="AP11" i="11530"/>
  <c r="AN11" i="11530"/>
  <c r="AM11" i="11530"/>
  <c r="AL11" i="11530"/>
  <c r="AK11" i="11530"/>
  <c r="AJ11" i="11530"/>
  <c r="AI11" i="11530"/>
  <c r="J8" i="11530"/>
  <c r="Q7" i="11530"/>
  <c r="Q6" i="11530"/>
  <c r="Q5" i="11530"/>
  <c r="Q4" i="11530"/>
  <c r="W3" i="11530"/>
  <c r="T10" i="11524"/>
  <c r="G52" i="9"/>
  <c r="G60" i="267"/>
  <c r="T45" i="6"/>
  <c r="T46" i="6"/>
  <c r="T47" i="6"/>
  <c r="T48" i="6"/>
  <c r="CQ11" i="6"/>
  <c r="E85" i="267"/>
  <c r="E86" i="267" s="1"/>
  <c r="U11" i="2096"/>
  <c r="BF11" i="2096" s="1"/>
  <c r="U12" i="2096"/>
  <c r="U13" i="2096"/>
  <c r="BF13" i="2096" s="1"/>
  <c r="U14" i="2096"/>
  <c r="BF14" i="2096" s="1"/>
  <c r="U15" i="2096"/>
  <c r="BF15" i="2096" s="1"/>
  <c r="U16" i="2096"/>
  <c r="BF16" i="2096" s="1"/>
  <c r="U17" i="2096"/>
  <c r="BF17" i="2096" s="1"/>
  <c r="U18" i="2096"/>
  <c r="U19" i="2096"/>
  <c r="BF19" i="2096" s="1"/>
  <c r="U20" i="2096"/>
  <c r="U21" i="2096"/>
  <c r="BF21" i="2096" s="1"/>
  <c r="U22" i="2096"/>
  <c r="U23" i="2096"/>
  <c r="U24" i="2096"/>
  <c r="BF24" i="2096" s="1"/>
  <c r="U25" i="2096"/>
  <c r="BF25" i="2096" s="1"/>
  <c r="U26" i="2096"/>
  <c r="BF26" i="2096" s="1"/>
  <c r="U27" i="2096"/>
  <c r="BF27" i="2096" s="1"/>
  <c r="U28" i="2096"/>
  <c r="BF28" i="2096" s="1"/>
  <c r="U29" i="2096"/>
  <c r="BF29" i="2096" s="1"/>
  <c r="U30" i="2096"/>
  <c r="U31" i="2096"/>
  <c r="BF31" i="2096" s="1"/>
  <c r="C52" i="2096"/>
  <c r="B39" i="7"/>
  <c r="B40" i="7" s="1"/>
  <c r="E72" i="5"/>
  <c r="E73" i="5"/>
  <c r="O73" i="5" s="1"/>
  <c r="AE126" i="5" s="1"/>
  <c r="M64" i="6"/>
  <c r="M115" i="6" s="1"/>
  <c r="C36" i="11529"/>
  <c r="C35" i="11529"/>
  <c r="C33" i="11529"/>
  <c r="AB81" i="6"/>
  <c r="G17" i="11528" s="1"/>
  <c r="B5" i="11529"/>
  <c r="E5" i="11529"/>
  <c r="G5" i="11529"/>
  <c r="B8" i="11529"/>
  <c r="B10" i="11529"/>
  <c r="B12" i="11529"/>
  <c r="B14" i="11529"/>
  <c r="B16" i="11529"/>
  <c r="B18" i="11529"/>
  <c r="B23" i="11529"/>
  <c r="C23" i="11529"/>
  <c r="D23" i="11529"/>
  <c r="B24" i="11529"/>
  <c r="C24" i="11529"/>
  <c r="D24" i="11529"/>
  <c r="B25" i="11529"/>
  <c r="C25" i="11529"/>
  <c r="D25" i="11529"/>
  <c r="B26" i="11529"/>
  <c r="C26" i="11529"/>
  <c r="D26" i="11529"/>
  <c r="B27" i="11529"/>
  <c r="C27" i="11529"/>
  <c r="D27" i="11529"/>
  <c r="B28" i="11529"/>
  <c r="C28" i="11529"/>
  <c r="D28" i="11529"/>
  <c r="B29" i="11529"/>
  <c r="C29" i="11529"/>
  <c r="D29" i="11529"/>
  <c r="B30" i="11529"/>
  <c r="C30" i="11529"/>
  <c r="D30" i="11529"/>
  <c r="B31" i="11529"/>
  <c r="C31" i="11529"/>
  <c r="D31" i="11529"/>
  <c r="B32" i="11529"/>
  <c r="C32" i="11529"/>
  <c r="D32" i="11529"/>
  <c r="B33" i="11529"/>
  <c r="D33" i="11529"/>
  <c r="B34" i="11529"/>
  <c r="C34" i="11529"/>
  <c r="D34" i="11529"/>
  <c r="B35" i="11529"/>
  <c r="D35" i="11529"/>
  <c r="B36" i="11529"/>
  <c r="D36" i="11529"/>
  <c r="B37" i="11529"/>
  <c r="C37" i="11529"/>
  <c r="D37" i="11529"/>
  <c r="B38" i="11529"/>
  <c r="C38" i="11529"/>
  <c r="D38" i="11529"/>
  <c r="B39" i="11529"/>
  <c r="C39" i="11529"/>
  <c r="D39" i="11529"/>
  <c r="B5" i="11528"/>
  <c r="E5" i="11528"/>
  <c r="G5" i="11528"/>
  <c r="B8" i="11528"/>
  <c r="F8" i="11528"/>
  <c r="B9" i="11528"/>
  <c r="F9" i="11528"/>
  <c r="B10" i="11528"/>
  <c r="F10" i="11528"/>
  <c r="B11" i="11528"/>
  <c r="C11" i="11528"/>
  <c r="F11" i="11528"/>
  <c r="B12" i="11528"/>
  <c r="C12" i="11528"/>
  <c r="D12" i="11528"/>
  <c r="F12" i="11528"/>
  <c r="N80" i="11528" s="1"/>
  <c r="F161" i="11528" s="1"/>
  <c r="H12" i="11528"/>
  <c r="B13" i="11528"/>
  <c r="D13" i="11528"/>
  <c r="F13" i="11528"/>
  <c r="H13" i="11528"/>
  <c r="B14" i="11528"/>
  <c r="D14" i="11528"/>
  <c r="F14" i="11528"/>
  <c r="H14" i="11528"/>
  <c r="B15" i="11528"/>
  <c r="D15" i="11528"/>
  <c r="F15" i="11528"/>
  <c r="H15" i="11528"/>
  <c r="B16" i="11528"/>
  <c r="D16" i="11528"/>
  <c r="F16" i="11528"/>
  <c r="H16" i="11528"/>
  <c r="B17" i="11528"/>
  <c r="D17" i="11528"/>
  <c r="F17" i="11528"/>
  <c r="F147" i="11528" s="1"/>
  <c r="H17" i="11528"/>
  <c r="H147" i="11528" s="1"/>
  <c r="B18" i="11528"/>
  <c r="C18" i="11528"/>
  <c r="D18" i="11528"/>
  <c r="F18" i="11528"/>
  <c r="H18" i="11528"/>
  <c r="B19" i="11528"/>
  <c r="D19" i="11528"/>
  <c r="F19" i="11528"/>
  <c r="G19" i="11528"/>
  <c r="H19" i="11528"/>
  <c r="B20" i="11528"/>
  <c r="C20" i="11528"/>
  <c r="D20" i="11528"/>
  <c r="F20" i="11528"/>
  <c r="G20" i="11528"/>
  <c r="H20" i="11528"/>
  <c r="B21" i="11528"/>
  <c r="C21" i="11528"/>
  <c r="D21" i="11528"/>
  <c r="F21" i="11528"/>
  <c r="N81" i="11528" s="1"/>
  <c r="G21" i="11528"/>
  <c r="H21" i="11528"/>
  <c r="P81" i="11528" s="1"/>
  <c r="B22" i="11528"/>
  <c r="C22" i="11528"/>
  <c r="D22" i="11528"/>
  <c r="F22" i="11528"/>
  <c r="N82" i="11528" s="1"/>
  <c r="G22" i="11528"/>
  <c r="H22" i="11528"/>
  <c r="P82" i="11528" s="1"/>
  <c r="B23" i="11528"/>
  <c r="C23" i="11528"/>
  <c r="D23" i="11528"/>
  <c r="F23" i="11528"/>
  <c r="N83" i="11528" s="1"/>
  <c r="H23" i="11528"/>
  <c r="P83" i="11528" s="1"/>
  <c r="B24" i="11528"/>
  <c r="C24" i="11528"/>
  <c r="D24" i="11528"/>
  <c r="F24" i="11528"/>
  <c r="H24" i="11528"/>
  <c r="B25" i="11528"/>
  <c r="C25" i="11528"/>
  <c r="D25" i="11528"/>
  <c r="F25" i="11528"/>
  <c r="H25" i="11528"/>
  <c r="B26" i="11528"/>
  <c r="D26" i="11528"/>
  <c r="F26" i="11528"/>
  <c r="H26" i="11528"/>
  <c r="B27" i="11528"/>
  <c r="C27" i="11528"/>
  <c r="D27" i="11528"/>
  <c r="F27" i="11528"/>
  <c r="H27" i="11528"/>
  <c r="B28" i="11528"/>
  <c r="D28" i="11528"/>
  <c r="F28" i="11528"/>
  <c r="H28" i="11528"/>
  <c r="B29" i="11528"/>
  <c r="D29" i="11528"/>
  <c r="F29" i="11528"/>
  <c r="G29" i="11528"/>
  <c r="H29" i="11528"/>
  <c r="F30" i="11528"/>
  <c r="H30" i="11528"/>
  <c r="B33" i="11528"/>
  <c r="F33" i="11528"/>
  <c r="B34" i="11528"/>
  <c r="F34" i="11528"/>
  <c r="B35" i="11528"/>
  <c r="C35" i="11528"/>
  <c r="F35" i="11528"/>
  <c r="G35" i="11528"/>
  <c r="B36" i="11528"/>
  <c r="F36" i="11528"/>
  <c r="B37" i="11528"/>
  <c r="C37" i="11528"/>
  <c r="D37" i="11528"/>
  <c r="F37" i="11528"/>
  <c r="H37" i="11528"/>
  <c r="B38" i="11528"/>
  <c r="D38" i="11528"/>
  <c r="F38" i="11528"/>
  <c r="H38" i="11528"/>
  <c r="B39" i="11528"/>
  <c r="D39" i="11528"/>
  <c r="F39" i="11528"/>
  <c r="H39" i="11528"/>
  <c r="B40" i="11528"/>
  <c r="D40" i="11528"/>
  <c r="F40" i="11528"/>
  <c r="H40" i="11528"/>
  <c r="B41" i="11528"/>
  <c r="D41" i="11528"/>
  <c r="F41" i="11528"/>
  <c r="H41" i="11528"/>
  <c r="B42" i="11528"/>
  <c r="D42" i="11528"/>
  <c r="F42" i="11528"/>
  <c r="H42" i="11528"/>
  <c r="B43" i="11528"/>
  <c r="D43" i="11528"/>
  <c r="F43" i="11528"/>
  <c r="G43" i="11528"/>
  <c r="H43" i="11528"/>
  <c r="B44" i="11528"/>
  <c r="D44" i="11528"/>
  <c r="F44" i="11528"/>
  <c r="H44" i="11528"/>
  <c r="B45" i="11528"/>
  <c r="C45" i="11528"/>
  <c r="D45" i="11528"/>
  <c r="F45" i="11528"/>
  <c r="G45" i="11528"/>
  <c r="H45" i="11528"/>
  <c r="B46" i="11528"/>
  <c r="C46" i="11528"/>
  <c r="D46" i="11528"/>
  <c r="F46" i="11528"/>
  <c r="G46" i="11528"/>
  <c r="H46" i="11528"/>
  <c r="B47" i="11528"/>
  <c r="C47" i="11528"/>
  <c r="D47" i="11528"/>
  <c r="F47" i="11528"/>
  <c r="G47" i="11528"/>
  <c r="H47" i="11528"/>
  <c r="B48" i="11528"/>
  <c r="C48" i="11528"/>
  <c r="D48" i="11528"/>
  <c r="F48" i="11528"/>
  <c r="G48" i="11528"/>
  <c r="H48" i="11528"/>
  <c r="B49" i="11528"/>
  <c r="C49" i="11528"/>
  <c r="D49" i="11528"/>
  <c r="F49" i="11528"/>
  <c r="G49" i="11528"/>
  <c r="H49" i="11528"/>
  <c r="B50" i="11528"/>
  <c r="D50" i="11528"/>
  <c r="F50" i="11528"/>
  <c r="G50" i="11528"/>
  <c r="H50" i="11528"/>
  <c r="B51" i="11528"/>
  <c r="C51" i="11528"/>
  <c r="D51" i="11528"/>
  <c r="F51" i="11528"/>
  <c r="H51" i="11528"/>
  <c r="B52" i="11528"/>
  <c r="D52" i="11528"/>
  <c r="F52" i="11528"/>
  <c r="G52" i="11528"/>
  <c r="H52" i="11528"/>
  <c r="B53" i="11528"/>
  <c r="C53" i="11528"/>
  <c r="D53" i="11528"/>
  <c r="F53" i="11528"/>
  <c r="H53" i="11528"/>
  <c r="B54" i="11528"/>
  <c r="D54" i="11528"/>
  <c r="F54" i="11528"/>
  <c r="G54" i="11528"/>
  <c r="H54" i="11528"/>
  <c r="B55" i="11528"/>
  <c r="C55" i="11528"/>
  <c r="D55" i="11528"/>
  <c r="B56" i="11528"/>
  <c r="D56" i="11528"/>
  <c r="B59" i="11528"/>
  <c r="N58" i="11528"/>
  <c r="F138" i="11528" s="1"/>
  <c r="P58" i="11528"/>
  <c r="B60" i="11528"/>
  <c r="F60" i="11528"/>
  <c r="G60" i="11528"/>
  <c r="N59" i="11528"/>
  <c r="F139" i="11528" s="1"/>
  <c r="P59" i="11528"/>
  <c r="B61" i="11528"/>
  <c r="C61" i="11528"/>
  <c r="F61" i="11528"/>
  <c r="G61" i="11528"/>
  <c r="N60" i="11528"/>
  <c r="F140" i="11528" s="1"/>
  <c r="P60" i="11528"/>
  <c r="B62" i="11528"/>
  <c r="F62" i="11528"/>
  <c r="N61" i="11528"/>
  <c r="F141" i="11528" s="1"/>
  <c r="P61" i="11528"/>
  <c r="B63" i="11528"/>
  <c r="D63" i="11528"/>
  <c r="F63" i="11528"/>
  <c r="H63" i="11528"/>
  <c r="N62" i="11528"/>
  <c r="F142" i="11528" s="1"/>
  <c r="P62" i="11528"/>
  <c r="H142" i="11528" s="1"/>
  <c r="B64" i="11528"/>
  <c r="D64" i="11528"/>
  <c r="F64" i="11528"/>
  <c r="H64" i="11528"/>
  <c r="N63" i="11528"/>
  <c r="F143" i="11528" s="1"/>
  <c r="P63" i="11528"/>
  <c r="H143" i="11528" s="1"/>
  <c r="B65" i="11528"/>
  <c r="D65" i="11528"/>
  <c r="F65" i="11528"/>
  <c r="H65" i="11528"/>
  <c r="N64" i="11528"/>
  <c r="F144" i="11528" s="1"/>
  <c r="P64" i="11528"/>
  <c r="H144" i="11528" s="1"/>
  <c r="B66" i="11528"/>
  <c r="D66" i="11528"/>
  <c r="F66" i="11528"/>
  <c r="H66" i="11528"/>
  <c r="N65" i="11528"/>
  <c r="F145" i="11528" s="1"/>
  <c r="P65" i="11528"/>
  <c r="H145" i="11528" s="1"/>
  <c r="B67" i="11528"/>
  <c r="D67" i="11528"/>
  <c r="F67" i="11528"/>
  <c r="H67" i="11528"/>
  <c r="N66" i="11528"/>
  <c r="F146" i="11528" s="1"/>
  <c r="P66" i="11528"/>
  <c r="H146" i="11528" s="1"/>
  <c r="B68" i="11528"/>
  <c r="D68" i="11528"/>
  <c r="F68" i="11528"/>
  <c r="H68" i="11528"/>
  <c r="N67" i="11528"/>
  <c r="F148" i="11528" s="1"/>
  <c r="P67" i="11528"/>
  <c r="H148" i="11528" s="1"/>
  <c r="B69" i="11528"/>
  <c r="C69" i="11528"/>
  <c r="D69" i="11528"/>
  <c r="F69" i="11528"/>
  <c r="H69" i="11528"/>
  <c r="N68" i="11528"/>
  <c r="F149" i="11528" s="1"/>
  <c r="P68" i="11528"/>
  <c r="H149" i="11528" s="1"/>
  <c r="B70" i="11528"/>
  <c r="C70" i="11528"/>
  <c r="D70" i="11528"/>
  <c r="F70" i="11528"/>
  <c r="G70" i="11528"/>
  <c r="H70" i="11528"/>
  <c r="N69" i="11528"/>
  <c r="F150" i="11528" s="1"/>
  <c r="P69" i="11528"/>
  <c r="H150" i="11528" s="1"/>
  <c r="B71" i="11528"/>
  <c r="C71" i="11528"/>
  <c r="D71" i="11528"/>
  <c r="F71" i="11528"/>
  <c r="G71" i="11528"/>
  <c r="H71" i="11528"/>
  <c r="N70" i="11528"/>
  <c r="F151" i="11528" s="1"/>
  <c r="P70" i="11528"/>
  <c r="H151" i="11528" s="1"/>
  <c r="B72" i="11528"/>
  <c r="F162" i="11528" s="1"/>
  <c r="D72" i="11528"/>
  <c r="H162" i="11528" s="1"/>
  <c r="F72" i="11528"/>
  <c r="G72" i="11528"/>
  <c r="H72" i="11528"/>
  <c r="N71" i="11528"/>
  <c r="F152" i="11528" s="1"/>
  <c r="P71" i="11528"/>
  <c r="B73" i="11528"/>
  <c r="F163" i="11528" s="1"/>
  <c r="C73" i="11528"/>
  <c r="D73" i="11528"/>
  <c r="H163" i="11528" s="1"/>
  <c r="F73" i="11528"/>
  <c r="G73" i="11528"/>
  <c r="H73" i="11528"/>
  <c r="P72" i="11528"/>
  <c r="H153" i="11528" s="1"/>
  <c r="B74" i="11528"/>
  <c r="F164" i="11528" s="1"/>
  <c r="D74" i="11528"/>
  <c r="H164" i="11528" s="1"/>
  <c r="F74" i="11528"/>
  <c r="G74" i="11528"/>
  <c r="H74" i="11528"/>
  <c r="N73" i="11528"/>
  <c r="F154" i="11528" s="1"/>
  <c r="P73" i="11528"/>
  <c r="H154" i="11528" s="1"/>
  <c r="B75" i="11528"/>
  <c r="C75" i="11528"/>
  <c r="D75" i="11528"/>
  <c r="F75" i="11528"/>
  <c r="H75" i="11528"/>
  <c r="N74" i="11528"/>
  <c r="F155" i="11528" s="1"/>
  <c r="P74" i="11528"/>
  <c r="B76" i="11528"/>
  <c r="D76" i="11528"/>
  <c r="F76" i="11528"/>
  <c r="G76" i="11528"/>
  <c r="H76" i="11528"/>
  <c r="N75" i="11528"/>
  <c r="F156" i="11528" s="1"/>
  <c r="P75" i="11528"/>
  <c r="H156" i="11528" s="1"/>
  <c r="B77" i="11528"/>
  <c r="D77" i="11528"/>
  <c r="F77" i="11528"/>
  <c r="G77" i="11528"/>
  <c r="H77" i="11528"/>
  <c r="N76" i="11528"/>
  <c r="F157" i="11528" s="1"/>
  <c r="P76" i="11528"/>
  <c r="B78" i="11528"/>
  <c r="D78" i="11528"/>
  <c r="F78" i="11528"/>
  <c r="G78" i="11528"/>
  <c r="H78" i="11528"/>
  <c r="N77" i="11528"/>
  <c r="F158" i="11528" s="1"/>
  <c r="P77" i="11528"/>
  <c r="B79" i="11528"/>
  <c r="C79" i="11528"/>
  <c r="D79" i="11528"/>
  <c r="F79" i="11528"/>
  <c r="G79" i="11528"/>
  <c r="H79" i="11528"/>
  <c r="N78" i="11528"/>
  <c r="F159" i="11528" s="1"/>
  <c r="P78" i="11528"/>
  <c r="B80" i="11528"/>
  <c r="D80" i="11528"/>
  <c r="F80" i="11528"/>
  <c r="H80" i="11528"/>
  <c r="B81" i="11528"/>
  <c r="D81" i="11528"/>
  <c r="F81" i="11528"/>
  <c r="H81" i="11528"/>
  <c r="B82" i="11528"/>
  <c r="D82" i="11528"/>
  <c r="F82" i="11528"/>
  <c r="H82" i="11528"/>
  <c r="F83" i="11528"/>
  <c r="H83" i="11528"/>
  <c r="F114" i="11528"/>
  <c r="G114" i="11528"/>
  <c r="B138" i="11528"/>
  <c r="F115" i="11528"/>
  <c r="G115" i="11528"/>
  <c r="B139" i="11528"/>
  <c r="C139" i="11528"/>
  <c r="F116" i="11528"/>
  <c r="B140" i="11528"/>
  <c r="C140" i="11528"/>
  <c r="F117" i="11528"/>
  <c r="B141" i="11528"/>
  <c r="C141" i="11528"/>
  <c r="F118" i="11528"/>
  <c r="H118" i="11528"/>
  <c r="B142" i="11528"/>
  <c r="C142" i="11528"/>
  <c r="D142" i="11528"/>
  <c r="F119" i="11528"/>
  <c r="H119" i="11528"/>
  <c r="B143" i="11528"/>
  <c r="D143" i="11528"/>
  <c r="F120" i="11528"/>
  <c r="H120" i="11528"/>
  <c r="B144" i="11528"/>
  <c r="D144" i="11528"/>
  <c r="F121" i="11528"/>
  <c r="H121" i="11528"/>
  <c r="B145" i="11528"/>
  <c r="D145" i="11528"/>
  <c r="F122" i="11528"/>
  <c r="H122" i="11528"/>
  <c r="B146" i="11528"/>
  <c r="D146" i="11528"/>
  <c r="F123" i="11528"/>
  <c r="H123" i="11528"/>
  <c r="B147" i="11528"/>
  <c r="C147" i="11528"/>
  <c r="D147" i="11528"/>
  <c r="F124" i="11528"/>
  <c r="G124" i="11528"/>
  <c r="H124" i="11528"/>
  <c r="B148" i="11528"/>
  <c r="C148" i="11528"/>
  <c r="D148" i="11528"/>
  <c r="F125" i="11528"/>
  <c r="H125" i="11528"/>
  <c r="B149" i="11528"/>
  <c r="D149" i="11528"/>
  <c r="F126" i="11528"/>
  <c r="G126" i="11528"/>
  <c r="H126" i="11528"/>
  <c r="B150" i="11528"/>
  <c r="C150" i="11528"/>
  <c r="D150" i="11528"/>
  <c r="F127" i="11528"/>
  <c r="G127" i="11528"/>
  <c r="H127" i="11528"/>
  <c r="B151" i="11528"/>
  <c r="D151" i="11528"/>
  <c r="F128" i="11528"/>
  <c r="G128" i="11528"/>
  <c r="H128" i="11528"/>
  <c r="B152" i="11528"/>
  <c r="D152" i="11528"/>
  <c r="F129" i="11528"/>
  <c r="G129" i="11528"/>
  <c r="H129" i="11528"/>
  <c r="B153" i="11528"/>
  <c r="D153" i="11528"/>
  <c r="F130" i="11528"/>
  <c r="H130" i="11528"/>
  <c r="B154" i="11528"/>
  <c r="C154" i="11528"/>
  <c r="D154" i="11528"/>
  <c r="F131" i="11528"/>
  <c r="H131" i="11528"/>
  <c r="B155" i="11528"/>
  <c r="C155" i="11528"/>
  <c r="D155" i="11528"/>
  <c r="F132" i="11528"/>
  <c r="H132" i="11528"/>
  <c r="B156" i="11528"/>
  <c r="D156" i="11528"/>
  <c r="F133" i="11528"/>
  <c r="H133" i="11528"/>
  <c r="B157" i="11528"/>
  <c r="D157" i="11528"/>
  <c r="F134" i="11528"/>
  <c r="H134" i="11528"/>
  <c r="B158" i="11528"/>
  <c r="D158" i="11528"/>
  <c r="F135" i="11528"/>
  <c r="G135" i="11528"/>
  <c r="H135" i="11528"/>
  <c r="B159" i="11528"/>
  <c r="D159" i="11528"/>
  <c r="B113" i="11528"/>
  <c r="B114" i="11528"/>
  <c r="C114" i="11528"/>
  <c r="B115" i="11528"/>
  <c r="B116" i="11528"/>
  <c r="C116" i="11528"/>
  <c r="D116" i="11528"/>
  <c r="B117" i="11528"/>
  <c r="D117" i="11528"/>
  <c r="B118" i="11528"/>
  <c r="D118" i="11528"/>
  <c r="B119" i="11528"/>
  <c r="D119" i="11528"/>
  <c r="B120" i="11528"/>
  <c r="D120" i="11528"/>
  <c r="B121" i="11528"/>
  <c r="D121" i="11528"/>
  <c r="B122" i="11528"/>
  <c r="D122" i="11528"/>
  <c r="B123" i="11528"/>
  <c r="C123" i="11528"/>
  <c r="D123" i="11528"/>
  <c r="B124" i="11528"/>
  <c r="C124" i="11528"/>
  <c r="D124" i="11528"/>
  <c r="B125" i="11528"/>
  <c r="C125" i="11528"/>
  <c r="D125" i="11528"/>
  <c r="B126" i="11528"/>
  <c r="D126" i="11528"/>
  <c r="F153" i="11528"/>
  <c r="B127" i="11528"/>
  <c r="D127" i="11528"/>
  <c r="B128" i="11528"/>
  <c r="D128" i="11528"/>
  <c r="B129" i="11528"/>
  <c r="D129" i="11528"/>
  <c r="B130" i="11528"/>
  <c r="C130" i="11528"/>
  <c r="D130" i="11528"/>
  <c r="B131" i="11528"/>
  <c r="D131" i="11528"/>
  <c r="B132" i="11528"/>
  <c r="D132" i="11528"/>
  <c r="B133" i="11528"/>
  <c r="D133" i="11528"/>
  <c r="F160" i="11528"/>
  <c r="H160" i="11528"/>
  <c r="B134" i="11528"/>
  <c r="C134" i="11528"/>
  <c r="D134" i="11528"/>
  <c r="H161" i="11528"/>
  <c r="B135" i="11528"/>
  <c r="D135" i="11528"/>
  <c r="C2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9" i="41" s="1"/>
  <c r="I35" i="41"/>
  <c r="I36" i="41"/>
  <c r="I37" i="41"/>
  <c r="I38" i="41"/>
  <c r="I40" i="41"/>
  <c r="I41" i="41"/>
  <c r="I42" i="41"/>
  <c r="I43" i="41"/>
  <c r="I44" i="41"/>
  <c r="I46" i="41"/>
  <c r="I47" i="41"/>
  <c r="I48" i="41"/>
  <c r="I50" i="41" s="1"/>
  <c r="I49" i="41"/>
  <c r="I51" i="41"/>
  <c r="I52" i="41"/>
  <c r="I53" i="41"/>
  <c r="I54" i="41"/>
  <c r="I55" i="41"/>
  <c r="I56" i="41"/>
  <c r="I63" i="41" s="1"/>
  <c r="I57" i="41"/>
  <c r="I58" i="41"/>
  <c r="I59" i="41"/>
  <c r="I60" i="41"/>
  <c r="I61" i="41"/>
  <c r="I62" i="41"/>
  <c r="V2" i="11"/>
  <c r="P3" i="11"/>
  <c r="P4" i="11"/>
  <c r="P5" i="11"/>
  <c r="P6" i="11"/>
  <c r="Q10" i="11"/>
  <c r="S10" i="11"/>
  <c r="T10" i="11"/>
  <c r="U10" i="11"/>
  <c r="AE10" i="11"/>
  <c r="AF10" i="11"/>
  <c r="AK10" i="11"/>
  <c r="AL10" i="11"/>
  <c r="AR10" i="11" s="1"/>
  <c r="AM10" i="11"/>
  <c r="AN10" i="11"/>
  <c r="AO10" i="11"/>
  <c r="AP10" i="11"/>
  <c r="AQ10" i="11"/>
  <c r="AS10" i="11"/>
  <c r="AX10" i="11"/>
  <c r="AY10" i="11"/>
  <c r="AZ10" i="11"/>
  <c r="BA10" i="11"/>
  <c r="BB10" i="11"/>
  <c r="BD10" i="11"/>
  <c r="BE10" i="11"/>
  <c r="BG10" i="11"/>
  <c r="BJ10" i="11"/>
  <c r="Q11" i="11"/>
  <c r="S11" i="11"/>
  <c r="T11" i="11"/>
  <c r="U11" i="11"/>
  <c r="AE11" i="11"/>
  <c r="AF11" i="11"/>
  <c r="AK11" i="11"/>
  <c r="AL11" i="11"/>
  <c r="AM11" i="11"/>
  <c r="AN11" i="11"/>
  <c r="AO11" i="11"/>
  <c r="AP11" i="11"/>
  <c r="AQ11" i="11"/>
  <c r="AR11" i="11"/>
  <c r="AS11" i="11"/>
  <c r="AX11" i="11"/>
  <c r="AY11" i="11"/>
  <c r="BA11" i="11"/>
  <c r="BB11" i="11"/>
  <c r="BC11" i="11"/>
  <c r="BD11" i="11"/>
  <c r="BE11" i="11"/>
  <c r="BJ11" i="11"/>
  <c r="Q12" i="11"/>
  <c r="S12" i="11"/>
  <c r="T12" i="11"/>
  <c r="U12" i="11"/>
  <c r="AE12" i="11"/>
  <c r="AF12" i="11"/>
  <c r="AK12" i="11"/>
  <c r="AL12" i="11"/>
  <c r="AM12" i="11"/>
  <c r="AK27" i="11" s="1"/>
  <c r="K39" i="11" s="1"/>
  <c r="AN12" i="11"/>
  <c r="AL27" i="11" s="1"/>
  <c r="K40" i="11" s="1"/>
  <c r="AO12" i="11"/>
  <c r="AP12" i="11"/>
  <c r="AQ12" i="11"/>
  <c r="AS12" i="11"/>
  <c r="AX12" i="11"/>
  <c r="AY12" i="11"/>
  <c r="AY28" i="11" s="1"/>
  <c r="AZ12" i="11"/>
  <c r="BA12" i="11"/>
  <c r="BB12" i="11"/>
  <c r="BD12" i="11"/>
  <c r="BE12" i="11"/>
  <c r="BG12" i="11"/>
  <c r="BJ12" i="11"/>
  <c r="Q13" i="11"/>
  <c r="S13" i="11"/>
  <c r="T13" i="11"/>
  <c r="U13" i="11"/>
  <c r="AE13" i="11"/>
  <c r="AZ13" i="11" s="1"/>
  <c r="AF13" i="11"/>
  <c r="AK13" i="11"/>
  <c r="AL13" i="11"/>
  <c r="AJ27" i="11" s="1"/>
  <c r="K38" i="11" s="1"/>
  <c r="AM13" i="11"/>
  <c r="AN13" i="11"/>
  <c r="AO13" i="11"/>
  <c r="AP13" i="11"/>
  <c r="AQ13" i="11"/>
  <c r="AS13" i="11"/>
  <c r="BG13" i="11" s="1"/>
  <c r="AX13" i="11"/>
  <c r="AY13" i="11"/>
  <c r="BA13" i="11"/>
  <c r="BB13" i="11"/>
  <c r="BC13" i="11"/>
  <c r="BD13" i="11"/>
  <c r="BE13" i="11"/>
  <c r="BJ13" i="11"/>
  <c r="Q14" i="11"/>
  <c r="S14" i="11"/>
  <c r="T14" i="11"/>
  <c r="U14" i="11"/>
  <c r="AE14" i="11"/>
  <c r="AF14" i="11"/>
  <c r="AK14" i="11"/>
  <c r="AL14" i="11"/>
  <c r="AM14" i="11"/>
  <c r="AN14" i="11"/>
  <c r="AO14" i="11"/>
  <c r="AP14" i="11"/>
  <c r="AQ14" i="11"/>
  <c r="AS14" i="11"/>
  <c r="AX14" i="11"/>
  <c r="AY14" i="11"/>
  <c r="AZ14" i="11"/>
  <c r="BA14" i="11"/>
  <c r="BB14" i="11"/>
  <c r="BD14" i="11"/>
  <c r="BE14" i="11"/>
  <c r="BG14" i="11"/>
  <c r="BJ14" i="11"/>
  <c r="Q15" i="11"/>
  <c r="S15" i="11"/>
  <c r="T15" i="11"/>
  <c r="U15" i="11"/>
  <c r="AE15" i="11"/>
  <c r="AZ15" i="11" s="1"/>
  <c r="AF15" i="11"/>
  <c r="AK15" i="11"/>
  <c r="AL15" i="11"/>
  <c r="AR15" i="11" s="1"/>
  <c r="AM15" i="11"/>
  <c r="AN15" i="11"/>
  <c r="AO15" i="11"/>
  <c r="AP15" i="11"/>
  <c r="AQ15" i="11"/>
  <c r="AS15" i="11"/>
  <c r="BG15" i="11" s="1"/>
  <c r="AX15" i="11"/>
  <c r="AY15" i="11"/>
  <c r="BA15" i="11"/>
  <c r="BB15" i="11"/>
  <c r="BC15" i="11"/>
  <c r="BD15" i="11"/>
  <c r="BE15" i="11"/>
  <c r="BJ15" i="11"/>
  <c r="Q16" i="11"/>
  <c r="S16" i="11"/>
  <c r="T16" i="11"/>
  <c r="U16" i="11"/>
  <c r="AE16" i="11"/>
  <c r="AF16" i="11"/>
  <c r="AK16" i="11"/>
  <c r="AL16" i="11"/>
  <c r="AM16" i="11"/>
  <c r="AN16" i="11"/>
  <c r="AO16" i="11"/>
  <c r="AP16" i="11"/>
  <c r="AQ16" i="11"/>
  <c r="AS16" i="11"/>
  <c r="AX16" i="11"/>
  <c r="AY16" i="11"/>
  <c r="AZ16" i="11"/>
  <c r="BA16" i="11"/>
  <c r="BB16" i="11"/>
  <c r="BD16" i="11"/>
  <c r="BE16" i="11"/>
  <c r="BG16" i="11"/>
  <c r="BJ16" i="11"/>
  <c r="Q17" i="11"/>
  <c r="S17" i="11"/>
  <c r="T17" i="11"/>
  <c r="U17" i="11"/>
  <c r="AE17" i="11"/>
  <c r="AZ17" i="11" s="1"/>
  <c r="AF17" i="11"/>
  <c r="AK17" i="11"/>
  <c r="AL17" i="11"/>
  <c r="AR17" i="11" s="1"/>
  <c r="AM17" i="11"/>
  <c r="AN17" i="11"/>
  <c r="AO17" i="11"/>
  <c r="AP17" i="11"/>
  <c r="AQ17" i="11"/>
  <c r="AS17" i="11"/>
  <c r="BG17" i="11" s="1"/>
  <c r="AX17" i="11"/>
  <c r="AY17" i="11"/>
  <c r="BA17" i="11"/>
  <c r="BB17" i="11"/>
  <c r="BC17" i="11"/>
  <c r="BD17" i="11"/>
  <c r="BE17" i="11"/>
  <c r="BJ17" i="11"/>
  <c r="Q18" i="11"/>
  <c r="S18" i="11"/>
  <c r="T18" i="11"/>
  <c r="U18" i="11"/>
  <c r="AE18" i="11"/>
  <c r="AF18" i="11"/>
  <c r="AK18" i="11"/>
  <c r="AL18" i="11"/>
  <c r="AM18" i="11"/>
  <c r="AN18" i="11"/>
  <c r="AO18" i="11"/>
  <c r="AP18" i="11"/>
  <c r="AQ18" i="11"/>
  <c r="AS18" i="11"/>
  <c r="AX18" i="11"/>
  <c r="AY18" i="11"/>
  <c r="AZ18" i="11"/>
  <c r="BA18" i="11"/>
  <c r="BB18" i="11"/>
  <c r="BD18" i="11"/>
  <c r="BE18" i="11"/>
  <c r="BG18" i="11"/>
  <c r="BJ18" i="11"/>
  <c r="Q19" i="11"/>
  <c r="S19" i="11"/>
  <c r="T19" i="11"/>
  <c r="U19" i="11"/>
  <c r="AE19" i="11"/>
  <c r="AZ19" i="11" s="1"/>
  <c r="AF19" i="11"/>
  <c r="AK19" i="11"/>
  <c r="AL19" i="11"/>
  <c r="AR19" i="11" s="1"/>
  <c r="AM19" i="11"/>
  <c r="AN19" i="11"/>
  <c r="AO19" i="11"/>
  <c r="AP19" i="11"/>
  <c r="AQ19" i="11"/>
  <c r="AS19" i="11"/>
  <c r="BG19" i="11" s="1"/>
  <c r="AX19" i="11"/>
  <c r="AY19" i="11"/>
  <c r="BA19" i="11"/>
  <c r="BB19" i="11"/>
  <c r="BC19" i="11"/>
  <c r="BD19" i="11"/>
  <c r="BE19" i="11"/>
  <c r="BJ19" i="11"/>
  <c r="Q20" i="11"/>
  <c r="S20" i="11"/>
  <c r="T20" i="11"/>
  <c r="U20" i="11"/>
  <c r="AE20" i="11"/>
  <c r="AF20" i="11"/>
  <c r="AK20" i="11"/>
  <c r="AL20" i="11"/>
  <c r="AM20" i="11"/>
  <c r="AN20" i="11"/>
  <c r="AO20" i="11"/>
  <c r="AP20" i="11"/>
  <c r="AQ20" i="11"/>
  <c r="AS20" i="11"/>
  <c r="AX20" i="11"/>
  <c r="AY20" i="11"/>
  <c r="AZ20" i="11"/>
  <c r="BA20" i="11"/>
  <c r="BB20" i="11"/>
  <c r="BD20" i="11"/>
  <c r="BE20" i="11"/>
  <c r="BG20" i="11"/>
  <c r="BJ20" i="11"/>
  <c r="Q21" i="11"/>
  <c r="S21" i="11"/>
  <c r="T21" i="11"/>
  <c r="U21" i="11"/>
  <c r="AE21" i="11"/>
  <c r="AZ21" i="11" s="1"/>
  <c r="AF21" i="11"/>
  <c r="AK21" i="11"/>
  <c r="AL21" i="11"/>
  <c r="AR21" i="11" s="1"/>
  <c r="AM21" i="11"/>
  <c r="AN21" i="11"/>
  <c r="AO21" i="11"/>
  <c r="AP21" i="11"/>
  <c r="AQ21" i="11"/>
  <c r="AS21" i="11"/>
  <c r="BG21" i="11" s="1"/>
  <c r="AX21" i="11"/>
  <c r="AY21" i="11"/>
  <c r="BA21" i="11"/>
  <c r="BB21" i="11"/>
  <c r="BC21" i="11"/>
  <c r="BD21" i="11"/>
  <c r="BE21" i="11"/>
  <c r="BJ21" i="11"/>
  <c r="Q22" i="11"/>
  <c r="S22" i="11"/>
  <c r="T22" i="11"/>
  <c r="U22" i="11"/>
  <c r="AE22" i="11"/>
  <c r="AF22" i="11"/>
  <c r="AK22" i="11"/>
  <c r="AL22" i="11"/>
  <c r="AM22" i="11"/>
  <c r="AN22" i="11"/>
  <c r="AO22" i="11"/>
  <c r="AP22" i="11"/>
  <c r="AQ22" i="11"/>
  <c r="AS22" i="11"/>
  <c r="AX22" i="11"/>
  <c r="AY22" i="11"/>
  <c r="AZ22" i="11"/>
  <c r="BA22" i="11"/>
  <c r="BB22" i="11"/>
  <c r="BD22" i="11"/>
  <c r="BE22" i="11"/>
  <c r="BG22" i="11"/>
  <c r="BJ22" i="11"/>
  <c r="Q23" i="11"/>
  <c r="S23" i="11"/>
  <c r="T23" i="11"/>
  <c r="U23" i="11"/>
  <c r="AE23" i="11"/>
  <c r="AZ23" i="11" s="1"/>
  <c r="AF23" i="11"/>
  <c r="AK23" i="11"/>
  <c r="AL23" i="11"/>
  <c r="AR23" i="11" s="1"/>
  <c r="AM23" i="11"/>
  <c r="AN23" i="11"/>
  <c r="AO23" i="11"/>
  <c r="AP23" i="11"/>
  <c r="AQ23" i="11"/>
  <c r="AS23" i="11"/>
  <c r="BG23" i="11" s="1"/>
  <c r="AX23" i="11"/>
  <c r="AY23" i="11"/>
  <c r="BA23" i="11"/>
  <c r="BB23" i="11"/>
  <c r="BC23" i="11"/>
  <c r="BD23" i="11"/>
  <c r="BE23" i="11"/>
  <c r="BJ23" i="11"/>
  <c r="Q24" i="11"/>
  <c r="S24" i="11"/>
  <c r="T24" i="11"/>
  <c r="U24" i="11"/>
  <c r="AE24" i="11"/>
  <c r="AF24" i="11"/>
  <c r="AK24" i="11"/>
  <c r="AL24" i="11"/>
  <c r="AM24" i="11"/>
  <c r="AN24" i="11"/>
  <c r="AO24" i="11"/>
  <c r="AP24" i="11"/>
  <c r="AQ24" i="11"/>
  <c r="AS24" i="11"/>
  <c r="AX24" i="11"/>
  <c r="AY24" i="11"/>
  <c r="AZ24" i="11"/>
  <c r="BA24" i="11"/>
  <c r="BB24" i="11"/>
  <c r="BD24" i="11"/>
  <c r="BE24" i="11"/>
  <c r="BG24" i="11"/>
  <c r="BJ24" i="11"/>
  <c r="Q25" i="11"/>
  <c r="S25" i="11"/>
  <c r="T25" i="11"/>
  <c r="U25" i="11"/>
  <c r="AE25" i="11"/>
  <c r="AZ25" i="11" s="1"/>
  <c r="AF25" i="11"/>
  <c r="AK25" i="11"/>
  <c r="AL25" i="11"/>
  <c r="AR25" i="11" s="1"/>
  <c r="AM25" i="11"/>
  <c r="AN25" i="11"/>
  <c r="AO25" i="11"/>
  <c r="AP25" i="11"/>
  <c r="AQ25" i="11"/>
  <c r="AS25" i="11"/>
  <c r="BG25" i="11" s="1"/>
  <c r="AX25" i="11"/>
  <c r="AY25" i="11"/>
  <c r="BA25" i="11"/>
  <c r="BB25" i="11"/>
  <c r="BC25" i="11"/>
  <c r="BD25" i="11"/>
  <c r="BE25" i="11"/>
  <c r="BJ25" i="11"/>
  <c r="Q26" i="11"/>
  <c r="S26" i="11"/>
  <c r="T26" i="11"/>
  <c r="U26" i="11"/>
  <c r="AE26" i="11"/>
  <c r="AF26" i="11"/>
  <c r="AK26" i="11"/>
  <c r="AL26" i="11"/>
  <c r="AR26" i="11" s="1"/>
  <c r="AM26" i="11"/>
  <c r="AN26" i="11"/>
  <c r="AO26" i="11"/>
  <c r="AP26" i="11"/>
  <c r="AQ26" i="11"/>
  <c r="AS26" i="11"/>
  <c r="AX26" i="11"/>
  <c r="AY26" i="11"/>
  <c r="AZ26" i="11"/>
  <c r="BA26" i="11"/>
  <c r="BB26" i="11"/>
  <c r="BD26" i="11"/>
  <c r="BE26" i="11"/>
  <c r="BG26" i="11"/>
  <c r="BJ26" i="11"/>
  <c r="C27" i="11"/>
  <c r="AM27" i="11"/>
  <c r="AR27" i="11"/>
  <c r="AS27" i="11"/>
  <c r="AX28" i="11"/>
  <c r="BI28" i="11"/>
  <c r="T30" i="11"/>
  <c r="V30" i="11"/>
  <c r="N64" i="11" s="1"/>
  <c r="B31" i="11"/>
  <c r="B79" i="11" s="1"/>
  <c r="I31" i="11"/>
  <c r="I79" i="11" s="1"/>
  <c r="L31" i="11"/>
  <c r="L79" i="11" s="1"/>
  <c r="M32" i="11"/>
  <c r="B38" i="11"/>
  <c r="U38" i="11"/>
  <c r="B39" i="11"/>
  <c r="S39" i="11"/>
  <c r="U39" i="11"/>
  <c r="B40" i="11"/>
  <c r="S40" i="11"/>
  <c r="U40" i="11"/>
  <c r="F41" i="11"/>
  <c r="S41" i="11"/>
  <c r="S46" i="11" s="1"/>
  <c r="U41" i="11"/>
  <c r="F42" i="11"/>
  <c r="K42" i="11"/>
  <c r="S42" i="11"/>
  <c r="U42" i="11"/>
  <c r="W42" i="11" s="1"/>
  <c r="N44" i="11"/>
  <c r="S44" i="11"/>
  <c r="U44" i="11"/>
  <c r="F45" i="11"/>
  <c r="U45" i="11"/>
  <c r="U46" i="11"/>
  <c r="N47" i="11"/>
  <c r="U47" i="11"/>
  <c r="U48" i="11"/>
  <c r="S49" i="11"/>
  <c r="S75" i="11" s="1"/>
  <c r="U49" i="11"/>
  <c r="G50" i="11"/>
  <c r="H50" i="11"/>
  <c r="BC10" i="11" s="1"/>
  <c r="K50" i="11"/>
  <c r="N50" i="11"/>
  <c r="U50" i="11"/>
  <c r="K51" i="11"/>
  <c r="N51" i="11"/>
  <c r="U51" i="11"/>
  <c r="K52" i="11"/>
  <c r="N52" i="11"/>
  <c r="U52" i="11"/>
  <c r="W52" i="11" s="1"/>
  <c r="K53" i="11"/>
  <c r="K56" i="11" s="1"/>
  <c r="N53" i="11"/>
  <c r="U53" i="11"/>
  <c r="W53" i="11" s="1"/>
  <c r="K54" i="11"/>
  <c r="S54" i="11"/>
  <c r="U54" i="11"/>
  <c r="W54" i="11" s="1"/>
  <c r="H55" i="11"/>
  <c r="K55" i="11"/>
  <c r="N55" i="11"/>
  <c r="W55" i="11"/>
  <c r="D56" i="11"/>
  <c r="S56" i="11"/>
  <c r="W56" i="11" s="1"/>
  <c r="U56" i="11"/>
  <c r="S57" i="11"/>
  <c r="U57" i="11"/>
  <c r="W57" i="11"/>
  <c r="N58" i="11"/>
  <c r="S58" i="11"/>
  <c r="U58" i="11"/>
  <c r="D59" i="11"/>
  <c r="N59" i="11"/>
  <c r="W59" i="11"/>
  <c r="D60" i="11"/>
  <c r="N60" i="11"/>
  <c r="AD83" i="11" s="1"/>
  <c r="W60" i="11"/>
  <c r="W61" i="11"/>
  <c r="F62" i="11"/>
  <c r="S62" i="11"/>
  <c r="U62" i="11"/>
  <c r="W62" i="11"/>
  <c r="D63" i="11"/>
  <c r="F63" i="11"/>
  <c r="W63" i="11"/>
  <c r="S64" i="11"/>
  <c r="U64" i="11"/>
  <c r="D65" i="11"/>
  <c r="F65" i="11"/>
  <c r="U65" i="11"/>
  <c r="D66" i="11"/>
  <c r="N66" i="11"/>
  <c r="N67" i="11"/>
  <c r="W67" i="11"/>
  <c r="W68" i="11"/>
  <c r="N69" i="11"/>
  <c r="W69" i="11"/>
  <c r="F70" i="11"/>
  <c r="N70" i="11" s="1"/>
  <c r="U70" i="11"/>
  <c r="W70" i="11"/>
  <c r="F71" i="11"/>
  <c r="N71" i="11" s="1"/>
  <c r="AD88" i="11" s="1"/>
  <c r="S71" i="11"/>
  <c r="U71" i="11"/>
  <c r="W71" i="11" s="1"/>
  <c r="AD75" i="11" s="1"/>
  <c r="N72" i="11"/>
  <c r="U72" i="11"/>
  <c r="W72" i="11"/>
  <c r="AD72" i="11"/>
  <c r="N73" i="11"/>
  <c r="AD113" i="11" s="1"/>
  <c r="N74" i="11"/>
  <c r="N75" i="11"/>
  <c r="U75" i="11"/>
  <c r="W75" i="11" s="1"/>
  <c r="AD85" i="11"/>
  <c r="AD91" i="11"/>
  <c r="AD92" i="11"/>
  <c r="AD117" i="11"/>
  <c r="J1" i="11526"/>
  <c r="U2" i="11524"/>
  <c r="P3" i="11524"/>
  <c r="P4" i="11524"/>
  <c r="P5" i="11524"/>
  <c r="P6" i="11524"/>
  <c r="AK7" i="11524"/>
  <c r="H8" i="11524"/>
  <c r="P8" i="11524"/>
  <c r="AM8" i="11524"/>
  <c r="I10" i="11524"/>
  <c r="O10" i="11524" s="1"/>
  <c r="G51" i="3" s="1"/>
  <c r="M10" i="11524"/>
  <c r="Q10" i="11524"/>
  <c r="J51" i="3" s="1"/>
  <c r="R10" i="11524"/>
  <c r="R51" i="3"/>
  <c r="AE10" i="11524"/>
  <c r="P51" i="3" s="1"/>
  <c r="I12" i="11524"/>
  <c r="E49" i="3" s="1"/>
  <c r="M12" i="11524"/>
  <c r="W49" i="3" s="1"/>
  <c r="Q12" i="11524"/>
  <c r="R12" i="11524"/>
  <c r="S12" i="11524" s="1"/>
  <c r="Q49" i="3" s="1"/>
  <c r="T12" i="11524"/>
  <c r="R49" i="3" s="1"/>
  <c r="AE12" i="11524"/>
  <c r="P49" i="3" s="1"/>
  <c r="I13" i="11524"/>
  <c r="O13" i="11524" s="1"/>
  <c r="M13" i="11524"/>
  <c r="N13" i="11524"/>
  <c r="Q13" i="11524"/>
  <c r="R13" i="11524"/>
  <c r="AD13" i="11524" s="1"/>
  <c r="T13" i="11524"/>
  <c r="W13" i="11524"/>
  <c r="AE13" i="11524"/>
  <c r="AD14" i="11524"/>
  <c r="AE14" i="11524"/>
  <c r="M15" i="11524"/>
  <c r="N15" i="11524"/>
  <c r="O15" i="11524"/>
  <c r="O23" i="11524" s="1"/>
  <c r="P15" i="11524"/>
  <c r="Q15" i="11524"/>
  <c r="R15" i="11524"/>
  <c r="AE15" i="11524" s="1"/>
  <c r="S15" i="11524"/>
  <c r="T15" i="11524"/>
  <c r="U15" i="11524"/>
  <c r="AD15" i="11524"/>
  <c r="I16" i="11524"/>
  <c r="W16" i="11524" s="1"/>
  <c r="M16" i="11524"/>
  <c r="N16" i="11524" s="1"/>
  <c r="Q16" i="11524" s="1"/>
  <c r="P16" i="11524"/>
  <c r="R16" i="11524"/>
  <c r="T16" i="11524"/>
  <c r="AE16" i="11524"/>
  <c r="I17" i="11524"/>
  <c r="O17" i="11524" s="1"/>
  <c r="M17" i="11524"/>
  <c r="N17" i="11524" s="1"/>
  <c r="Q17" i="11524" s="1"/>
  <c r="J32" i="3" s="1"/>
  <c r="P17" i="11524"/>
  <c r="R17" i="11524"/>
  <c r="AD17" i="11524" s="1"/>
  <c r="O32" i="3" s="1"/>
  <c r="T17" i="11524"/>
  <c r="AE17" i="11524"/>
  <c r="I18" i="11524"/>
  <c r="O18" i="11524" s="1"/>
  <c r="J18" i="11524"/>
  <c r="M18" i="11524"/>
  <c r="N18" i="11524" s="1"/>
  <c r="Q18" i="11524" s="1"/>
  <c r="R18" i="11524"/>
  <c r="AE18" i="11524" s="1"/>
  <c r="W18" i="11524"/>
  <c r="AD18" i="11524"/>
  <c r="I19" i="11524"/>
  <c r="O19" i="11524" s="1"/>
  <c r="J19" i="11524"/>
  <c r="M19" i="11524" s="1"/>
  <c r="N19" i="11524" s="1"/>
  <c r="Q19" i="11524" s="1"/>
  <c r="R19" i="11524"/>
  <c r="AE19" i="11524" s="1"/>
  <c r="T19" i="11524"/>
  <c r="AD19" i="11524"/>
  <c r="AD21" i="11524"/>
  <c r="AE21" i="11524"/>
  <c r="AD22" i="11524"/>
  <c r="AE22" i="11524"/>
  <c r="P23" i="11524"/>
  <c r="Q23" i="11524"/>
  <c r="R23" i="11524"/>
  <c r="AE23" i="11524" s="1"/>
  <c r="S23" i="11524"/>
  <c r="T23" i="11524"/>
  <c r="AD23" i="11524"/>
  <c r="I24" i="11524"/>
  <c r="W24" i="11524" s="1"/>
  <c r="M24" i="11524"/>
  <c r="N24" i="11524" s="1"/>
  <c r="H52" i="3" s="1"/>
  <c r="O24" i="11524"/>
  <c r="G52" i="3" s="1"/>
  <c r="R24" i="11524"/>
  <c r="AD24" i="11524" s="1"/>
  <c r="S24" i="11524"/>
  <c r="Q52" i="3" s="1"/>
  <c r="T24" i="11524"/>
  <c r="R52" i="3" s="1"/>
  <c r="AE24" i="11524"/>
  <c r="I25" i="11524"/>
  <c r="E53" i="3" s="1"/>
  <c r="M25" i="11524"/>
  <c r="N25" i="11524" s="1"/>
  <c r="R25" i="11524"/>
  <c r="AD25" i="11524" s="1"/>
  <c r="S25" i="11524"/>
  <c r="Q53" i="3" s="1"/>
  <c r="AE25" i="11524"/>
  <c r="P53" i="3" s="1"/>
  <c r="I26" i="11524"/>
  <c r="W26" i="11524" s="1"/>
  <c r="M26" i="11524"/>
  <c r="N26" i="11524" s="1"/>
  <c r="R26" i="11524"/>
  <c r="AD26" i="11524" s="1"/>
  <c r="AE26" i="11524"/>
  <c r="I27" i="11524"/>
  <c r="M27" i="11524"/>
  <c r="N27" i="11524" s="1"/>
  <c r="H50" i="3" s="1"/>
  <c r="R27" i="11524"/>
  <c r="S27" i="11524" s="1"/>
  <c r="AE27" i="11524"/>
  <c r="I28" i="11524"/>
  <c r="M28" i="11524"/>
  <c r="N28" i="11524" s="1"/>
  <c r="Q28" i="11524"/>
  <c r="T28" i="11524" s="1"/>
  <c r="R28" i="11524"/>
  <c r="S28" i="11524" s="1"/>
  <c r="AE28" i="11524"/>
  <c r="I29" i="11524"/>
  <c r="W29" i="11524" s="1"/>
  <c r="M29" i="11524"/>
  <c r="N29" i="11524" s="1"/>
  <c r="R29" i="11524"/>
  <c r="S29" i="11524" s="1"/>
  <c r="AD29" i="11524"/>
  <c r="AE29" i="11524"/>
  <c r="AD30" i="11524"/>
  <c r="AE30" i="11524"/>
  <c r="I31" i="11524"/>
  <c r="W31" i="11524" s="1"/>
  <c r="M31" i="11524"/>
  <c r="R31" i="11524"/>
  <c r="AD31" i="11524" s="1"/>
  <c r="O29" i="3" s="1"/>
  <c r="T31" i="11524"/>
  <c r="AE31" i="11524"/>
  <c r="I32" i="11524"/>
  <c r="W32" i="11524" s="1"/>
  <c r="M32" i="11524"/>
  <c r="R32" i="11524"/>
  <c r="S32" i="11524" s="1"/>
  <c r="T32" i="11524"/>
  <c r="AE32" i="11524"/>
  <c r="I33" i="11524"/>
  <c r="W33" i="11524" s="1"/>
  <c r="M33" i="11524"/>
  <c r="R33" i="11524"/>
  <c r="S33" i="11524" s="1"/>
  <c r="T33" i="11524"/>
  <c r="AE33" i="11524"/>
  <c r="I34" i="11524"/>
  <c r="M34" i="11524"/>
  <c r="R34" i="11524"/>
  <c r="S34" i="11524" s="1"/>
  <c r="AE34" i="11524"/>
  <c r="I35" i="11524"/>
  <c r="W35" i="11524" s="1"/>
  <c r="M35" i="11524"/>
  <c r="R35" i="11524"/>
  <c r="AD35" i="11524" s="1"/>
  <c r="S35" i="11524"/>
  <c r="T35" i="11524"/>
  <c r="AE35" i="11524"/>
  <c r="M36" i="11524"/>
  <c r="R36" i="11524"/>
  <c r="S36" i="11524" s="1"/>
  <c r="T36" i="11524"/>
  <c r="W36" i="11524"/>
  <c r="AD36" i="11524"/>
  <c r="M37" i="11524"/>
  <c r="R37" i="11524"/>
  <c r="T37" i="11524"/>
  <c r="AD37" i="11524"/>
  <c r="AK58" i="11524"/>
  <c r="AK60" i="11524"/>
  <c r="X2" i="2826"/>
  <c r="S3" i="2826"/>
  <c r="S4" i="2826"/>
  <c r="S5" i="2826"/>
  <c r="S6" i="2826"/>
  <c r="S10" i="2826"/>
  <c r="T10" i="2826"/>
  <c r="AI10" i="2826"/>
  <c r="AJ10" i="2826"/>
  <c r="AK10" i="2826"/>
  <c r="AL10" i="2826"/>
  <c r="AM10" i="2826"/>
  <c r="AS10" i="2826"/>
  <c r="BJ10" i="2826"/>
  <c r="S11" i="2826"/>
  <c r="T11" i="2826"/>
  <c r="U11" i="2826"/>
  <c r="AK11" i="2826"/>
  <c r="AH11" i="2826"/>
  <c r="AI11" i="2826"/>
  <c r="AJ11" i="2826"/>
  <c r="AL11" i="2826"/>
  <c r="AR11" i="2826"/>
  <c r="AS11" i="2826"/>
  <c r="AV11" i="2826"/>
  <c r="AW11" i="2826"/>
  <c r="BI11" i="2826"/>
  <c r="BJ11" i="2826"/>
  <c r="S12" i="2826"/>
  <c r="T12" i="2826"/>
  <c r="U12" i="2826"/>
  <c r="AK12" i="2826"/>
  <c r="AH12" i="2826"/>
  <c r="AI12" i="2826"/>
  <c r="AJ12" i="2826"/>
  <c r="AL12" i="2826"/>
  <c r="AM12" i="2826"/>
  <c r="AR12" i="2826"/>
  <c r="AS12" i="2826"/>
  <c r="AV12" i="2826"/>
  <c r="AW12" i="2826"/>
  <c r="BI12" i="2826"/>
  <c r="BJ12" i="2826"/>
  <c r="S13" i="2826"/>
  <c r="T13" i="2826"/>
  <c r="U13" i="2826"/>
  <c r="AK13" i="2826"/>
  <c r="AH13" i="2826"/>
  <c r="AI13" i="2826"/>
  <c r="AJ13" i="2826"/>
  <c r="AL13" i="2826"/>
  <c r="AM13" i="2826"/>
  <c r="AR13" i="2826"/>
  <c r="AS13" i="2826"/>
  <c r="AV13" i="2826"/>
  <c r="AW13" i="2826"/>
  <c r="BI13" i="2826"/>
  <c r="BJ13" i="2826"/>
  <c r="S14" i="2826"/>
  <c r="T14" i="2826"/>
  <c r="U14" i="2826"/>
  <c r="W14" i="2826"/>
  <c r="AH14" i="2826"/>
  <c r="AI14" i="2826"/>
  <c r="AJ14" i="2826"/>
  <c r="AK14" i="2826"/>
  <c r="AL14" i="2826"/>
  <c r="AM14" i="2826"/>
  <c r="AR14" i="2826"/>
  <c r="AS14" i="2826"/>
  <c r="AV14" i="2826"/>
  <c r="AW14" i="2826"/>
  <c r="BA14" i="2826"/>
  <c r="BB14" i="2826"/>
  <c r="BC14" i="2826"/>
  <c r="BD14" i="2826"/>
  <c r="BI14" i="2826"/>
  <c r="BJ14" i="2826"/>
  <c r="S15" i="2826"/>
  <c r="T15" i="2826"/>
  <c r="U15" i="2826"/>
  <c r="W15" i="2826"/>
  <c r="AH15" i="2826"/>
  <c r="AI15" i="2826"/>
  <c r="AJ15" i="2826"/>
  <c r="AK15" i="2826"/>
  <c r="AL15" i="2826"/>
  <c r="AM15" i="2826"/>
  <c r="AR15" i="2826"/>
  <c r="AS15" i="2826"/>
  <c r="AV15" i="2826"/>
  <c r="AW15" i="2826"/>
  <c r="BA15" i="2826"/>
  <c r="BB15" i="2826"/>
  <c r="BC15" i="2826"/>
  <c r="BD15" i="2826"/>
  <c r="BI15" i="2826"/>
  <c r="BJ15" i="2826"/>
  <c r="S16" i="2826"/>
  <c r="T16" i="2826"/>
  <c r="U16" i="2826"/>
  <c r="W16" i="2826"/>
  <c r="AH16" i="2826"/>
  <c r="AI16" i="2826"/>
  <c r="AJ16" i="2826"/>
  <c r="AK16" i="2826"/>
  <c r="AL16" i="2826"/>
  <c r="AM16" i="2826"/>
  <c r="AR16" i="2826"/>
  <c r="AS16" i="2826"/>
  <c r="AV16" i="2826"/>
  <c r="AW16" i="2826"/>
  <c r="BA16" i="2826"/>
  <c r="BB16" i="2826"/>
  <c r="BC16" i="2826"/>
  <c r="BD16" i="2826"/>
  <c r="BI16" i="2826"/>
  <c r="BJ16" i="2826"/>
  <c r="S17" i="2826"/>
  <c r="T17" i="2826"/>
  <c r="U17" i="2826"/>
  <c r="W17" i="2826"/>
  <c r="AH17" i="2826"/>
  <c r="AI17" i="2826"/>
  <c r="AJ17" i="2826"/>
  <c r="AK17" i="2826"/>
  <c r="AL17" i="2826"/>
  <c r="AM17" i="2826"/>
  <c r="AR17" i="2826"/>
  <c r="AS17" i="2826"/>
  <c r="AV17" i="2826"/>
  <c r="AW17" i="2826"/>
  <c r="BA17" i="2826"/>
  <c r="BB17" i="2826"/>
  <c r="BC17" i="2826"/>
  <c r="BD17" i="2826"/>
  <c r="BI17" i="2826"/>
  <c r="BJ17" i="2826"/>
  <c r="S18" i="2826"/>
  <c r="T18" i="2826"/>
  <c r="U18" i="2826"/>
  <c r="W18" i="2826"/>
  <c r="AH18" i="2826"/>
  <c r="AI18" i="2826"/>
  <c r="AJ18" i="2826"/>
  <c r="AK18" i="2826"/>
  <c r="AL18" i="2826"/>
  <c r="AM18" i="2826"/>
  <c r="AR18" i="2826"/>
  <c r="AS18" i="2826"/>
  <c r="AV18" i="2826"/>
  <c r="AW18" i="2826"/>
  <c r="BA18" i="2826"/>
  <c r="BB18" i="2826"/>
  <c r="BC18" i="2826"/>
  <c r="BD18" i="2826"/>
  <c r="BI18" i="2826"/>
  <c r="BJ18" i="2826"/>
  <c r="S19" i="2826"/>
  <c r="T19" i="2826"/>
  <c r="U19" i="2826"/>
  <c r="W19" i="2826"/>
  <c r="AH19" i="2826"/>
  <c r="AI19" i="2826"/>
  <c r="AJ19" i="2826"/>
  <c r="AK19" i="2826"/>
  <c r="AL19" i="2826"/>
  <c r="AM19" i="2826"/>
  <c r="AR19" i="2826"/>
  <c r="AS19" i="2826"/>
  <c r="AV19" i="2826"/>
  <c r="AW19" i="2826"/>
  <c r="BA19" i="2826"/>
  <c r="BB19" i="2826"/>
  <c r="BC19" i="2826"/>
  <c r="BD19" i="2826"/>
  <c r="BI19" i="2826"/>
  <c r="BJ19" i="2826"/>
  <c r="S20" i="2826"/>
  <c r="T20" i="2826"/>
  <c r="U20" i="2826"/>
  <c r="W20" i="2826"/>
  <c r="AH20" i="2826"/>
  <c r="AI20" i="2826"/>
  <c r="AJ20" i="2826"/>
  <c r="AK20" i="2826"/>
  <c r="AL20" i="2826"/>
  <c r="AM20" i="2826"/>
  <c r="AR20" i="2826"/>
  <c r="AS20" i="2826"/>
  <c r="AV20" i="2826"/>
  <c r="AW20" i="2826"/>
  <c r="BA20" i="2826"/>
  <c r="BB20" i="2826"/>
  <c r="BC20" i="2826"/>
  <c r="BD20" i="2826"/>
  <c r="BI20" i="2826"/>
  <c r="BJ20" i="2826"/>
  <c r="S21" i="2826"/>
  <c r="T21" i="2826"/>
  <c r="U21" i="2826"/>
  <c r="W21" i="2826"/>
  <c r="AH21" i="2826"/>
  <c r="AI21" i="2826"/>
  <c r="AJ21" i="2826"/>
  <c r="AK21" i="2826"/>
  <c r="AL21" i="2826"/>
  <c r="AM21" i="2826"/>
  <c r="AR21" i="2826"/>
  <c r="AS21" i="2826"/>
  <c r="AV21" i="2826"/>
  <c r="AW21" i="2826"/>
  <c r="BA21" i="2826"/>
  <c r="BB21" i="2826"/>
  <c r="BC21" i="2826"/>
  <c r="BD21" i="2826"/>
  <c r="BI21" i="2826"/>
  <c r="BJ21" i="2826"/>
  <c r="S22" i="2826"/>
  <c r="T22" i="2826"/>
  <c r="U22" i="2826"/>
  <c r="W22" i="2826"/>
  <c r="AH22" i="2826"/>
  <c r="AI22" i="2826"/>
  <c r="AJ22" i="2826"/>
  <c r="AK22" i="2826"/>
  <c r="AL22" i="2826"/>
  <c r="AM22" i="2826"/>
  <c r="AR22" i="2826"/>
  <c r="AS22" i="2826"/>
  <c r="AV22" i="2826"/>
  <c r="AW22" i="2826"/>
  <c r="BA22" i="2826"/>
  <c r="BB22" i="2826"/>
  <c r="BC22" i="2826"/>
  <c r="BD22" i="2826"/>
  <c r="BI22" i="2826"/>
  <c r="BJ22" i="2826"/>
  <c r="S23" i="2826"/>
  <c r="T23" i="2826"/>
  <c r="U23" i="2826"/>
  <c r="W23" i="2826"/>
  <c r="AH23" i="2826"/>
  <c r="AI23" i="2826"/>
  <c r="AJ23" i="2826"/>
  <c r="AK23" i="2826"/>
  <c r="AL23" i="2826"/>
  <c r="AM23" i="2826"/>
  <c r="AR23" i="2826"/>
  <c r="AS23" i="2826"/>
  <c r="AV23" i="2826"/>
  <c r="AW23" i="2826"/>
  <c r="BA23" i="2826"/>
  <c r="BB23" i="2826"/>
  <c r="BC23" i="2826"/>
  <c r="BD23" i="2826"/>
  <c r="BI23" i="2826"/>
  <c r="BJ23" i="2826"/>
  <c r="S24" i="2826"/>
  <c r="T24" i="2826"/>
  <c r="U24" i="2826"/>
  <c r="W24" i="2826"/>
  <c r="AH24" i="2826"/>
  <c r="AI24" i="2826"/>
  <c r="AJ24" i="2826"/>
  <c r="AK24" i="2826"/>
  <c r="AL24" i="2826"/>
  <c r="AM24" i="2826"/>
  <c r="AR24" i="2826"/>
  <c r="AS24" i="2826"/>
  <c r="AV24" i="2826"/>
  <c r="AW24" i="2826"/>
  <c r="BA24" i="2826"/>
  <c r="BB24" i="2826"/>
  <c r="BC24" i="2826"/>
  <c r="BD24" i="2826"/>
  <c r="BI24" i="2826"/>
  <c r="BJ24" i="2826"/>
  <c r="S25" i="2826"/>
  <c r="T25" i="2826"/>
  <c r="U25" i="2826"/>
  <c r="W25" i="2826"/>
  <c r="AH25" i="2826"/>
  <c r="AI25" i="2826"/>
  <c r="AJ25" i="2826"/>
  <c r="AK25" i="2826"/>
  <c r="AL25" i="2826"/>
  <c r="AM25" i="2826"/>
  <c r="AR25" i="2826"/>
  <c r="AS25" i="2826"/>
  <c r="AV25" i="2826"/>
  <c r="AW25" i="2826"/>
  <c r="BA25" i="2826"/>
  <c r="BB25" i="2826"/>
  <c r="BC25" i="2826"/>
  <c r="BD25" i="2826"/>
  <c r="BI25" i="2826"/>
  <c r="BJ25" i="2826"/>
  <c r="S26" i="2826"/>
  <c r="T26" i="2826"/>
  <c r="U26" i="2826"/>
  <c r="W26" i="2826"/>
  <c r="AH26" i="2826"/>
  <c r="AI26" i="2826"/>
  <c r="AJ26" i="2826"/>
  <c r="AK26" i="2826"/>
  <c r="AL26" i="2826"/>
  <c r="AM26" i="2826"/>
  <c r="AR26" i="2826"/>
  <c r="AS26" i="2826"/>
  <c r="AV26" i="2826"/>
  <c r="AW26" i="2826"/>
  <c r="BA26" i="2826"/>
  <c r="BB26" i="2826"/>
  <c r="BC26" i="2826"/>
  <c r="BD26" i="2826"/>
  <c r="BI26" i="2826"/>
  <c r="BJ26" i="2826"/>
  <c r="C27" i="2826"/>
  <c r="AZ28" i="2826"/>
  <c r="W30" i="2826"/>
  <c r="Y30" i="2826"/>
  <c r="Q61" i="2826" s="1"/>
  <c r="O31" i="2826"/>
  <c r="O82" i="2826" s="1"/>
  <c r="P32" i="2826"/>
  <c r="B38" i="2826"/>
  <c r="W38" i="2826"/>
  <c r="B39" i="2826"/>
  <c r="W39" i="2826"/>
  <c r="B40" i="2826"/>
  <c r="W40" i="2826"/>
  <c r="F41" i="2826"/>
  <c r="W41" i="2826"/>
  <c r="F42" i="2826"/>
  <c r="W42" i="2826"/>
  <c r="Y42" i="2826" s="1"/>
  <c r="U43" i="2826"/>
  <c r="C143" i="11528" s="1"/>
  <c r="W43" i="2826"/>
  <c r="F44" i="2826"/>
  <c r="W44" i="2826"/>
  <c r="U45" i="2826"/>
  <c r="C145" i="11528" s="1"/>
  <c r="W45" i="2826"/>
  <c r="Q46" i="2826"/>
  <c r="U46" i="2826"/>
  <c r="C146" i="11528" s="1"/>
  <c r="W46" i="2826"/>
  <c r="W47" i="2826"/>
  <c r="W48" i="2826"/>
  <c r="G49" i="2826"/>
  <c r="N49" i="2826"/>
  <c r="U49" i="2826"/>
  <c r="C149" i="11528" s="1"/>
  <c r="W49" i="2826"/>
  <c r="N50" i="2826"/>
  <c r="W50" i="2826"/>
  <c r="N51" i="2826"/>
  <c r="W51" i="2826"/>
  <c r="N52" i="2826"/>
  <c r="W52" i="2826"/>
  <c r="Q54" i="2826"/>
  <c r="W54" i="2826"/>
  <c r="Y55" i="2826"/>
  <c r="Q58" i="2826"/>
  <c r="F61" i="2826"/>
  <c r="F64" i="2826"/>
  <c r="Y64" i="2826"/>
  <c r="W65" i="2826"/>
  <c r="Y65" i="2826" s="1"/>
  <c r="W66" i="2826"/>
  <c r="Q71" i="2826"/>
  <c r="Q72" i="2826"/>
  <c r="W72" i="2826"/>
  <c r="U73" i="2826"/>
  <c r="C159" i="11528" s="1"/>
  <c r="W73" i="2826"/>
  <c r="Q76" i="2826"/>
  <c r="Q77" i="2826"/>
  <c r="W78" i="2826"/>
  <c r="V2" i="12"/>
  <c r="P3" i="12"/>
  <c r="P4" i="12"/>
  <c r="P5" i="12"/>
  <c r="P6" i="12"/>
  <c r="Q10" i="12"/>
  <c r="S10" i="12"/>
  <c r="BA10" i="12" s="1"/>
  <c r="AL10" i="12"/>
  <c r="AZ10" i="12"/>
  <c r="AF10" i="12"/>
  <c r="AK10" i="12"/>
  <c r="AM10" i="12"/>
  <c r="AN10" i="12"/>
  <c r="AO10" i="12"/>
  <c r="AP10" i="12"/>
  <c r="AQ10" i="12"/>
  <c r="AS10" i="12"/>
  <c r="BG10" i="12" s="1"/>
  <c r="AX10" i="12"/>
  <c r="AY10" i="12"/>
  <c r="Q11" i="12"/>
  <c r="S11" i="12"/>
  <c r="U11" i="12"/>
  <c r="AE11" i="12"/>
  <c r="AZ11" i="12" s="1"/>
  <c r="AF11" i="12"/>
  <c r="AK11" i="12"/>
  <c r="AL11" i="12"/>
  <c r="AM11" i="12"/>
  <c r="AN11" i="12"/>
  <c r="AO11" i="12"/>
  <c r="AP11" i="12"/>
  <c r="AQ11" i="12"/>
  <c r="AS11" i="12"/>
  <c r="AX11" i="12"/>
  <c r="AY11" i="12"/>
  <c r="BB11" i="12"/>
  <c r="BD11" i="12"/>
  <c r="BE11" i="12"/>
  <c r="BG11" i="12"/>
  <c r="Q12" i="12"/>
  <c r="S12" i="12"/>
  <c r="U12" i="12"/>
  <c r="AE12" i="12"/>
  <c r="AZ12" i="12" s="1"/>
  <c r="AF12" i="12"/>
  <c r="AK12" i="12"/>
  <c r="AL12" i="12"/>
  <c r="AM12" i="12"/>
  <c r="AN12" i="12"/>
  <c r="AO12" i="12"/>
  <c r="AP12" i="12"/>
  <c r="AQ12" i="12"/>
  <c r="AS12" i="12"/>
  <c r="AX12" i="12"/>
  <c r="AY12" i="12"/>
  <c r="BA12" i="12"/>
  <c r="BB12" i="12"/>
  <c r="BD12" i="12"/>
  <c r="BE12" i="12"/>
  <c r="BG12" i="12"/>
  <c r="Q13" i="12"/>
  <c r="S13" i="12"/>
  <c r="U13" i="12"/>
  <c r="AE13" i="12"/>
  <c r="AZ13" i="12" s="1"/>
  <c r="AF13" i="12"/>
  <c r="AK13" i="12"/>
  <c r="AL13" i="12"/>
  <c r="AM13" i="12"/>
  <c r="AN13" i="12"/>
  <c r="AO13" i="12"/>
  <c r="AP13" i="12"/>
  <c r="AQ13" i="12"/>
  <c r="AS13" i="12"/>
  <c r="AX13" i="12"/>
  <c r="AY13" i="12"/>
  <c r="BA13" i="12"/>
  <c r="BB13" i="12"/>
  <c r="BD13" i="12"/>
  <c r="BE13" i="12"/>
  <c r="Q14" i="12"/>
  <c r="S14" i="12"/>
  <c r="BA14" i="12" s="1"/>
  <c r="U14" i="12"/>
  <c r="AE14" i="12"/>
  <c r="AZ14" i="12" s="1"/>
  <c r="AF14" i="12"/>
  <c r="AK14" i="12"/>
  <c r="AL14" i="12"/>
  <c r="AM14" i="12"/>
  <c r="AN14" i="12"/>
  <c r="AO14" i="12"/>
  <c r="AP14" i="12"/>
  <c r="AQ14" i="12"/>
  <c r="AS14" i="12"/>
  <c r="AX14" i="12"/>
  <c r="AY14" i="12"/>
  <c r="BB14" i="12"/>
  <c r="BD14" i="12"/>
  <c r="BE14" i="12"/>
  <c r="BG14" i="12"/>
  <c r="Q15" i="12"/>
  <c r="S15" i="12"/>
  <c r="U15" i="12"/>
  <c r="AE15" i="12"/>
  <c r="AF15" i="12"/>
  <c r="AK15" i="12"/>
  <c r="AL15" i="12"/>
  <c r="AM15" i="12"/>
  <c r="AN15" i="12"/>
  <c r="AO15" i="12"/>
  <c r="AP15" i="12"/>
  <c r="AQ15" i="12"/>
  <c r="AS15" i="12"/>
  <c r="AX15" i="12"/>
  <c r="AY15" i="12"/>
  <c r="AZ15" i="12"/>
  <c r="BA15" i="12"/>
  <c r="BB15" i="12"/>
  <c r="BD15" i="12"/>
  <c r="BE15" i="12"/>
  <c r="BG15" i="12"/>
  <c r="Q16" i="12"/>
  <c r="S16" i="12"/>
  <c r="BA16" i="12" s="1"/>
  <c r="U16" i="12"/>
  <c r="AE16" i="12"/>
  <c r="AF16" i="12"/>
  <c r="AK16" i="12"/>
  <c r="AL16" i="12"/>
  <c r="AM16" i="12"/>
  <c r="AN16" i="12"/>
  <c r="AO16" i="12"/>
  <c r="AP16" i="12"/>
  <c r="AQ16" i="12"/>
  <c r="AS16" i="12"/>
  <c r="BG16" i="12" s="1"/>
  <c r="AX16" i="12"/>
  <c r="AY16" i="12"/>
  <c r="AZ16" i="12"/>
  <c r="BB16" i="12"/>
  <c r="BD16" i="12"/>
  <c r="BE16" i="12"/>
  <c r="Q17" i="12"/>
  <c r="S17" i="12"/>
  <c r="U17" i="12"/>
  <c r="AE17" i="12"/>
  <c r="AZ17" i="12" s="1"/>
  <c r="AF17" i="12"/>
  <c r="AK17" i="12"/>
  <c r="AL17" i="12"/>
  <c r="AM17" i="12"/>
  <c r="AN17" i="12"/>
  <c r="AO17" i="12"/>
  <c r="AP17" i="12"/>
  <c r="AQ17" i="12"/>
  <c r="AS17" i="12"/>
  <c r="BG17" i="12" s="1"/>
  <c r="AX17" i="12"/>
  <c r="AY17" i="12"/>
  <c r="BA17" i="12"/>
  <c r="BB17" i="12"/>
  <c r="BD17" i="12"/>
  <c r="BE17" i="12"/>
  <c r="Q18" i="12"/>
  <c r="S18" i="12"/>
  <c r="BA18" i="12" s="1"/>
  <c r="U18" i="12"/>
  <c r="AE18" i="12"/>
  <c r="AF18" i="12"/>
  <c r="AK18" i="12"/>
  <c r="AL18" i="12"/>
  <c r="AM18" i="12"/>
  <c r="AN18" i="12"/>
  <c r="AO18" i="12"/>
  <c r="AP18" i="12"/>
  <c r="AQ18" i="12"/>
  <c r="AS18" i="12"/>
  <c r="BG18" i="12" s="1"/>
  <c r="AX18" i="12"/>
  <c r="AY18" i="12"/>
  <c r="AZ18" i="12"/>
  <c r="BB18" i="12"/>
  <c r="BD18" i="12"/>
  <c r="BE18" i="12"/>
  <c r="Q19" i="12"/>
  <c r="S19" i="12"/>
  <c r="BA19" i="12" s="1"/>
  <c r="U19" i="12"/>
  <c r="AE19" i="12"/>
  <c r="AF19" i="12"/>
  <c r="AK19" i="12"/>
  <c r="AL19" i="12"/>
  <c r="AM19" i="12"/>
  <c r="AN19" i="12"/>
  <c r="AO19" i="12"/>
  <c r="AP19" i="12"/>
  <c r="AQ19" i="12"/>
  <c r="AS19" i="12"/>
  <c r="AX19" i="12"/>
  <c r="AY19" i="12"/>
  <c r="AZ19" i="12"/>
  <c r="BB19" i="12"/>
  <c r="BD19" i="12"/>
  <c r="BE19" i="12"/>
  <c r="BG19" i="12"/>
  <c r="Q20" i="12"/>
  <c r="S20" i="12"/>
  <c r="U20" i="12"/>
  <c r="AE20" i="12"/>
  <c r="AF20" i="12"/>
  <c r="AK20" i="12"/>
  <c r="AL20" i="12"/>
  <c r="AM20" i="12"/>
  <c r="AN20" i="12"/>
  <c r="AO20" i="12"/>
  <c r="AP20" i="12"/>
  <c r="AQ20" i="12"/>
  <c r="AS20" i="12"/>
  <c r="BG20" i="12" s="1"/>
  <c r="AX20" i="12"/>
  <c r="AY20" i="12"/>
  <c r="AZ20" i="12"/>
  <c r="BA20" i="12"/>
  <c r="BB20" i="12"/>
  <c r="BD20" i="12"/>
  <c r="BE20" i="12"/>
  <c r="Q21" i="12"/>
  <c r="S21" i="12"/>
  <c r="U21" i="12"/>
  <c r="AE21" i="12"/>
  <c r="AZ21" i="12" s="1"/>
  <c r="AF21" i="12"/>
  <c r="AK21" i="12"/>
  <c r="AL21" i="12"/>
  <c r="AM21" i="12"/>
  <c r="AN21" i="12"/>
  <c r="AO21" i="12"/>
  <c r="AP21" i="12"/>
  <c r="AQ21" i="12"/>
  <c r="AS21" i="12"/>
  <c r="BG21" i="12" s="1"/>
  <c r="AX21" i="12"/>
  <c r="AY21" i="12"/>
  <c r="BA21" i="12"/>
  <c r="BB21" i="12"/>
  <c r="BD21" i="12"/>
  <c r="BE21" i="12"/>
  <c r="Q22" i="12"/>
  <c r="S22" i="12"/>
  <c r="U22" i="12"/>
  <c r="AE22" i="12"/>
  <c r="AF22" i="12"/>
  <c r="AK22" i="12"/>
  <c r="AL22" i="12"/>
  <c r="AM22" i="12"/>
  <c r="AN22" i="12"/>
  <c r="AO22" i="12"/>
  <c r="AP22" i="12"/>
  <c r="AQ22" i="12"/>
  <c r="AS22" i="12"/>
  <c r="AX22" i="12"/>
  <c r="AY22" i="12"/>
  <c r="AZ22" i="12"/>
  <c r="BA22" i="12"/>
  <c r="BB22" i="12"/>
  <c r="BD22" i="12"/>
  <c r="BE22" i="12"/>
  <c r="BG22" i="12"/>
  <c r="Q23" i="12"/>
  <c r="S23" i="12"/>
  <c r="BA23" i="12" s="1"/>
  <c r="U23" i="12"/>
  <c r="AE23" i="12"/>
  <c r="AF23" i="12"/>
  <c r="AK23" i="12"/>
  <c r="AL23" i="12"/>
  <c r="AM23" i="12"/>
  <c r="AN23" i="12"/>
  <c r="AO23" i="12"/>
  <c r="AP23" i="12"/>
  <c r="AQ23" i="12"/>
  <c r="AS23" i="12"/>
  <c r="AX23" i="12"/>
  <c r="AY23" i="12"/>
  <c r="AZ23" i="12"/>
  <c r="BB23" i="12"/>
  <c r="BD23" i="12"/>
  <c r="BE23" i="12"/>
  <c r="BG23" i="12"/>
  <c r="Q24" i="12"/>
  <c r="S24" i="12"/>
  <c r="BA24" i="12" s="1"/>
  <c r="U24" i="12"/>
  <c r="AE24" i="12"/>
  <c r="AZ24" i="12" s="1"/>
  <c r="AF24" i="12"/>
  <c r="AK24" i="12"/>
  <c r="AL24" i="12"/>
  <c r="AM24" i="12"/>
  <c r="AN24" i="12"/>
  <c r="AO24" i="12"/>
  <c r="AP24" i="12"/>
  <c r="AQ24" i="12"/>
  <c r="AS24" i="12"/>
  <c r="BG24" i="12" s="1"/>
  <c r="AX24" i="12"/>
  <c r="AY24" i="12"/>
  <c r="BB24" i="12"/>
  <c r="BD24" i="12"/>
  <c r="BE24" i="12"/>
  <c r="Q25" i="12"/>
  <c r="S25" i="12"/>
  <c r="U25" i="12"/>
  <c r="AE25" i="12"/>
  <c r="AF25" i="12"/>
  <c r="AK25" i="12"/>
  <c r="AL25" i="12"/>
  <c r="AM25" i="12"/>
  <c r="AN25" i="12"/>
  <c r="AO25" i="12"/>
  <c r="AP25" i="12"/>
  <c r="AQ25" i="12"/>
  <c r="AS25" i="12"/>
  <c r="BG25" i="12" s="1"/>
  <c r="AX25" i="12"/>
  <c r="AY25" i="12"/>
  <c r="AZ25" i="12"/>
  <c r="BA25" i="12"/>
  <c r="BB25" i="12"/>
  <c r="BD25" i="12"/>
  <c r="BE25" i="12"/>
  <c r="Q26" i="12"/>
  <c r="S26" i="12"/>
  <c r="BA26" i="12" s="1"/>
  <c r="U26" i="12"/>
  <c r="AE26" i="12"/>
  <c r="AF26" i="12"/>
  <c r="AK26" i="12"/>
  <c r="AL26" i="12"/>
  <c r="AM26" i="12"/>
  <c r="AN26" i="12"/>
  <c r="AO26" i="12"/>
  <c r="AP26" i="12"/>
  <c r="AQ26" i="12"/>
  <c r="AS26" i="12"/>
  <c r="AX26" i="12"/>
  <c r="AY26" i="12"/>
  <c r="AZ26" i="12"/>
  <c r="BB26" i="12"/>
  <c r="BD26" i="12"/>
  <c r="BE26" i="12"/>
  <c r="BG26" i="12"/>
  <c r="C27" i="12"/>
  <c r="BB10" i="12" s="1"/>
  <c r="AR27" i="12"/>
  <c r="AS27" i="12"/>
  <c r="T30" i="12"/>
  <c r="V30" i="12"/>
  <c r="N63" i="12" s="1"/>
  <c r="L31" i="12"/>
  <c r="L79" i="12" s="1"/>
  <c r="M32" i="12"/>
  <c r="B38" i="12"/>
  <c r="U38" i="12"/>
  <c r="B39" i="12"/>
  <c r="U39" i="12"/>
  <c r="B40" i="12"/>
  <c r="S40" i="12"/>
  <c r="G116" i="11528" s="1"/>
  <c r="U40" i="12"/>
  <c r="F41" i="12"/>
  <c r="S41" i="12"/>
  <c r="G117" i="11528" s="1"/>
  <c r="U41" i="12"/>
  <c r="F42" i="12"/>
  <c r="K42" i="12"/>
  <c r="S42" i="12"/>
  <c r="G118" i="11528" s="1"/>
  <c r="U42" i="12"/>
  <c r="S43" i="12"/>
  <c r="G119" i="11528" s="1"/>
  <c r="U43" i="12"/>
  <c r="N44" i="12"/>
  <c r="S44" i="12"/>
  <c r="G120" i="11528" s="1"/>
  <c r="U44" i="12"/>
  <c r="F45" i="12"/>
  <c r="U45" i="12"/>
  <c r="U46" i="12"/>
  <c r="N47" i="12"/>
  <c r="U47" i="12"/>
  <c r="U48" i="12"/>
  <c r="S49" i="12"/>
  <c r="G125" i="11528" s="1"/>
  <c r="U49" i="12"/>
  <c r="G50" i="12"/>
  <c r="K50" i="12"/>
  <c r="U50" i="12"/>
  <c r="K51" i="12"/>
  <c r="U51" i="12"/>
  <c r="K52" i="12"/>
  <c r="U52" i="12"/>
  <c r="W52" i="12" s="1"/>
  <c r="K53" i="12"/>
  <c r="U53" i="12"/>
  <c r="W53" i="12" s="1"/>
  <c r="K54" i="12"/>
  <c r="H55" i="12"/>
  <c r="N55" i="12" s="1"/>
  <c r="AD99" i="12" s="1"/>
  <c r="K55" i="12"/>
  <c r="W55" i="12"/>
  <c r="S56" i="12"/>
  <c r="U56" i="12"/>
  <c r="W56" i="12"/>
  <c r="S57" i="12"/>
  <c r="W57" i="12" s="1"/>
  <c r="U57" i="12"/>
  <c r="N58" i="12"/>
  <c r="S58" i="12"/>
  <c r="U58" i="12"/>
  <c r="W58" i="12"/>
  <c r="N59" i="12"/>
  <c r="L59" i="12" s="1"/>
  <c r="W59" i="12"/>
  <c r="D60" i="12"/>
  <c r="N60" i="12" s="1"/>
  <c r="AD82" i="12" s="1"/>
  <c r="W60" i="12"/>
  <c r="W61" i="12"/>
  <c r="F62" i="12"/>
  <c r="S62" i="12"/>
  <c r="W62" i="12" s="1"/>
  <c r="U62" i="12"/>
  <c r="D63" i="12"/>
  <c r="W63" i="12"/>
  <c r="F64" i="12"/>
  <c r="U64" i="12"/>
  <c r="D65" i="12"/>
  <c r="F65" i="12"/>
  <c r="U65" i="12"/>
  <c r="D66" i="12"/>
  <c r="N66" i="12" s="1"/>
  <c r="N67" i="12"/>
  <c r="W67" i="12"/>
  <c r="W68" i="12"/>
  <c r="N69" i="12"/>
  <c r="W69" i="12"/>
  <c r="U70" i="12"/>
  <c r="W70" i="12"/>
  <c r="U71" i="12"/>
  <c r="AD71" i="12"/>
  <c r="N72" i="12"/>
  <c r="U72" i="12"/>
  <c r="W72" i="12" s="1"/>
  <c r="N73" i="12"/>
  <c r="AD112" i="12" s="1"/>
  <c r="N74" i="12"/>
  <c r="AD84" i="12" s="1"/>
  <c r="N75" i="12"/>
  <c r="S75" i="12"/>
  <c r="U75" i="12"/>
  <c r="W75" i="12" s="1"/>
  <c r="AD81" i="12"/>
  <c r="AD90" i="12"/>
  <c r="AD115" i="12"/>
  <c r="AD116" i="12"/>
  <c r="W3" i="7"/>
  <c r="Q4" i="7"/>
  <c r="Q5" i="7"/>
  <c r="Q6" i="7"/>
  <c r="Q7" i="7"/>
  <c r="AI11" i="7"/>
  <c r="AL11" i="7" s="1"/>
  <c r="AJ11" i="7"/>
  <c r="AK11" i="7"/>
  <c r="AM11" i="7"/>
  <c r="AN11" i="7"/>
  <c r="AO11" i="7"/>
  <c r="AQ11" i="7"/>
  <c r="AR11" i="7"/>
  <c r="AT11" i="7"/>
  <c r="AU11" i="7"/>
  <c r="AV11" i="7"/>
  <c r="AW11" i="7"/>
  <c r="AX11" i="7"/>
  <c r="AY11" i="7"/>
  <c r="AZ11" i="7"/>
  <c r="BB11" i="7"/>
  <c r="BC11" i="7"/>
  <c r="BD11" i="7"/>
  <c r="BE11" i="7"/>
  <c r="BK11" i="7"/>
  <c r="BL11" i="7"/>
  <c r="AI12" i="7"/>
  <c r="AJ12" i="7"/>
  <c r="AK12" i="7"/>
  <c r="AL12" i="7"/>
  <c r="AM12" i="7"/>
  <c r="AN12" i="7"/>
  <c r="AO12" i="7"/>
  <c r="AQ12" i="7"/>
  <c r="AR12" i="7"/>
  <c r="AT12" i="7"/>
  <c r="AU12" i="7"/>
  <c r="AV12" i="7"/>
  <c r="AW12" i="7"/>
  <c r="AX12" i="7"/>
  <c r="AY12" i="7"/>
  <c r="AZ12" i="7"/>
  <c r="BB12" i="7"/>
  <c r="BC12" i="7"/>
  <c r="BD12" i="7"/>
  <c r="BE12" i="7"/>
  <c r="BK12" i="7"/>
  <c r="BL12" i="7"/>
  <c r="BM12" i="7"/>
  <c r="BN12" i="7"/>
  <c r="BP12" i="7"/>
  <c r="BQ12" i="7"/>
  <c r="AI13" i="7"/>
  <c r="AJ13" i="7"/>
  <c r="AK13" i="7"/>
  <c r="AM13" i="7"/>
  <c r="AN13" i="7"/>
  <c r="AO13" i="7"/>
  <c r="AQ13" i="7"/>
  <c r="AR13" i="7"/>
  <c r="AT13" i="7"/>
  <c r="AU13" i="7"/>
  <c r="AV13" i="7"/>
  <c r="AW13" i="7"/>
  <c r="AX13" i="7"/>
  <c r="AY13" i="7"/>
  <c r="AZ13" i="7"/>
  <c r="BB13" i="7"/>
  <c r="BC13" i="7"/>
  <c r="BD13" i="7"/>
  <c r="BE13" i="7"/>
  <c r="BK13" i="7"/>
  <c r="BL13" i="7"/>
  <c r="BM13" i="7"/>
  <c r="BN13" i="7"/>
  <c r="BP13" i="7"/>
  <c r="BQ13" i="7"/>
  <c r="AI14" i="7"/>
  <c r="AJ14" i="7"/>
  <c r="AK14" i="7"/>
  <c r="AM14" i="7"/>
  <c r="AN14" i="7"/>
  <c r="AO14" i="7"/>
  <c r="AQ14" i="7"/>
  <c r="AR14" i="7"/>
  <c r="AT14" i="7"/>
  <c r="AU14" i="7"/>
  <c r="AV14" i="7"/>
  <c r="AW14" i="7"/>
  <c r="AX14" i="7"/>
  <c r="AY14" i="7"/>
  <c r="AZ14" i="7"/>
  <c r="BB14" i="7"/>
  <c r="BC14" i="7"/>
  <c r="BD14" i="7"/>
  <c r="BE14" i="7"/>
  <c r="BK14" i="7"/>
  <c r="BL14" i="7"/>
  <c r="BM14" i="7"/>
  <c r="BN14" i="7"/>
  <c r="BP14" i="7"/>
  <c r="BQ14" i="7"/>
  <c r="AI15" i="7"/>
  <c r="AJ15" i="7"/>
  <c r="AK15" i="7"/>
  <c r="AM15" i="7"/>
  <c r="AN15" i="7"/>
  <c r="AO15" i="7"/>
  <c r="AQ15" i="7"/>
  <c r="AR15" i="7"/>
  <c r="AT15" i="7"/>
  <c r="AU15" i="7"/>
  <c r="AV15" i="7"/>
  <c r="AW15" i="7"/>
  <c r="AX15" i="7"/>
  <c r="AY15" i="7"/>
  <c r="AZ15" i="7"/>
  <c r="BA15" i="7" s="1"/>
  <c r="BB15" i="7"/>
  <c r="BC15" i="7"/>
  <c r="BD15" i="7"/>
  <c r="BE15" i="7"/>
  <c r="BK15" i="7"/>
  <c r="BL15" i="7"/>
  <c r="BM15" i="7"/>
  <c r="BN15" i="7"/>
  <c r="BP15" i="7"/>
  <c r="BQ15" i="7"/>
  <c r="AI16" i="7"/>
  <c r="AJ16" i="7"/>
  <c r="AK16" i="7"/>
  <c r="AM16" i="7"/>
  <c r="AP16" i="7" s="1"/>
  <c r="AN16" i="7"/>
  <c r="AO16" i="7"/>
  <c r="AQ16" i="7"/>
  <c r="AR16" i="7"/>
  <c r="AT16" i="7"/>
  <c r="AU16" i="7"/>
  <c r="AV16" i="7"/>
  <c r="AW16" i="7"/>
  <c r="AX16" i="7"/>
  <c r="AY16" i="7"/>
  <c r="AZ16" i="7"/>
  <c r="BB16" i="7"/>
  <c r="BC16" i="7"/>
  <c r="BD16" i="7"/>
  <c r="BE16" i="7"/>
  <c r="BK16" i="7"/>
  <c r="BL16" i="7"/>
  <c r="BM16" i="7"/>
  <c r="BN16" i="7"/>
  <c r="BP16" i="7"/>
  <c r="BQ16" i="7"/>
  <c r="AI17" i="7"/>
  <c r="AJ17" i="7"/>
  <c r="AK17" i="7"/>
  <c r="AM17" i="7"/>
  <c r="AN17" i="7"/>
  <c r="AO17" i="7"/>
  <c r="AQ17" i="7"/>
  <c r="AR17" i="7"/>
  <c r="AT17" i="7"/>
  <c r="AU17" i="7"/>
  <c r="AV17" i="7"/>
  <c r="AW17" i="7"/>
  <c r="AX17" i="7"/>
  <c r="AY17" i="7"/>
  <c r="AZ17" i="7"/>
  <c r="BB17" i="7"/>
  <c r="BC17" i="7"/>
  <c r="BD17" i="7"/>
  <c r="BE17" i="7"/>
  <c r="BK17" i="7"/>
  <c r="BL17" i="7"/>
  <c r="BM17" i="7"/>
  <c r="BN17" i="7"/>
  <c r="BP17" i="7"/>
  <c r="BQ17" i="7"/>
  <c r="AI18" i="7"/>
  <c r="AJ18" i="7"/>
  <c r="AK18" i="7"/>
  <c r="AM18" i="7"/>
  <c r="AN18" i="7"/>
  <c r="AO18" i="7"/>
  <c r="AQ18" i="7"/>
  <c r="AR18" i="7"/>
  <c r="AT18" i="7"/>
  <c r="AU18" i="7"/>
  <c r="AV18" i="7"/>
  <c r="AW18" i="7"/>
  <c r="AX18" i="7"/>
  <c r="AY18" i="7"/>
  <c r="AZ18" i="7"/>
  <c r="BB18" i="7"/>
  <c r="BC18" i="7"/>
  <c r="BD18" i="7"/>
  <c r="BE18" i="7"/>
  <c r="BK18" i="7"/>
  <c r="BL18" i="7"/>
  <c r="BM18" i="7"/>
  <c r="BN18" i="7"/>
  <c r="BP18" i="7"/>
  <c r="BQ18" i="7"/>
  <c r="AI19" i="7"/>
  <c r="AJ19" i="7"/>
  <c r="AK19" i="7"/>
  <c r="AM19" i="7"/>
  <c r="AN19" i="7"/>
  <c r="AO19" i="7"/>
  <c r="AP19" i="7"/>
  <c r="AQ19" i="7"/>
  <c r="AR19" i="7"/>
  <c r="AT19" i="7"/>
  <c r="AU19" i="7"/>
  <c r="AV19" i="7"/>
  <c r="AW19" i="7"/>
  <c r="AX19" i="7"/>
  <c r="AY19" i="7"/>
  <c r="AZ19" i="7"/>
  <c r="BB19" i="7"/>
  <c r="BC19" i="7"/>
  <c r="BD19" i="7"/>
  <c r="BE19" i="7"/>
  <c r="BK19" i="7"/>
  <c r="BL19" i="7"/>
  <c r="BM19" i="7"/>
  <c r="BN19" i="7"/>
  <c r="BP19" i="7"/>
  <c r="BQ19" i="7"/>
  <c r="AI20" i="7"/>
  <c r="AJ20" i="7"/>
  <c r="AK20" i="7"/>
  <c r="AM20" i="7"/>
  <c r="AN20" i="7"/>
  <c r="AO20" i="7"/>
  <c r="AQ20" i="7"/>
  <c r="AR20" i="7"/>
  <c r="AT20" i="7"/>
  <c r="AU20" i="7"/>
  <c r="AV20" i="7"/>
  <c r="AW20" i="7"/>
  <c r="AX20" i="7"/>
  <c r="AY20" i="7"/>
  <c r="AZ20" i="7"/>
  <c r="BB20" i="7"/>
  <c r="BC20" i="7"/>
  <c r="BD20" i="7"/>
  <c r="BE20" i="7"/>
  <c r="BK20" i="7"/>
  <c r="BL20" i="7"/>
  <c r="BM20" i="7"/>
  <c r="BN20" i="7"/>
  <c r="BP20" i="7"/>
  <c r="BQ20" i="7"/>
  <c r="AI21" i="7"/>
  <c r="AJ21" i="7"/>
  <c r="AK21" i="7"/>
  <c r="AL21" i="7"/>
  <c r="AM21" i="7"/>
  <c r="AN21" i="7"/>
  <c r="AO21" i="7"/>
  <c r="AQ21" i="7"/>
  <c r="AR21" i="7"/>
  <c r="AT21" i="7"/>
  <c r="AU21" i="7"/>
  <c r="AV21" i="7"/>
  <c r="AW21" i="7"/>
  <c r="AX21" i="7"/>
  <c r="AY21" i="7"/>
  <c r="AZ21" i="7"/>
  <c r="BB21" i="7"/>
  <c r="BC21" i="7"/>
  <c r="BD21" i="7"/>
  <c r="BE21" i="7"/>
  <c r="BK21" i="7"/>
  <c r="BL21" i="7"/>
  <c r="BM21" i="7"/>
  <c r="BN21" i="7"/>
  <c r="BP21" i="7"/>
  <c r="BQ21" i="7"/>
  <c r="AI22" i="7"/>
  <c r="AJ22" i="7"/>
  <c r="AK22" i="7"/>
  <c r="AM22" i="7"/>
  <c r="AN22" i="7"/>
  <c r="AO22" i="7"/>
  <c r="AP22" i="7"/>
  <c r="AQ22" i="7"/>
  <c r="AR22" i="7"/>
  <c r="AT22" i="7"/>
  <c r="AU22" i="7"/>
  <c r="AV22" i="7"/>
  <c r="AW22" i="7"/>
  <c r="AX22" i="7"/>
  <c r="AY22" i="7"/>
  <c r="AZ22" i="7"/>
  <c r="BB22" i="7"/>
  <c r="BC22" i="7"/>
  <c r="BD22" i="7"/>
  <c r="BE22" i="7"/>
  <c r="BK22" i="7"/>
  <c r="BL22" i="7"/>
  <c r="BM22" i="7"/>
  <c r="BN22" i="7"/>
  <c r="BP22" i="7"/>
  <c r="BQ22" i="7"/>
  <c r="AI23" i="7"/>
  <c r="AJ23" i="7"/>
  <c r="AK23" i="7"/>
  <c r="AM23" i="7"/>
  <c r="AN23" i="7"/>
  <c r="AO23" i="7"/>
  <c r="AP23" i="7"/>
  <c r="AQ23" i="7"/>
  <c r="AR23" i="7"/>
  <c r="AT23" i="7"/>
  <c r="AU23" i="7"/>
  <c r="AV23" i="7"/>
  <c r="AW23" i="7"/>
  <c r="AX23" i="7"/>
  <c r="AY23" i="7"/>
  <c r="AZ23" i="7"/>
  <c r="BB23" i="7"/>
  <c r="BC23" i="7"/>
  <c r="BD23" i="7"/>
  <c r="BE23" i="7"/>
  <c r="BK23" i="7"/>
  <c r="BL23" i="7"/>
  <c r="BM23" i="7"/>
  <c r="BN23" i="7"/>
  <c r="BP23" i="7"/>
  <c r="BQ23" i="7"/>
  <c r="AI24" i="7"/>
  <c r="AJ24" i="7"/>
  <c r="AK24" i="7"/>
  <c r="AL24" i="7"/>
  <c r="AM24" i="7"/>
  <c r="AP24" i="7" s="1"/>
  <c r="AN24" i="7"/>
  <c r="AO24" i="7"/>
  <c r="AQ24" i="7"/>
  <c r="AR24" i="7"/>
  <c r="AT24" i="7"/>
  <c r="AU24" i="7"/>
  <c r="AV24" i="7"/>
  <c r="AW24" i="7"/>
  <c r="AX24" i="7"/>
  <c r="AY24" i="7"/>
  <c r="AZ24" i="7"/>
  <c r="BB24" i="7"/>
  <c r="BC24" i="7"/>
  <c r="BD24" i="7"/>
  <c r="BE24" i="7"/>
  <c r="BK24" i="7"/>
  <c r="BL24" i="7"/>
  <c r="BM24" i="7"/>
  <c r="BN24" i="7"/>
  <c r="BP24" i="7"/>
  <c r="BQ24" i="7"/>
  <c r="AI25" i="7"/>
  <c r="AJ25" i="7"/>
  <c r="AK25" i="7"/>
  <c r="AM25" i="7"/>
  <c r="AN25" i="7"/>
  <c r="AO25" i="7"/>
  <c r="AP25" i="7"/>
  <c r="AQ25" i="7"/>
  <c r="AR25" i="7"/>
  <c r="AT25" i="7"/>
  <c r="AU25" i="7"/>
  <c r="AV25" i="7"/>
  <c r="AW25" i="7"/>
  <c r="AX25" i="7"/>
  <c r="AY25" i="7"/>
  <c r="AZ25" i="7"/>
  <c r="BB25" i="7"/>
  <c r="BC25" i="7"/>
  <c r="BD25" i="7"/>
  <c r="BE25" i="7"/>
  <c r="BK25" i="7"/>
  <c r="BL25" i="7"/>
  <c r="BM25" i="7"/>
  <c r="BN25" i="7"/>
  <c r="BP25" i="7"/>
  <c r="BQ25" i="7"/>
  <c r="AI26" i="7"/>
  <c r="AJ26" i="7"/>
  <c r="AK26" i="7"/>
  <c r="AM26" i="7"/>
  <c r="AN26" i="7"/>
  <c r="AO26" i="7"/>
  <c r="AP26" i="7"/>
  <c r="AQ26" i="7"/>
  <c r="AR26" i="7"/>
  <c r="AT26" i="7"/>
  <c r="AU26" i="7"/>
  <c r="AV26" i="7"/>
  <c r="AW26" i="7"/>
  <c r="AX26" i="7"/>
  <c r="AY26" i="7"/>
  <c r="AZ26" i="7"/>
  <c r="BB26" i="7"/>
  <c r="BC26" i="7"/>
  <c r="BD26" i="7"/>
  <c r="BE26" i="7"/>
  <c r="BK26" i="7"/>
  <c r="BL26" i="7"/>
  <c r="BM26" i="7"/>
  <c r="BN26" i="7"/>
  <c r="BP26" i="7"/>
  <c r="BQ26" i="7"/>
  <c r="AI27" i="7"/>
  <c r="AJ27" i="7"/>
  <c r="AK27" i="7"/>
  <c r="AM27" i="7"/>
  <c r="AN27" i="7"/>
  <c r="AO27" i="7"/>
  <c r="AQ27" i="7"/>
  <c r="AR27" i="7"/>
  <c r="AT27" i="7"/>
  <c r="AU27" i="7"/>
  <c r="AV27" i="7"/>
  <c r="AW27" i="7"/>
  <c r="AX27" i="7"/>
  <c r="AY27" i="7"/>
  <c r="AZ27" i="7"/>
  <c r="BB27" i="7"/>
  <c r="BC27" i="7"/>
  <c r="BD27" i="7"/>
  <c r="BE27" i="7"/>
  <c r="BK27" i="7"/>
  <c r="BL27" i="7"/>
  <c r="BM27" i="7"/>
  <c r="BN27" i="7"/>
  <c r="BP27" i="7"/>
  <c r="BQ27" i="7"/>
  <c r="AI28" i="7"/>
  <c r="AJ28" i="7"/>
  <c r="AK28" i="7"/>
  <c r="AM28" i="7"/>
  <c r="AN28" i="7"/>
  <c r="AO28" i="7"/>
  <c r="AQ28" i="7"/>
  <c r="AR28" i="7"/>
  <c r="AT28" i="7"/>
  <c r="AU28" i="7"/>
  <c r="AV28" i="7"/>
  <c r="AW28" i="7"/>
  <c r="AX28" i="7"/>
  <c r="AY28" i="7"/>
  <c r="AZ28" i="7"/>
  <c r="BB28" i="7"/>
  <c r="BC28" i="7"/>
  <c r="BD28" i="7"/>
  <c r="BE28" i="7"/>
  <c r="BK28" i="7"/>
  <c r="BL28" i="7"/>
  <c r="BM28" i="7"/>
  <c r="BN28" i="7"/>
  <c r="BP28" i="7"/>
  <c r="BQ28" i="7"/>
  <c r="AI29" i="7"/>
  <c r="AJ29" i="7"/>
  <c r="AK29" i="7"/>
  <c r="AM29" i="7"/>
  <c r="AN29" i="7"/>
  <c r="AO29" i="7"/>
  <c r="AQ29" i="7"/>
  <c r="AR29" i="7"/>
  <c r="AT29" i="7"/>
  <c r="AU29" i="7"/>
  <c r="AV29" i="7"/>
  <c r="AW29" i="7"/>
  <c r="AX29" i="7"/>
  <c r="AY29" i="7"/>
  <c r="AZ29" i="7"/>
  <c r="BB29" i="7"/>
  <c r="BC29" i="7"/>
  <c r="BD29" i="7"/>
  <c r="BE29" i="7"/>
  <c r="BK29" i="7"/>
  <c r="BL29" i="7"/>
  <c r="BM29" i="7"/>
  <c r="BN29" i="7"/>
  <c r="BP29" i="7"/>
  <c r="BQ29" i="7"/>
  <c r="AI30" i="7"/>
  <c r="AL30" i="7" s="1"/>
  <c r="AJ30" i="7"/>
  <c r="AK30" i="7"/>
  <c r="AM30" i="7"/>
  <c r="AN30" i="7"/>
  <c r="AO30" i="7"/>
  <c r="AQ30" i="7"/>
  <c r="AR30" i="7"/>
  <c r="AT30" i="7"/>
  <c r="AU30" i="7"/>
  <c r="AV30" i="7"/>
  <c r="AW30" i="7"/>
  <c r="AX30" i="7"/>
  <c r="AY30" i="7"/>
  <c r="AZ30" i="7"/>
  <c r="BB30" i="7"/>
  <c r="BC30" i="7"/>
  <c r="BD30" i="7"/>
  <c r="BE30" i="7"/>
  <c r="BK30" i="7"/>
  <c r="BL30" i="7"/>
  <c r="BM30" i="7"/>
  <c r="BN30" i="7"/>
  <c r="BP30" i="7"/>
  <c r="BQ30" i="7"/>
  <c r="AI31" i="7"/>
  <c r="AJ31" i="7"/>
  <c r="AK31" i="7"/>
  <c r="AM31" i="7"/>
  <c r="AN31" i="7"/>
  <c r="AO31" i="7"/>
  <c r="AQ31" i="7"/>
  <c r="AR31" i="7"/>
  <c r="AT31" i="7"/>
  <c r="AU31" i="7"/>
  <c r="AV31" i="7"/>
  <c r="AW31" i="7"/>
  <c r="AX31" i="7"/>
  <c r="AY31" i="7"/>
  <c r="AZ31" i="7"/>
  <c r="BB31" i="7"/>
  <c r="BC31" i="7"/>
  <c r="BD31" i="7"/>
  <c r="BE31" i="7"/>
  <c r="BK31" i="7"/>
  <c r="BL31" i="7"/>
  <c r="BM31" i="7"/>
  <c r="BN31" i="7"/>
  <c r="BP31" i="7"/>
  <c r="BQ31" i="7"/>
  <c r="AI32" i="7"/>
  <c r="AJ32" i="7"/>
  <c r="AK32" i="7"/>
  <c r="AL32" i="7"/>
  <c r="AM32" i="7"/>
  <c r="AN32" i="7"/>
  <c r="AO32" i="7"/>
  <c r="AP32" i="7"/>
  <c r="AQ32" i="7"/>
  <c r="AR32" i="7"/>
  <c r="AT32" i="7"/>
  <c r="AU32" i="7"/>
  <c r="AV32" i="7"/>
  <c r="AW32" i="7"/>
  <c r="AX32" i="7"/>
  <c r="AY32" i="7"/>
  <c r="AZ32" i="7"/>
  <c r="BB32" i="7"/>
  <c r="BC32" i="7"/>
  <c r="BD32" i="7"/>
  <c r="BE32" i="7"/>
  <c r="BK32" i="7"/>
  <c r="BL32" i="7"/>
  <c r="BM32" i="7"/>
  <c r="BN32" i="7"/>
  <c r="BP32" i="7"/>
  <c r="BQ32" i="7"/>
  <c r="AI33" i="7"/>
  <c r="AJ33" i="7"/>
  <c r="AK33" i="7"/>
  <c r="AL33" i="7"/>
  <c r="AM33" i="7"/>
  <c r="AN33" i="7"/>
  <c r="AO33" i="7"/>
  <c r="AQ33" i="7"/>
  <c r="AR33" i="7"/>
  <c r="AT33" i="7"/>
  <c r="AU33" i="7"/>
  <c r="AV33" i="7"/>
  <c r="AW33" i="7"/>
  <c r="AX33" i="7"/>
  <c r="AY33" i="7"/>
  <c r="AZ33" i="7"/>
  <c r="BB33" i="7"/>
  <c r="BC33" i="7"/>
  <c r="BD33" i="7"/>
  <c r="BE33" i="7"/>
  <c r="BK33" i="7"/>
  <c r="BL33" i="7"/>
  <c r="BM33" i="7"/>
  <c r="BN33" i="7"/>
  <c r="BP33" i="7"/>
  <c r="BQ33" i="7"/>
  <c r="AI34" i="7"/>
  <c r="AJ34" i="7"/>
  <c r="AK34" i="7"/>
  <c r="AM34" i="7"/>
  <c r="AN34" i="7"/>
  <c r="AO34" i="7"/>
  <c r="AQ34" i="7"/>
  <c r="AR34" i="7"/>
  <c r="AT34" i="7"/>
  <c r="AU34" i="7"/>
  <c r="AV34" i="7"/>
  <c r="AW34" i="7"/>
  <c r="AX34" i="7"/>
  <c r="AY34" i="7"/>
  <c r="AZ34" i="7"/>
  <c r="BB34" i="7"/>
  <c r="BC34" i="7"/>
  <c r="BD34" i="7"/>
  <c r="BE34" i="7"/>
  <c r="BK34" i="7"/>
  <c r="BL34" i="7"/>
  <c r="BM34" i="7"/>
  <c r="BN34" i="7"/>
  <c r="BP34" i="7"/>
  <c r="BQ34" i="7"/>
  <c r="AI35" i="7"/>
  <c r="AJ35" i="7"/>
  <c r="AK35" i="7"/>
  <c r="AL35" i="7"/>
  <c r="AM35" i="7"/>
  <c r="AN35" i="7"/>
  <c r="AO35" i="7"/>
  <c r="AQ35" i="7"/>
  <c r="AR35" i="7"/>
  <c r="AT35" i="7"/>
  <c r="AU35" i="7"/>
  <c r="AV35" i="7"/>
  <c r="AW35" i="7"/>
  <c r="AX35" i="7"/>
  <c r="AY35" i="7"/>
  <c r="AZ35" i="7"/>
  <c r="BB35" i="7"/>
  <c r="BC35" i="7"/>
  <c r="BD35" i="7"/>
  <c r="BE35" i="7"/>
  <c r="BK35" i="7"/>
  <c r="BL35" i="7"/>
  <c r="BM35" i="7"/>
  <c r="BN35" i="7"/>
  <c r="BP35" i="7"/>
  <c r="BQ35" i="7"/>
  <c r="AI36" i="7"/>
  <c r="AJ36" i="7"/>
  <c r="AK36" i="7"/>
  <c r="AM36" i="7"/>
  <c r="AN36" i="7"/>
  <c r="AO36" i="7"/>
  <c r="AQ36" i="7"/>
  <c r="AR36" i="7"/>
  <c r="AT36" i="7"/>
  <c r="AU36" i="7"/>
  <c r="AV36" i="7"/>
  <c r="AW36" i="7"/>
  <c r="AX36" i="7"/>
  <c r="AY36" i="7"/>
  <c r="AZ36" i="7"/>
  <c r="BB36" i="7"/>
  <c r="BC36" i="7"/>
  <c r="BD36" i="7"/>
  <c r="BE36" i="7"/>
  <c r="BK36" i="7"/>
  <c r="BL36" i="7"/>
  <c r="BM36" i="7"/>
  <c r="BN36" i="7"/>
  <c r="BP36" i="7"/>
  <c r="BQ36" i="7"/>
  <c r="W37" i="7"/>
  <c r="AI37" i="7"/>
  <c r="AJ37" i="7"/>
  <c r="AK37" i="7"/>
  <c r="AM37" i="7"/>
  <c r="AN37" i="7"/>
  <c r="AO37" i="7"/>
  <c r="AQ37" i="7"/>
  <c r="AR37" i="7"/>
  <c r="AT37" i="7"/>
  <c r="AU37" i="7"/>
  <c r="AV37" i="7"/>
  <c r="AW37" i="7"/>
  <c r="AX37" i="7"/>
  <c r="AY37" i="7"/>
  <c r="AZ37" i="7"/>
  <c r="BB37" i="7"/>
  <c r="BC37" i="7"/>
  <c r="BD37" i="7"/>
  <c r="BE37" i="7"/>
  <c r="BK37" i="7"/>
  <c r="BL37" i="7"/>
  <c r="BM37" i="7"/>
  <c r="BN37" i="7"/>
  <c r="BP37" i="7"/>
  <c r="BQ37" i="7"/>
  <c r="AI38" i="7"/>
  <c r="AJ38" i="7"/>
  <c r="AK38" i="7"/>
  <c r="AM38" i="7"/>
  <c r="AN38" i="7"/>
  <c r="AO38" i="7"/>
  <c r="AQ38" i="7"/>
  <c r="AR38" i="7"/>
  <c r="AT38" i="7"/>
  <c r="AU38" i="7"/>
  <c r="AV38" i="7"/>
  <c r="AW38" i="7"/>
  <c r="AX38" i="7"/>
  <c r="AY38" i="7"/>
  <c r="AZ38" i="7"/>
  <c r="BB38" i="7"/>
  <c r="BC38" i="7"/>
  <c r="BD38" i="7"/>
  <c r="BE38" i="7"/>
  <c r="BK38" i="7"/>
  <c r="BL38" i="7"/>
  <c r="BM38" i="7"/>
  <c r="BN38" i="7"/>
  <c r="BP38" i="7"/>
  <c r="BQ38" i="7"/>
  <c r="W39" i="7"/>
  <c r="AI39" i="7"/>
  <c r="AJ39" i="7"/>
  <c r="AK39" i="7"/>
  <c r="AM39" i="7"/>
  <c r="AN39" i="7"/>
  <c r="AO39" i="7"/>
  <c r="AQ39" i="7"/>
  <c r="AR39" i="7"/>
  <c r="AT39" i="7"/>
  <c r="AU39" i="7"/>
  <c r="AV39" i="7"/>
  <c r="AW39" i="7"/>
  <c r="AX39" i="7"/>
  <c r="AY39" i="7"/>
  <c r="AZ39" i="7"/>
  <c r="BB39" i="7"/>
  <c r="BC39" i="7"/>
  <c r="BD39" i="7"/>
  <c r="BE39" i="7"/>
  <c r="BK39" i="7"/>
  <c r="BL39" i="7"/>
  <c r="BM39" i="7"/>
  <c r="BN39" i="7"/>
  <c r="BP39" i="7"/>
  <c r="BQ39" i="7"/>
  <c r="AI40" i="7"/>
  <c r="AJ40" i="7"/>
  <c r="AK40" i="7"/>
  <c r="AL40" i="7"/>
  <c r="AM40" i="7"/>
  <c r="AP40" i="7" s="1"/>
  <c r="AN40" i="7"/>
  <c r="AO40" i="7"/>
  <c r="AQ40" i="7"/>
  <c r="AR40" i="7"/>
  <c r="AT40" i="7"/>
  <c r="AU40" i="7"/>
  <c r="AV40" i="7"/>
  <c r="AW40" i="7"/>
  <c r="AX40" i="7"/>
  <c r="AY40" i="7"/>
  <c r="AZ40" i="7"/>
  <c r="BB40" i="7"/>
  <c r="BC40" i="7"/>
  <c r="BD40" i="7"/>
  <c r="BE40" i="7"/>
  <c r="BK40" i="7"/>
  <c r="BL40" i="7"/>
  <c r="BM40" i="7"/>
  <c r="BN40" i="7"/>
  <c r="BP40" i="7"/>
  <c r="BQ40" i="7"/>
  <c r="D41" i="7"/>
  <c r="L68" i="7" s="1"/>
  <c r="BS41" i="7"/>
  <c r="P44" i="7"/>
  <c r="R44" i="7"/>
  <c r="U44" i="7" s="1"/>
  <c r="V44" i="7"/>
  <c r="P45" i="7"/>
  <c r="R45" i="7"/>
  <c r="U45" i="7" s="1"/>
  <c r="V45" i="7"/>
  <c r="P46" i="7"/>
  <c r="R46" i="7"/>
  <c r="U46" i="7" s="1"/>
  <c r="V46" i="7"/>
  <c r="P47" i="7"/>
  <c r="R47" i="7"/>
  <c r="U47" i="7" s="1"/>
  <c r="V47" i="7"/>
  <c r="P48" i="7"/>
  <c r="R48" i="7"/>
  <c r="U48" i="7" s="1"/>
  <c r="V48" i="7"/>
  <c r="P49" i="7"/>
  <c r="R49" i="7"/>
  <c r="U49" i="7" s="1"/>
  <c r="V49" i="7"/>
  <c r="U51" i="7"/>
  <c r="W51" i="7"/>
  <c r="C60" i="7"/>
  <c r="V60" i="7"/>
  <c r="C61" i="7"/>
  <c r="V61" i="7"/>
  <c r="C62" i="7"/>
  <c r="V62" i="7"/>
  <c r="G63" i="7"/>
  <c r="V63" i="7"/>
  <c r="G64" i="7"/>
  <c r="L64" i="7"/>
  <c r="T64" i="7"/>
  <c r="G37" i="11528" s="1"/>
  <c r="V64" i="7"/>
  <c r="X64" i="7"/>
  <c r="L65" i="7"/>
  <c r="V65" i="7"/>
  <c r="V66" i="7"/>
  <c r="T67" i="7"/>
  <c r="G40" i="11528" s="1"/>
  <c r="V67" i="7"/>
  <c r="T68" i="7"/>
  <c r="G41" i="11528" s="1"/>
  <c r="V68" i="7"/>
  <c r="V69" i="7"/>
  <c r="V70" i="7"/>
  <c r="T71" i="7"/>
  <c r="G44" i="11528" s="1"/>
  <c r="V71" i="7"/>
  <c r="L72" i="7"/>
  <c r="V72" i="7"/>
  <c r="L73" i="7"/>
  <c r="V73" i="7"/>
  <c r="L74" i="7"/>
  <c r="V74" i="7"/>
  <c r="X74" i="7" s="1"/>
  <c r="L75" i="7"/>
  <c r="V75" i="7"/>
  <c r="X75" i="7" s="1"/>
  <c r="L76" i="7"/>
  <c r="V76" i="7"/>
  <c r="X76" i="7" s="1"/>
  <c r="I77" i="7"/>
  <c r="O77" i="7" s="1"/>
  <c r="BK42" i="7" s="1"/>
  <c r="L77" i="7"/>
  <c r="L78" i="7"/>
  <c r="L79" i="7"/>
  <c r="L80" i="7"/>
  <c r="L81" i="7"/>
  <c r="X82" i="7"/>
  <c r="O84" i="7"/>
  <c r="E85" i="7"/>
  <c r="O85" i="7" s="1"/>
  <c r="O86" i="7"/>
  <c r="AF87" i="7"/>
  <c r="E88" i="7"/>
  <c r="G88" i="7"/>
  <c r="E89" i="7"/>
  <c r="G89" i="7"/>
  <c r="X89" i="7"/>
  <c r="AF121" i="7" s="1"/>
  <c r="V90" i="7"/>
  <c r="E91" i="7"/>
  <c r="G91" i="7"/>
  <c r="V91" i="7"/>
  <c r="X91" i="7" s="1"/>
  <c r="E92" i="7"/>
  <c r="G92" i="7"/>
  <c r="E93" i="7"/>
  <c r="O93" i="7" s="1"/>
  <c r="X93" i="7"/>
  <c r="O95" i="7"/>
  <c r="V97" i="7"/>
  <c r="O98" i="7"/>
  <c r="V98" i="7"/>
  <c r="X98" i="7" s="1"/>
  <c r="O99" i="7"/>
  <c r="O100" i="7"/>
  <c r="AF89" i="7" s="1"/>
  <c r="O101" i="7"/>
  <c r="V101" i="7"/>
  <c r="M105" i="7"/>
  <c r="W3" i="2096"/>
  <c r="Q4" i="2096"/>
  <c r="Q5" i="2096"/>
  <c r="Q6" i="2096"/>
  <c r="Q7" i="2096"/>
  <c r="AV11" i="2096"/>
  <c r="AV37" i="2096" s="1"/>
  <c r="V11" i="2096"/>
  <c r="AQ11" i="2096" s="1"/>
  <c r="AO11" i="2096"/>
  <c r="AP11" i="2096"/>
  <c r="AR11" i="2096"/>
  <c r="AS11" i="2096"/>
  <c r="AT11" i="2096"/>
  <c r="AW11" i="2096"/>
  <c r="AX11" i="2096"/>
  <c r="V12" i="2096"/>
  <c r="AQ12" i="2096" s="1"/>
  <c r="AO12" i="2096"/>
  <c r="AP12" i="2096"/>
  <c r="AR12" i="2096"/>
  <c r="AS12" i="2096"/>
  <c r="AT12" i="2096"/>
  <c r="AW12" i="2096"/>
  <c r="AX12" i="2096"/>
  <c r="V13" i="2096"/>
  <c r="AQ13" i="2096" s="1"/>
  <c r="AO13" i="2096"/>
  <c r="AP13" i="2096"/>
  <c r="AR13" i="2096"/>
  <c r="AS13" i="2096"/>
  <c r="AT13" i="2096"/>
  <c r="AW13" i="2096"/>
  <c r="AX13" i="2096"/>
  <c r="V14" i="2096"/>
  <c r="AQ14" i="2096" s="1"/>
  <c r="AO14" i="2096"/>
  <c r="AP14" i="2096"/>
  <c r="AR14" i="2096"/>
  <c r="AS14" i="2096"/>
  <c r="AT14" i="2096"/>
  <c r="AW14" i="2096"/>
  <c r="AX14" i="2096"/>
  <c r="V15" i="2096"/>
  <c r="AQ15" i="2096" s="1"/>
  <c r="AO15" i="2096"/>
  <c r="AP15" i="2096"/>
  <c r="AR15" i="2096"/>
  <c r="AS15" i="2096"/>
  <c r="AT15" i="2096"/>
  <c r="AW15" i="2096"/>
  <c r="AX15" i="2096"/>
  <c r="V16" i="2096"/>
  <c r="AQ16" i="2096" s="1"/>
  <c r="AO16" i="2096"/>
  <c r="AP16" i="2096"/>
  <c r="AR16" i="2096"/>
  <c r="AS16" i="2096"/>
  <c r="AT16" i="2096"/>
  <c r="AW16" i="2096"/>
  <c r="AX16" i="2096"/>
  <c r="V17" i="2096"/>
  <c r="AQ17" i="2096" s="1"/>
  <c r="AO17" i="2096"/>
  <c r="AP17" i="2096"/>
  <c r="AR17" i="2096"/>
  <c r="AS17" i="2096"/>
  <c r="AT17" i="2096"/>
  <c r="AW17" i="2096"/>
  <c r="AX17" i="2096"/>
  <c r="V18" i="2096"/>
  <c r="AQ18" i="2096" s="1"/>
  <c r="AO18" i="2096"/>
  <c r="AP18" i="2096"/>
  <c r="AR18" i="2096"/>
  <c r="AS18" i="2096"/>
  <c r="AT18" i="2096"/>
  <c r="AW18" i="2096"/>
  <c r="AX18" i="2096"/>
  <c r="V19" i="2096"/>
  <c r="AQ19" i="2096" s="1"/>
  <c r="W19" i="2096"/>
  <c r="X19" i="2096"/>
  <c r="AO19" i="2096"/>
  <c r="AP19" i="2096"/>
  <c r="AR19" i="2096"/>
  <c r="AS19" i="2096"/>
  <c r="AT19" i="2096"/>
  <c r="AW19" i="2096"/>
  <c r="AX19" i="2096"/>
  <c r="V20" i="2096"/>
  <c r="AQ20" i="2096" s="1"/>
  <c r="W20" i="2096"/>
  <c r="X20" i="2096"/>
  <c r="AO20" i="2096"/>
  <c r="AP20" i="2096"/>
  <c r="AR20" i="2096"/>
  <c r="AS20" i="2096"/>
  <c r="AT20" i="2096"/>
  <c r="AW20" i="2096"/>
  <c r="AX20" i="2096"/>
  <c r="BF20" i="2096"/>
  <c r="V21" i="2096"/>
  <c r="AQ21" i="2096" s="1"/>
  <c r="W21" i="2096"/>
  <c r="X21" i="2096"/>
  <c r="AO21" i="2096"/>
  <c r="AP21" i="2096"/>
  <c r="AR21" i="2096"/>
  <c r="AS21" i="2096"/>
  <c r="AT21" i="2096"/>
  <c r="AW21" i="2096"/>
  <c r="AX21" i="2096"/>
  <c r="BF22" i="2096"/>
  <c r="V22" i="2096"/>
  <c r="AQ22" i="2096" s="1"/>
  <c r="W22" i="2096"/>
  <c r="X22" i="2096"/>
  <c r="AO22" i="2096"/>
  <c r="AP22" i="2096"/>
  <c r="AR22" i="2096"/>
  <c r="AS22" i="2096"/>
  <c r="AT22" i="2096"/>
  <c r="AW22" i="2096"/>
  <c r="AX22" i="2096"/>
  <c r="BD22" i="2096"/>
  <c r="V23" i="2096"/>
  <c r="AQ23" i="2096" s="1"/>
  <c r="W23" i="2096"/>
  <c r="X23" i="2096"/>
  <c r="AO23" i="2096"/>
  <c r="AP23" i="2096"/>
  <c r="AR23" i="2096"/>
  <c r="AS23" i="2096"/>
  <c r="AT23" i="2096"/>
  <c r="AW23" i="2096"/>
  <c r="BD23" i="2096" s="1"/>
  <c r="AX23" i="2096"/>
  <c r="BF23" i="2096"/>
  <c r="V24" i="2096"/>
  <c r="AQ24" i="2096" s="1"/>
  <c r="W24" i="2096"/>
  <c r="X24" i="2096"/>
  <c r="AO24" i="2096"/>
  <c r="AP24" i="2096"/>
  <c r="AR24" i="2096"/>
  <c r="AS24" i="2096"/>
  <c r="AT24" i="2096"/>
  <c r="AW24" i="2096"/>
  <c r="AX24" i="2096"/>
  <c r="V25" i="2096"/>
  <c r="AQ25" i="2096" s="1"/>
  <c r="W25" i="2096"/>
  <c r="X25" i="2096"/>
  <c r="AO25" i="2096"/>
  <c r="AP25" i="2096"/>
  <c r="AR25" i="2096"/>
  <c r="AS25" i="2096"/>
  <c r="AT25" i="2096"/>
  <c r="AW25" i="2096"/>
  <c r="BD25" i="2096" s="1"/>
  <c r="AX25" i="2096"/>
  <c r="V26" i="2096"/>
  <c r="AQ26" i="2096" s="1"/>
  <c r="W26" i="2096"/>
  <c r="X26" i="2096"/>
  <c r="AO26" i="2096"/>
  <c r="AP26" i="2096"/>
  <c r="AR26" i="2096"/>
  <c r="AS26" i="2096"/>
  <c r="AT26" i="2096"/>
  <c r="AW26" i="2096"/>
  <c r="AX26" i="2096"/>
  <c r="V27" i="2096"/>
  <c r="AQ27" i="2096" s="1"/>
  <c r="W27" i="2096"/>
  <c r="X27" i="2096"/>
  <c r="AO27" i="2096"/>
  <c r="AP27" i="2096"/>
  <c r="AR27" i="2096"/>
  <c r="AS27" i="2096"/>
  <c r="AT27" i="2096"/>
  <c r="AW27" i="2096"/>
  <c r="BD27" i="2096" s="1"/>
  <c r="AX27" i="2096"/>
  <c r="V28" i="2096"/>
  <c r="AQ28" i="2096" s="1"/>
  <c r="W28" i="2096"/>
  <c r="X28" i="2096"/>
  <c r="AO28" i="2096"/>
  <c r="AP28" i="2096"/>
  <c r="AR28" i="2096"/>
  <c r="AS28" i="2096"/>
  <c r="AT28" i="2096"/>
  <c r="AW28" i="2096"/>
  <c r="AX28" i="2096"/>
  <c r="V29" i="2096"/>
  <c r="AQ29" i="2096" s="1"/>
  <c r="W29" i="2096"/>
  <c r="X29" i="2096"/>
  <c r="AO29" i="2096"/>
  <c r="AP29" i="2096"/>
  <c r="AR29" i="2096"/>
  <c r="AS29" i="2096"/>
  <c r="AT29" i="2096"/>
  <c r="AW29" i="2096"/>
  <c r="AX29" i="2096"/>
  <c r="BF30" i="2096"/>
  <c r="V30" i="2096"/>
  <c r="AQ30" i="2096" s="1"/>
  <c r="W30" i="2096"/>
  <c r="X30" i="2096"/>
  <c r="AO30" i="2096"/>
  <c r="AP30" i="2096"/>
  <c r="AR30" i="2096"/>
  <c r="AS30" i="2096"/>
  <c r="AT30" i="2096"/>
  <c r="AW30" i="2096"/>
  <c r="BD30" i="2096" s="1"/>
  <c r="AX30" i="2096"/>
  <c r="V31" i="2096"/>
  <c r="AQ31" i="2096" s="1"/>
  <c r="W31" i="2096"/>
  <c r="X31" i="2096"/>
  <c r="AO31" i="2096"/>
  <c r="AP31" i="2096"/>
  <c r="AR31" i="2096"/>
  <c r="AS31" i="2096"/>
  <c r="AT31" i="2096"/>
  <c r="AW31" i="2096"/>
  <c r="BD31" i="2096" s="1"/>
  <c r="AX31" i="2096"/>
  <c r="U32" i="2096"/>
  <c r="BF32" i="2096" s="1"/>
  <c r="V32" i="2096"/>
  <c r="W32" i="2096"/>
  <c r="X32" i="2096"/>
  <c r="AO32" i="2096"/>
  <c r="AP32" i="2096"/>
  <c r="AQ32" i="2096"/>
  <c r="AR32" i="2096"/>
  <c r="AS32" i="2096"/>
  <c r="AT32" i="2096"/>
  <c r="AW32" i="2096"/>
  <c r="AX32" i="2096"/>
  <c r="U33" i="2096"/>
  <c r="V33" i="2096"/>
  <c r="AQ33" i="2096" s="1"/>
  <c r="W33" i="2096"/>
  <c r="X33" i="2096"/>
  <c r="AO33" i="2096"/>
  <c r="AP33" i="2096"/>
  <c r="AR33" i="2096"/>
  <c r="AS33" i="2096"/>
  <c r="AT33" i="2096"/>
  <c r="AW33" i="2096"/>
  <c r="AX33" i="2096"/>
  <c r="BF33" i="2096"/>
  <c r="U34" i="2096"/>
  <c r="BF34" i="2096" s="1"/>
  <c r="V34" i="2096"/>
  <c r="W34" i="2096"/>
  <c r="X34" i="2096"/>
  <c r="AO34" i="2096"/>
  <c r="AP34" i="2096"/>
  <c r="AQ34" i="2096"/>
  <c r="AR34" i="2096"/>
  <c r="AS34" i="2096"/>
  <c r="AT34" i="2096"/>
  <c r="AW34" i="2096"/>
  <c r="AX34" i="2096"/>
  <c r="U35" i="2096"/>
  <c r="BF35" i="2096" s="1"/>
  <c r="V35" i="2096"/>
  <c r="W35" i="2096"/>
  <c r="X35" i="2096"/>
  <c r="AO35" i="2096"/>
  <c r="AP35" i="2096"/>
  <c r="AQ35" i="2096"/>
  <c r="AR35" i="2096"/>
  <c r="AS35" i="2096"/>
  <c r="AT35" i="2096"/>
  <c r="AU35" i="2096"/>
  <c r="AW35" i="2096"/>
  <c r="AX35" i="2096"/>
  <c r="U36" i="2096"/>
  <c r="BF36" i="2096" s="1"/>
  <c r="V36" i="2096"/>
  <c r="W36" i="2096"/>
  <c r="X36" i="2096"/>
  <c r="AO36" i="2096"/>
  <c r="AP36" i="2096"/>
  <c r="AR36" i="2096"/>
  <c r="AS36" i="2096"/>
  <c r="AT36" i="2096"/>
  <c r="AW36" i="2096"/>
  <c r="AX36" i="2096"/>
  <c r="E37" i="2096"/>
  <c r="BG25" i="2096" s="1"/>
  <c r="AY37" i="2096"/>
  <c r="AZ37" i="2096"/>
  <c r="BA37" i="2096"/>
  <c r="U40" i="2096"/>
  <c r="W40" i="2096"/>
  <c r="N42" i="2096"/>
  <c r="C50" i="2096"/>
  <c r="V50" i="2096"/>
  <c r="X50" i="2096" s="1"/>
  <c r="C51" i="2096"/>
  <c r="V51" i="2096"/>
  <c r="V52" i="2096"/>
  <c r="G53" i="2096"/>
  <c r="V53" i="2096"/>
  <c r="G54" i="2096"/>
  <c r="T54" i="2096"/>
  <c r="C36" i="11528" s="1"/>
  <c r="V54" i="2096"/>
  <c r="V55" i="2096"/>
  <c r="G56" i="2096"/>
  <c r="L56" i="2096"/>
  <c r="V56" i="2096"/>
  <c r="O57" i="2096"/>
  <c r="V57" i="2096"/>
  <c r="O58" i="2096"/>
  <c r="V58" i="2096"/>
  <c r="L59" i="2096"/>
  <c r="O59" i="2096" s="1"/>
  <c r="V59" i="2096"/>
  <c r="T60" i="2096"/>
  <c r="C42" i="11528" s="1"/>
  <c r="V60" i="2096"/>
  <c r="T61" i="2096"/>
  <c r="C43" i="11528" s="1"/>
  <c r="V61" i="2096"/>
  <c r="T62" i="2096"/>
  <c r="C44" i="11528" s="1"/>
  <c r="V62" i="2096"/>
  <c r="L63" i="2096"/>
  <c r="V63" i="2096"/>
  <c r="H64" i="2096"/>
  <c r="BD26" i="2096" s="1"/>
  <c r="L64" i="2096"/>
  <c r="V64" i="2096"/>
  <c r="X64" i="2096" s="1"/>
  <c r="L65" i="2096"/>
  <c r="V65" i="2096"/>
  <c r="X65" i="2096" s="1"/>
  <c r="L66" i="2096"/>
  <c r="X66" i="2096"/>
  <c r="L67" i="2096"/>
  <c r="X67" i="2096"/>
  <c r="L68" i="2096"/>
  <c r="T68" i="2096"/>
  <c r="V68" i="2096"/>
  <c r="L69" i="2096"/>
  <c r="O69" i="2096"/>
  <c r="T69" i="2096"/>
  <c r="V69" i="2096"/>
  <c r="X69" i="2096"/>
  <c r="AF69" i="2096"/>
  <c r="T70" i="2096"/>
  <c r="V70" i="2096"/>
  <c r="V71" i="2096"/>
  <c r="X71" i="2096" s="1"/>
  <c r="O72" i="2096"/>
  <c r="V72" i="2096"/>
  <c r="X72" i="2096" s="1"/>
  <c r="O73" i="2096"/>
  <c r="V73" i="2096"/>
  <c r="X73" i="2096" s="1"/>
  <c r="E74" i="2096"/>
  <c r="O74" i="2096" s="1"/>
  <c r="AF83" i="2096" s="1"/>
  <c r="T74" i="2096"/>
  <c r="V74" i="2096"/>
  <c r="X74" i="2096"/>
  <c r="X75" i="2096"/>
  <c r="AF117" i="2096" s="1"/>
  <c r="G76" i="2096"/>
  <c r="V76" i="2096"/>
  <c r="E77" i="2096"/>
  <c r="X77" i="2096"/>
  <c r="G78" i="2096"/>
  <c r="E79" i="2096"/>
  <c r="G79" i="2096"/>
  <c r="X79" i="2096"/>
  <c r="E80" i="2096"/>
  <c r="G80" i="2096"/>
  <c r="X80" i="2096"/>
  <c r="E81" i="2096"/>
  <c r="O81" i="2096" s="1"/>
  <c r="AF116" i="2096" s="1"/>
  <c r="X81" i="2096"/>
  <c r="V82" i="2096"/>
  <c r="X82" i="2096" s="1"/>
  <c r="AF82" i="2096"/>
  <c r="V83" i="2096"/>
  <c r="X83" i="2096" s="1"/>
  <c r="O84" i="2096"/>
  <c r="V84" i="2096"/>
  <c r="O85" i="2096"/>
  <c r="AF92" i="2096" s="1"/>
  <c r="O86" i="2096"/>
  <c r="O87" i="2096"/>
  <c r="AF91" i="2096" s="1"/>
  <c r="V87" i="2096"/>
  <c r="O88" i="2096"/>
  <c r="AF85" i="2096" s="1"/>
  <c r="S28" i="3" s="1"/>
  <c r="M91" i="2096"/>
  <c r="W3" i="8080"/>
  <c r="Q4" i="8080"/>
  <c r="Q5" i="8080"/>
  <c r="Q6" i="8080"/>
  <c r="Q7" i="8080"/>
  <c r="V11" i="8080"/>
  <c r="AR11" i="8080" s="1"/>
  <c r="BC11" i="8080" s="1"/>
  <c r="W11" i="8080"/>
  <c r="X11" i="8080"/>
  <c r="AS11" i="8080" s="1"/>
  <c r="Y11" i="8080"/>
  <c r="AJ11" i="8080"/>
  <c r="AK11" i="8080"/>
  <c r="AL11" i="8080"/>
  <c r="AM11" i="8080"/>
  <c r="AN11" i="8080"/>
  <c r="AO11" i="8080"/>
  <c r="AP11" i="8080"/>
  <c r="AQ11" i="8080"/>
  <c r="AT11" i="8080"/>
  <c r="AU11" i="8080"/>
  <c r="AV11" i="8080"/>
  <c r="BD11" i="8080" s="1"/>
  <c r="AW11" i="8080"/>
  <c r="AX11" i="8080"/>
  <c r="V12" i="8080"/>
  <c r="W12" i="8080"/>
  <c r="X12" i="8080"/>
  <c r="AS12" i="8080" s="1"/>
  <c r="Y12" i="8080"/>
  <c r="AJ12" i="8080"/>
  <c r="AK12" i="8080"/>
  <c r="AL12" i="8080"/>
  <c r="AM12" i="8080"/>
  <c r="AN12" i="8080"/>
  <c r="AO12" i="8080"/>
  <c r="AP12" i="8080"/>
  <c r="AR12" i="8080"/>
  <c r="BC12" i="8080" s="1"/>
  <c r="AT12" i="8080"/>
  <c r="AU12" i="8080"/>
  <c r="AV12" i="8080"/>
  <c r="AW12" i="8080"/>
  <c r="AX12" i="8080"/>
  <c r="BD12" i="8080"/>
  <c r="AR13" i="8080"/>
  <c r="BC13" i="8080" s="1"/>
  <c r="AS13" i="8080"/>
  <c r="AJ13" i="8080"/>
  <c r="AK13" i="8080"/>
  <c r="AL13" i="8080"/>
  <c r="AM13" i="8080"/>
  <c r="AN13" i="8080"/>
  <c r="AO13" i="8080"/>
  <c r="AP13" i="8080"/>
  <c r="AT13" i="8080"/>
  <c r="AU13" i="8080"/>
  <c r="AV13" i="8080"/>
  <c r="BD13" i="8080" s="1"/>
  <c r="AW13" i="8080"/>
  <c r="AX13" i="8080"/>
  <c r="AR14" i="8080"/>
  <c r="BC14" i="8080" s="1"/>
  <c r="AS14" i="8080"/>
  <c r="AJ14" i="8080"/>
  <c r="AK14" i="8080"/>
  <c r="AL14" i="8080"/>
  <c r="AM14" i="8080"/>
  <c r="AN14" i="8080"/>
  <c r="AO14" i="8080"/>
  <c r="AP14" i="8080"/>
  <c r="AT14" i="8080"/>
  <c r="AU14" i="8080"/>
  <c r="AV14" i="8080"/>
  <c r="BD14" i="8080" s="1"/>
  <c r="AW14" i="8080"/>
  <c r="AX14" i="8080"/>
  <c r="AR15" i="8080"/>
  <c r="BC15" i="8080" s="1"/>
  <c r="AS15" i="8080"/>
  <c r="AJ15" i="8080"/>
  <c r="AK15" i="8080"/>
  <c r="AL15" i="8080"/>
  <c r="AM15" i="8080"/>
  <c r="AN15" i="8080"/>
  <c r="AO15" i="8080"/>
  <c r="AP15" i="8080"/>
  <c r="AT15" i="8080"/>
  <c r="AU15" i="8080"/>
  <c r="AV15" i="8080"/>
  <c r="BD15" i="8080" s="1"/>
  <c r="AW15" i="8080"/>
  <c r="AX15" i="8080"/>
  <c r="AR16" i="8080"/>
  <c r="BC16" i="8080" s="1"/>
  <c r="AS16" i="8080"/>
  <c r="AJ16" i="8080"/>
  <c r="AK16" i="8080"/>
  <c r="AL16" i="8080"/>
  <c r="AM16" i="8080"/>
  <c r="AN16" i="8080"/>
  <c r="AO16" i="8080"/>
  <c r="AP16" i="8080"/>
  <c r="AT16" i="8080"/>
  <c r="AU16" i="8080"/>
  <c r="AV16" i="8080"/>
  <c r="BD16" i="8080" s="1"/>
  <c r="AW16" i="8080"/>
  <c r="AX16" i="8080"/>
  <c r="AR17" i="8080"/>
  <c r="BC17" i="8080" s="1"/>
  <c r="AS17" i="8080"/>
  <c r="AJ17" i="8080"/>
  <c r="AK17" i="8080"/>
  <c r="AL17" i="8080"/>
  <c r="AM17" i="8080"/>
  <c r="AN17" i="8080"/>
  <c r="AO17" i="8080"/>
  <c r="AP17" i="8080"/>
  <c r="AT17" i="8080"/>
  <c r="AU17" i="8080"/>
  <c r="AV17" i="8080"/>
  <c r="BD17" i="8080" s="1"/>
  <c r="AW17" i="8080"/>
  <c r="AX17" i="8080"/>
  <c r="AR18" i="8080"/>
  <c r="BC18" i="8080" s="1"/>
  <c r="AS18" i="8080"/>
  <c r="AJ18" i="8080"/>
  <c r="AK18" i="8080"/>
  <c r="AL18" i="8080"/>
  <c r="AM18" i="8080"/>
  <c r="AN18" i="8080"/>
  <c r="AO18" i="8080"/>
  <c r="AP18" i="8080"/>
  <c r="AT18" i="8080"/>
  <c r="AU18" i="8080"/>
  <c r="AV18" i="8080"/>
  <c r="BD18" i="8080" s="1"/>
  <c r="AW18" i="8080"/>
  <c r="AX18" i="8080"/>
  <c r="AS19" i="8080"/>
  <c r="AJ19" i="8080"/>
  <c r="AK19" i="8080"/>
  <c r="AL19" i="8080"/>
  <c r="AM19" i="8080"/>
  <c r="AN19" i="8080"/>
  <c r="AO19" i="8080"/>
  <c r="AP19" i="8080"/>
  <c r="AQ19" i="8080"/>
  <c r="AR19" i="8080"/>
  <c r="BC19" i="8080" s="1"/>
  <c r="AT19" i="8080"/>
  <c r="AU19" i="8080"/>
  <c r="AV19" i="8080"/>
  <c r="BD19" i="8080" s="1"/>
  <c r="AW19" i="8080"/>
  <c r="AX19" i="8080"/>
  <c r="AR20" i="8080"/>
  <c r="BC20" i="8080" s="1"/>
  <c r="AS20" i="8080"/>
  <c r="AJ20" i="8080"/>
  <c r="AK20" i="8080"/>
  <c r="AL20" i="8080"/>
  <c r="AM20" i="8080"/>
  <c r="AN20" i="8080"/>
  <c r="AO20" i="8080"/>
  <c r="AP20" i="8080"/>
  <c r="AT20" i="8080"/>
  <c r="AU20" i="8080"/>
  <c r="AV20" i="8080"/>
  <c r="AW20" i="8080"/>
  <c r="AX20" i="8080"/>
  <c r="BD20" i="8080"/>
  <c r="AR21" i="8080"/>
  <c r="BC21" i="8080" s="1"/>
  <c r="AS21" i="8080"/>
  <c r="AJ21" i="8080"/>
  <c r="AK21" i="8080"/>
  <c r="AL21" i="8080"/>
  <c r="AM21" i="8080"/>
  <c r="AN21" i="8080"/>
  <c r="AO21" i="8080"/>
  <c r="AP21" i="8080"/>
  <c r="AT21" i="8080"/>
  <c r="AU21" i="8080"/>
  <c r="AV21" i="8080"/>
  <c r="BD21" i="8080" s="1"/>
  <c r="AW21" i="8080"/>
  <c r="AX21" i="8080"/>
  <c r="AR22" i="8080"/>
  <c r="BC22" i="8080" s="1"/>
  <c r="AS22" i="8080"/>
  <c r="AJ22" i="8080"/>
  <c r="AK22" i="8080"/>
  <c r="AL22" i="8080"/>
  <c r="AM22" i="8080"/>
  <c r="AN22" i="8080"/>
  <c r="AO22" i="8080"/>
  <c r="AP22" i="8080"/>
  <c r="AT22" i="8080"/>
  <c r="AU22" i="8080"/>
  <c r="AV22" i="8080"/>
  <c r="BD22" i="8080" s="1"/>
  <c r="AW22" i="8080"/>
  <c r="AX22" i="8080"/>
  <c r="AR23" i="8080"/>
  <c r="BC23" i="8080" s="1"/>
  <c r="AS23" i="8080"/>
  <c r="AJ23" i="8080"/>
  <c r="AK23" i="8080"/>
  <c r="AL23" i="8080"/>
  <c r="AM23" i="8080"/>
  <c r="AN23" i="8080"/>
  <c r="AO23" i="8080"/>
  <c r="AP23" i="8080"/>
  <c r="AT23" i="8080"/>
  <c r="AU23" i="8080"/>
  <c r="AV23" i="8080"/>
  <c r="BD23" i="8080" s="1"/>
  <c r="AW23" i="8080"/>
  <c r="AX23" i="8080"/>
  <c r="AR24" i="8080"/>
  <c r="BC24" i="8080" s="1"/>
  <c r="AS24" i="8080"/>
  <c r="AJ24" i="8080"/>
  <c r="AK24" i="8080"/>
  <c r="AL24" i="8080"/>
  <c r="AM24" i="8080"/>
  <c r="AN24" i="8080"/>
  <c r="AO24" i="8080"/>
  <c r="AP24" i="8080"/>
  <c r="AT24" i="8080"/>
  <c r="AU24" i="8080"/>
  <c r="AV24" i="8080"/>
  <c r="AW24" i="8080"/>
  <c r="AX24" i="8080"/>
  <c r="BD24" i="8080"/>
  <c r="AR25" i="8080"/>
  <c r="BC25" i="8080" s="1"/>
  <c r="AS25" i="8080"/>
  <c r="AJ25" i="8080"/>
  <c r="AK25" i="8080"/>
  <c r="AL25" i="8080"/>
  <c r="AM25" i="8080"/>
  <c r="AN25" i="8080"/>
  <c r="AO25" i="8080"/>
  <c r="AP25" i="8080"/>
  <c r="AT25" i="8080"/>
  <c r="AU25" i="8080"/>
  <c r="AV25" i="8080"/>
  <c r="BD25" i="8080" s="1"/>
  <c r="AW25" i="8080"/>
  <c r="AX25" i="8080"/>
  <c r="AR26" i="8080"/>
  <c r="BC26" i="8080" s="1"/>
  <c r="AS26" i="8080"/>
  <c r="AJ26" i="8080"/>
  <c r="AK26" i="8080"/>
  <c r="AL26" i="8080"/>
  <c r="AM26" i="8080"/>
  <c r="AN26" i="8080"/>
  <c r="AO26" i="8080"/>
  <c r="AP26" i="8080"/>
  <c r="AT26" i="8080"/>
  <c r="AU26" i="8080"/>
  <c r="AV26" i="8080"/>
  <c r="BD26" i="8080" s="1"/>
  <c r="AW26" i="8080"/>
  <c r="AX26" i="8080"/>
  <c r="AR27" i="8080"/>
  <c r="BC27" i="8080" s="1"/>
  <c r="AS27" i="8080"/>
  <c r="AJ27" i="8080"/>
  <c r="AK27" i="8080"/>
  <c r="AL27" i="8080"/>
  <c r="AM27" i="8080"/>
  <c r="AN27" i="8080"/>
  <c r="AO27" i="8080"/>
  <c r="AP27" i="8080"/>
  <c r="AT27" i="8080"/>
  <c r="AU27" i="8080"/>
  <c r="AV27" i="8080"/>
  <c r="BD27" i="8080" s="1"/>
  <c r="AW27" i="8080"/>
  <c r="AX27" i="8080"/>
  <c r="AR28" i="8080"/>
  <c r="BC28" i="8080" s="1"/>
  <c r="AS28" i="8080"/>
  <c r="AJ28" i="8080"/>
  <c r="AK28" i="8080"/>
  <c r="AL28" i="8080"/>
  <c r="AM28" i="8080"/>
  <c r="AN28" i="8080"/>
  <c r="AO28" i="8080"/>
  <c r="AP28" i="8080"/>
  <c r="AT28" i="8080"/>
  <c r="AU28" i="8080"/>
  <c r="AV28" i="8080"/>
  <c r="AW28" i="8080"/>
  <c r="AX28" i="8080"/>
  <c r="BD28" i="8080"/>
  <c r="AR29" i="8080"/>
  <c r="BC29" i="8080" s="1"/>
  <c r="AS29" i="8080"/>
  <c r="AJ29" i="8080"/>
  <c r="AK29" i="8080"/>
  <c r="AL29" i="8080"/>
  <c r="AM29" i="8080"/>
  <c r="AN29" i="8080"/>
  <c r="AO29" i="8080"/>
  <c r="T144" i="8080" s="1"/>
  <c r="AP29" i="8080"/>
  <c r="AT29" i="8080"/>
  <c r="AU29" i="8080"/>
  <c r="AV29" i="8080"/>
  <c r="BD29" i="8080" s="1"/>
  <c r="AW29" i="8080"/>
  <c r="AX29" i="8080"/>
  <c r="AR30" i="8080"/>
  <c r="BC30" i="8080" s="1"/>
  <c r="AS30" i="8080"/>
  <c r="AJ30" i="8080"/>
  <c r="AK30" i="8080"/>
  <c r="AL30" i="8080"/>
  <c r="AM30" i="8080"/>
  <c r="AN30" i="8080"/>
  <c r="AO30" i="8080"/>
  <c r="AP30" i="8080"/>
  <c r="AT30" i="8080"/>
  <c r="AU30" i="8080"/>
  <c r="AV30" i="8080"/>
  <c r="BD30" i="8080" s="1"/>
  <c r="AW30" i="8080"/>
  <c r="AX30" i="8080"/>
  <c r="AR31" i="8080"/>
  <c r="BC31" i="8080" s="1"/>
  <c r="AJ31" i="8080"/>
  <c r="AK31" i="8080"/>
  <c r="AL31" i="8080"/>
  <c r="AM31" i="8080"/>
  <c r="AN31" i="8080"/>
  <c r="AO31" i="8080"/>
  <c r="AP31" i="8080"/>
  <c r="AS31" i="8080"/>
  <c r="AT31" i="8080"/>
  <c r="AU31" i="8080"/>
  <c r="AV31" i="8080"/>
  <c r="BD31" i="8080" s="1"/>
  <c r="AW31" i="8080"/>
  <c r="AX31" i="8080"/>
  <c r="AR32" i="8080"/>
  <c r="AS32" i="8080"/>
  <c r="AJ32" i="8080"/>
  <c r="AK32" i="8080"/>
  <c r="AL32" i="8080"/>
  <c r="AM32" i="8080"/>
  <c r="AN32" i="8080"/>
  <c r="AO32" i="8080"/>
  <c r="AP32" i="8080"/>
  <c r="AT32" i="8080"/>
  <c r="AU32" i="8080"/>
  <c r="AV32" i="8080"/>
  <c r="BD32" i="8080" s="1"/>
  <c r="AW32" i="8080"/>
  <c r="AX32" i="8080"/>
  <c r="AR33" i="8080"/>
  <c r="BC33" i="8080" s="1"/>
  <c r="AS33" i="8080"/>
  <c r="AJ33" i="8080"/>
  <c r="AK33" i="8080"/>
  <c r="AL33" i="8080"/>
  <c r="AM33" i="8080"/>
  <c r="AN33" i="8080"/>
  <c r="AO33" i="8080"/>
  <c r="AP33" i="8080"/>
  <c r="AT33" i="8080"/>
  <c r="AU33" i="8080"/>
  <c r="AV33" i="8080"/>
  <c r="BD33" i="8080" s="1"/>
  <c r="AW33" i="8080"/>
  <c r="AX33" i="8080"/>
  <c r="AR34" i="8080"/>
  <c r="BC34" i="8080" s="1"/>
  <c r="AS34" i="8080"/>
  <c r="AJ34" i="8080"/>
  <c r="AK34" i="8080"/>
  <c r="AL34" i="8080"/>
  <c r="AM34" i="8080"/>
  <c r="AN34" i="8080"/>
  <c r="AO34" i="8080"/>
  <c r="AP34" i="8080"/>
  <c r="AT34" i="8080"/>
  <c r="AU34" i="8080"/>
  <c r="AV34" i="8080"/>
  <c r="BD34" i="8080" s="1"/>
  <c r="AW34" i="8080"/>
  <c r="AX34" i="8080"/>
  <c r="AR35" i="8080"/>
  <c r="BC35" i="8080" s="1"/>
  <c r="AS35" i="8080"/>
  <c r="AJ35" i="8080"/>
  <c r="AK35" i="8080"/>
  <c r="AL35" i="8080"/>
  <c r="AM35" i="8080"/>
  <c r="AN35" i="8080"/>
  <c r="AO35" i="8080"/>
  <c r="AP35" i="8080"/>
  <c r="AT35" i="8080"/>
  <c r="AU35" i="8080"/>
  <c r="AV35" i="8080"/>
  <c r="BD35" i="8080" s="1"/>
  <c r="AW35" i="8080"/>
  <c r="AX35" i="8080"/>
  <c r="AR36" i="8080"/>
  <c r="BC36" i="8080" s="1"/>
  <c r="AS36" i="8080"/>
  <c r="AJ36" i="8080"/>
  <c r="AK36" i="8080"/>
  <c r="AL36" i="8080"/>
  <c r="AM36" i="8080"/>
  <c r="AN36" i="8080"/>
  <c r="AO36" i="8080"/>
  <c r="AP36" i="8080"/>
  <c r="AT36" i="8080"/>
  <c r="AU36" i="8080"/>
  <c r="AV36" i="8080"/>
  <c r="BD36" i="8080" s="1"/>
  <c r="AW36" i="8080"/>
  <c r="AX36" i="8080"/>
  <c r="AR37" i="8080"/>
  <c r="BC37" i="8080" s="1"/>
  <c r="AS37" i="8080"/>
  <c r="AJ37" i="8080"/>
  <c r="AK37" i="8080"/>
  <c r="AL37" i="8080"/>
  <c r="AM37" i="8080"/>
  <c r="AN37" i="8080"/>
  <c r="AO37" i="8080"/>
  <c r="AP37" i="8080"/>
  <c r="AT37" i="8080"/>
  <c r="AU37" i="8080"/>
  <c r="AV37" i="8080"/>
  <c r="AW37" i="8080"/>
  <c r="AX37" i="8080"/>
  <c r="BD37" i="8080"/>
  <c r="AR38" i="8080"/>
  <c r="BC38" i="8080" s="1"/>
  <c r="AS38" i="8080"/>
  <c r="AJ38" i="8080"/>
  <c r="AK38" i="8080"/>
  <c r="AL38" i="8080"/>
  <c r="AM38" i="8080"/>
  <c r="AN38" i="8080"/>
  <c r="AO38" i="8080"/>
  <c r="AP38" i="8080"/>
  <c r="AT38" i="8080"/>
  <c r="AU38" i="8080"/>
  <c r="AV38" i="8080"/>
  <c r="BD38" i="8080" s="1"/>
  <c r="AW38" i="8080"/>
  <c r="AX38" i="8080"/>
  <c r="AR39" i="8080"/>
  <c r="BC39" i="8080" s="1"/>
  <c r="AS39" i="8080"/>
  <c r="AJ39" i="8080"/>
  <c r="AK39" i="8080"/>
  <c r="AL39" i="8080"/>
  <c r="AM39" i="8080"/>
  <c r="AN39" i="8080"/>
  <c r="AO39" i="8080"/>
  <c r="AP39" i="8080"/>
  <c r="AT39" i="8080"/>
  <c r="AU39" i="8080"/>
  <c r="AV39" i="8080"/>
  <c r="BD39" i="8080" s="1"/>
  <c r="AW39" i="8080"/>
  <c r="AX39" i="8080"/>
  <c r="AR40" i="8080"/>
  <c r="BC40" i="8080" s="1"/>
  <c r="AS40" i="8080"/>
  <c r="AJ40" i="8080"/>
  <c r="AK40" i="8080"/>
  <c r="AL40" i="8080"/>
  <c r="AM40" i="8080"/>
  <c r="AN40" i="8080"/>
  <c r="AO40" i="8080"/>
  <c r="AP40" i="8080"/>
  <c r="AT40" i="8080"/>
  <c r="AU40" i="8080"/>
  <c r="AV40" i="8080"/>
  <c r="BD40" i="8080" s="1"/>
  <c r="AW40" i="8080"/>
  <c r="AX40" i="8080"/>
  <c r="AR41" i="8080"/>
  <c r="BC41" i="8080" s="1"/>
  <c r="AJ41" i="8080"/>
  <c r="AK41" i="8080"/>
  <c r="AL41" i="8080"/>
  <c r="AM41" i="8080"/>
  <c r="AN41" i="8080"/>
  <c r="AO41" i="8080"/>
  <c r="AP41" i="8080"/>
  <c r="AS41" i="8080"/>
  <c r="AT41" i="8080"/>
  <c r="AU41" i="8080"/>
  <c r="AV41" i="8080"/>
  <c r="BD41" i="8080" s="1"/>
  <c r="AW41" i="8080"/>
  <c r="AX41" i="8080"/>
  <c r="AR42" i="8080"/>
  <c r="BC42" i="8080" s="1"/>
  <c r="AS42" i="8080"/>
  <c r="AJ42" i="8080"/>
  <c r="AK42" i="8080"/>
  <c r="AL42" i="8080"/>
  <c r="AM42" i="8080"/>
  <c r="AN42" i="8080"/>
  <c r="AO42" i="8080"/>
  <c r="AP42" i="8080"/>
  <c r="AT42" i="8080"/>
  <c r="AU42" i="8080"/>
  <c r="AV42" i="8080"/>
  <c r="BD42" i="8080" s="1"/>
  <c r="AW42" i="8080"/>
  <c r="AX42" i="8080"/>
  <c r="AR43" i="8080"/>
  <c r="BC43" i="8080" s="1"/>
  <c r="AS43" i="8080"/>
  <c r="AJ43" i="8080"/>
  <c r="AK43" i="8080"/>
  <c r="AL43" i="8080"/>
  <c r="AM43" i="8080"/>
  <c r="AN43" i="8080"/>
  <c r="AO43" i="8080"/>
  <c r="AP43" i="8080"/>
  <c r="AT43" i="8080"/>
  <c r="AU43" i="8080"/>
  <c r="AV43" i="8080"/>
  <c r="BD43" i="8080" s="1"/>
  <c r="AW43" i="8080"/>
  <c r="AX43" i="8080"/>
  <c r="AR44" i="8080"/>
  <c r="BC44" i="8080" s="1"/>
  <c r="AS44" i="8080"/>
  <c r="AJ44" i="8080"/>
  <c r="AK44" i="8080"/>
  <c r="AL44" i="8080"/>
  <c r="AM44" i="8080"/>
  <c r="AN44" i="8080"/>
  <c r="AO44" i="8080"/>
  <c r="AP44" i="8080"/>
  <c r="AT44" i="8080"/>
  <c r="AU44" i="8080"/>
  <c r="AV44" i="8080"/>
  <c r="BD44" i="8080" s="1"/>
  <c r="AW44" i="8080"/>
  <c r="AX44" i="8080"/>
  <c r="AR45" i="8080"/>
  <c r="BC45" i="8080" s="1"/>
  <c r="AS45" i="8080"/>
  <c r="AJ45" i="8080"/>
  <c r="AK45" i="8080"/>
  <c r="AL45" i="8080"/>
  <c r="AM45" i="8080"/>
  <c r="AN45" i="8080"/>
  <c r="AO45" i="8080"/>
  <c r="AP45" i="8080"/>
  <c r="AT45" i="8080"/>
  <c r="AU45" i="8080"/>
  <c r="AV45" i="8080"/>
  <c r="BD45" i="8080" s="1"/>
  <c r="AW45" i="8080"/>
  <c r="AX45" i="8080"/>
  <c r="AR46" i="8080"/>
  <c r="BC46" i="8080" s="1"/>
  <c r="AS46" i="8080"/>
  <c r="AJ46" i="8080"/>
  <c r="AK46" i="8080"/>
  <c r="AL46" i="8080"/>
  <c r="AM46" i="8080"/>
  <c r="AN46" i="8080"/>
  <c r="AO46" i="8080"/>
  <c r="AP46" i="8080"/>
  <c r="AT46" i="8080"/>
  <c r="AU46" i="8080"/>
  <c r="AV46" i="8080"/>
  <c r="BD46" i="8080" s="1"/>
  <c r="AW46" i="8080"/>
  <c r="AX46" i="8080"/>
  <c r="AR47" i="8080"/>
  <c r="BC47" i="8080" s="1"/>
  <c r="AS47" i="8080"/>
  <c r="AJ47" i="8080"/>
  <c r="AK47" i="8080"/>
  <c r="AL47" i="8080"/>
  <c r="AM47" i="8080"/>
  <c r="AN47" i="8080"/>
  <c r="AO47" i="8080"/>
  <c r="AP47" i="8080"/>
  <c r="AT47" i="8080"/>
  <c r="AU47" i="8080"/>
  <c r="AV47" i="8080"/>
  <c r="AW47" i="8080"/>
  <c r="AX47" i="8080"/>
  <c r="BD47" i="8080"/>
  <c r="AR48" i="8080"/>
  <c r="BC48" i="8080" s="1"/>
  <c r="AS48" i="8080"/>
  <c r="AJ48" i="8080"/>
  <c r="AK48" i="8080"/>
  <c r="AL48" i="8080"/>
  <c r="AM48" i="8080"/>
  <c r="AN48" i="8080"/>
  <c r="AO48" i="8080"/>
  <c r="AP48" i="8080"/>
  <c r="AT48" i="8080"/>
  <c r="AU48" i="8080"/>
  <c r="AV48" i="8080"/>
  <c r="BD48" i="8080" s="1"/>
  <c r="AW48" i="8080"/>
  <c r="AX48" i="8080"/>
  <c r="AR49" i="8080"/>
  <c r="BC49" i="8080" s="1"/>
  <c r="AS49" i="8080"/>
  <c r="AJ49" i="8080"/>
  <c r="AK49" i="8080"/>
  <c r="AL49" i="8080"/>
  <c r="AM49" i="8080"/>
  <c r="AN49" i="8080"/>
  <c r="AO49" i="8080"/>
  <c r="AP49" i="8080"/>
  <c r="AT49" i="8080"/>
  <c r="AU49" i="8080"/>
  <c r="AV49" i="8080"/>
  <c r="BD49" i="8080" s="1"/>
  <c r="AW49" i="8080"/>
  <c r="AX49" i="8080"/>
  <c r="AR50" i="8080"/>
  <c r="BC50" i="8080" s="1"/>
  <c r="AS50" i="8080"/>
  <c r="AJ50" i="8080"/>
  <c r="AK50" i="8080"/>
  <c r="AL50" i="8080"/>
  <c r="AM50" i="8080"/>
  <c r="AN50" i="8080"/>
  <c r="AO50" i="8080"/>
  <c r="AP50" i="8080"/>
  <c r="AT50" i="8080"/>
  <c r="AU50" i="8080"/>
  <c r="AV50" i="8080"/>
  <c r="BD50" i="8080" s="1"/>
  <c r="AW50" i="8080"/>
  <c r="AX50" i="8080"/>
  <c r="AR51" i="8080"/>
  <c r="BC51" i="8080" s="1"/>
  <c r="AS51" i="8080"/>
  <c r="AJ51" i="8080"/>
  <c r="AK51" i="8080"/>
  <c r="AL51" i="8080"/>
  <c r="AM51" i="8080"/>
  <c r="AN51" i="8080"/>
  <c r="AO51" i="8080"/>
  <c r="AP51" i="8080"/>
  <c r="AT51" i="8080"/>
  <c r="AU51" i="8080"/>
  <c r="AV51" i="8080"/>
  <c r="BD51" i="8080" s="1"/>
  <c r="AW51" i="8080"/>
  <c r="AX51" i="8080"/>
  <c r="AR52" i="8080"/>
  <c r="BC52" i="8080" s="1"/>
  <c r="AS52" i="8080"/>
  <c r="AJ52" i="8080"/>
  <c r="AK52" i="8080"/>
  <c r="AL52" i="8080"/>
  <c r="AM52" i="8080"/>
  <c r="AN52" i="8080"/>
  <c r="AO52" i="8080"/>
  <c r="AP52" i="8080"/>
  <c r="AT52" i="8080"/>
  <c r="AU52" i="8080"/>
  <c r="AV52" i="8080"/>
  <c r="BD52" i="8080" s="1"/>
  <c r="AW52" i="8080"/>
  <c r="AX52" i="8080"/>
  <c r="AR53" i="8080"/>
  <c r="BC53" i="8080" s="1"/>
  <c r="AS53" i="8080"/>
  <c r="AJ53" i="8080"/>
  <c r="AK53" i="8080"/>
  <c r="AL53" i="8080"/>
  <c r="AM53" i="8080"/>
  <c r="AN53" i="8080"/>
  <c r="AO53" i="8080"/>
  <c r="AP53" i="8080"/>
  <c r="AT53" i="8080"/>
  <c r="AU53" i="8080"/>
  <c r="AV53" i="8080"/>
  <c r="BD53" i="8080" s="1"/>
  <c r="AW53" i="8080"/>
  <c r="AX53" i="8080"/>
  <c r="AR54" i="8080"/>
  <c r="BC54" i="8080" s="1"/>
  <c r="AS54" i="8080"/>
  <c r="AJ54" i="8080"/>
  <c r="AK54" i="8080"/>
  <c r="AL54" i="8080"/>
  <c r="AM54" i="8080"/>
  <c r="AN54" i="8080"/>
  <c r="AO54" i="8080"/>
  <c r="AP54" i="8080"/>
  <c r="AT54" i="8080"/>
  <c r="AU54" i="8080"/>
  <c r="AV54" i="8080"/>
  <c r="BD54" i="8080" s="1"/>
  <c r="AW54" i="8080"/>
  <c r="AX54" i="8080"/>
  <c r="AR55" i="8080"/>
  <c r="BC55" i="8080" s="1"/>
  <c r="AS55" i="8080"/>
  <c r="AJ55" i="8080"/>
  <c r="AK55" i="8080"/>
  <c r="AL55" i="8080"/>
  <c r="AM55" i="8080"/>
  <c r="AN55" i="8080"/>
  <c r="AO55" i="8080"/>
  <c r="AP55" i="8080"/>
  <c r="AT55" i="8080"/>
  <c r="AU55" i="8080"/>
  <c r="AV55" i="8080"/>
  <c r="BD55" i="8080" s="1"/>
  <c r="AW55" i="8080"/>
  <c r="AX55" i="8080"/>
  <c r="AR56" i="8080"/>
  <c r="AS56" i="8080"/>
  <c r="AJ56" i="8080"/>
  <c r="AK56" i="8080"/>
  <c r="AL56" i="8080"/>
  <c r="AM56" i="8080"/>
  <c r="AN56" i="8080"/>
  <c r="AO56" i="8080"/>
  <c r="AP56" i="8080"/>
  <c r="AT56" i="8080"/>
  <c r="AU56" i="8080"/>
  <c r="AV56" i="8080"/>
  <c r="BD56" i="8080" s="1"/>
  <c r="AW56" i="8080"/>
  <c r="AX56" i="8080"/>
  <c r="BC56" i="8080"/>
  <c r="AR57" i="8080"/>
  <c r="BC57" i="8080" s="1"/>
  <c r="AS57" i="8080"/>
  <c r="AJ57" i="8080"/>
  <c r="AK57" i="8080"/>
  <c r="AL57" i="8080"/>
  <c r="AM57" i="8080"/>
  <c r="AN57" i="8080"/>
  <c r="AO57" i="8080"/>
  <c r="AP57" i="8080"/>
  <c r="AT57" i="8080"/>
  <c r="AU57" i="8080"/>
  <c r="AV57" i="8080"/>
  <c r="BD57" i="8080" s="1"/>
  <c r="AW57" i="8080"/>
  <c r="AX57" i="8080"/>
  <c r="AR58" i="8080"/>
  <c r="BC58" i="8080" s="1"/>
  <c r="AS58" i="8080"/>
  <c r="AJ58" i="8080"/>
  <c r="AK58" i="8080"/>
  <c r="AL58" i="8080"/>
  <c r="AM58" i="8080"/>
  <c r="AN58" i="8080"/>
  <c r="AO58" i="8080"/>
  <c r="AP58" i="8080"/>
  <c r="AT58" i="8080"/>
  <c r="AU58" i="8080"/>
  <c r="AV58" i="8080"/>
  <c r="BD58" i="8080" s="1"/>
  <c r="AW58" i="8080"/>
  <c r="AX58" i="8080"/>
  <c r="AR59" i="8080"/>
  <c r="BC59" i="8080" s="1"/>
  <c r="AS59" i="8080"/>
  <c r="AJ59" i="8080"/>
  <c r="AK59" i="8080"/>
  <c r="AL59" i="8080"/>
  <c r="AM59" i="8080"/>
  <c r="AN59" i="8080"/>
  <c r="AO59" i="8080"/>
  <c r="AP59" i="8080"/>
  <c r="AT59" i="8080"/>
  <c r="AU59" i="8080"/>
  <c r="AV59" i="8080"/>
  <c r="BD59" i="8080" s="1"/>
  <c r="AW59" i="8080"/>
  <c r="AX59" i="8080"/>
  <c r="AR60" i="8080"/>
  <c r="BC60" i="8080" s="1"/>
  <c r="AS60" i="8080"/>
  <c r="AJ60" i="8080"/>
  <c r="AK60" i="8080"/>
  <c r="AL60" i="8080"/>
  <c r="AM60" i="8080"/>
  <c r="AN60" i="8080"/>
  <c r="AO60" i="8080"/>
  <c r="AP60" i="8080"/>
  <c r="AT60" i="8080"/>
  <c r="AU60" i="8080"/>
  <c r="AV60" i="8080"/>
  <c r="BD60" i="8080" s="1"/>
  <c r="AW60" i="8080"/>
  <c r="AX60" i="8080"/>
  <c r="AR61" i="8080"/>
  <c r="BC61" i="8080" s="1"/>
  <c r="AS61" i="8080"/>
  <c r="AJ61" i="8080"/>
  <c r="AK61" i="8080"/>
  <c r="AL61" i="8080"/>
  <c r="AM61" i="8080"/>
  <c r="AN61" i="8080"/>
  <c r="AO61" i="8080"/>
  <c r="AP61" i="8080"/>
  <c r="AT61" i="8080"/>
  <c r="AU61" i="8080"/>
  <c r="AV61" i="8080"/>
  <c r="BD61" i="8080" s="1"/>
  <c r="AW61" i="8080"/>
  <c r="AX61" i="8080"/>
  <c r="AR62" i="8080"/>
  <c r="BC62" i="8080" s="1"/>
  <c r="AS62" i="8080"/>
  <c r="AJ62" i="8080"/>
  <c r="AK62" i="8080"/>
  <c r="AL62" i="8080"/>
  <c r="AM62" i="8080"/>
  <c r="AN62" i="8080"/>
  <c r="AO62" i="8080"/>
  <c r="AP62" i="8080"/>
  <c r="AT62" i="8080"/>
  <c r="AU62" i="8080"/>
  <c r="AV62" i="8080"/>
  <c r="BD62" i="8080" s="1"/>
  <c r="AW62" i="8080"/>
  <c r="AX62" i="8080"/>
  <c r="AR63" i="8080"/>
  <c r="BC63" i="8080" s="1"/>
  <c r="AS63" i="8080"/>
  <c r="AJ63" i="8080"/>
  <c r="AK63" i="8080"/>
  <c r="AL63" i="8080"/>
  <c r="AM63" i="8080"/>
  <c r="AN63" i="8080"/>
  <c r="AO63" i="8080"/>
  <c r="AP63" i="8080"/>
  <c r="AT63" i="8080"/>
  <c r="AU63" i="8080"/>
  <c r="AV63" i="8080"/>
  <c r="BD63" i="8080" s="1"/>
  <c r="AW63" i="8080"/>
  <c r="AX63" i="8080"/>
  <c r="AR64" i="8080"/>
  <c r="BC64" i="8080" s="1"/>
  <c r="AS64" i="8080"/>
  <c r="AJ64" i="8080"/>
  <c r="AK64" i="8080"/>
  <c r="AL64" i="8080"/>
  <c r="AM64" i="8080"/>
  <c r="AN64" i="8080"/>
  <c r="AO64" i="8080"/>
  <c r="AP64" i="8080"/>
  <c r="AT64" i="8080"/>
  <c r="AU64" i="8080"/>
  <c r="AV64" i="8080"/>
  <c r="BD64" i="8080" s="1"/>
  <c r="AW64" i="8080"/>
  <c r="AX64" i="8080"/>
  <c r="AR65" i="8080"/>
  <c r="BC65" i="8080" s="1"/>
  <c r="AS65" i="8080"/>
  <c r="AJ65" i="8080"/>
  <c r="AK65" i="8080"/>
  <c r="AL65" i="8080"/>
  <c r="AM65" i="8080"/>
  <c r="AN65" i="8080"/>
  <c r="AO65" i="8080"/>
  <c r="AP65" i="8080"/>
  <c r="AT65" i="8080"/>
  <c r="AU65" i="8080"/>
  <c r="AV65" i="8080"/>
  <c r="BD65" i="8080" s="1"/>
  <c r="AW65" i="8080"/>
  <c r="AX65" i="8080"/>
  <c r="AR66" i="8080"/>
  <c r="BC66" i="8080" s="1"/>
  <c r="AS66" i="8080"/>
  <c r="AJ66" i="8080"/>
  <c r="AK66" i="8080"/>
  <c r="AL66" i="8080"/>
  <c r="AM66" i="8080"/>
  <c r="AN66" i="8080"/>
  <c r="AO66" i="8080"/>
  <c r="AP66" i="8080"/>
  <c r="AT66" i="8080"/>
  <c r="AU66" i="8080"/>
  <c r="AV66" i="8080"/>
  <c r="BD66" i="8080" s="1"/>
  <c r="AW66" i="8080"/>
  <c r="AX66" i="8080"/>
  <c r="AR67" i="8080"/>
  <c r="BC67" i="8080" s="1"/>
  <c r="AS67" i="8080"/>
  <c r="AJ67" i="8080"/>
  <c r="AK67" i="8080"/>
  <c r="AL67" i="8080"/>
  <c r="AM67" i="8080"/>
  <c r="AN67" i="8080"/>
  <c r="AO67" i="8080"/>
  <c r="AP67" i="8080"/>
  <c r="AT67" i="8080"/>
  <c r="AU67" i="8080"/>
  <c r="AV67" i="8080"/>
  <c r="BD67" i="8080" s="1"/>
  <c r="AW67" i="8080"/>
  <c r="AX67" i="8080"/>
  <c r="AR68" i="8080"/>
  <c r="BC68" i="8080" s="1"/>
  <c r="AJ68" i="8080"/>
  <c r="AK68" i="8080"/>
  <c r="AL68" i="8080"/>
  <c r="AM68" i="8080"/>
  <c r="AN68" i="8080"/>
  <c r="AO68" i="8080"/>
  <c r="AP68" i="8080"/>
  <c r="AS68" i="8080"/>
  <c r="AT68" i="8080"/>
  <c r="AU68" i="8080"/>
  <c r="AV68" i="8080"/>
  <c r="BD68" i="8080" s="1"/>
  <c r="AW68" i="8080"/>
  <c r="AX68" i="8080"/>
  <c r="AR69" i="8080"/>
  <c r="BC69" i="8080" s="1"/>
  <c r="AS69" i="8080"/>
  <c r="AJ69" i="8080"/>
  <c r="AK69" i="8080"/>
  <c r="AL69" i="8080"/>
  <c r="AM69" i="8080"/>
  <c r="AN69" i="8080"/>
  <c r="AO69" i="8080"/>
  <c r="AP69" i="8080"/>
  <c r="AT69" i="8080"/>
  <c r="AU69" i="8080"/>
  <c r="AV69" i="8080"/>
  <c r="BD69" i="8080" s="1"/>
  <c r="AW69" i="8080"/>
  <c r="AX69" i="8080"/>
  <c r="AR70" i="8080"/>
  <c r="BC70" i="8080" s="1"/>
  <c r="AS70" i="8080"/>
  <c r="AJ70" i="8080"/>
  <c r="AK70" i="8080"/>
  <c r="AL70" i="8080"/>
  <c r="AM70" i="8080"/>
  <c r="AN70" i="8080"/>
  <c r="AO70" i="8080"/>
  <c r="AP70" i="8080"/>
  <c r="AT70" i="8080"/>
  <c r="AU70" i="8080"/>
  <c r="AV70" i="8080"/>
  <c r="BD70" i="8080" s="1"/>
  <c r="AW70" i="8080"/>
  <c r="AX70" i="8080"/>
  <c r="AR71" i="8080"/>
  <c r="BC71" i="8080" s="1"/>
  <c r="AS71" i="8080"/>
  <c r="AJ71" i="8080"/>
  <c r="AK71" i="8080"/>
  <c r="AL71" i="8080"/>
  <c r="AM71" i="8080"/>
  <c r="AN71" i="8080"/>
  <c r="AO71" i="8080"/>
  <c r="AP71" i="8080"/>
  <c r="AT71" i="8080"/>
  <c r="AU71" i="8080"/>
  <c r="AV71" i="8080"/>
  <c r="BD71" i="8080" s="1"/>
  <c r="AW71" i="8080"/>
  <c r="AX71" i="8080"/>
  <c r="AR72" i="8080"/>
  <c r="BC72" i="8080" s="1"/>
  <c r="AS72" i="8080"/>
  <c r="AJ72" i="8080"/>
  <c r="AK72" i="8080"/>
  <c r="AL72" i="8080"/>
  <c r="AM72" i="8080"/>
  <c r="AN72" i="8080"/>
  <c r="AO72" i="8080"/>
  <c r="AP72" i="8080"/>
  <c r="AT72" i="8080"/>
  <c r="AU72" i="8080"/>
  <c r="AV72" i="8080"/>
  <c r="BD72" i="8080" s="1"/>
  <c r="AW72" i="8080"/>
  <c r="AX72" i="8080"/>
  <c r="AR73" i="8080"/>
  <c r="BC73" i="8080" s="1"/>
  <c r="AS73" i="8080"/>
  <c r="AJ73" i="8080"/>
  <c r="AK73" i="8080"/>
  <c r="AL73" i="8080"/>
  <c r="AM73" i="8080"/>
  <c r="AN73" i="8080"/>
  <c r="AO73" i="8080"/>
  <c r="AP73" i="8080"/>
  <c r="AT73" i="8080"/>
  <c r="AU73" i="8080"/>
  <c r="AV73" i="8080"/>
  <c r="BD73" i="8080" s="1"/>
  <c r="AW73" i="8080"/>
  <c r="AX73" i="8080"/>
  <c r="AR74" i="8080"/>
  <c r="BC74" i="8080" s="1"/>
  <c r="AS74" i="8080"/>
  <c r="AJ74" i="8080"/>
  <c r="AK74" i="8080"/>
  <c r="AL74" i="8080"/>
  <c r="AM74" i="8080"/>
  <c r="AN74" i="8080"/>
  <c r="AO74" i="8080"/>
  <c r="AP74" i="8080"/>
  <c r="AT74" i="8080"/>
  <c r="AU74" i="8080"/>
  <c r="AV74" i="8080"/>
  <c r="BD74" i="8080" s="1"/>
  <c r="AW74" i="8080"/>
  <c r="AX74" i="8080"/>
  <c r="AR75" i="8080"/>
  <c r="BC75" i="8080" s="1"/>
  <c r="AS75" i="8080"/>
  <c r="AJ75" i="8080"/>
  <c r="AK75" i="8080"/>
  <c r="AL75" i="8080"/>
  <c r="AM75" i="8080"/>
  <c r="AN75" i="8080"/>
  <c r="AO75" i="8080"/>
  <c r="AP75" i="8080"/>
  <c r="AT75" i="8080"/>
  <c r="AU75" i="8080"/>
  <c r="AV75" i="8080"/>
  <c r="BD75" i="8080" s="1"/>
  <c r="AW75" i="8080"/>
  <c r="AX75" i="8080"/>
  <c r="AR76" i="8080"/>
  <c r="BC76" i="8080" s="1"/>
  <c r="AS76" i="8080"/>
  <c r="AJ76" i="8080"/>
  <c r="AK76" i="8080"/>
  <c r="AL76" i="8080"/>
  <c r="AM76" i="8080"/>
  <c r="AN76" i="8080"/>
  <c r="AO76" i="8080"/>
  <c r="AP76" i="8080"/>
  <c r="AT76" i="8080"/>
  <c r="AU76" i="8080"/>
  <c r="AV76" i="8080"/>
  <c r="BD76" i="8080" s="1"/>
  <c r="AW76" i="8080"/>
  <c r="AX76" i="8080"/>
  <c r="AR77" i="8080"/>
  <c r="BC77" i="8080" s="1"/>
  <c r="AS77" i="8080"/>
  <c r="AJ77" i="8080"/>
  <c r="AK77" i="8080"/>
  <c r="AL77" i="8080"/>
  <c r="AM77" i="8080"/>
  <c r="AN77" i="8080"/>
  <c r="AO77" i="8080"/>
  <c r="AP77" i="8080"/>
  <c r="AT77" i="8080"/>
  <c r="AU77" i="8080"/>
  <c r="AV77" i="8080"/>
  <c r="BD77" i="8080" s="1"/>
  <c r="AW77" i="8080"/>
  <c r="AX77" i="8080"/>
  <c r="AS78" i="8080"/>
  <c r="AJ78" i="8080"/>
  <c r="AK78" i="8080"/>
  <c r="AL78" i="8080"/>
  <c r="AM78" i="8080"/>
  <c r="AN78" i="8080"/>
  <c r="AO78" i="8080"/>
  <c r="AP78" i="8080"/>
  <c r="AQ78" i="8080"/>
  <c r="AR78" i="8080"/>
  <c r="BC78" i="8080" s="1"/>
  <c r="AT78" i="8080"/>
  <c r="AU78" i="8080"/>
  <c r="AV78" i="8080"/>
  <c r="BD78" i="8080" s="1"/>
  <c r="AW78" i="8080"/>
  <c r="AX78" i="8080"/>
  <c r="AR79" i="8080"/>
  <c r="BC79" i="8080" s="1"/>
  <c r="AS79" i="8080"/>
  <c r="AJ79" i="8080"/>
  <c r="AK79" i="8080"/>
  <c r="AL79" i="8080"/>
  <c r="AM79" i="8080"/>
  <c r="AN79" i="8080"/>
  <c r="AO79" i="8080"/>
  <c r="AP79" i="8080"/>
  <c r="AT79" i="8080"/>
  <c r="AU79" i="8080"/>
  <c r="AV79" i="8080"/>
  <c r="BD79" i="8080" s="1"/>
  <c r="AW79" i="8080"/>
  <c r="AX79" i="8080"/>
  <c r="AR80" i="8080"/>
  <c r="BC80" i="8080" s="1"/>
  <c r="AS80" i="8080"/>
  <c r="AJ80" i="8080"/>
  <c r="AK80" i="8080"/>
  <c r="AL80" i="8080"/>
  <c r="AM80" i="8080"/>
  <c r="AN80" i="8080"/>
  <c r="AO80" i="8080"/>
  <c r="AP80" i="8080"/>
  <c r="AT80" i="8080"/>
  <c r="AU80" i="8080"/>
  <c r="AV80" i="8080"/>
  <c r="BD80" i="8080" s="1"/>
  <c r="AW80" i="8080"/>
  <c r="AX80" i="8080"/>
  <c r="AR81" i="8080"/>
  <c r="BC81" i="8080" s="1"/>
  <c r="AS81" i="8080"/>
  <c r="AJ81" i="8080"/>
  <c r="AK81" i="8080"/>
  <c r="AL81" i="8080"/>
  <c r="AM81" i="8080"/>
  <c r="AN81" i="8080"/>
  <c r="AO81" i="8080"/>
  <c r="AP81" i="8080"/>
  <c r="AT81" i="8080"/>
  <c r="AU81" i="8080"/>
  <c r="AV81" i="8080"/>
  <c r="BD81" i="8080" s="1"/>
  <c r="AW81" i="8080"/>
  <c r="AX81" i="8080"/>
  <c r="AR82" i="8080"/>
  <c r="BC82" i="8080" s="1"/>
  <c r="AS82" i="8080"/>
  <c r="AJ82" i="8080"/>
  <c r="AK82" i="8080"/>
  <c r="AL82" i="8080"/>
  <c r="AM82" i="8080"/>
  <c r="AN82" i="8080"/>
  <c r="AO82" i="8080"/>
  <c r="AP82" i="8080"/>
  <c r="AT82" i="8080"/>
  <c r="AU82" i="8080"/>
  <c r="AV82" i="8080"/>
  <c r="BD82" i="8080" s="1"/>
  <c r="AW82" i="8080"/>
  <c r="AX82" i="8080"/>
  <c r="AR83" i="8080"/>
  <c r="BC83" i="8080" s="1"/>
  <c r="AS83" i="8080"/>
  <c r="AJ83" i="8080"/>
  <c r="AK83" i="8080"/>
  <c r="AL83" i="8080"/>
  <c r="AM83" i="8080"/>
  <c r="AN83" i="8080"/>
  <c r="AO83" i="8080"/>
  <c r="AP83" i="8080"/>
  <c r="AT83" i="8080"/>
  <c r="AU83" i="8080"/>
  <c r="AV83" i="8080"/>
  <c r="AW83" i="8080"/>
  <c r="AX83" i="8080"/>
  <c r="BD83" i="8080"/>
  <c r="AR84" i="8080"/>
  <c r="BC84" i="8080" s="1"/>
  <c r="AJ84" i="8080"/>
  <c r="AK84" i="8080"/>
  <c r="AL84" i="8080"/>
  <c r="AM84" i="8080"/>
  <c r="AN84" i="8080"/>
  <c r="AO84" i="8080"/>
  <c r="AP84" i="8080"/>
  <c r="AS84" i="8080"/>
  <c r="AT84" i="8080"/>
  <c r="AU84" i="8080"/>
  <c r="AV84" i="8080"/>
  <c r="BD84" i="8080" s="1"/>
  <c r="AW84" i="8080"/>
  <c r="AX84" i="8080"/>
  <c r="AR85" i="8080"/>
  <c r="BC85" i="8080" s="1"/>
  <c r="AS85" i="8080"/>
  <c r="AJ85" i="8080"/>
  <c r="AK85" i="8080"/>
  <c r="AL85" i="8080"/>
  <c r="AM85" i="8080"/>
  <c r="AN85" i="8080"/>
  <c r="AO85" i="8080"/>
  <c r="AP85" i="8080"/>
  <c r="AT85" i="8080"/>
  <c r="AU85" i="8080"/>
  <c r="AV85" i="8080"/>
  <c r="BD85" i="8080" s="1"/>
  <c r="AW85" i="8080"/>
  <c r="AX85" i="8080"/>
  <c r="AR86" i="8080"/>
  <c r="BC86" i="8080" s="1"/>
  <c r="AS86" i="8080"/>
  <c r="AJ86" i="8080"/>
  <c r="AK86" i="8080"/>
  <c r="AL86" i="8080"/>
  <c r="AM86" i="8080"/>
  <c r="AN86" i="8080"/>
  <c r="AO86" i="8080"/>
  <c r="AP86" i="8080"/>
  <c r="AT86" i="8080"/>
  <c r="AU86" i="8080"/>
  <c r="AV86" i="8080"/>
  <c r="BD86" i="8080" s="1"/>
  <c r="AW86" i="8080"/>
  <c r="AX86" i="8080"/>
  <c r="AR87" i="8080"/>
  <c r="BC87" i="8080" s="1"/>
  <c r="AS87" i="8080"/>
  <c r="AJ87" i="8080"/>
  <c r="AK87" i="8080"/>
  <c r="AL87" i="8080"/>
  <c r="AM87" i="8080"/>
  <c r="AN87" i="8080"/>
  <c r="AO87" i="8080"/>
  <c r="AP87" i="8080"/>
  <c r="AT87" i="8080"/>
  <c r="AU87" i="8080"/>
  <c r="AV87" i="8080"/>
  <c r="BD87" i="8080" s="1"/>
  <c r="AW87" i="8080"/>
  <c r="AX87" i="8080"/>
  <c r="AR88" i="8080"/>
  <c r="BC88" i="8080" s="1"/>
  <c r="AS88" i="8080"/>
  <c r="AJ88" i="8080"/>
  <c r="AK88" i="8080"/>
  <c r="AL88" i="8080"/>
  <c r="AM88" i="8080"/>
  <c r="AN88" i="8080"/>
  <c r="AO88" i="8080"/>
  <c r="AP88" i="8080"/>
  <c r="AT88" i="8080"/>
  <c r="AU88" i="8080"/>
  <c r="AV88" i="8080"/>
  <c r="BD88" i="8080" s="1"/>
  <c r="AW88" i="8080"/>
  <c r="AX88" i="8080"/>
  <c r="AR89" i="8080"/>
  <c r="BC89" i="8080" s="1"/>
  <c r="AS89" i="8080"/>
  <c r="AJ89" i="8080"/>
  <c r="AK89" i="8080"/>
  <c r="AL89" i="8080"/>
  <c r="AM89" i="8080"/>
  <c r="AN89" i="8080"/>
  <c r="AO89" i="8080"/>
  <c r="AP89" i="8080"/>
  <c r="AT89" i="8080"/>
  <c r="AU89" i="8080"/>
  <c r="AV89" i="8080"/>
  <c r="BD89" i="8080" s="1"/>
  <c r="AW89" i="8080"/>
  <c r="AX89" i="8080"/>
  <c r="AR90" i="8080"/>
  <c r="BC90" i="8080" s="1"/>
  <c r="AS90" i="8080"/>
  <c r="AJ90" i="8080"/>
  <c r="AK90" i="8080"/>
  <c r="AL90" i="8080"/>
  <c r="AM90" i="8080"/>
  <c r="AN90" i="8080"/>
  <c r="AO90" i="8080"/>
  <c r="AP90" i="8080"/>
  <c r="AT90" i="8080"/>
  <c r="AU90" i="8080"/>
  <c r="AV90" i="8080"/>
  <c r="BD90" i="8080" s="1"/>
  <c r="AW90" i="8080"/>
  <c r="AX90" i="8080"/>
  <c r="AR91" i="8080"/>
  <c r="BC91" i="8080" s="1"/>
  <c r="AS91" i="8080"/>
  <c r="AJ91" i="8080"/>
  <c r="AK91" i="8080"/>
  <c r="AL91" i="8080"/>
  <c r="AM91" i="8080"/>
  <c r="AN91" i="8080"/>
  <c r="AO91" i="8080"/>
  <c r="AP91" i="8080"/>
  <c r="AT91" i="8080"/>
  <c r="AU91" i="8080"/>
  <c r="AV91" i="8080"/>
  <c r="BD91" i="8080" s="1"/>
  <c r="AW91" i="8080"/>
  <c r="AX91" i="8080"/>
  <c r="AR92" i="8080"/>
  <c r="BC92" i="8080" s="1"/>
  <c r="AS92" i="8080"/>
  <c r="AJ92" i="8080"/>
  <c r="AK92" i="8080"/>
  <c r="AL92" i="8080"/>
  <c r="AM92" i="8080"/>
  <c r="AN92" i="8080"/>
  <c r="AO92" i="8080"/>
  <c r="AP92" i="8080"/>
  <c r="AT92" i="8080"/>
  <c r="AU92" i="8080"/>
  <c r="AV92" i="8080"/>
  <c r="BD92" i="8080" s="1"/>
  <c r="AW92" i="8080"/>
  <c r="AX92" i="8080"/>
  <c r="AR93" i="8080"/>
  <c r="BC93" i="8080" s="1"/>
  <c r="AS93" i="8080"/>
  <c r="AJ93" i="8080"/>
  <c r="AK93" i="8080"/>
  <c r="AL93" i="8080"/>
  <c r="AM93" i="8080"/>
  <c r="AN93" i="8080"/>
  <c r="AO93" i="8080"/>
  <c r="AP93" i="8080"/>
  <c r="AT93" i="8080"/>
  <c r="AU93" i="8080"/>
  <c r="AV93" i="8080"/>
  <c r="AW93" i="8080"/>
  <c r="AX93" i="8080"/>
  <c r="BD93" i="8080"/>
  <c r="AS94" i="8080"/>
  <c r="AJ94" i="8080"/>
  <c r="AK94" i="8080"/>
  <c r="AQ94" i="8080" s="1"/>
  <c r="AL94" i="8080"/>
  <c r="AM94" i="8080"/>
  <c r="AN94" i="8080"/>
  <c r="AO94" i="8080"/>
  <c r="AP94" i="8080"/>
  <c r="AR94" i="8080"/>
  <c r="BC94" i="8080" s="1"/>
  <c r="AT94" i="8080"/>
  <c r="AU94" i="8080"/>
  <c r="AV94" i="8080"/>
  <c r="BD94" i="8080" s="1"/>
  <c r="AW94" i="8080"/>
  <c r="AX94" i="8080"/>
  <c r="AR95" i="8080"/>
  <c r="BC95" i="8080" s="1"/>
  <c r="AS95" i="8080"/>
  <c r="AJ95" i="8080"/>
  <c r="AK95" i="8080"/>
  <c r="AL95" i="8080"/>
  <c r="AM95" i="8080"/>
  <c r="AN95" i="8080"/>
  <c r="AO95" i="8080"/>
  <c r="AP95" i="8080"/>
  <c r="AT95" i="8080"/>
  <c r="AU95" i="8080"/>
  <c r="AV95" i="8080"/>
  <c r="BD95" i="8080" s="1"/>
  <c r="AW95" i="8080"/>
  <c r="AX95" i="8080"/>
  <c r="AR96" i="8080"/>
  <c r="BC96" i="8080" s="1"/>
  <c r="AS96" i="8080"/>
  <c r="AJ96" i="8080"/>
  <c r="AK96" i="8080"/>
  <c r="AL96" i="8080"/>
  <c r="AM96" i="8080"/>
  <c r="AN96" i="8080"/>
  <c r="AO96" i="8080"/>
  <c r="AP96" i="8080"/>
  <c r="AT96" i="8080"/>
  <c r="AU96" i="8080"/>
  <c r="AV96" i="8080"/>
  <c r="BD96" i="8080" s="1"/>
  <c r="AW96" i="8080"/>
  <c r="AX96" i="8080"/>
  <c r="AR97" i="8080"/>
  <c r="BC97" i="8080" s="1"/>
  <c r="AS97" i="8080"/>
  <c r="AJ97" i="8080"/>
  <c r="AK97" i="8080"/>
  <c r="AL97" i="8080"/>
  <c r="AM97" i="8080"/>
  <c r="AN97" i="8080"/>
  <c r="AO97" i="8080"/>
  <c r="AP97" i="8080"/>
  <c r="AT97" i="8080"/>
  <c r="AU97" i="8080"/>
  <c r="AV97" i="8080"/>
  <c r="BD97" i="8080" s="1"/>
  <c r="AW97" i="8080"/>
  <c r="AX97" i="8080"/>
  <c r="AR98" i="8080"/>
  <c r="BC98" i="8080" s="1"/>
  <c r="AS98" i="8080"/>
  <c r="AJ98" i="8080"/>
  <c r="AK98" i="8080"/>
  <c r="AL98" i="8080"/>
  <c r="AM98" i="8080"/>
  <c r="AN98" i="8080"/>
  <c r="AO98" i="8080"/>
  <c r="AP98" i="8080"/>
  <c r="AT98" i="8080"/>
  <c r="AU98" i="8080"/>
  <c r="AV98" i="8080"/>
  <c r="BD98" i="8080" s="1"/>
  <c r="AW98" i="8080"/>
  <c r="AX98" i="8080"/>
  <c r="AR99" i="8080"/>
  <c r="BC99" i="8080" s="1"/>
  <c r="AS99" i="8080"/>
  <c r="AJ99" i="8080"/>
  <c r="AK99" i="8080"/>
  <c r="AL99" i="8080"/>
  <c r="AM99" i="8080"/>
  <c r="AN99" i="8080"/>
  <c r="AO99" i="8080"/>
  <c r="AP99" i="8080"/>
  <c r="AT99" i="8080"/>
  <c r="AU99" i="8080"/>
  <c r="AV99" i="8080"/>
  <c r="BD99" i="8080" s="1"/>
  <c r="AW99" i="8080"/>
  <c r="AX99" i="8080"/>
  <c r="AR100" i="8080"/>
  <c r="BC100" i="8080" s="1"/>
  <c r="AS100" i="8080"/>
  <c r="AJ100" i="8080"/>
  <c r="AK100" i="8080"/>
  <c r="AL100" i="8080"/>
  <c r="AM100" i="8080"/>
  <c r="AN100" i="8080"/>
  <c r="AO100" i="8080"/>
  <c r="AP100" i="8080"/>
  <c r="AT100" i="8080"/>
  <c r="AU100" i="8080"/>
  <c r="AV100" i="8080"/>
  <c r="BD100" i="8080" s="1"/>
  <c r="AW100" i="8080"/>
  <c r="AX100" i="8080"/>
  <c r="AR101" i="8080"/>
  <c r="BC101" i="8080" s="1"/>
  <c r="AS101" i="8080"/>
  <c r="AJ101" i="8080"/>
  <c r="AK101" i="8080"/>
  <c r="AL101" i="8080"/>
  <c r="AM101" i="8080"/>
  <c r="AN101" i="8080"/>
  <c r="AO101" i="8080"/>
  <c r="AP101" i="8080"/>
  <c r="AT101" i="8080"/>
  <c r="AU101" i="8080"/>
  <c r="AV101" i="8080"/>
  <c r="BD101" i="8080" s="1"/>
  <c r="AW101" i="8080"/>
  <c r="AX101" i="8080"/>
  <c r="AR102" i="8080"/>
  <c r="BC102" i="8080" s="1"/>
  <c r="AS102" i="8080"/>
  <c r="AJ102" i="8080"/>
  <c r="AK102" i="8080"/>
  <c r="AL102" i="8080"/>
  <c r="AM102" i="8080"/>
  <c r="AN102" i="8080"/>
  <c r="AO102" i="8080"/>
  <c r="AP102" i="8080"/>
  <c r="AT102" i="8080"/>
  <c r="AU102" i="8080"/>
  <c r="AV102" i="8080"/>
  <c r="BD102" i="8080" s="1"/>
  <c r="AW102" i="8080"/>
  <c r="AX102" i="8080"/>
  <c r="AR103" i="8080"/>
  <c r="BC103" i="8080" s="1"/>
  <c r="AS103" i="8080"/>
  <c r="AJ103" i="8080"/>
  <c r="AK103" i="8080"/>
  <c r="AL103" i="8080"/>
  <c r="AM103" i="8080"/>
  <c r="AN103" i="8080"/>
  <c r="AO103" i="8080"/>
  <c r="AP103" i="8080"/>
  <c r="AT103" i="8080"/>
  <c r="AU103" i="8080"/>
  <c r="AV103" i="8080"/>
  <c r="BD103" i="8080" s="1"/>
  <c r="AW103" i="8080"/>
  <c r="AX103" i="8080"/>
  <c r="AS104" i="8080"/>
  <c r="AJ104" i="8080"/>
  <c r="AK104" i="8080"/>
  <c r="AL104" i="8080"/>
  <c r="AM104" i="8080"/>
  <c r="AN104" i="8080"/>
  <c r="AO104" i="8080"/>
  <c r="AP104" i="8080"/>
  <c r="AT104" i="8080"/>
  <c r="AU104" i="8080"/>
  <c r="AV104" i="8080"/>
  <c r="BD104" i="8080" s="1"/>
  <c r="AW104" i="8080"/>
  <c r="AX104" i="8080"/>
  <c r="AR105" i="8080"/>
  <c r="BC105" i="8080" s="1"/>
  <c r="AS105" i="8080"/>
  <c r="AJ105" i="8080"/>
  <c r="AK105" i="8080"/>
  <c r="AL105" i="8080"/>
  <c r="AM105" i="8080"/>
  <c r="AN105" i="8080"/>
  <c r="AO105" i="8080"/>
  <c r="AP105" i="8080"/>
  <c r="AT105" i="8080"/>
  <c r="AU105" i="8080"/>
  <c r="AV105" i="8080"/>
  <c r="BD105" i="8080" s="1"/>
  <c r="AW105" i="8080"/>
  <c r="AX105" i="8080"/>
  <c r="AR106" i="8080"/>
  <c r="BC106" i="8080" s="1"/>
  <c r="AS106" i="8080"/>
  <c r="AJ106" i="8080"/>
  <c r="AK106" i="8080"/>
  <c r="AL106" i="8080"/>
  <c r="AM106" i="8080"/>
  <c r="AN106" i="8080"/>
  <c r="AO106" i="8080"/>
  <c r="AP106" i="8080"/>
  <c r="AT106" i="8080"/>
  <c r="AU106" i="8080"/>
  <c r="AV106" i="8080"/>
  <c r="BD106" i="8080" s="1"/>
  <c r="AW106" i="8080"/>
  <c r="AX106" i="8080"/>
  <c r="AR107" i="8080"/>
  <c r="BC107" i="8080" s="1"/>
  <c r="AS107" i="8080"/>
  <c r="AJ107" i="8080"/>
  <c r="AK107" i="8080"/>
  <c r="AL107" i="8080"/>
  <c r="AM107" i="8080"/>
  <c r="AN107" i="8080"/>
  <c r="AO107" i="8080"/>
  <c r="AP107" i="8080"/>
  <c r="AT107" i="8080"/>
  <c r="AU107" i="8080"/>
  <c r="AV107" i="8080"/>
  <c r="BD107" i="8080" s="1"/>
  <c r="AW107" i="8080"/>
  <c r="AX107" i="8080"/>
  <c r="AS108" i="8080"/>
  <c r="AJ108" i="8080"/>
  <c r="AK108" i="8080"/>
  <c r="AL108" i="8080"/>
  <c r="AM108" i="8080"/>
  <c r="AN108" i="8080"/>
  <c r="AO108" i="8080"/>
  <c r="AP108" i="8080"/>
  <c r="AR108" i="8080"/>
  <c r="BC108" i="8080" s="1"/>
  <c r="AT108" i="8080"/>
  <c r="AU108" i="8080"/>
  <c r="AV108" i="8080"/>
  <c r="BD108" i="8080" s="1"/>
  <c r="AW108" i="8080"/>
  <c r="AX108" i="8080"/>
  <c r="AR109" i="8080"/>
  <c r="BC109" i="8080" s="1"/>
  <c r="AS109" i="8080"/>
  <c r="AJ109" i="8080"/>
  <c r="AK109" i="8080"/>
  <c r="AL109" i="8080"/>
  <c r="AM109" i="8080"/>
  <c r="AN109" i="8080"/>
  <c r="AO109" i="8080"/>
  <c r="AP109" i="8080"/>
  <c r="AT109" i="8080"/>
  <c r="AU109" i="8080"/>
  <c r="AV109" i="8080"/>
  <c r="BD109" i="8080" s="1"/>
  <c r="AW109" i="8080"/>
  <c r="AX109" i="8080"/>
  <c r="AR110" i="8080"/>
  <c r="BC110" i="8080" s="1"/>
  <c r="AS110" i="8080"/>
  <c r="AJ110" i="8080"/>
  <c r="AK110" i="8080"/>
  <c r="AL110" i="8080"/>
  <c r="AM110" i="8080"/>
  <c r="AN110" i="8080"/>
  <c r="AO110" i="8080"/>
  <c r="AP110" i="8080"/>
  <c r="AT110" i="8080"/>
  <c r="AU110" i="8080"/>
  <c r="AV110" i="8080"/>
  <c r="BD110" i="8080" s="1"/>
  <c r="AW110" i="8080"/>
  <c r="AX110" i="8080"/>
  <c r="AR111" i="8080"/>
  <c r="BC111" i="8080" s="1"/>
  <c r="AS111" i="8080"/>
  <c r="AJ111" i="8080"/>
  <c r="AK111" i="8080"/>
  <c r="AL111" i="8080"/>
  <c r="AM111" i="8080"/>
  <c r="AN111" i="8080"/>
  <c r="AO111" i="8080"/>
  <c r="AP111" i="8080"/>
  <c r="AT111" i="8080"/>
  <c r="AU111" i="8080"/>
  <c r="AV111" i="8080"/>
  <c r="BD111" i="8080" s="1"/>
  <c r="AW111" i="8080"/>
  <c r="AX111" i="8080"/>
  <c r="AR112" i="8080"/>
  <c r="BC112" i="8080" s="1"/>
  <c r="AS112" i="8080"/>
  <c r="AJ112" i="8080"/>
  <c r="AK112" i="8080"/>
  <c r="AL112" i="8080"/>
  <c r="AM112" i="8080"/>
  <c r="AN112" i="8080"/>
  <c r="AO112" i="8080"/>
  <c r="AP112" i="8080"/>
  <c r="AT112" i="8080"/>
  <c r="AU112" i="8080"/>
  <c r="AV112" i="8080"/>
  <c r="AW112" i="8080"/>
  <c r="AX112" i="8080"/>
  <c r="BD112" i="8080"/>
  <c r="AR113" i="8080"/>
  <c r="BC113" i="8080" s="1"/>
  <c r="AS113" i="8080"/>
  <c r="AJ113" i="8080"/>
  <c r="AK113" i="8080"/>
  <c r="AL113" i="8080"/>
  <c r="AM113" i="8080"/>
  <c r="AN113" i="8080"/>
  <c r="AO113" i="8080"/>
  <c r="AP113" i="8080"/>
  <c r="AT113" i="8080"/>
  <c r="AU113" i="8080"/>
  <c r="AV113" i="8080"/>
  <c r="BD113" i="8080" s="1"/>
  <c r="AW113" i="8080"/>
  <c r="AX113" i="8080"/>
  <c r="AR114" i="8080"/>
  <c r="BC114" i="8080" s="1"/>
  <c r="AS114" i="8080"/>
  <c r="AJ114" i="8080"/>
  <c r="AK114" i="8080"/>
  <c r="AL114" i="8080"/>
  <c r="AM114" i="8080"/>
  <c r="AN114" i="8080"/>
  <c r="AO114" i="8080"/>
  <c r="AP114" i="8080"/>
  <c r="AT114" i="8080"/>
  <c r="AU114" i="8080"/>
  <c r="AV114" i="8080"/>
  <c r="BD114" i="8080" s="1"/>
  <c r="AW114" i="8080"/>
  <c r="AX114" i="8080"/>
  <c r="AR115" i="8080"/>
  <c r="BC115" i="8080" s="1"/>
  <c r="AS115" i="8080"/>
  <c r="AJ115" i="8080"/>
  <c r="AK115" i="8080"/>
  <c r="AL115" i="8080"/>
  <c r="AM115" i="8080"/>
  <c r="AN115" i="8080"/>
  <c r="AO115" i="8080"/>
  <c r="AP115" i="8080"/>
  <c r="AT115" i="8080"/>
  <c r="AU115" i="8080"/>
  <c r="AV115" i="8080"/>
  <c r="BD115" i="8080" s="1"/>
  <c r="AW115" i="8080"/>
  <c r="AX115" i="8080"/>
  <c r="AR116" i="8080"/>
  <c r="BC116" i="8080" s="1"/>
  <c r="AS116" i="8080"/>
  <c r="AJ116" i="8080"/>
  <c r="AK116" i="8080"/>
  <c r="AL116" i="8080"/>
  <c r="AM116" i="8080"/>
  <c r="AN116" i="8080"/>
  <c r="AO116" i="8080"/>
  <c r="AP116" i="8080"/>
  <c r="AT116" i="8080"/>
  <c r="AU116" i="8080"/>
  <c r="AV116" i="8080"/>
  <c r="BD116" i="8080" s="1"/>
  <c r="AW116" i="8080"/>
  <c r="AX116" i="8080"/>
  <c r="AR117" i="8080"/>
  <c r="BC117" i="8080" s="1"/>
  <c r="AS117" i="8080"/>
  <c r="AJ117" i="8080"/>
  <c r="AK117" i="8080"/>
  <c r="AL117" i="8080"/>
  <c r="AM117" i="8080"/>
  <c r="AN117" i="8080"/>
  <c r="AO117" i="8080"/>
  <c r="AP117" i="8080"/>
  <c r="AT117" i="8080"/>
  <c r="AU117" i="8080"/>
  <c r="AV117" i="8080"/>
  <c r="BD117" i="8080" s="1"/>
  <c r="AW117" i="8080"/>
  <c r="AX117" i="8080"/>
  <c r="AR118" i="8080"/>
  <c r="BC118" i="8080" s="1"/>
  <c r="AS118" i="8080"/>
  <c r="AJ118" i="8080"/>
  <c r="AK118" i="8080"/>
  <c r="AL118" i="8080"/>
  <c r="AM118" i="8080"/>
  <c r="AN118" i="8080"/>
  <c r="AO118" i="8080"/>
  <c r="AP118" i="8080"/>
  <c r="AT118" i="8080"/>
  <c r="AU118" i="8080"/>
  <c r="AV118" i="8080"/>
  <c r="BD118" i="8080" s="1"/>
  <c r="AW118" i="8080"/>
  <c r="AX118" i="8080"/>
  <c r="AR119" i="8080"/>
  <c r="BC119" i="8080" s="1"/>
  <c r="AS119" i="8080"/>
  <c r="AJ119" i="8080"/>
  <c r="AK119" i="8080"/>
  <c r="AL119" i="8080"/>
  <c r="AM119" i="8080"/>
  <c r="AN119" i="8080"/>
  <c r="AO119" i="8080"/>
  <c r="AP119" i="8080"/>
  <c r="AT119" i="8080"/>
  <c r="AU119" i="8080"/>
  <c r="AV119" i="8080"/>
  <c r="BD119" i="8080" s="1"/>
  <c r="AW119" i="8080"/>
  <c r="AX119" i="8080"/>
  <c r="E120" i="8080"/>
  <c r="T138" i="8080" s="1"/>
  <c r="U123" i="8080"/>
  <c r="W123" i="8080"/>
  <c r="N125" i="8080"/>
  <c r="C134" i="8080"/>
  <c r="V134" i="8080"/>
  <c r="X134" i="8080" s="1"/>
  <c r="C135" i="8080"/>
  <c r="V135" i="8080"/>
  <c r="C136" i="8080"/>
  <c r="V136" i="8080"/>
  <c r="G137" i="8080"/>
  <c r="V137" i="8080"/>
  <c r="G138" i="8080"/>
  <c r="O138" i="8080" s="1"/>
  <c r="AH125" i="8080" s="1"/>
  <c r="H34" i="3" s="1"/>
  <c r="V138" i="8080"/>
  <c r="G139" i="8080"/>
  <c r="V139" i="8080"/>
  <c r="O140" i="8080"/>
  <c r="AH126" i="8080" s="1"/>
  <c r="V140" i="8080"/>
  <c r="O141" i="8080"/>
  <c r="V141" i="8080"/>
  <c r="O142" i="8080"/>
  <c r="AH129" i="8080" s="1"/>
  <c r="V142" i="8080"/>
  <c r="V143" i="8080"/>
  <c r="V144" i="8080"/>
  <c r="T145" i="8080"/>
  <c r="T171" i="8080" s="1"/>
  <c r="V145" i="8080"/>
  <c r="V146" i="8080"/>
  <c r="L147" i="8080"/>
  <c r="O147" i="8080"/>
  <c r="V147" i="8080"/>
  <c r="H148" i="8080"/>
  <c r="L148" i="8080"/>
  <c r="X148" i="8080"/>
  <c r="L149" i="8080"/>
  <c r="V149" i="8080"/>
  <c r="X149" i="8080" s="1"/>
  <c r="L150" i="8080"/>
  <c r="X150" i="8080"/>
  <c r="L151" i="8080"/>
  <c r="X151" i="8080"/>
  <c r="L152" i="8080"/>
  <c r="T152" i="8080"/>
  <c r="V152" i="8080"/>
  <c r="L153" i="8080"/>
  <c r="BD122" i="8080" s="1"/>
  <c r="T153" i="8080"/>
  <c r="V153" i="8080"/>
  <c r="T154" i="8080"/>
  <c r="V154" i="8080"/>
  <c r="V155" i="8080"/>
  <c r="X155" i="8080" s="1"/>
  <c r="O156" i="8080"/>
  <c r="V156" i="8080"/>
  <c r="X156" i="8080" s="1"/>
  <c r="O157" i="8080"/>
  <c r="V157" i="8080"/>
  <c r="E158" i="8080"/>
  <c r="O158" i="8080" s="1"/>
  <c r="AH140" i="8080" s="1"/>
  <c r="T158" i="8080"/>
  <c r="X158" i="8080" s="1"/>
  <c r="V158" i="8080"/>
  <c r="X159" i="8080"/>
  <c r="AH174" i="8080" s="1"/>
  <c r="G160" i="8080"/>
  <c r="V160" i="8080"/>
  <c r="X161" i="8080"/>
  <c r="G162" i="8080"/>
  <c r="G163" i="8080"/>
  <c r="T163" i="8080"/>
  <c r="V163" i="8080"/>
  <c r="G164" i="8080"/>
  <c r="T164" i="8080"/>
  <c r="V164" i="8080"/>
  <c r="X165" i="8080"/>
  <c r="V166" i="8080"/>
  <c r="X166" i="8080" s="1"/>
  <c r="V167" i="8080"/>
  <c r="V168" i="8080"/>
  <c r="O169" i="8080"/>
  <c r="AH149" i="8080" s="1"/>
  <c r="O170" i="8080"/>
  <c r="V171" i="8080"/>
  <c r="O172" i="8080"/>
  <c r="AH142" i="8080" s="1"/>
  <c r="M175" i="8080"/>
  <c r="W3" i="9"/>
  <c r="W11" i="9"/>
  <c r="AV11" i="9" s="1"/>
  <c r="AV37" i="9" s="1"/>
  <c r="X11" i="9"/>
  <c r="AO11" i="9" s="1"/>
  <c r="AP11" i="9"/>
  <c r="AQ11" i="9"/>
  <c r="AR11" i="9"/>
  <c r="AS11" i="9"/>
  <c r="AT11" i="9"/>
  <c r="AW11" i="9"/>
  <c r="AX11" i="9"/>
  <c r="AY11" i="9"/>
  <c r="BE11" i="9"/>
  <c r="W12" i="9"/>
  <c r="X12" i="9"/>
  <c r="AO12" i="9" s="1"/>
  <c r="AQ12" i="9"/>
  <c r="AR12" i="9"/>
  <c r="AS12" i="9"/>
  <c r="AT12" i="9"/>
  <c r="AW12" i="9"/>
  <c r="AX12" i="9"/>
  <c r="AY12" i="9"/>
  <c r="BE12" i="9"/>
  <c r="W13" i="9"/>
  <c r="X13" i="9"/>
  <c r="AO13" i="9" s="1"/>
  <c r="AP13" i="9"/>
  <c r="AR13" i="9"/>
  <c r="AS13" i="9"/>
  <c r="AT13" i="9"/>
  <c r="AW13" i="9"/>
  <c r="AX13" i="9"/>
  <c r="AY13" i="9"/>
  <c r="BE13" i="9"/>
  <c r="W14" i="9"/>
  <c r="BF14" i="9" s="1"/>
  <c r="X14" i="9"/>
  <c r="AO14" i="9" s="1"/>
  <c r="AP14" i="9"/>
  <c r="AQ14" i="9"/>
  <c r="AR14" i="9"/>
  <c r="AS14" i="9"/>
  <c r="AT14" i="9"/>
  <c r="AW14" i="9"/>
  <c r="AX14" i="9"/>
  <c r="AY14" i="9"/>
  <c r="BE14" i="9"/>
  <c r="W15" i="9"/>
  <c r="X15" i="9"/>
  <c r="AO15" i="9" s="1"/>
  <c r="AP15" i="9"/>
  <c r="AQ15" i="9"/>
  <c r="AR15" i="9"/>
  <c r="AS15" i="9"/>
  <c r="AT15" i="9"/>
  <c r="AW15" i="9"/>
  <c r="AX15" i="9"/>
  <c r="AY15" i="9"/>
  <c r="BE15" i="9"/>
  <c r="W16" i="9"/>
  <c r="X16" i="9"/>
  <c r="AO16" i="9"/>
  <c r="AP16" i="9"/>
  <c r="AQ16" i="9"/>
  <c r="AR16" i="9"/>
  <c r="AS16" i="9"/>
  <c r="AT16" i="9"/>
  <c r="AU16" i="9"/>
  <c r="AW16" i="9"/>
  <c r="AX16" i="9"/>
  <c r="AY16" i="9"/>
  <c r="BE16" i="9"/>
  <c r="W17" i="9"/>
  <c r="BF17" i="9" s="1"/>
  <c r="X17" i="9"/>
  <c r="AO17" i="9"/>
  <c r="AP17" i="9"/>
  <c r="AQ17" i="9"/>
  <c r="AR17" i="9"/>
  <c r="AS17" i="9"/>
  <c r="AT17" i="9"/>
  <c r="AW17" i="9"/>
  <c r="AX17" i="9"/>
  <c r="AY17" i="9"/>
  <c r="BE17" i="9"/>
  <c r="W18" i="9"/>
  <c r="BF18" i="9" s="1"/>
  <c r="X18" i="9"/>
  <c r="AO18" i="9"/>
  <c r="AP18" i="9"/>
  <c r="AQ18" i="9"/>
  <c r="AR18" i="9"/>
  <c r="AS18" i="9"/>
  <c r="AT18" i="9"/>
  <c r="AW18" i="9"/>
  <c r="AX18" i="9"/>
  <c r="AY18" i="9"/>
  <c r="BE18" i="9"/>
  <c r="W19" i="9"/>
  <c r="BF19" i="9" s="1"/>
  <c r="X19" i="9"/>
  <c r="AO19" i="9"/>
  <c r="AP19" i="9"/>
  <c r="AQ19" i="9"/>
  <c r="AR19" i="9"/>
  <c r="AS19" i="9"/>
  <c r="AT19" i="9"/>
  <c r="AW19" i="9"/>
  <c r="AX19" i="9"/>
  <c r="AY19" i="9"/>
  <c r="BE19" i="9"/>
  <c r="W20" i="9"/>
  <c r="BF20" i="9" s="1"/>
  <c r="X20" i="9"/>
  <c r="AO20" i="9"/>
  <c r="AP20" i="9"/>
  <c r="AQ20" i="9"/>
  <c r="AR20" i="9"/>
  <c r="AS20" i="9"/>
  <c r="AT20" i="9"/>
  <c r="AW20" i="9"/>
  <c r="AX20" i="9"/>
  <c r="AY20" i="9"/>
  <c r="BE20" i="9"/>
  <c r="W21" i="9"/>
  <c r="X21" i="9"/>
  <c r="AO21" i="9"/>
  <c r="AP21" i="9"/>
  <c r="AQ21" i="9"/>
  <c r="AR21" i="9"/>
  <c r="AS21" i="9"/>
  <c r="AT21" i="9"/>
  <c r="AW21" i="9"/>
  <c r="AX21" i="9"/>
  <c r="AY21" i="9"/>
  <c r="BE21" i="9"/>
  <c r="W22" i="9"/>
  <c r="BF22" i="9" s="1"/>
  <c r="X22" i="9"/>
  <c r="AO22" i="9"/>
  <c r="AP22" i="9"/>
  <c r="AQ22" i="9"/>
  <c r="AR22" i="9"/>
  <c r="AS22" i="9"/>
  <c r="AT22" i="9"/>
  <c r="AW22" i="9"/>
  <c r="AX22" i="9"/>
  <c r="AY22" i="9"/>
  <c r="BE22" i="9"/>
  <c r="W23" i="9"/>
  <c r="X23" i="9"/>
  <c r="AO23" i="9"/>
  <c r="AP23" i="9"/>
  <c r="AQ23" i="9"/>
  <c r="AR23" i="9"/>
  <c r="AS23" i="9"/>
  <c r="AT23" i="9"/>
  <c r="AW23" i="9"/>
  <c r="AX23" i="9"/>
  <c r="AY23" i="9"/>
  <c r="BE23" i="9"/>
  <c r="W24" i="9"/>
  <c r="X24" i="9"/>
  <c r="AO24" i="9"/>
  <c r="AP24" i="9"/>
  <c r="AQ24" i="9"/>
  <c r="AR24" i="9"/>
  <c r="AS24" i="9"/>
  <c r="AT24" i="9"/>
  <c r="AW24" i="9"/>
  <c r="AX24" i="9"/>
  <c r="AY24" i="9"/>
  <c r="BE24" i="9"/>
  <c r="W25" i="9"/>
  <c r="BF25" i="9" s="1"/>
  <c r="X25" i="9"/>
  <c r="AO25" i="9"/>
  <c r="AP25" i="9"/>
  <c r="AQ25" i="9"/>
  <c r="AR25" i="9"/>
  <c r="AS25" i="9"/>
  <c r="AT25" i="9"/>
  <c r="AW25" i="9"/>
  <c r="AX25" i="9"/>
  <c r="AY25" i="9"/>
  <c r="BE25" i="9"/>
  <c r="W26" i="9"/>
  <c r="BF26" i="9" s="1"/>
  <c r="X26" i="9"/>
  <c r="AO26" i="9"/>
  <c r="AP26" i="9"/>
  <c r="AQ26" i="9"/>
  <c r="AR26" i="9"/>
  <c r="AS26" i="9"/>
  <c r="AT26" i="9"/>
  <c r="AW26" i="9"/>
  <c r="AX26" i="9"/>
  <c r="AY26" i="9"/>
  <c r="BE26" i="9"/>
  <c r="W27" i="9"/>
  <c r="BF27" i="9" s="1"/>
  <c r="X27" i="9"/>
  <c r="AO27" i="9"/>
  <c r="AP27" i="9"/>
  <c r="AQ27" i="9"/>
  <c r="AR27" i="9"/>
  <c r="AS27" i="9"/>
  <c r="AT27" i="9"/>
  <c r="AW27" i="9"/>
  <c r="AX27" i="9"/>
  <c r="AY27" i="9"/>
  <c r="BE27" i="9"/>
  <c r="W28" i="9"/>
  <c r="BF28" i="9" s="1"/>
  <c r="X28" i="9"/>
  <c r="AO28" i="9"/>
  <c r="AP28" i="9"/>
  <c r="AQ28" i="9"/>
  <c r="AR28" i="9"/>
  <c r="AS28" i="9"/>
  <c r="AT28" i="9"/>
  <c r="AW28" i="9"/>
  <c r="AX28" i="9"/>
  <c r="AY28" i="9"/>
  <c r="BE28" i="9"/>
  <c r="W29" i="9"/>
  <c r="X29" i="9"/>
  <c r="AO29" i="9"/>
  <c r="AP29" i="9"/>
  <c r="AQ29" i="9"/>
  <c r="AR29" i="9"/>
  <c r="AS29" i="9"/>
  <c r="AT29" i="9"/>
  <c r="AW29" i="9"/>
  <c r="AX29" i="9"/>
  <c r="AY29" i="9"/>
  <c r="BE29" i="9"/>
  <c r="W30" i="9"/>
  <c r="BF30" i="9" s="1"/>
  <c r="X30" i="9"/>
  <c r="AO30" i="9"/>
  <c r="AP30" i="9"/>
  <c r="AQ30" i="9"/>
  <c r="AR30" i="9"/>
  <c r="AS30" i="9"/>
  <c r="AT30" i="9"/>
  <c r="AW30" i="9"/>
  <c r="AX30" i="9"/>
  <c r="AY30" i="9"/>
  <c r="BE30" i="9"/>
  <c r="W31" i="9"/>
  <c r="X31" i="9"/>
  <c r="AO31" i="9"/>
  <c r="AP31" i="9"/>
  <c r="AQ31" i="9"/>
  <c r="AR31" i="9"/>
  <c r="AS31" i="9"/>
  <c r="AT31" i="9"/>
  <c r="AW31" i="9"/>
  <c r="AX31" i="9"/>
  <c r="AY31" i="9"/>
  <c r="BE31" i="9"/>
  <c r="W32" i="9"/>
  <c r="X32" i="9"/>
  <c r="AO32" i="9"/>
  <c r="AP32" i="9"/>
  <c r="AQ32" i="9"/>
  <c r="AR32" i="9"/>
  <c r="AS32" i="9"/>
  <c r="AT32" i="9"/>
  <c r="AW32" i="9"/>
  <c r="AX32" i="9"/>
  <c r="AY32" i="9"/>
  <c r="BE32" i="9"/>
  <c r="W33" i="9"/>
  <c r="BF33" i="9" s="1"/>
  <c r="X33" i="9"/>
  <c r="AO33" i="9"/>
  <c r="AP33" i="9"/>
  <c r="AQ33" i="9"/>
  <c r="AR33" i="9"/>
  <c r="AS33" i="9"/>
  <c r="AT33" i="9"/>
  <c r="AW33" i="9"/>
  <c r="AX33" i="9"/>
  <c r="AY33" i="9"/>
  <c r="BE33" i="9"/>
  <c r="W34" i="9"/>
  <c r="BF34" i="9" s="1"/>
  <c r="X34" i="9"/>
  <c r="AO34" i="9"/>
  <c r="AP34" i="9"/>
  <c r="AQ34" i="9"/>
  <c r="AR34" i="9"/>
  <c r="AS34" i="9"/>
  <c r="AT34" i="9"/>
  <c r="AW34" i="9"/>
  <c r="AX34" i="9"/>
  <c r="AY34" i="9"/>
  <c r="BE34" i="9"/>
  <c r="W35" i="9"/>
  <c r="BF35" i="9" s="1"/>
  <c r="X35" i="9"/>
  <c r="AO35" i="9"/>
  <c r="AP35" i="9"/>
  <c r="AQ35" i="9"/>
  <c r="AR35" i="9"/>
  <c r="AS35" i="9"/>
  <c r="AT35" i="9"/>
  <c r="AW35" i="9"/>
  <c r="AX35" i="9"/>
  <c r="AY35" i="9"/>
  <c r="BE35" i="9"/>
  <c r="W36" i="9"/>
  <c r="BF36" i="9" s="1"/>
  <c r="X36" i="9"/>
  <c r="AO36" i="9"/>
  <c r="AP36" i="9"/>
  <c r="AQ36" i="9"/>
  <c r="AR36" i="9"/>
  <c r="AS36" i="9"/>
  <c r="AT36" i="9"/>
  <c r="AW36" i="9"/>
  <c r="AX36" i="9"/>
  <c r="AY36" i="9"/>
  <c r="BE36" i="9"/>
  <c r="E37" i="9"/>
  <c r="AZ37" i="9"/>
  <c r="BA37" i="9"/>
  <c r="U40" i="9"/>
  <c r="W40" i="9"/>
  <c r="W89" i="9" s="1"/>
  <c r="M41" i="9"/>
  <c r="M90" i="9" s="1"/>
  <c r="N42" i="9"/>
  <c r="C49" i="9"/>
  <c r="V49" i="9"/>
  <c r="X49" i="9"/>
  <c r="C50" i="9"/>
  <c r="V50" i="9"/>
  <c r="C51" i="9"/>
  <c r="V51" i="9"/>
  <c r="V52" i="9"/>
  <c r="G53" i="9"/>
  <c r="V53" i="9"/>
  <c r="O54" i="9"/>
  <c r="AF72" i="9" s="1"/>
  <c r="I20" i="3" s="1"/>
  <c r="V54" i="9"/>
  <c r="L55" i="9"/>
  <c r="O55" i="9"/>
  <c r="AF68" i="9" s="1"/>
  <c r="T55" i="9"/>
  <c r="C117" i="11528" s="1"/>
  <c r="V55" i="9"/>
  <c r="O56" i="9"/>
  <c r="V56" i="9"/>
  <c r="O57" i="9"/>
  <c r="V57" i="9"/>
  <c r="L58" i="9"/>
  <c r="O58" i="9" s="1"/>
  <c r="V58" i="9"/>
  <c r="L59" i="9"/>
  <c r="O59" i="9" s="1"/>
  <c r="T59" i="9"/>
  <c r="C121" i="11528" s="1"/>
  <c r="V59" i="9"/>
  <c r="T60" i="9"/>
  <c r="V60" i="9"/>
  <c r="V61" i="9"/>
  <c r="L62" i="9"/>
  <c r="V62" i="9"/>
  <c r="H63" i="9"/>
  <c r="L63" i="9"/>
  <c r="V63" i="9"/>
  <c r="X63" i="9" s="1"/>
  <c r="L64" i="9"/>
  <c r="V64" i="9"/>
  <c r="X64" i="9" s="1"/>
  <c r="L65" i="9"/>
  <c r="X65" i="9"/>
  <c r="L66" i="9"/>
  <c r="X66" i="9"/>
  <c r="L67" i="9"/>
  <c r="T67" i="9"/>
  <c r="V67" i="9"/>
  <c r="L68" i="9"/>
  <c r="T68" i="9"/>
  <c r="V68" i="9"/>
  <c r="T69" i="9"/>
  <c r="X69" i="9" s="1"/>
  <c r="V69" i="9"/>
  <c r="AF69" i="9"/>
  <c r="V70" i="9"/>
  <c r="O71" i="9"/>
  <c r="AF82" i="9" s="1"/>
  <c r="V71" i="9"/>
  <c r="O72" i="9"/>
  <c r="T72" i="9"/>
  <c r="V72" i="9"/>
  <c r="E73" i="9"/>
  <c r="O73" i="9" s="1"/>
  <c r="AF83" i="9" s="1"/>
  <c r="T73" i="9"/>
  <c r="V73" i="9"/>
  <c r="X74" i="9"/>
  <c r="E75" i="9"/>
  <c r="G75" i="9"/>
  <c r="V75" i="9"/>
  <c r="E76" i="9"/>
  <c r="G76" i="9"/>
  <c r="X76" i="9"/>
  <c r="E78" i="9"/>
  <c r="G78" i="9"/>
  <c r="X78" i="9"/>
  <c r="G79" i="9"/>
  <c r="X79" i="9"/>
  <c r="E80" i="9"/>
  <c r="O80" i="9" s="1"/>
  <c r="AF116" i="9" s="1"/>
  <c r="X80" i="9"/>
  <c r="V81" i="9"/>
  <c r="X81" i="9"/>
  <c r="V82" i="9"/>
  <c r="O83" i="9"/>
  <c r="T83" i="9"/>
  <c r="C133" i="11528" s="1"/>
  <c r="V83" i="9"/>
  <c r="X83" i="9"/>
  <c r="O84" i="9"/>
  <c r="AF92" i="9" s="1"/>
  <c r="O85" i="9"/>
  <c r="V86" i="9"/>
  <c r="O87" i="9"/>
  <c r="AF85" i="9" s="1"/>
  <c r="S20" i="3" s="1"/>
  <c r="AF117" i="9"/>
  <c r="W3" i="267"/>
  <c r="Q3" i="267"/>
  <c r="Q4" i="267"/>
  <c r="Q5" i="267"/>
  <c r="Q6" i="267"/>
  <c r="W11" i="267"/>
  <c r="X11" i="267"/>
  <c r="AI11" i="267"/>
  <c r="AJ11" i="267"/>
  <c r="AK11" i="267"/>
  <c r="AL11" i="267"/>
  <c r="AM11" i="267"/>
  <c r="AN11" i="267"/>
  <c r="AP11" i="267"/>
  <c r="AR11" i="267"/>
  <c r="AS11" i="267"/>
  <c r="AT11" i="267"/>
  <c r="AX11" i="267"/>
  <c r="AY11" i="267" s="1"/>
  <c r="AZ11" i="267"/>
  <c r="BF11" i="267" s="1"/>
  <c r="W12" i="267"/>
  <c r="X12" i="267"/>
  <c r="AI12" i="267"/>
  <c r="AJ12" i="267"/>
  <c r="AK12" i="267"/>
  <c r="AL12" i="267"/>
  <c r="AM12" i="267"/>
  <c r="AN12" i="267"/>
  <c r="AP12" i="267"/>
  <c r="AQ12" i="267"/>
  <c r="AS12" i="267"/>
  <c r="AT12" i="267"/>
  <c r="AX12" i="267"/>
  <c r="AZ12" i="267"/>
  <c r="BF12" i="267" s="1"/>
  <c r="W13" i="267"/>
  <c r="X13" i="267"/>
  <c r="AI13" i="267"/>
  <c r="AJ13" i="267"/>
  <c r="AK13" i="267"/>
  <c r="AL13" i="267"/>
  <c r="AM13" i="267"/>
  <c r="AN13" i="267"/>
  <c r="AP13" i="267"/>
  <c r="AQ13" i="267"/>
  <c r="AR13" i="267"/>
  <c r="AS13" i="267"/>
  <c r="AT13" i="267"/>
  <c r="AX13" i="267"/>
  <c r="AY13" i="267" s="1"/>
  <c r="AZ13" i="267"/>
  <c r="W14" i="267"/>
  <c r="X14" i="267"/>
  <c r="AI14" i="267"/>
  <c r="AJ14" i="267"/>
  <c r="AK14" i="267"/>
  <c r="AL14" i="267"/>
  <c r="AM14" i="267"/>
  <c r="AN14" i="267"/>
  <c r="AP14" i="267"/>
  <c r="AQ14" i="267"/>
  <c r="AR14" i="267"/>
  <c r="AS14" i="267"/>
  <c r="AT14" i="267"/>
  <c r="AX14" i="267"/>
  <c r="AZ14" i="267"/>
  <c r="BF14" i="267" s="1"/>
  <c r="W15" i="267"/>
  <c r="X15" i="267"/>
  <c r="AI15" i="267"/>
  <c r="AJ15" i="267"/>
  <c r="AK15" i="267"/>
  <c r="AL15" i="267"/>
  <c r="AM15" i="267"/>
  <c r="AN15" i="267"/>
  <c r="AP15" i="267"/>
  <c r="AQ15" i="267"/>
  <c r="AR15" i="267"/>
  <c r="AS15" i="267"/>
  <c r="AT15" i="267"/>
  <c r="AX15" i="267"/>
  <c r="AY15" i="267" s="1"/>
  <c r="AZ15" i="267"/>
  <c r="BM15" i="267" s="1"/>
  <c r="W16" i="267"/>
  <c r="X16" i="267"/>
  <c r="AI16" i="267"/>
  <c r="AJ16" i="267"/>
  <c r="AK16" i="267"/>
  <c r="AL16" i="267"/>
  <c r="AM16" i="267"/>
  <c r="AN16" i="267"/>
  <c r="AP16" i="267"/>
  <c r="AQ16" i="267"/>
  <c r="AR16" i="267"/>
  <c r="AS16" i="267"/>
  <c r="AT16" i="267"/>
  <c r="AX16" i="267"/>
  <c r="AZ16" i="267"/>
  <c r="BF16" i="267" s="1"/>
  <c r="W17" i="267"/>
  <c r="X17" i="267"/>
  <c r="AI17" i="267"/>
  <c r="AJ17" i="267"/>
  <c r="AK17" i="267"/>
  <c r="AL17" i="267"/>
  <c r="AM17" i="267"/>
  <c r="AN17" i="267"/>
  <c r="AP17" i="267"/>
  <c r="AQ17" i="267"/>
  <c r="AR17" i="267"/>
  <c r="AS17" i="267"/>
  <c r="AT17" i="267"/>
  <c r="AX17" i="267"/>
  <c r="AY17" i="267" s="1"/>
  <c r="AZ17" i="267"/>
  <c r="BF17" i="267" s="1"/>
  <c r="W18" i="267"/>
  <c r="X18" i="267"/>
  <c r="AI18" i="267"/>
  <c r="AJ18" i="267"/>
  <c r="AK18" i="267"/>
  <c r="AL18" i="267"/>
  <c r="AM18" i="267"/>
  <c r="AN18" i="267"/>
  <c r="AP18" i="267"/>
  <c r="AQ18" i="267"/>
  <c r="AR18" i="267"/>
  <c r="AS18" i="267"/>
  <c r="AT18" i="267"/>
  <c r="AX18" i="267"/>
  <c r="AZ18" i="267"/>
  <c r="W19" i="267"/>
  <c r="X19" i="267"/>
  <c r="AI19" i="267"/>
  <c r="AJ19" i="267"/>
  <c r="AK19" i="267"/>
  <c r="AL19" i="267"/>
  <c r="AM19" i="267"/>
  <c r="AN19" i="267"/>
  <c r="AP19" i="267"/>
  <c r="AQ19" i="267"/>
  <c r="AR19" i="267"/>
  <c r="AS19" i="267"/>
  <c r="AT19" i="267"/>
  <c r="AX19" i="267"/>
  <c r="AY19" i="267" s="1"/>
  <c r="AZ19" i="267"/>
  <c r="BF19" i="267" s="1"/>
  <c r="W20" i="267"/>
  <c r="X20" i="267"/>
  <c r="AI20" i="267"/>
  <c r="AJ20" i="267"/>
  <c r="AK20" i="267"/>
  <c r="AL20" i="267"/>
  <c r="AM20" i="267"/>
  <c r="AN20" i="267"/>
  <c r="AP20" i="267"/>
  <c r="AQ20" i="267"/>
  <c r="AR20" i="267"/>
  <c r="AS20" i="267"/>
  <c r="AT20" i="267"/>
  <c r="AX20" i="267"/>
  <c r="AZ20" i="267"/>
  <c r="BF20" i="267" s="1"/>
  <c r="W21" i="267"/>
  <c r="X21" i="267"/>
  <c r="AI21" i="267"/>
  <c r="AJ21" i="267"/>
  <c r="AK21" i="267"/>
  <c r="AL21" i="267"/>
  <c r="AM21" i="267"/>
  <c r="AN21" i="267"/>
  <c r="AP21" i="267"/>
  <c r="AQ21" i="267"/>
  <c r="AR21" i="267"/>
  <c r="AS21" i="267"/>
  <c r="AT21" i="267"/>
  <c r="AX21" i="267"/>
  <c r="AY21" i="267" s="1"/>
  <c r="AZ21" i="267"/>
  <c r="BM21" i="267" s="1"/>
  <c r="W22" i="267"/>
  <c r="X22" i="267"/>
  <c r="AI22" i="267"/>
  <c r="AJ22" i="267"/>
  <c r="AK22" i="267"/>
  <c r="AL22" i="267"/>
  <c r="AM22" i="267"/>
  <c r="AN22" i="267"/>
  <c r="AP22" i="267"/>
  <c r="AQ22" i="267"/>
  <c r="AR22" i="267"/>
  <c r="AS22" i="267"/>
  <c r="AT22" i="267"/>
  <c r="AX22" i="267"/>
  <c r="AZ22" i="267"/>
  <c r="BF22" i="267" s="1"/>
  <c r="W23" i="267"/>
  <c r="X23" i="267"/>
  <c r="AI23" i="267"/>
  <c r="AJ23" i="267"/>
  <c r="AK23" i="267"/>
  <c r="AL23" i="267"/>
  <c r="AM23" i="267"/>
  <c r="AN23" i="267"/>
  <c r="AP23" i="267"/>
  <c r="AQ23" i="267"/>
  <c r="AR23" i="267"/>
  <c r="AS23" i="267"/>
  <c r="AT23" i="267"/>
  <c r="AX23" i="267"/>
  <c r="AY23" i="267" s="1"/>
  <c r="AZ23" i="267"/>
  <c r="BM23" i="267" s="1"/>
  <c r="W24" i="267"/>
  <c r="X24" i="267"/>
  <c r="AI24" i="267"/>
  <c r="AJ24" i="267"/>
  <c r="AK24" i="267"/>
  <c r="AL24" i="267"/>
  <c r="AM24" i="267"/>
  <c r="AN24" i="267"/>
  <c r="AP24" i="267"/>
  <c r="AQ24" i="267"/>
  <c r="AR24" i="267"/>
  <c r="AS24" i="267"/>
  <c r="AT24" i="267"/>
  <c r="AX24" i="267"/>
  <c r="AZ24" i="267"/>
  <c r="BF24" i="267" s="1"/>
  <c r="W25" i="267"/>
  <c r="X25" i="267"/>
  <c r="AI25" i="267"/>
  <c r="AJ25" i="267"/>
  <c r="AK25" i="267"/>
  <c r="AL25" i="267"/>
  <c r="AM25" i="267"/>
  <c r="AN25" i="267"/>
  <c r="AP25" i="267"/>
  <c r="AQ25" i="267"/>
  <c r="AR25" i="267"/>
  <c r="AS25" i="267"/>
  <c r="AT25" i="267"/>
  <c r="AX25" i="267"/>
  <c r="AY25" i="267" s="1"/>
  <c r="AZ25" i="267"/>
  <c r="BF25" i="267" s="1"/>
  <c r="W26" i="267"/>
  <c r="X26" i="267"/>
  <c r="AI26" i="267"/>
  <c r="AJ26" i="267"/>
  <c r="AK26" i="267"/>
  <c r="AL26" i="267"/>
  <c r="AM26" i="267"/>
  <c r="AN26" i="267"/>
  <c r="AP26" i="267"/>
  <c r="AQ26" i="267"/>
  <c r="AR26" i="267"/>
  <c r="AS26" i="267"/>
  <c r="AT26" i="267"/>
  <c r="AX26" i="267"/>
  <c r="AZ26" i="267"/>
  <c r="W33" i="267"/>
  <c r="X33" i="267"/>
  <c r="AI33" i="267"/>
  <c r="AJ33" i="267"/>
  <c r="AK33" i="267"/>
  <c r="AL33" i="267"/>
  <c r="AM33" i="267"/>
  <c r="AN33" i="267"/>
  <c r="AP33" i="267"/>
  <c r="AQ33" i="267"/>
  <c r="AR33" i="267"/>
  <c r="AS33" i="267"/>
  <c r="AT33" i="267"/>
  <c r="AX33" i="267"/>
  <c r="AY33" i="267" s="1"/>
  <c r="AZ33" i="267"/>
  <c r="BM33" i="267" s="1"/>
  <c r="W34" i="267"/>
  <c r="X34" i="267"/>
  <c r="AI34" i="267"/>
  <c r="AJ34" i="267"/>
  <c r="AK34" i="267"/>
  <c r="AL34" i="267"/>
  <c r="AM34" i="267"/>
  <c r="AN34" i="267"/>
  <c r="AP34" i="267"/>
  <c r="AQ34" i="267"/>
  <c r="AR34" i="267"/>
  <c r="AS34" i="267"/>
  <c r="AT34" i="267"/>
  <c r="AX34" i="267"/>
  <c r="BO34" i="267" s="1"/>
  <c r="AZ34" i="267"/>
  <c r="BF34" i="267" s="1"/>
  <c r="W35" i="267"/>
  <c r="X35" i="267"/>
  <c r="AI35" i="267"/>
  <c r="AJ35" i="267"/>
  <c r="AK35" i="267"/>
  <c r="AL35" i="267"/>
  <c r="AM35" i="267"/>
  <c r="T67" i="267" s="1"/>
  <c r="G68" i="11528" s="1"/>
  <c r="AN35" i="267"/>
  <c r="AP35" i="267"/>
  <c r="AQ35" i="267"/>
  <c r="AR35" i="267"/>
  <c r="AS35" i="267"/>
  <c r="AT35" i="267"/>
  <c r="AX35" i="267"/>
  <c r="AY35" i="267" s="1"/>
  <c r="AZ35" i="267"/>
  <c r="BM35" i="267" s="1"/>
  <c r="W36" i="267"/>
  <c r="X36" i="267"/>
  <c r="AI36" i="267"/>
  <c r="AJ36" i="267"/>
  <c r="AK36" i="267"/>
  <c r="AL36" i="267"/>
  <c r="AM36" i="267"/>
  <c r="AN36" i="267"/>
  <c r="AO36" i="267"/>
  <c r="AP36" i="267"/>
  <c r="AQ36" i="267"/>
  <c r="AR36" i="267"/>
  <c r="AS36" i="267"/>
  <c r="AT36" i="267"/>
  <c r="AX36" i="267"/>
  <c r="BO36" i="267" s="1"/>
  <c r="AZ36" i="267"/>
  <c r="W37" i="267"/>
  <c r="AW37" i="267" s="1"/>
  <c r="X37" i="267"/>
  <c r="AI37" i="267"/>
  <c r="AJ37" i="267"/>
  <c r="AK37" i="267"/>
  <c r="AL37" i="267"/>
  <c r="AM37" i="267"/>
  <c r="AN37" i="267"/>
  <c r="AO37" i="267"/>
  <c r="AP37" i="267"/>
  <c r="AQ37" i="267"/>
  <c r="AR37" i="267"/>
  <c r="AS37" i="267"/>
  <c r="AT37" i="267"/>
  <c r="AX37" i="267"/>
  <c r="AY37" i="267" s="1"/>
  <c r="AZ37" i="267"/>
  <c r="BM37" i="267" s="1"/>
  <c r="W38" i="267"/>
  <c r="AW38" i="267" s="1"/>
  <c r="X38" i="267"/>
  <c r="AI38" i="267"/>
  <c r="AJ38" i="267"/>
  <c r="AK38" i="267"/>
  <c r="AL38" i="267"/>
  <c r="AM38" i="267"/>
  <c r="AN38" i="267"/>
  <c r="AO38" i="267"/>
  <c r="AP38" i="267"/>
  <c r="AQ38" i="267"/>
  <c r="AR38" i="267"/>
  <c r="AS38" i="267"/>
  <c r="AT38" i="267"/>
  <c r="AX38" i="267"/>
  <c r="BO38" i="267" s="1"/>
  <c r="AZ38" i="267"/>
  <c r="BF38" i="267" s="1"/>
  <c r="W39" i="267"/>
  <c r="BG39" i="267" s="1"/>
  <c r="X39" i="267"/>
  <c r="AI39" i="267"/>
  <c r="AJ39" i="267"/>
  <c r="AK39" i="267"/>
  <c r="AL39" i="267"/>
  <c r="AM39" i="267"/>
  <c r="AN39" i="267"/>
  <c r="AO39" i="267"/>
  <c r="AP39" i="267"/>
  <c r="AQ39" i="267"/>
  <c r="AR39" i="267"/>
  <c r="AS39" i="267"/>
  <c r="AT39" i="267"/>
  <c r="AX39" i="267"/>
  <c r="AY39" i="267" s="1"/>
  <c r="AZ39" i="267"/>
  <c r="BM39" i="267" s="1"/>
  <c r="W40" i="267"/>
  <c r="AW40" i="267" s="1"/>
  <c r="X40" i="267"/>
  <c r="AI40" i="267"/>
  <c r="AJ40" i="267"/>
  <c r="AK40" i="267"/>
  <c r="AL40" i="267"/>
  <c r="AM40" i="267"/>
  <c r="AN40" i="267"/>
  <c r="AO40" i="267"/>
  <c r="AP40" i="267"/>
  <c r="AQ40" i="267"/>
  <c r="AR40" i="267"/>
  <c r="AS40" i="267"/>
  <c r="AT40" i="267"/>
  <c r="AX40" i="267"/>
  <c r="BO40" i="267" s="1"/>
  <c r="AZ40" i="267"/>
  <c r="W41" i="267"/>
  <c r="BG41" i="267" s="1"/>
  <c r="X41" i="267"/>
  <c r="AI41" i="267"/>
  <c r="AJ41" i="267"/>
  <c r="AK41" i="267"/>
  <c r="AL41" i="267"/>
  <c r="AM41" i="267"/>
  <c r="AN41" i="267"/>
  <c r="AO41" i="267"/>
  <c r="AP41" i="267"/>
  <c r="AQ41" i="267"/>
  <c r="AR41" i="267"/>
  <c r="AS41" i="267"/>
  <c r="AT41" i="267"/>
  <c r="AX41" i="267"/>
  <c r="AY41" i="267" s="1"/>
  <c r="AZ41" i="267"/>
  <c r="W42" i="267"/>
  <c r="AW42" i="267" s="1"/>
  <c r="X42" i="267"/>
  <c r="AI42" i="267"/>
  <c r="AJ42" i="267"/>
  <c r="AK42" i="267"/>
  <c r="AL42" i="267"/>
  <c r="AM42" i="267"/>
  <c r="AN42" i="267"/>
  <c r="AO42" i="267"/>
  <c r="AP42" i="267"/>
  <c r="AQ42" i="267"/>
  <c r="AR42" i="267"/>
  <c r="AS42" i="267"/>
  <c r="AT42" i="267"/>
  <c r="AX42" i="267"/>
  <c r="AZ42" i="267"/>
  <c r="BF42" i="267" s="1"/>
  <c r="E43" i="267"/>
  <c r="BA43" i="267"/>
  <c r="BB43" i="267"/>
  <c r="U46" i="267"/>
  <c r="W46" i="267"/>
  <c r="M47" i="267"/>
  <c r="M100" i="267" s="1"/>
  <c r="N48" i="267"/>
  <c r="C57" i="267"/>
  <c r="V57" i="267"/>
  <c r="X57" i="267" s="1"/>
  <c r="C58" i="267"/>
  <c r="V58" i="267"/>
  <c r="C59" i="267"/>
  <c r="V59" i="267"/>
  <c r="V60" i="267"/>
  <c r="G61" i="267"/>
  <c r="V61" i="267"/>
  <c r="O62" i="267"/>
  <c r="AF78" i="267" s="1"/>
  <c r="I43" i="3" s="1"/>
  <c r="V62" i="267"/>
  <c r="G63" i="267"/>
  <c r="O63" i="267" s="1"/>
  <c r="AF74" i="267" s="1"/>
  <c r="V63" i="267"/>
  <c r="O64" i="267"/>
  <c r="AF75" i="267" s="1"/>
  <c r="V64" i="267"/>
  <c r="O65" i="267"/>
  <c r="V65" i="267"/>
  <c r="L66" i="267"/>
  <c r="O66" i="267" s="1"/>
  <c r="V66" i="267"/>
  <c r="V67" i="267"/>
  <c r="T68" i="267"/>
  <c r="G69" i="11528" s="1"/>
  <c r="V68" i="267"/>
  <c r="V69" i="267"/>
  <c r="V70" i="267"/>
  <c r="H71" i="267"/>
  <c r="L72" i="267"/>
  <c r="V72" i="267"/>
  <c r="X72" i="267" s="1"/>
  <c r="L73" i="267"/>
  <c r="X73" i="267"/>
  <c r="L74" i="267"/>
  <c r="L75" i="267"/>
  <c r="L76" i="267"/>
  <c r="V78" i="267"/>
  <c r="AF90" i="267"/>
  <c r="V79" i="267"/>
  <c r="X79" i="267" s="1"/>
  <c r="V80" i="267"/>
  <c r="X80" i="267" s="1"/>
  <c r="AF91" i="267"/>
  <c r="X84" i="267"/>
  <c r="AF125" i="267" s="1"/>
  <c r="G85" i="267"/>
  <c r="V85" i="267"/>
  <c r="X85" i="267" s="1"/>
  <c r="V86" i="267"/>
  <c r="X86" i="267" s="1"/>
  <c r="G88" i="267"/>
  <c r="G89" i="267"/>
  <c r="E90" i="267"/>
  <c r="O90" i="267" s="1"/>
  <c r="AF124" i="267" s="1"/>
  <c r="V92" i="267"/>
  <c r="O93" i="267"/>
  <c r="T93" i="267"/>
  <c r="G82" i="11528" s="1"/>
  <c r="V93" i="267"/>
  <c r="O94" i="267"/>
  <c r="O95" i="267"/>
  <c r="O96" i="267"/>
  <c r="AF99" i="267" s="1"/>
  <c r="V96" i="267"/>
  <c r="O97" i="267"/>
  <c r="AF93" i="267" s="1"/>
  <c r="S43" i="3" s="1"/>
  <c r="V3" i="8"/>
  <c r="Q4" i="8"/>
  <c r="Q5" i="8"/>
  <c r="Q6" i="8"/>
  <c r="Q7" i="8"/>
  <c r="BM10" i="8"/>
  <c r="Q11" i="8"/>
  <c r="AM11" i="8"/>
  <c r="AJ11" i="8"/>
  <c r="AK11" i="8"/>
  <c r="AN11" i="8"/>
  <c r="AO11" i="8"/>
  <c r="AQ11" i="8"/>
  <c r="AR11" i="8"/>
  <c r="AS11" i="8"/>
  <c r="AW11" i="8"/>
  <c r="AY11" i="8"/>
  <c r="BG11" i="8"/>
  <c r="BM11" i="8"/>
  <c r="BF11" i="8" s="1"/>
  <c r="Q12" i="8"/>
  <c r="AI12" i="8"/>
  <c r="AJ12" i="8"/>
  <c r="AK12" i="8"/>
  <c r="AN12" i="8"/>
  <c r="AO12" i="8"/>
  <c r="AQ12" i="8"/>
  <c r="AR12" i="8"/>
  <c r="AS12" i="8"/>
  <c r="AW12" i="8"/>
  <c r="AY12" i="8"/>
  <c r="BG12" i="8"/>
  <c r="BM12" i="8"/>
  <c r="Q13" i="8"/>
  <c r="AI13" i="8"/>
  <c r="AJ13" i="8"/>
  <c r="AK13" i="8"/>
  <c r="AM13" i="8"/>
  <c r="AN13" i="8"/>
  <c r="AO13" i="8"/>
  <c r="AQ13" i="8"/>
  <c r="AR13" i="8"/>
  <c r="AS13" i="8"/>
  <c r="AW13" i="8"/>
  <c r="AY13" i="8"/>
  <c r="BG13" i="8"/>
  <c r="BM13" i="8"/>
  <c r="BF13" i="8" s="1"/>
  <c r="Q14" i="8"/>
  <c r="AI14" i="8"/>
  <c r="AJ14" i="8"/>
  <c r="AK14" i="8"/>
  <c r="AL14" i="8"/>
  <c r="AM14" i="8"/>
  <c r="AN14" i="8"/>
  <c r="AO14" i="8"/>
  <c r="AQ14" i="8"/>
  <c r="AR14" i="8"/>
  <c r="AS14" i="8"/>
  <c r="AW14" i="8"/>
  <c r="AY14" i="8"/>
  <c r="BG14" i="8"/>
  <c r="BM14" i="8"/>
  <c r="BF14" i="8" s="1"/>
  <c r="Q15" i="8"/>
  <c r="U15" i="8"/>
  <c r="AI15" i="8"/>
  <c r="AJ15" i="8"/>
  <c r="AK15" i="8"/>
  <c r="AL15" i="8"/>
  <c r="AM15" i="8"/>
  <c r="AN15" i="8"/>
  <c r="AO15" i="8"/>
  <c r="AQ15" i="8"/>
  <c r="AR15" i="8"/>
  <c r="AS15" i="8"/>
  <c r="AW15" i="8"/>
  <c r="AY15" i="8"/>
  <c r="BA15" i="8"/>
  <c r="BB15" i="8"/>
  <c r="BC15" i="8"/>
  <c r="BD15" i="8"/>
  <c r="BG15" i="8"/>
  <c r="BM15" i="8"/>
  <c r="BF15" i="8" s="1"/>
  <c r="Q16" i="8"/>
  <c r="AI16" i="8"/>
  <c r="AJ16" i="8"/>
  <c r="AK16" i="8"/>
  <c r="AL16" i="8"/>
  <c r="AM16" i="8"/>
  <c r="AN16" i="8"/>
  <c r="AO16" i="8"/>
  <c r="AQ16" i="8"/>
  <c r="AR16" i="8"/>
  <c r="AS16" i="8"/>
  <c r="AW16" i="8"/>
  <c r="AY16" i="8"/>
  <c r="BG16" i="8"/>
  <c r="BM16" i="8"/>
  <c r="BF16" i="8" s="1"/>
  <c r="Q17" i="8"/>
  <c r="U17" i="8"/>
  <c r="AI17" i="8"/>
  <c r="AJ17" i="8"/>
  <c r="AK17" i="8"/>
  <c r="AL17" i="8"/>
  <c r="AM17" i="8"/>
  <c r="AN17" i="8"/>
  <c r="AO17" i="8"/>
  <c r="AQ17" i="8"/>
  <c r="AR17" i="8"/>
  <c r="AS17" i="8"/>
  <c r="AW17" i="8"/>
  <c r="AY17" i="8"/>
  <c r="BA17" i="8"/>
  <c r="BB17" i="8"/>
  <c r="BC17" i="8"/>
  <c r="BD17" i="8"/>
  <c r="BG17" i="8"/>
  <c r="BM17" i="8"/>
  <c r="BF17" i="8" s="1"/>
  <c r="Q18" i="8"/>
  <c r="U18" i="8"/>
  <c r="AI18" i="8"/>
  <c r="AJ18" i="8"/>
  <c r="AK18" i="8"/>
  <c r="AL18" i="8"/>
  <c r="AM18" i="8"/>
  <c r="AN18" i="8"/>
  <c r="AO18" i="8"/>
  <c r="AQ18" i="8"/>
  <c r="AR18" i="8"/>
  <c r="AS18" i="8"/>
  <c r="AW18" i="8"/>
  <c r="AY18" i="8"/>
  <c r="BA18" i="8"/>
  <c r="BB18" i="8"/>
  <c r="BC18" i="8"/>
  <c r="BD18" i="8"/>
  <c r="BG18" i="8"/>
  <c r="BM18" i="8"/>
  <c r="BF18" i="8" s="1"/>
  <c r="Q19" i="8"/>
  <c r="U19" i="8"/>
  <c r="AI19" i="8"/>
  <c r="AJ19" i="8"/>
  <c r="AK19" i="8"/>
  <c r="AL19" i="8"/>
  <c r="AM19" i="8"/>
  <c r="AN19" i="8"/>
  <c r="AO19" i="8"/>
  <c r="AQ19" i="8"/>
  <c r="AR19" i="8"/>
  <c r="AS19" i="8"/>
  <c r="AW19" i="8"/>
  <c r="AY19" i="8"/>
  <c r="BA19" i="8"/>
  <c r="BB19" i="8"/>
  <c r="BC19" i="8"/>
  <c r="BD19" i="8"/>
  <c r="BG19" i="8"/>
  <c r="BM19" i="8"/>
  <c r="BF19" i="8" s="1"/>
  <c r="Q20" i="8"/>
  <c r="U20" i="8"/>
  <c r="AI20" i="8"/>
  <c r="AJ20" i="8"/>
  <c r="AK20" i="8"/>
  <c r="AL20" i="8"/>
  <c r="AM20" i="8"/>
  <c r="AN20" i="8"/>
  <c r="AO20" i="8"/>
  <c r="AQ20" i="8"/>
  <c r="AR20" i="8"/>
  <c r="AS20" i="8"/>
  <c r="AW20" i="8"/>
  <c r="AY20" i="8"/>
  <c r="BA20" i="8"/>
  <c r="BB20" i="8"/>
  <c r="BC20" i="8"/>
  <c r="BD20" i="8"/>
  <c r="BG20" i="8"/>
  <c r="BM20" i="8"/>
  <c r="BF20" i="8" s="1"/>
  <c r="Q21" i="8"/>
  <c r="U21" i="8"/>
  <c r="AI21" i="8"/>
  <c r="AJ21" i="8"/>
  <c r="AK21" i="8"/>
  <c r="AL21" i="8"/>
  <c r="AM21" i="8"/>
  <c r="AN21" i="8"/>
  <c r="AO21" i="8"/>
  <c r="AQ21" i="8"/>
  <c r="AR21" i="8"/>
  <c r="AS21" i="8"/>
  <c r="AW21" i="8"/>
  <c r="AY21" i="8"/>
  <c r="BA21" i="8"/>
  <c r="BB21" i="8"/>
  <c r="BC21" i="8"/>
  <c r="BD21" i="8"/>
  <c r="BG21" i="8"/>
  <c r="BM21" i="8"/>
  <c r="BF21" i="8" s="1"/>
  <c r="Q22" i="8"/>
  <c r="U22" i="8"/>
  <c r="AI22" i="8"/>
  <c r="AJ22" i="8"/>
  <c r="AK22" i="8"/>
  <c r="AL22" i="8"/>
  <c r="AM22" i="8"/>
  <c r="AN22" i="8"/>
  <c r="AO22" i="8"/>
  <c r="AQ22" i="8"/>
  <c r="AR22" i="8"/>
  <c r="AS22" i="8"/>
  <c r="AW22" i="8"/>
  <c r="AY22" i="8"/>
  <c r="BA22" i="8"/>
  <c r="BB22" i="8"/>
  <c r="BC22" i="8"/>
  <c r="BD22" i="8"/>
  <c r="BG22" i="8"/>
  <c r="BM22" i="8"/>
  <c r="BF22" i="8" s="1"/>
  <c r="Q23" i="8"/>
  <c r="U23" i="8"/>
  <c r="AI23" i="8"/>
  <c r="AJ23" i="8"/>
  <c r="AK23" i="8"/>
  <c r="AL23" i="8"/>
  <c r="AM23" i="8"/>
  <c r="AN23" i="8"/>
  <c r="AO23" i="8"/>
  <c r="AQ23" i="8"/>
  <c r="AR23" i="8"/>
  <c r="AS23" i="8"/>
  <c r="AW23" i="8"/>
  <c r="AY23" i="8"/>
  <c r="BA23" i="8"/>
  <c r="BB23" i="8"/>
  <c r="BC23" i="8"/>
  <c r="BD23" i="8"/>
  <c r="BG23" i="8"/>
  <c r="BM23" i="8"/>
  <c r="BF23" i="8" s="1"/>
  <c r="Q24" i="8"/>
  <c r="U24" i="8"/>
  <c r="AI24" i="8"/>
  <c r="AJ24" i="8"/>
  <c r="AK24" i="8"/>
  <c r="AL24" i="8"/>
  <c r="AM24" i="8"/>
  <c r="AN24" i="8"/>
  <c r="AO24" i="8"/>
  <c r="AQ24" i="8"/>
  <c r="AR24" i="8"/>
  <c r="AS24" i="8"/>
  <c r="AW24" i="8"/>
  <c r="AY24" i="8"/>
  <c r="BA24" i="8"/>
  <c r="BB24" i="8"/>
  <c r="BC24" i="8"/>
  <c r="BD24" i="8"/>
  <c r="BG24" i="8"/>
  <c r="BM24" i="8"/>
  <c r="BF24" i="8" s="1"/>
  <c r="Q25" i="8"/>
  <c r="U25" i="8"/>
  <c r="AI25" i="8"/>
  <c r="AJ25" i="8"/>
  <c r="AK25" i="8"/>
  <c r="AL25" i="8"/>
  <c r="AM25" i="8"/>
  <c r="AN25" i="8"/>
  <c r="AO25" i="8"/>
  <c r="AQ25" i="8"/>
  <c r="AR25" i="8"/>
  <c r="AS25" i="8"/>
  <c r="AW25" i="8"/>
  <c r="AY25" i="8"/>
  <c r="BA25" i="8"/>
  <c r="BB25" i="8"/>
  <c r="BC25" i="8"/>
  <c r="BD25" i="8"/>
  <c r="BG25" i="8"/>
  <c r="BM25" i="8"/>
  <c r="BF25" i="8" s="1"/>
  <c r="Q26" i="8"/>
  <c r="U26" i="8"/>
  <c r="AI26" i="8"/>
  <c r="AJ26" i="8"/>
  <c r="AK26" i="8"/>
  <c r="AL26" i="8"/>
  <c r="AM26" i="8"/>
  <c r="AN26" i="8"/>
  <c r="AO26" i="8"/>
  <c r="AQ26" i="8"/>
  <c r="AR26" i="8"/>
  <c r="AS26" i="8"/>
  <c r="AW26" i="8"/>
  <c r="AY26" i="8"/>
  <c r="BA26" i="8"/>
  <c r="BB26" i="8"/>
  <c r="BC26" i="8"/>
  <c r="BD26" i="8"/>
  <c r="BG26" i="8"/>
  <c r="BM26" i="8"/>
  <c r="BF26" i="8" s="1"/>
  <c r="Q27" i="8"/>
  <c r="U27" i="8"/>
  <c r="AI27" i="8"/>
  <c r="AJ27" i="8"/>
  <c r="AK27" i="8"/>
  <c r="AL27" i="8"/>
  <c r="AM27" i="8"/>
  <c r="AN27" i="8"/>
  <c r="AO27" i="8"/>
  <c r="AQ27" i="8"/>
  <c r="AR27" i="8"/>
  <c r="AS27" i="8"/>
  <c r="AW27" i="8"/>
  <c r="AY27" i="8"/>
  <c r="BA27" i="8"/>
  <c r="BB27" i="8"/>
  <c r="BC27" i="8"/>
  <c r="BD27" i="8"/>
  <c r="BG27" i="8"/>
  <c r="BM27" i="8"/>
  <c r="BF27" i="8" s="1"/>
  <c r="D28" i="8"/>
  <c r="AX29" i="8"/>
  <c r="U31" i="8"/>
  <c r="W31" i="8"/>
  <c r="W69" i="8" s="1"/>
  <c r="N33" i="8"/>
  <c r="C40" i="8"/>
  <c r="U40" i="8"/>
  <c r="C41" i="8"/>
  <c r="U41" i="8"/>
  <c r="C42" i="8"/>
  <c r="U42" i="8"/>
  <c r="G43" i="8"/>
  <c r="U43" i="8"/>
  <c r="G44" i="8"/>
  <c r="U44" i="8"/>
  <c r="S45" i="8"/>
  <c r="C64" i="11528" s="1"/>
  <c r="U45" i="8"/>
  <c r="G46" i="8"/>
  <c r="U46" i="8"/>
  <c r="U47" i="8"/>
  <c r="U48" i="8"/>
  <c r="U49" i="8"/>
  <c r="H50" i="8"/>
  <c r="L50" i="8"/>
  <c r="U50" i="8"/>
  <c r="L51" i="8"/>
  <c r="U51" i="8"/>
  <c r="L52" i="8"/>
  <c r="U52" i="8"/>
  <c r="L53" i="8"/>
  <c r="U53" i="8"/>
  <c r="L54" i="8"/>
  <c r="U54" i="8"/>
  <c r="W54" i="8" s="1"/>
  <c r="U55" i="8"/>
  <c r="W56" i="8"/>
  <c r="W57" i="8"/>
  <c r="W65" i="8"/>
  <c r="AE118" i="8" s="1"/>
  <c r="G66" i="8"/>
  <c r="U66" i="8"/>
  <c r="U67" i="8"/>
  <c r="O68" i="8"/>
  <c r="O74" i="8"/>
  <c r="AE92" i="8" s="1"/>
  <c r="U74" i="8"/>
  <c r="G75" i="8"/>
  <c r="O75" i="8" s="1"/>
  <c r="S75" i="8"/>
  <c r="C81" i="11528" s="1"/>
  <c r="U75" i="8"/>
  <c r="O77" i="8"/>
  <c r="AE86" i="8" s="1"/>
  <c r="O78" i="8"/>
  <c r="AE90" i="8" s="1"/>
  <c r="U78" i="8"/>
  <c r="V3" i="5"/>
  <c r="Q4" i="5"/>
  <c r="Q5" i="5"/>
  <c r="Q6" i="5"/>
  <c r="Q7" i="5"/>
  <c r="AM8" i="5"/>
  <c r="R12" i="5"/>
  <c r="S12" i="5"/>
  <c r="AT12" i="5" s="1"/>
  <c r="AG12" i="5"/>
  <c r="AI12" i="5"/>
  <c r="AS12" i="5" s="1"/>
  <c r="AU12" i="5"/>
  <c r="AV12" i="5"/>
  <c r="AW12" i="5"/>
  <c r="AX12" i="5"/>
  <c r="AY12" i="5"/>
  <c r="BH12" i="5"/>
  <c r="R13" i="5"/>
  <c r="AJ13" i="5" s="1"/>
  <c r="S13" i="5"/>
  <c r="AT13" i="5" s="1"/>
  <c r="AG13" i="5"/>
  <c r="AI13" i="5"/>
  <c r="AS13" i="5" s="1"/>
  <c r="AU13" i="5"/>
  <c r="AV13" i="5"/>
  <c r="AW13" i="5"/>
  <c r="AX13" i="5"/>
  <c r="AY13" i="5"/>
  <c r="BH13" i="5"/>
  <c r="R14" i="5"/>
  <c r="S14" i="5"/>
  <c r="AT14" i="5" s="1"/>
  <c r="AG14" i="5"/>
  <c r="AI14" i="5"/>
  <c r="AS14" i="5" s="1"/>
  <c r="AU14" i="5"/>
  <c r="AV14" i="5"/>
  <c r="AW14" i="5"/>
  <c r="AX14" i="5"/>
  <c r="AY14" i="5"/>
  <c r="BH14" i="5"/>
  <c r="R15" i="5"/>
  <c r="S15" i="5"/>
  <c r="AT15" i="5" s="1"/>
  <c r="AG15" i="5"/>
  <c r="AI15" i="5"/>
  <c r="AS15" i="5" s="1"/>
  <c r="AU15" i="5"/>
  <c r="AV15" i="5"/>
  <c r="AW15" i="5"/>
  <c r="AX15" i="5"/>
  <c r="AY15" i="5"/>
  <c r="BH15" i="5"/>
  <c r="R16" i="5"/>
  <c r="AJ16" i="5" s="1"/>
  <c r="S16" i="5"/>
  <c r="AT16" i="5" s="1"/>
  <c r="AG16" i="5"/>
  <c r="AI16" i="5"/>
  <c r="AS16" i="5" s="1"/>
  <c r="AU16" i="5"/>
  <c r="AV16" i="5"/>
  <c r="AW16" i="5"/>
  <c r="AX16" i="5"/>
  <c r="AY16" i="5"/>
  <c r="BH16" i="5"/>
  <c r="AG17" i="5"/>
  <c r="AI17" i="5"/>
  <c r="AS17" i="5" s="1"/>
  <c r="AU17" i="5"/>
  <c r="AV17" i="5"/>
  <c r="AW17" i="5"/>
  <c r="AX17" i="5"/>
  <c r="AY17" i="5"/>
  <c r="BH17" i="5"/>
  <c r="AG18" i="5"/>
  <c r="AI18" i="5"/>
  <c r="AS18" i="5" s="1"/>
  <c r="AU18" i="5"/>
  <c r="AV18" i="5"/>
  <c r="AW18" i="5"/>
  <c r="AX18" i="5"/>
  <c r="AY18" i="5"/>
  <c r="BH18" i="5"/>
  <c r="R19" i="5"/>
  <c r="S19" i="5"/>
  <c r="AT19" i="5" s="1"/>
  <c r="AG19" i="5"/>
  <c r="AI19" i="5"/>
  <c r="AS19" i="5" s="1"/>
  <c r="AU19" i="5"/>
  <c r="AV19" i="5"/>
  <c r="AW19" i="5"/>
  <c r="AX19" i="5"/>
  <c r="AY19" i="5"/>
  <c r="BH19" i="5"/>
  <c r="AG20" i="5"/>
  <c r="AI20" i="5"/>
  <c r="AS20" i="5" s="1"/>
  <c r="AU20" i="5"/>
  <c r="AV20" i="5"/>
  <c r="AW20" i="5"/>
  <c r="AX20" i="5"/>
  <c r="AY20" i="5"/>
  <c r="BH20" i="5"/>
  <c r="AG21" i="5"/>
  <c r="AI21" i="5"/>
  <c r="AS21" i="5" s="1"/>
  <c r="AU21" i="5"/>
  <c r="AV21" i="5"/>
  <c r="AW21" i="5"/>
  <c r="AX21" i="5"/>
  <c r="AY21" i="5"/>
  <c r="BH21" i="5"/>
  <c r="AG22" i="5"/>
  <c r="AI22" i="5"/>
  <c r="AS22" i="5" s="1"/>
  <c r="AU22" i="5"/>
  <c r="AV22" i="5"/>
  <c r="AW22" i="5"/>
  <c r="AX22" i="5"/>
  <c r="AY22" i="5"/>
  <c r="BH22" i="5"/>
  <c r="AG23" i="5"/>
  <c r="AI23" i="5"/>
  <c r="AS23" i="5" s="1"/>
  <c r="AU23" i="5"/>
  <c r="AV23" i="5"/>
  <c r="AW23" i="5"/>
  <c r="AX23" i="5"/>
  <c r="AY23" i="5"/>
  <c r="BH23" i="5"/>
  <c r="AG24" i="5"/>
  <c r="AI24" i="5"/>
  <c r="AS24" i="5" s="1"/>
  <c r="AU24" i="5"/>
  <c r="AV24" i="5"/>
  <c r="AW24" i="5"/>
  <c r="AX24" i="5"/>
  <c r="AY24" i="5"/>
  <c r="BH24" i="5"/>
  <c r="AG25" i="5"/>
  <c r="AI25" i="5"/>
  <c r="AS25" i="5" s="1"/>
  <c r="AU25" i="5"/>
  <c r="AV25" i="5"/>
  <c r="AW25" i="5"/>
  <c r="AX25" i="5"/>
  <c r="AY25" i="5"/>
  <c r="BH25" i="5"/>
  <c r="AG26" i="5"/>
  <c r="AI26" i="5"/>
  <c r="AS26" i="5" s="1"/>
  <c r="AU26" i="5"/>
  <c r="AV26" i="5"/>
  <c r="AW26" i="5"/>
  <c r="AX26" i="5"/>
  <c r="AY26" i="5"/>
  <c r="BH26" i="5"/>
  <c r="AG27" i="5"/>
  <c r="AI27" i="5"/>
  <c r="AS27" i="5" s="1"/>
  <c r="AU27" i="5"/>
  <c r="AV27" i="5"/>
  <c r="AW27" i="5"/>
  <c r="AX27" i="5"/>
  <c r="AY27" i="5"/>
  <c r="BH27" i="5"/>
  <c r="AG28" i="5"/>
  <c r="AI28" i="5"/>
  <c r="AS28" i="5" s="1"/>
  <c r="AU28" i="5"/>
  <c r="AV28" i="5"/>
  <c r="AW28" i="5"/>
  <c r="AX28" i="5"/>
  <c r="AY28" i="5"/>
  <c r="BH28" i="5"/>
  <c r="AG29" i="5"/>
  <c r="AI29" i="5"/>
  <c r="AS29" i="5" s="1"/>
  <c r="AU29" i="5"/>
  <c r="AV29" i="5"/>
  <c r="AW29" i="5"/>
  <c r="AX29" i="5"/>
  <c r="AY29" i="5"/>
  <c r="BH29" i="5"/>
  <c r="AG30" i="5"/>
  <c r="AI30" i="5"/>
  <c r="AS30" i="5" s="1"/>
  <c r="AU30" i="5"/>
  <c r="AV30" i="5"/>
  <c r="AW30" i="5"/>
  <c r="AX30" i="5"/>
  <c r="AY30" i="5"/>
  <c r="BH30" i="5"/>
  <c r="AG31" i="5"/>
  <c r="AI31" i="5"/>
  <c r="AS31" i="5" s="1"/>
  <c r="AU31" i="5"/>
  <c r="AV31" i="5"/>
  <c r="AW31" i="5"/>
  <c r="AX31" i="5"/>
  <c r="AY31" i="5"/>
  <c r="BH31" i="5"/>
  <c r="J36" i="5"/>
  <c r="AG36" i="5" s="1"/>
  <c r="R36" i="5"/>
  <c r="S36" i="5"/>
  <c r="U36" i="5"/>
  <c r="W36" i="5"/>
  <c r="AH36" i="5"/>
  <c r="AK36" i="5" s="1"/>
  <c r="AI36" i="5"/>
  <c r="AS36" i="5" s="1"/>
  <c r="AJ36" i="5"/>
  <c r="AO36" i="5"/>
  <c r="AQ36" i="5"/>
  <c r="AT36" i="5"/>
  <c r="AU36" i="5"/>
  <c r="AV36" i="5"/>
  <c r="AW36" i="5"/>
  <c r="AX36" i="5"/>
  <c r="AY36" i="5"/>
  <c r="AZ36" i="5"/>
  <c r="BH36" i="5"/>
  <c r="BY36" i="5"/>
  <c r="J37" i="5"/>
  <c r="AG37" i="5" s="1"/>
  <c r="R37" i="5"/>
  <c r="S37" i="5"/>
  <c r="U37" i="5"/>
  <c r="W37" i="5"/>
  <c r="AH37" i="5"/>
  <c r="AK37" i="5" s="1"/>
  <c r="AI37" i="5"/>
  <c r="AS37" i="5" s="1"/>
  <c r="AJ37" i="5"/>
  <c r="AO37" i="5"/>
  <c r="AQ37" i="5"/>
  <c r="AT37" i="5"/>
  <c r="AU37" i="5"/>
  <c r="AV37" i="5"/>
  <c r="AW37" i="5"/>
  <c r="AX37" i="5"/>
  <c r="AY37" i="5"/>
  <c r="AZ37" i="5"/>
  <c r="BH37" i="5"/>
  <c r="BY37" i="5"/>
  <c r="J38" i="5"/>
  <c r="AG38" i="5" s="1"/>
  <c r="R38" i="5"/>
  <c r="S38" i="5"/>
  <c r="U38" i="5"/>
  <c r="W38" i="5"/>
  <c r="AH38" i="5"/>
  <c r="AK38" i="5" s="1"/>
  <c r="AI38" i="5"/>
  <c r="AS38" i="5" s="1"/>
  <c r="AJ38" i="5"/>
  <c r="AO38" i="5"/>
  <c r="AQ38" i="5"/>
  <c r="AT38" i="5"/>
  <c r="AU38" i="5"/>
  <c r="AV38" i="5"/>
  <c r="AW38" i="5"/>
  <c r="AX38" i="5"/>
  <c r="AY38" i="5"/>
  <c r="AZ38" i="5"/>
  <c r="BH38" i="5"/>
  <c r="BY38" i="5"/>
  <c r="E39" i="5"/>
  <c r="T41" i="5"/>
  <c r="V41" i="5"/>
  <c r="M42" i="5"/>
  <c r="E43" i="5"/>
  <c r="N43" i="5"/>
  <c r="AR45" i="5"/>
  <c r="C49" i="5"/>
  <c r="U49" i="5"/>
  <c r="AM49" i="5"/>
  <c r="C50" i="5"/>
  <c r="U50" i="5"/>
  <c r="AM50" i="5"/>
  <c r="AN50" i="5"/>
  <c r="AO50" i="5"/>
  <c r="BB11" i="5" s="1"/>
  <c r="AP50" i="5"/>
  <c r="BC11" i="5" s="1"/>
  <c r="AQ50" i="5"/>
  <c r="BD11" i="5" s="1"/>
  <c r="BE38" i="5" s="1"/>
  <c r="AR50" i="5"/>
  <c r="BE11" i="5" s="1"/>
  <c r="AS50" i="5"/>
  <c r="BF11" i="5" s="1"/>
  <c r="BG20" i="5" s="1"/>
  <c r="AT50" i="5"/>
  <c r="BG11" i="5" s="1"/>
  <c r="BQ11" i="5" s="1"/>
  <c r="C51" i="5"/>
  <c r="S51" i="5"/>
  <c r="C10" i="11528" s="1"/>
  <c r="U51" i="5"/>
  <c r="AM51" i="5"/>
  <c r="AN51" i="5"/>
  <c r="AO51" i="5"/>
  <c r="AP51" i="5"/>
  <c r="AQ51" i="5"/>
  <c r="AR51" i="5"/>
  <c r="AS51" i="5"/>
  <c r="AT51" i="5"/>
  <c r="G52" i="5"/>
  <c r="U52" i="5"/>
  <c r="AM52" i="5"/>
  <c r="U53" i="5"/>
  <c r="AM53" i="5"/>
  <c r="AN53" i="5"/>
  <c r="AO53" i="5"/>
  <c r="AP53" i="5"/>
  <c r="AQ53" i="5"/>
  <c r="AR53" i="5"/>
  <c r="AS53" i="5"/>
  <c r="AT53" i="5"/>
  <c r="O54" i="5"/>
  <c r="S54" i="5"/>
  <c r="C13" i="11528" s="1"/>
  <c r="U54" i="5"/>
  <c r="AM54" i="5"/>
  <c r="U55" i="5"/>
  <c r="AM55" i="5"/>
  <c r="AN55" i="5"/>
  <c r="AO55" i="5"/>
  <c r="AP55" i="5"/>
  <c r="AQ55" i="5"/>
  <c r="AR55" i="5"/>
  <c r="AS55" i="5"/>
  <c r="AT55" i="5"/>
  <c r="H56" i="5"/>
  <c r="L56" i="5"/>
  <c r="U56" i="5"/>
  <c r="L57" i="5"/>
  <c r="U57" i="5"/>
  <c r="L58" i="5"/>
  <c r="U58" i="5"/>
  <c r="L59" i="5"/>
  <c r="U59" i="5"/>
  <c r="L60" i="5"/>
  <c r="O60" i="5"/>
  <c r="S60" i="5"/>
  <c r="C19" i="11528" s="1"/>
  <c r="U60" i="5"/>
  <c r="U61" i="5"/>
  <c r="U62" i="5"/>
  <c r="U63" i="5"/>
  <c r="W63" i="5" s="1"/>
  <c r="U64" i="5"/>
  <c r="W64" i="5" s="1"/>
  <c r="AE93" i="5"/>
  <c r="G69" i="5"/>
  <c r="W70" i="5"/>
  <c r="AE127" i="5" s="1"/>
  <c r="G71" i="5"/>
  <c r="U71" i="5"/>
  <c r="W71" i="5" s="1"/>
  <c r="G72" i="5"/>
  <c r="U72" i="5"/>
  <c r="W72" i="5" s="1"/>
  <c r="O74" i="5"/>
  <c r="O76" i="5"/>
  <c r="AE123" i="5" s="1"/>
  <c r="O77" i="5"/>
  <c r="AE102" i="5" s="1"/>
  <c r="U78" i="5"/>
  <c r="W78" i="5" s="1"/>
  <c r="S79" i="5"/>
  <c r="C28" i="11528" s="1"/>
  <c r="U79" i="5"/>
  <c r="O80" i="5"/>
  <c r="AE95" i="5" s="1"/>
  <c r="O81" i="5"/>
  <c r="U82" i="5"/>
  <c r="M86" i="5"/>
  <c r="AC3" i="6"/>
  <c r="S4" i="6"/>
  <c r="S5" i="6"/>
  <c r="S6" i="6"/>
  <c r="S7" i="6"/>
  <c r="BF11" i="6"/>
  <c r="BG11" i="6"/>
  <c r="BU11" i="6" s="1"/>
  <c r="BH11" i="6"/>
  <c r="AE45" i="6"/>
  <c r="AE46" i="6"/>
  <c r="AE47" i="6"/>
  <c r="G49" i="6"/>
  <c r="K49" i="6"/>
  <c r="AB80" i="6" s="1"/>
  <c r="G16" i="11528" s="1"/>
  <c r="CC49" i="6"/>
  <c r="CN49" i="6"/>
  <c r="P52" i="6"/>
  <c r="P53" i="6"/>
  <c r="AF53" i="6"/>
  <c r="P54" i="6"/>
  <c r="AF54" i="6"/>
  <c r="P55" i="6"/>
  <c r="AF55" i="6"/>
  <c r="P56" i="6"/>
  <c r="BC11" i="6" s="1"/>
  <c r="AF56" i="6"/>
  <c r="P61" i="6"/>
  <c r="T61" i="6"/>
  <c r="AM61" i="6"/>
  <c r="AC63" i="6"/>
  <c r="AE63" i="6"/>
  <c r="E65" i="6"/>
  <c r="N65" i="6"/>
  <c r="C71" i="6"/>
  <c r="C72" i="6"/>
  <c r="AD72" i="6"/>
  <c r="C73" i="6"/>
  <c r="AD73" i="6"/>
  <c r="AD74" i="6"/>
  <c r="AD75" i="6"/>
  <c r="AB76" i="6"/>
  <c r="G12" i="11528" s="1"/>
  <c r="AD76" i="6"/>
  <c r="AF76" i="6"/>
  <c r="G77" i="6"/>
  <c r="AD77" i="6"/>
  <c r="L78" i="6"/>
  <c r="AD78" i="6"/>
  <c r="L79" i="6"/>
  <c r="AB79" i="6"/>
  <c r="G15" i="11528" s="1"/>
  <c r="AD79" i="6"/>
  <c r="L80" i="6"/>
  <c r="AD80" i="6"/>
  <c r="AD81" i="6"/>
  <c r="AD82" i="6"/>
  <c r="H83" i="6"/>
  <c r="AD83" i="6"/>
  <c r="AD84" i="6"/>
  <c r="L85" i="6"/>
  <c r="AD85" i="6"/>
  <c r="L86" i="6"/>
  <c r="AD86" i="6"/>
  <c r="L87" i="6"/>
  <c r="AB87" i="6"/>
  <c r="G23" i="11528" s="1"/>
  <c r="AD87" i="6"/>
  <c r="L88" i="6"/>
  <c r="O88" i="6"/>
  <c r="AO114" i="6" s="1"/>
  <c r="O81" i="3" s="1"/>
  <c r="L89" i="6"/>
  <c r="G98" i="6"/>
  <c r="AF99" i="6"/>
  <c r="AO135" i="6" s="1"/>
  <c r="AD100" i="6"/>
  <c r="G101" i="6"/>
  <c r="AD101" i="6"/>
  <c r="O103" i="6"/>
  <c r="AO134" i="6" s="1"/>
  <c r="O105" i="6"/>
  <c r="AD107" i="6"/>
  <c r="O108" i="6"/>
  <c r="AO109" i="6" s="1"/>
  <c r="AD108" i="6"/>
  <c r="O109" i="6"/>
  <c r="O110" i="6"/>
  <c r="AO103" i="6" s="1"/>
  <c r="H99" i="3" s="1"/>
  <c r="O111" i="6"/>
  <c r="AO131" i="6" s="1"/>
  <c r="AA111" i="6"/>
  <c r="G30" i="11528" s="1"/>
  <c r="D3" i="13"/>
  <c r="B8" i="13"/>
  <c r="B16" i="13"/>
  <c r="E16" i="13"/>
  <c r="G16" i="13"/>
  <c r="B19" i="13"/>
  <c r="B21" i="13"/>
  <c r="B23" i="13"/>
  <c r="B25" i="13"/>
  <c r="B27" i="13"/>
  <c r="C2" i="3"/>
  <c r="B3" i="11536" s="1"/>
  <c r="C3" i="3"/>
  <c r="B4" i="11536" s="1"/>
  <c r="K3" i="3"/>
  <c r="J4" i="11536" s="1"/>
  <c r="O3" i="3"/>
  <c r="O4" i="11536" s="1"/>
  <c r="C4" i="3"/>
  <c r="B5" i="11536" s="1"/>
  <c r="K4" i="3"/>
  <c r="J5" i="11536" s="1"/>
  <c r="O4" i="3"/>
  <c r="O5" i="11536" s="1"/>
  <c r="T4" i="3"/>
  <c r="K5" i="3"/>
  <c r="J6" i="11536" s="1"/>
  <c r="O5" i="3"/>
  <c r="O6" i="11536" s="1"/>
  <c r="C6" i="3"/>
  <c r="B7" i="11531" s="1"/>
  <c r="E6" i="3"/>
  <c r="D7" i="11531" s="1"/>
  <c r="K6" i="3"/>
  <c r="J7" i="11536" s="1"/>
  <c r="O6" i="3"/>
  <c r="O7" i="11536" s="1"/>
  <c r="C7" i="3"/>
  <c r="B8" i="11531" s="1"/>
  <c r="E7" i="3"/>
  <c r="D8" i="11531" s="1"/>
  <c r="C22" i="3"/>
  <c r="T22" i="3" s="1"/>
  <c r="I22" i="3"/>
  <c r="P22" i="3"/>
  <c r="Q22" i="3"/>
  <c r="S22" i="3"/>
  <c r="W22" i="3"/>
  <c r="Y23" i="3"/>
  <c r="H24" i="3"/>
  <c r="I26" i="3"/>
  <c r="Q26" i="3"/>
  <c r="S26" i="3"/>
  <c r="Y27" i="3"/>
  <c r="C28" i="3"/>
  <c r="I28" i="3"/>
  <c r="A29" i="3"/>
  <c r="C29" i="3"/>
  <c r="F29" i="3" s="1"/>
  <c r="E29" i="3"/>
  <c r="R29" i="3"/>
  <c r="W29" i="3"/>
  <c r="A31" i="3"/>
  <c r="C31" i="3"/>
  <c r="T31" i="3" s="1"/>
  <c r="W31" i="3"/>
  <c r="A32" i="3"/>
  <c r="C32" i="3"/>
  <c r="R32" i="3" s="1"/>
  <c r="E32" i="3"/>
  <c r="G32" i="3"/>
  <c r="S34" i="3"/>
  <c r="S37" i="3"/>
  <c r="A49" i="3"/>
  <c r="C49" i="3"/>
  <c r="C50" i="3"/>
  <c r="A51" i="3"/>
  <c r="C51" i="3"/>
  <c r="W51" i="3"/>
  <c r="A52" i="3"/>
  <c r="C52" i="3"/>
  <c r="V52" i="3" s="1"/>
  <c r="O52" i="3"/>
  <c r="W52" i="3"/>
  <c r="A53" i="3"/>
  <c r="C53" i="3"/>
  <c r="O53" i="3"/>
  <c r="U59" i="3"/>
  <c r="H79" i="3" s="1"/>
  <c r="M82" i="8"/>
  <c r="G57" i="267"/>
  <c r="G49" i="9"/>
  <c r="F38" i="11"/>
  <c r="F38" i="12"/>
  <c r="I7" i="11"/>
  <c r="G71" i="6"/>
  <c r="G134" i="8080"/>
  <c r="G49" i="5"/>
  <c r="I7" i="12"/>
  <c r="D8" i="3"/>
  <c r="G50" i="9"/>
  <c r="F39" i="11"/>
  <c r="G40" i="8"/>
  <c r="G50" i="5"/>
  <c r="G72" i="6"/>
  <c r="F39" i="12"/>
  <c r="G58" i="267"/>
  <c r="AW36" i="267" l="1"/>
  <c r="BC36" i="267"/>
  <c r="AW18" i="267"/>
  <c r="BC18" i="267"/>
  <c r="AW26" i="267"/>
  <c r="BC26" i="267"/>
  <c r="BG35" i="267"/>
  <c r="BC35" i="267"/>
  <c r="AW21" i="267"/>
  <c r="BC21" i="267"/>
  <c r="BG13" i="267"/>
  <c r="BC13" i="267"/>
  <c r="AW24" i="267"/>
  <c r="BC24" i="267"/>
  <c r="AW16" i="267"/>
  <c r="BC16" i="267"/>
  <c r="AW33" i="267"/>
  <c r="BC33" i="267"/>
  <c r="BG19" i="267"/>
  <c r="BC19" i="267"/>
  <c r="AW22" i="267"/>
  <c r="BC22" i="267"/>
  <c r="AW14" i="267"/>
  <c r="BC14" i="267"/>
  <c r="AW25" i="267"/>
  <c r="BC25" i="267"/>
  <c r="BG17" i="267"/>
  <c r="BC17" i="267"/>
  <c r="BG12" i="267"/>
  <c r="BC12" i="267"/>
  <c r="AW34" i="267"/>
  <c r="BC34" i="267"/>
  <c r="AW20" i="267"/>
  <c r="BC20" i="267"/>
  <c r="AW23" i="267"/>
  <c r="BC23" i="267"/>
  <c r="AW15" i="267"/>
  <c r="BC15" i="267"/>
  <c r="BG11" i="267"/>
  <c r="BC11" i="267"/>
  <c r="T90" i="11530"/>
  <c r="G110" i="11528" s="1"/>
  <c r="G96" i="11528"/>
  <c r="AO15" i="11530"/>
  <c r="AO21" i="11530"/>
  <c r="AO23" i="11530"/>
  <c r="AO25" i="11530"/>
  <c r="BE29" i="267"/>
  <c r="BE28" i="267"/>
  <c r="BZ19" i="5"/>
  <c r="O102" i="3"/>
  <c r="F29" i="8"/>
  <c r="AE74" i="11536"/>
  <c r="AE119" i="11536" s="1"/>
  <c r="U33" i="11536" s="1"/>
  <c r="U32" i="11536"/>
  <c r="L39" i="3"/>
  <c r="AD28" i="11524"/>
  <c r="AD32" i="11524"/>
  <c r="AE36" i="11524"/>
  <c r="S26" i="11524"/>
  <c r="S31" i="11524"/>
  <c r="Q29" i="3" s="1"/>
  <c r="AD34" i="11524"/>
  <c r="W19" i="11524"/>
  <c r="AO35" i="267"/>
  <c r="AV35" i="267" s="1"/>
  <c r="AO34" i="267"/>
  <c r="AV34" i="267" s="1"/>
  <c r="AO33" i="267"/>
  <c r="AV33" i="267" s="1"/>
  <c r="S19" i="11524"/>
  <c r="O70" i="11528"/>
  <c r="U18" i="11524"/>
  <c r="AQ34" i="5"/>
  <c r="AQ32" i="5"/>
  <c r="AQ33" i="5"/>
  <c r="AQ35" i="5"/>
  <c r="S17" i="11524"/>
  <c r="Q32" i="3" s="1"/>
  <c r="O77" i="11528"/>
  <c r="G158" i="11528" s="1"/>
  <c r="BY15" i="5"/>
  <c r="BY32" i="5"/>
  <c r="BY34" i="5"/>
  <c r="BY33" i="5"/>
  <c r="BY35" i="5"/>
  <c r="AO26" i="11530"/>
  <c r="AV26" i="11530" s="1"/>
  <c r="AO24" i="11530"/>
  <c r="AV24" i="11530" s="1"/>
  <c r="AO22" i="11530"/>
  <c r="AV22" i="11530" s="1"/>
  <c r="AO20" i="11530"/>
  <c r="AV20" i="11530" s="1"/>
  <c r="AO19" i="11530"/>
  <c r="AV19" i="11530" s="1"/>
  <c r="AO18" i="11530"/>
  <c r="AV18" i="11530" s="1"/>
  <c r="AO16" i="11530"/>
  <c r="AV16" i="11530" s="1"/>
  <c r="AO17" i="11530"/>
  <c r="AV17" i="11530" s="1"/>
  <c r="AQ48" i="6"/>
  <c r="AV48" i="6" s="1"/>
  <c r="CQ48" i="6"/>
  <c r="CW48" i="6" s="1"/>
  <c r="CQ47" i="6"/>
  <c r="CW47" i="6" s="1"/>
  <c r="AQ47" i="6"/>
  <c r="AV47" i="6" s="1"/>
  <c r="AD47" i="6" s="1"/>
  <c r="AG47" i="6" s="1"/>
  <c r="AQ46" i="6"/>
  <c r="AV46" i="6" s="1"/>
  <c r="AD46" i="6" s="1"/>
  <c r="AG46" i="6" s="1"/>
  <c r="CQ46" i="6"/>
  <c r="CW46" i="6" s="1"/>
  <c r="CQ45" i="6"/>
  <c r="CW45" i="6" s="1"/>
  <c r="AQ45" i="6"/>
  <c r="AV45" i="6" s="1"/>
  <c r="AD45" i="6" s="1"/>
  <c r="AG45" i="6" s="1"/>
  <c r="BA21" i="6"/>
  <c r="BA19" i="6"/>
  <c r="BA33" i="6"/>
  <c r="BA25" i="6"/>
  <c r="BA17" i="6"/>
  <c r="BA28" i="6"/>
  <c r="BA15" i="6"/>
  <c r="BA14" i="6"/>
  <c r="BA26" i="6"/>
  <c r="BA35" i="6"/>
  <c r="BA13" i="6"/>
  <c r="BA24" i="6"/>
  <c r="BA30" i="6"/>
  <c r="BA23" i="6"/>
  <c r="BA22" i="6"/>
  <c r="BA12" i="6"/>
  <c r="BA20" i="6"/>
  <c r="BA32" i="6"/>
  <c r="BA29" i="6"/>
  <c r="BA18" i="6"/>
  <c r="BA16" i="6"/>
  <c r="BA34" i="6"/>
  <c r="BA27" i="6"/>
  <c r="BA31" i="6"/>
  <c r="CP32" i="6"/>
  <c r="CW32" i="6" s="1"/>
  <c r="CP29" i="6"/>
  <c r="CW29" i="6" s="1"/>
  <c r="CP33" i="6"/>
  <c r="CW33" i="6" s="1"/>
  <c r="CP34" i="6"/>
  <c r="CW34" i="6" s="1"/>
  <c r="CP30" i="6"/>
  <c r="CP35" i="6"/>
  <c r="CW35" i="6" s="1"/>
  <c r="CP31" i="6"/>
  <c r="CW31" i="6" s="1"/>
  <c r="AZ19" i="6"/>
  <c r="AZ33" i="6"/>
  <c r="AZ23" i="6"/>
  <c r="AZ17" i="6"/>
  <c r="AZ41" i="6"/>
  <c r="AZ44" i="6"/>
  <c r="AZ28" i="6"/>
  <c r="AZ42" i="6"/>
  <c r="AZ15" i="6"/>
  <c r="AZ43" i="6"/>
  <c r="AZ36" i="6"/>
  <c r="AZ26" i="6"/>
  <c r="AZ35" i="6"/>
  <c r="AZ13" i="6"/>
  <c r="AZ24" i="6"/>
  <c r="AZ30" i="6"/>
  <c r="AZ39" i="6"/>
  <c r="AZ40" i="6"/>
  <c r="AZ48" i="6"/>
  <c r="AZ31" i="6"/>
  <c r="AZ22" i="6"/>
  <c r="AZ47" i="6"/>
  <c r="AZ45" i="6"/>
  <c r="AZ20" i="6"/>
  <c r="AZ32" i="6"/>
  <c r="AZ46" i="6"/>
  <c r="AZ12" i="6"/>
  <c r="AZ38" i="6"/>
  <c r="AZ18" i="6"/>
  <c r="AZ25" i="6"/>
  <c r="AZ16" i="6"/>
  <c r="AZ34" i="6"/>
  <c r="AZ27" i="6"/>
  <c r="AZ37" i="6"/>
  <c r="AZ14" i="6"/>
  <c r="AZ29" i="6"/>
  <c r="AZ21" i="6"/>
  <c r="AX33" i="6"/>
  <c r="AX31" i="6"/>
  <c r="AX35" i="6"/>
  <c r="AX30" i="6"/>
  <c r="AX32" i="6"/>
  <c r="AX34" i="6"/>
  <c r="AX29" i="6"/>
  <c r="AP35" i="6"/>
  <c r="AV35" i="6" s="1"/>
  <c r="AD35" i="6" s="1"/>
  <c r="E47" i="11529" s="1"/>
  <c r="AP30" i="6"/>
  <c r="AV30" i="6" s="1"/>
  <c r="AD30" i="6" s="1"/>
  <c r="E42" i="11529" s="1"/>
  <c r="AP32" i="6"/>
  <c r="AV32" i="6" s="1"/>
  <c r="AD32" i="6" s="1"/>
  <c r="E44" i="11529" s="1"/>
  <c r="AP34" i="6"/>
  <c r="AV34" i="6" s="1"/>
  <c r="AD34" i="6" s="1"/>
  <c r="E46" i="11529" s="1"/>
  <c r="AP29" i="6"/>
  <c r="AV29" i="6" s="1"/>
  <c r="AD29" i="6" s="1"/>
  <c r="E41" i="11529" s="1"/>
  <c r="AP33" i="6"/>
  <c r="AV33" i="6" s="1"/>
  <c r="AD33" i="6" s="1"/>
  <c r="E45" i="11529" s="1"/>
  <c r="AP31" i="6"/>
  <c r="AV31" i="6" s="1"/>
  <c r="AD31" i="6" s="1"/>
  <c r="E43" i="11529" s="1"/>
  <c r="S14" i="3"/>
  <c r="F39" i="2826"/>
  <c r="G73" i="11533"/>
  <c r="O73" i="11533" s="1"/>
  <c r="AO89" i="11533" s="1"/>
  <c r="G73" i="11532"/>
  <c r="O73" i="11532" s="1"/>
  <c r="AO89" i="11532" s="1"/>
  <c r="G53" i="11530"/>
  <c r="G59" i="11535"/>
  <c r="O59" i="11535" s="1"/>
  <c r="AF79" i="11535" s="1"/>
  <c r="G53" i="11534"/>
  <c r="O53" i="11534" s="1"/>
  <c r="AF73" i="11534" s="1"/>
  <c r="J8" i="11535"/>
  <c r="J8" i="11532"/>
  <c r="J8" i="11534"/>
  <c r="J8" i="11533"/>
  <c r="R30" i="5"/>
  <c r="BZ30" i="5" s="1"/>
  <c r="S25" i="5"/>
  <c r="AT25" i="5" s="1"/>
  <c r="AL25" i="5" s="1"/>
  <c r="R27" i="5"/>
  <c r="AQ27" i="5" s="1"/>
  <c r="R22" i="5"/>
  <c r="AJ22" i="5" s="1"/>
  <c r="R26" i="5"/>
  <c r="AQ26" i="5" s="1"/>
  <c r="R21" i="5"/>
  <c r="AJ21" i="5" s="1"/>
  <c r="AH29" i="5"/>
  <c r="AK29" i="5" s="1"/>
  <c r="R29" i="5"/>
  <c r="AJ29" i="5" s="1"/>
  <c r="S31" i="5"/>
  <c r="AT31" i="5" s="1"/>
  <c r="AL31" i="5" s="1"/>
  <c r="R31" i="5"/>
  <c r="BY31" i="5" s="1"/>
  <c r="AH26" i="5"/>
  <c r="AK26" i="5" s="1"/>
  <c r="S23" i="5"/>
  <c r="AT23" i="5" s="1"/>
  <c r="BS23" i="5" s="1"/>
  <c r="S29" i="5"/>
  <c r="AT29" i="5" s="1"/>
  <c r="AL29" i="5" s="1"/>
  <c r="AH22" i="5"/>
  <c r="AK22" i="5" s="1"/>
  <c r="AH24" i="5"/>
  <c r="AK24" i="5" s="1"/>
  <c r="AH30" i="5"/>
  <c r="AK30" i="5" s="1"/>
  <c r="AH21" i="5"/>
  <c r="AK21" i="5" s="1"/>
  <c r="AH28" i="5"/>
  <c r="AK28" i="5" s="1"/>
  <c r="S21" i="5"/>
  <c r="AT21" i="5" s="1"/>
  <c r="BS21" i="5" s="1"/>
  <c r="AH25" i="5"/>
  <c r="AK25" i="5" s="1"/>
  <c r="R23" i="5"/>
  <c r="BZ23" i="5" s="1"/>
  <c r="S27" i="5"/>
  <c r="AT27" i="5" s="1"/>
  <c r="AR27" i="5" s="1"/>
  <c r="R25" i="5"/>
  <c r="AJ25" i="5" s="1"/>
  <c r="S30" i="5"/>
  <c r="AT30" i="5" s="1"/>
  <c r="AR30" i="5" s="1"/>
  <c r="S26" i="5"/>
  <c r="AT26" i="5" s="1"/>
  <c r="BS26" i="5" s="1"/>
  <c r="S22" i="5"/>
  <c r="AT22" i="5" s="1"/>
  <c r="AL22" i="5" s="1"/>
  <c r="AH31" i="5"/>
  <c r="AK31" i="5" s="1"/>
  <c r="AH27" i="5"/>
  <c r="AK27" i="5" s="1"/>
  <c r="AH23" i="5"/>
  <c r="AK23" i="5" s="1"/>
  <c r="S24" i="5"/>
  <c r="AT24" i="5" s="1"/>
  <c r="AR24" i="5" s="1"/>
  <c r="S28" i="5"/>
  <c r="AT28" i="5" s="1"/>
  <c r="AR28" i="5" s="1"/>
  <c r="R28" i="5"/>
  <c r="BZ28" i="5" s="1"/>
  <c r="R24" i="5"/>
  <c r="BZ24" i="5" s="1"/>
  <c r="Y17" i="4"/>
  <c r="V17" i="4"/>
  <c r="O6" i="11534"/>
  <c r="O5" i="11535"/>
  <c r="J6" i="11534"/>
  <c r="J5" i="11535"/>
  <c r="O4" i="11534"/>
  <c r="O3" i="11535"/>
  <c r="J5" i="11534"/>
  <c r="J4" i="11535"/>
  <c r="J4" i="11534"/>
  <c r="J3" i="11535"/>
  <c r="B4" i="11534"/>
  <c r="B4" i="11535"/>
  <c r="B3" i="11534"/>
  <c r="B3" i="11535"/>
  <c r="O5" i="11534"/>
  <c r="O4" i="11535"/>
  <c r="B5" i="11534"/>
  <c r="B5" i="11535"/>
  <c r="O7" i="11534"/>
  <c r="O6" i="11535"/>
  <c r="J7" i="11534"/>
  <c r="J6" i="11535"/>
  <c r="X17" i="4"/>
  <c r="BO11" i="11534"/>
  <c r="AO14" i="11530"/>
  <c r="AV14" i="11530" s="1"/>
  <c r="AO13" i="11530"/>
  <c r="AV13" i="11530" s="1"/>
  <c r="AU24" i="11530"/>
  <c r="AW23" i="11530"/>
  <c r="T17" i="4"/>
  <c r="U17" i="4"/>
  <c r="AY45" i="6"/>
  <c r="AY48" i="6"/>
  <c r="AY33" i="6"/>
  <c r="AY32" i="6"/>
  <c r="AY31" i="6"/>
  <c r="AY46" i="6"/>
  <c r="BD46" i="6" s="1"/>
  <c r="CD46" i="6" s="1"/>
  <c r="AY34" i="6"/>
  <c r="AY35" i="6"/>
  <c r="AY30" i="6"/>
  <c r="AY47" i="6"/>
  <c r="BD47" i="6" s="1"/>
  <c r="CD47" i="6" s="1"/>
  <c r="AY38" i="6"/>
  <c r="BD38" i="6" s="1"/>
  <c r="CD38" i="6" s="1"/>
  <c r="AY28" i="6"/>
  <c r="AY44" i="6"/>
  <c r="AY42" i="6"/>
  <c r="AY18" i="6"/>
  <c r="AY26" i="6"/>
  <c r="AY24" i="6"/>
  <c r="AY22" i="6"/>
  <c r="AY39" i="6"/>
  <c r="AY27" i="6"/>
  <c r="AY40" i="6"/>
  <c r="AY20" i="6"/>
  <c r="AY25" i="6"/>
  <c r="AY36" i="6"/>
  <c r="AY17" i="6"/>
  <c r="AY16" i="6"/>
  <c r="AY21" i="6"/>
  <c r="AY19" i="6"/>
  <c r="AY37" i="6"/>
  <c r="AY23" i="6"/>
  <c r="AY41" i="6"/>
  <c r="AY29" i="6"/>
  <c r="AY15" i="6"/>
  <c r="AY43" i="6"/>
  <c r="AY14" i="6"/>
  <c r="AY13" i="6"/>
  <c r="CP18" i="6"/>
  <c r="CW18" i="6" s="1"/>
  <c r="CP14" i="6"/>
  <c r="CW14" i="6" s="1"/>
  <c r="CP22" i="6"/>
  <c r="CW22" i="6" s="1"/>
  <c r="CP16" i="6"/>
  <c r="CW16" i="6" s="1"/>
  <c r="CP26" i="6"/>
  <c r="CW26" i="6" s="1"/>
  <c r="CP15" i="6"/>
  <c r="CW15" i="6" s="1"/>
  <c r="CP21" i="6"/>
  <c r="CW21" i="6" s="1"/>
  <c r="CP12" i="6"/>
  <c r="CP25" i="6"/>
  <c r="CW25" i="6" s="1"/>
  <c r="CP27" i="6"/>
  <c r="CW27" i="6" s="1"/>
  <c r="CP23" i="6"/>
  <c r="CW23" i="6" s="1"/>
  <c r="CP19" i="6"/>
  <c r="CW19" i="6" s="1"/>
  <c r="CP24" i="6"/>
  <c r="CW24" i="6" s="1"/>
  <c r="CP28" i="6"/>
  <c r="CW28" i="6" s="1"/>
  <c r="CP11" i="6"/>
  <c r="CW11" i="6" s="1"/>
  <c r="CP20" i="6"/>
  <c r="CW20" i="6" s="1"/>
  <c r="CP17" i="6"/>
  <c r="CW17" i="6" s="1"/>
  <c r="CP13" i="6"/>
  <c r="CW13" i="6" s="1"/>
  <c r="AX22" i="6"/>
  <c r="AX20" i="6"/>
  <c r="AX19" i="6"/>
  <c r="AX15" i="6"/>
  <c r="AX16" i="6"/>
  <c r="AX25" i="6"/>
  <c r="AX28" i="6"/>
  <c r="AX12" i="6"/>
  <c r="AX13" i="6"/>
  <c r="AX23" i="6"/>
  <c r="AX21" i="6"/>
  <c r="AX24" i="6"/>
  <c r="AX27" i="6"/>
  <c r="AX17" i="6"/>
  <c r="AX18" i="6"/>
  <c r="AX14" i="6"/>
  <c r="AX26" i="6"/>
  <c r="AX11" i="6"/>
  <c r="AP22" i="6"/>
  <c r="AV22" i="6" s="1"/>
  <c r="AD22" i="6" s="1"/>
  <c r="AP19" i="6"/>
  <c r="AV19" i="6" s="1"/>
  <c r="AD19" i="6" s="1"/>
  <c r="AP20" i="6"/>
  <c r="AV20" i="6" s="1"/>
  <c r="AP16" i="6"/>
  <c r="AV16" i="6" s="1"/>
  <c r="AD16" i="6" s="1"/>
  <c r="BI16" i="6" s="1"/>
  <c r="AP13" i="6"/>
  <c r="AV13" i="6" s="1"/>
  <c r="AP17" i="6"/>
  <c r="AV17" i="6" s="1"/>
  <c r="AP14" i="6"/>
  <c r="AV14" i="6" s="1"/>
  <c r="AP15" i="6"/>
  <c r="AV15" i="6" s="1"/>
  <c r="AP21" i="6"/>
  <c r="AV21" i="6" s="1"/>
  <c r="AP24" i="6"/>
  <c r="AV24" i="6" s="1"/>
  <c r="AP18" i="6"/>
  <c r="AV18" i="6" s="1"/>
  <c r="AP27" i="6"/>
  <c r="AV27" i="6" s="1"/>
  <c r="AD27" i="6" s="1"/>
  <c r="BI27" i="6" s="1"/>
  <c r="AP23" i="6"/>
  <c r="AV23" i="6" s="1"/>
  <c r="AP12" i="6"/>
  <c r="AP26" i="6"/>
  <c r="AV26" i="6" s="1"/>
  <c r="AD26" i="6" s="1"/>
  <c r="BI26" i="6" s="1"/>
  <c r="AP28" i="6"/>
  <c r="AV28" i="6" s="1"/>
  <c r="AD28" i="6" s="1"/>
  <c r="E40" i="11529" s="1"/>
  <c r="AP25" i="6"/>
  <c r="AV25" i="6" s="1"/>
  <c r="AP11" i="6"/>
  <c r="W15" i="4"/>
  <c r="BR34" i="5"/>
  <c r="BR32" i="5"/>
  <c r="BR33" i="5"/>
  <c r="BR35" i="5"/>
  <c r="BG19" i="5"/>
  <c r="BQ19" i="5" s="1"/>
  <c r="BS33" i="5"/>
  <c r="BT32" i="5"/>
  <c r="BV33" i="5"/>
  <c r="BS32" i="5"/>
  <c r="BT33" i="5"/>
  <c r="BU33" i="5"/>
  <c r="BV34" i="5"/>
  <c r="BU34" i="5"/>
  <c r="BU32" i="5"/>
  <c r="BV35" i="5"/>
  <c r="BS34" i="5"/>
  <c r="BV32" i="5"/>
  <c r="BU35" i="5"/>
  <c r="BT34" i="5"/>
  <c r="BS35" i="5"/>
  <c r="BT35" i="5"/>
  <c r="CB37" i="5"/>
  <c r="CB32" i="5"/>
  <c r="CB35" i="5"/>
  <c r="CB33" i="5"/>
  <c r="CB34" i="5"/>
  <c r="AL37" i="5"/>
  <c r="BD13" i="5"/>
  <c r="BN13" i="5" s="1"/>
  <c r="BD33" i="5"/>
  <c r="BN33" i="5" s="1"/>
  <c r="BD32" i="5"/>
  <c r="BN32" i="5" s="1"/>
  <c r="BD35" i="5"/>
  <c r="BN35" i="5" s="1"/>
  <c r="BD34" i="5"/>
  <c r="BN34" i="5" s="1"/>
  <c r="BZ12" i="5"/>
  <c r="BF26" i="5"/>
  <c r="BP26" i="5" s="1"/>
  <c r="BF35" i="5"/>
  <c r="BP35" i="5" s="1"/>
  <c r="BF34" i="5"/>
  <c r="BP34" i="5" s="1"/>
  <c r="BF32" i="5"/>
  <c r="BP32" i="5" s="1"/>
  <c r="BF33" i="5"/>
  <c r="BP33" i="5" s="1"/>
  <c r="AM33" i="5"/>
  <c r="V33" i="5" s="1"/>
  <c r="AM32" i="5"/>
  <c r="V32" i="5" s="1"/>
  <c r="AM34" i="5"/>
  <c r="V34" i="5" s="1"/>
  <c r="AM35" i="5"/>
  <c r="V35" i="5" s="1"/>
  <c r="AZ11" i="5"/>
  <c r="BY14" i="5"/>
  <c r="BG16" i="5"/>
  <c r="BQ16" i="5" s="1"/>
  <c r="BG22" i="5"/>
  <c r="BQ22" i="5" s="1"/>
  <c r="BG35" i="5"/>
  <c r="BQ35" i="5" s="1"/>
  <c r="BG32" i="5"/>
  <c r="BQ32" i="5" s="1"/>
  <c r="BG34" i="5"/>
  <c r="BQ34" i="5" s="1"/>
  <c r="BG33" i="5"/>
  <c r="BQ33" i="5" s="1"/>
  <c r="BE15" i="5"/>
  <c r="BO15" i="5" s="1"/>
  <c r="BE35" i="5"/>
  <c r="BO35" i="5" s="1"/>
  <c r="BE34" i="5"/>
  <c r="BO34" i="5" s="1"/>
  <c r="BE32" i="5"/>
  <c r="BO32" i="5" s="1"/>
  <c r="BE33" i="5"/>
  <c r="BO33" i="5" s="1"/>
  <c r="BC31" i="5"/>
  <c r="BM31" i="5" s="1"/>
  <c r="BC34" i="5"/>
  <c r="BM34" i="5" s="1"/>
  <c r="BC33" i="5"/>
  <c r="BM33" i="5" s="1"/>
  <c r="BC35" i="5"/>
  <c r="BM35" i="5" s="1"/>
  <c r="BC32" i="5"/>
  <c r="BM32" i="5" s="1"/>
  <c r="BZ34" i="5"/>
  <c r="BZ33" i="5"/>
  <c r="BZ35" i="5"/>
  <c r="BZ32" i="5"/>
  <c r="BY16" i="5"/>
  <c r="AQ16" i="5"/>
  <c r="R20" i="5"/>
  <c r="BY20" i="5" s="1"/>
  <c r="R18" i="5"/>
  <c r="BZ18" i="5" s="1"/>
  <c r="S20" i="5"/>
  <c r="AT20" i="5" s="1"/>
  <c r="AR20" i="5" s="1"/>
  <c r="AQ14" i="5"/>
  <c r="AJ14" i="5"/>
  <c r="AQ15" i="5"/>
  <c r="AJ15" i="5"/>
  <c r="AO12" i="267"/>
  <c r="AQ19" i="5"/>
  <c r="AJ19" i="5"/>
  <c r="S18" i="5"/>
  <c r="AT18" i="5" s="1"/>
  <c r="BS18" i="5" s="1"/>
  <c r="S17" i="5"/>
  <c r="AT17" i="5" s="1"/>
  <c r="BS17" i="5" s="1"/>
  <c r="R17" i="5"/>
  <c r="AQ17" i="5" s="1"/>
  <c r="AH17" i="5"/>
  <c r="AK17" i="5" s="1"/>
  <c r="BY13" i="5"/>
  <c r="AH13" i="5"/>
  <c r="AK13" i="5" s="1"/>
  <c r="AH18" i="5"/>
  <c r="AK18" i="5" s="1"/>
  <c r="AH14" i="5"/>
  <c r="AK14" i="5" s="1"/>
  <c r="BY19" i="5"/>
  <c r="AH15" i="5"/>
  <c r="AK15" i="5" s="1"/>
  <c r="AH19" i="5"/>
  <c r="AK19" i="5" s="1"/>
  <c r="AH16" i="5"/>
  <c r="AK16" i="5" s="1"/>
  <c r="AQ13" i="5"/>
  <c r="AH20" i="5"/>
  <c r="AK20" i="5" s="1"/>
  <c r="AQ12" i="5"/>
  <c r="AJ12" i="5"/>
  <c r="AH12" i="5"/>
  <c r="AK12" i="5" s="1"/>
  <c r="AO20" i="267"/>
  <c r="AV20" i="267" s="1"/>
  <c r="X15" i="4"/>
  <c r="BY12" i="5"/>
  <c r="AO14" i="267"/>
  <c r="AV14" i="267" s="1"/>
  <c r="AO17" i="267"/>
  <c r="AV17" i="267" s="1"/>
  <c r="AO23" i="267"/>
  <c r="AV23" i="267" s="1"/>
  <c r="AO26" i="267"/>
  <c r="AV26" i="267" s="1"/>
  <c r="AO13" i="267"/>
  <c r="AV13" i="267" s="1"/>
  <c r="AO16" i="267"/>
  <c r="AV16" i="267" s="1"/>
  <c r="AO19" i="267"/>
  <c r="AV19" i="267" s="1"/>
  <c r="AO22" i="267"/>
  <c r="AV22" i="267" s="1"/>
  <c r="AO21" i="267"/>
  <c r="AV21" i="267" s="1"/>
  <c r="AO18" i="267"/>
  <c r="AV18" i="267" s="1"/>
  <c r="AO25" i="267"/>
  <c r="AV25" i="267" s="1"/>
  <c r="AO15" i="267"/>
  <c r="AV15" i="267" s="1"/>
  <c r="AO24" i="267"/>
  <c r="AV24" i="267" s="1"/>
  <c r="AO11" i="267"/>
  <c r="CL28" i="6"/>
  <c r="CM28" i="6"/>
  <c r="CL23" i="6"/>
  <c r="CM41" i="6"/>
  <c r="CM16" i="6"/>
  <c r="CL29" i="6"/>
  <c r="CL42" i="6"/>
  <c r="CM42" i="6"/>
  <c r="CL17" i="6"/>
  <c r="CL35" i="6"/>
  <c r="CL16" i="6"/>
  <c r="CL14" i="6"/>
  <c r="CL48" i="6"/>
  <c r="CL33" i="6"/>
  <c r="CL40" i="6"/>
  <c r="CL46" i="6"/>
  <c r="CL44" i="6"/>
  <c r="CL43" i="6"/>
  <c r="CL39" i="6"/>
  <c r="CL13" i="6"/>
  <c r="CM29" i="6"/>
  <c r="CL37" i="6"/>
  <c r="CL21" i="6"/>
  <c r="CL26" i="6"/>
  <c r="CL41" i="6"/>
  <c r="CL32" i="6"/>
  <c r="CL31" i="6"/>
  <c r="CM36" i="6"/>
  <c r="CL20" i="6"/>
  <c r="CM25" i="6"/>
  <c r="CL47" i="6"/>
  <c r="CL24" i="6"/>
  <c r="CL22" i="6"/>
  <c r="CL25" i="6"/>
  <c r="CM39" i="6"/>
  <c r="CM12" i="6"/>
  <c r="CM17" i="6"/>
  <c r="CL27" i="6"/>
  <c r="CM13" i="6"/>
  <c r="CL12" i="6"/>
  <c r="CL34" i="6"/>
  <c r="CM38" i="6"/>
  <c r="CL15" i="6"/>
  <c r="CL45" i="6"/>
  <c r="CL18" i="6"/>
  <c r="CL36" i="6"/>
  <c r="CM37" i="6"/>
  <c r="CL30" i="6"/>
  <c r="CL19" i="6"/>
  <c r="CL38" i="6"/>
  <c r="CM48" i="6"/>
  <c r="CM30" i="6"/>
  <c r="CM14" i="6"/>
  <c r="CM35" i="6"/>
  <c r="CM31" i="6"/>
  <c r="CM27" i="6"/>
  <c r="CM44" i="6"/>
  <c r="CM21" i="6"/>
  <c r="CM32" i="6"/>
  <c r="CM24" i="6"/>
  <c r="CM20" i="6"/>
  <c r="CM40" i="6"/>
  <c r="CM19" i="6"/>
  <c r="CM47" i="6"/>
  <c r="CM45" i="6"/>
  <c r="CM15" i="6"/>
  <c r="CM22" i="6"/>
  <c r="CM43" i="6"/>
  <c r="CM23" i="6"/>
  <c r="CM33" i="6"/>
  <c r="CM34" i="6"/>
  <c r="CM26" i="6"/>
  <c r="CM46" i="6"/>
  <c r="CM18" i="6"/>
  <c r="J5" i="11533"/>
  <c r="J5" i="11532"/>
  <c r="B5" i="11530"/>
  <c r="B5" i="11532"/>
  <c r="B5" i="11533"/>
  <c r="O4" i="11530"/>
  <c r="O4" i="11532"/>
  <c r="O4" i="11533"/>
  <c r="J4" i="11530"/>
  <c r="J4" i="11532"/>
  <c r="J4" i="11533"/>
  <c r="O5" i="11533"/>
  <c r="O5" i="11532"/>
  <c r="B4" i="11530"/>
  <c r="B4" i="11533"/>
  <c r="B4" i="11532"/>
  <c r="O6" i="11533"/>
  <c r="O6" i="11532"/>
  <c r="B3" i="7"/>
  <c r="B3" i="11532"/>
  <c r="B3" i="11533"/>
  <c r="O7" i="11531"/>
  <c r="O7" i="11532"/>
  <c r="O7" i="11533"/>
  <c r="J6" i="11533"/>
  <c r="J6" i="11532"/>
  <c r="J7" i="8"/>
  <c r="J7" i="11533"/>
  <c r="J7" i="11532"/>
  <c r="AY36" i="267"/>
  <c r="BE36" i="267" s="1"/>
  <c r="BF33" i="267"/>
  <c r="AY26" i="267"/>
  <c r="BE26" i="267" s="1"/>
  <c r="BF39" i="267"/>
  <c r="BO41" i="267"/>
  <c r="BG37" i="267"/>
  <c r="BM34" i="267"/>
  <c r="BM38" i="267"/>
  <c r="BF35" i="267"/>
  <c r="BF37" i="267"/>
  <c r="BE11" i="267"/>
  <c r="X93" i="267"/>
  <c r="BE30" i="267"/>
  <c r="BE27" i="267"/>
  <c r="BE32" i="267"/>
  <c r="BE31" i="267"/>
  <c r="BM16" i="267"/>
  <c r="BF21" i="267"/>
  <c r="BG15" i="267"/>
  <c r="BF15" i="267"/>
  <c r="AY20" i="267"/>
  <c r="BE20" i="267" s="1"/>
  <c r="BG23" i="267"/>
  <c r="AY16" i="267"/>
  <c r="BE16" i="267" s="1"/>
  <c r="BF23" i="267"/>
  <c r="BM17" i="267"/>
  <c r="AW19" i="267"/>
  <c r="AY24" i="267"/>
  <c r="BE24" i="267" s="1"/>
  <c r="CQ12" i="6"/>
  <c r="AQ12" i="6"/>
  <c r="AY12" i="6"/>
  <c r="CK17" i="6"/>
  <c r="CK29" i="6"/>
  <c r="CK42" i="6"/>
  <c r="CK31" i="6"/>
  <c r="CK41" i="6"/>
  <c r="CK27" i="6"/>
  <c r="CK37" i="6"/>
  <c r="CK28" i="6"/>
  <c r="CK43" i="6"/>
  <c r="CK18" i="6"/>
  <c r="CK15" i="6"/>
  <c r="CK25" i="6"/>
  <c r="CK39" i="6"/>
  <c r="CK38" i="6"/>
  <c r="CK13" i="6"/>
  <c r="CK40" i="6"/>
  <c r="CK30" i="6"/>
  <c r="CK16" i="6"/>
  <c r="CK19" i="6"/>
  <c r="CK36" i="6"/>
  <c r="CK21" i="6"/>
  <c r="CK12" i="6"/>
  <c r="CK23" i="6"/>
  <c r="CK20" i="6"/>
  <c r="CK14" i="6"/>
  <c r="CK24" i="6"/>
  <c r="CK33" i="6"/>
  <c r="CK47" i="6"/>
  <c r="CK32" i="6"/>
  <c r="CK45" i="6"/>
  <c r="CK34" i="6"/>
  <c r="CK26" i="6"/>
  <c r="CK46" i="6"/>
  <c r="CK44" i="6"/>
  <c r="CK35" i="6"/>
  <c r="CK22" i="6"/>
  <c r="CK48" i="6"/>
  <c r="CW41" i="6"/>
  <c r="CW37" i="6"/>
  <c r="CW36" i="6"/>
  <c r="CW44" i="6"/>
  <c r="CW40" i="6"/>
  <c r="CW39" i="6"/>
  <c r="CW43" i="6"/>
  <c r="CW42" i="6"/>
  <c r="CW38" i="6"/>
  <c r="CW30" i="6"/>
  <c r="BN11" i="6"/>
  <c r="BN49" i="6" s="1"/>
  <c r="CM11" i="6"/>
  <c r="BP11" i="6"/>
  <c r="BA16" i="8"/>
  <c r="S12" i="8"/>
  <c r="E31" i="3"/>
  <c r="AQ11" i="267"/>
  <c r="AP15" i="8"/>
  <c r="AW29" i="8"/>
  <c r="O69" i="11528"/>
  <c r="G150" i="11528" s="1"/>
  <c r="G147" i="11528"/>
  <c r="O67" i="11528"/>
  <c r="G148" i="11528" s="1"/>
  <c r="AY10" i="2826"/>
  <c r="AW8" i="2826" s="1"/>
  <c r="AM11" i="2826"/>
  <c r="AM27" i="2826" s="1"/>
  <c r="N38" i="2826" s="1"/>
  <c r="AN24" i="2826"/>
  <c r="AN16" i="2826"/>
  <c r="AN23" i="2826"/>
  <c r="AN20" i="2826"/>
  <c r="AN19" i="2826"/>
  <c r="AN18" i="2826"/>
  <c r="AN17" i="2826"/>
  <c r="AN26" i="2826"/>
  <c r="Y73" i="2826"/>
  <c r="AN21" i="2826"/>
  <c r="AN22" i="2826"/>
  <c r="AH27" i="2826"/>
  <c r="O16" i="11524"/>
  <c r="W50" i="3"/>
  <c r="W53" i="3"/>
  <c r="AD33" i="11524"/>
  <c r="AD27" i="11524"/>
  <c r="E52" i="3"/>
  <c r="G51" i="11531"/>
  <c r="BE25" i="11530"/>
  <c r="BO30" i="11530"/>
  <c r="BE24" i="11530"/>
  <c r="BO20" i="11530"/>
  <c r="BM34" i="11530"/>
  <c r="BM27" i="11530"/>
  <c r="AF84" i="11530"/>
  <c r="Q47" i="3" s="1"/>
  <c r="BO27" i="11530"/>
  <c r="M22" i="3"/>
  <c r="X164" i="8080"/>
  <c r="W64" i="11"/>
  <c r="N22" i="3"/>
  <c r="AP34" i="7"/>
  <c r="AP33" i="7"/>
  <c r="BA37" i="7"/>
  <c r="AP15" i="7"/>
  <c r="AL27" i="7"/>
  <c r="AP38" i="7"/>
  <c r="BA34" i="7"/>
  <c r="AL39" i="7"/>
  <c r="V39" i="7" s="1"/>
  <c r="BA22" i="7"/>
  <c r="BA40" i="7"/>
  <c r="AP31" i="7"/>
  <c r="AL23" i="7"/>
  <c r="S24" i="3"/>
  <c r="T90" i="7"/>
  <c r="G51" i="11528" s="1"/>
  <c r="BA16" i="7"/>
  <c r="BA28" i="7"/>
  <c r="AL34" i="7"/>
  <c r="BA31" i="7"/>
  <c r="AR41" i="7"/>
  <c r="BA39" i="7"/>
  <c r="AP13" i="7"/>
  <c r="BA30" i="7"/>
  <c r="BH33" i="7"/>
  <c r="BA21" i="7"/>
  <c r="AL14" i="7"/>
  <c r="AP12" i="7"/>
  <c r="AL13" i="7"/>
  <c r="AP39" i="7"/>
  <c r="AP30" i="7"/>
  <c r="AP21" i="7"/>
  <c r="AL37" i="7"/>
  <c r="V37" i="7" s="1"/>
  <c r="AL20" i="7"/>
  <c r="BA33" i="7"/>
  <c r="AL28" i="7"/>
  <c r="BL41" i="7"/>
  <c r="AP18" i="7"/>
  <c r="AL29" i="7"/>
  <c r="AP36" i="7"/>
  <c r="AL36" i="7"/>
  <c r="AL19" i="7"/>
  <c r="U39" i="7"/>
  <c r="BD41" i="7"/>
  <c r="BA12" i="7"/>
  <c r="BH35" i="7"/>
  <c r="AP37" i="7"/>
  <c r="AL38" i="7"/>
  <c r="BA32" i="7"/>
  <c r="AL25" i="7"/>
  <c r="T87" i="2096"/>
  <c r="C56" i="11528" s="1"/>
  <c r="X68" i="2096"/>
  <c r="BD34" i="2096"/>
  <c r="BD18" i="2096"/>
  <c r="BD15" i="2096"/>
  <c r="Q28" i="3"/>
  <c r="BD33" i="2096"/>
  <c r="O80" i="2096"/>
  <c r="X70" i="2096"/>
  <c r="X87" i="2096"/>
  <c r="G151" i="11528"/>
  <c r="AU30" i="2096"/>
  <c r="AU20" i="2096"/>
  <c r="T52" i="2096"/>
  <c r="C34" i="11528" s="1"/>
  <c r="BD35" i="2096"/>
  <c r="BD14" i="2096"/>
  <c r="AU31" i="2096"/>
  <c r="BD29" i="2096"/>
  <c r="BD19" i="2096"/>
  <c r="AU27" i="2096"/>
  <c r="W28" i="3"/>
  <c r="X163" i="8080"/>
  <c r="AQ107" i="8080"/>
  <c r="AQ95" i="8080"/>
  <c r="AQ93" i="8080"/>
  <c r="AQ97" i="8080"/>
  <c r="AV120" i="8080"/>
  <c r="AQ60" i="8080"/>
  <c r="AQ51" i="8080"/>
  <c r="AQ34" i="8080"/>
  <c r="E165" i="8080"/>
  <c r="O165" i="8080" s="1"/>
  <c r="AQ88" i="8080"/>
  <c r="AQ81" i="8080"/>
  <c r="AQ58" i="8080"/>
  <c r="X153" i="8080"/>
  <c r="AQ38" i="8080"/>
  <c r="X152" i="8080"/>
  <c r="E163" i="8080"/>
  <c r="O163" i="8080" s="1"/>
  <c r="AQ118" i="8080"/>
  <c r="AQ85" i="8080"/>
  <c r="AQ75" i="8080"/>
  <c r="AQ42" i="8080"/>
  <c r="AQ96" i="8080"/>
  <c r="E161" i="8080"/>
  <c r="AQ26" i="8080"/>
  <c r="AQ46" i="8080"/>
  <c r="AQ110" i="8080"/>
  <c r="AQ56" i="8080"/>
  <c r="AQ112" i="8080"/>
  <c r="AQ77" i="8080"/>
  <c r="AQ101" i="8080"/>
  <c r="X171" i="8080"/>
  <c r="AQ59" i="8080"/>
  <c r="AU120" i="8080"/>
  <c r="T135" i="8080" s="1"/>
  <c r="X135" i="8080" s="1"/>
  <c r="AQ18" i="8080"/>
  <c r="AQ82" i="8080"/>
  <c r="AQ39" i="8080"/>
  <c r="AQ70" i="8080"/>
  <c r="AQ48" i="8080"/>
  <c r="AQ44" i="8080"/>
  <c r="AQ35" i="8080"/>
  <c r="AQ55" i="8080"/>
  <c r="AQ102" i="8080"/>
  <c r="AQ40" i="8080"/>
  <c r="AQ31" i="8080"/>
  <c r="AQ15" i="8080"/>
  <c r="AQ30" i="8080"/>
  <c r="AQ86" i="8080"/>
  <c r="AJ120" i="8080"/>
  <c r="G168" i="8080" s="1"/>
  <c r="O168" i="8080" s="1"/>
  <c r="AH151" i="8080" s="1"/>
  <c r="AQ103" i="8080"/>
  <c r="AQ115" i="8080"/>
  <c r="AQ67" i="8080"/>
  <c r="AQ32" i="8080"/>
  <c r="AQ47" i="8080"/>
  <c r="L154" i="8080"/>
  <c r="AQ20" i="8080"/>
  <c r="AQ24" i="8080"/>
  <c r="AQ61" i="8080"/>
  <c r="AQ53" i="8080"/>
  <c r="X154" i="8080"/>
  <c r="AQ117" i="8080"/>
  <c r="AQ105" i="8080"/>
  <c r="AQ76" i="8080"/>
  <c r="AQ73" i="8080"/>
  <c r="AQ109" i="8080"/>
  <c r="AQ92" i="8080"/>
  <c r="AQ69" i="8080"/>
  <c r="AQ50" i="8080"/>
  <c r="AQ68" i="8080"/>
  <c r="AH141" i="8080"/>
  <c r="P34" i="3" s="1"/>
  <c r="AQ65" i="8080"/>
  <c r="AQ89" i="8080"/>
  <c r="AU14" i="11531"/>
  <c r="AU16" i="11531"/>
  <c r="AU18" i="11531"/>
  <c r="AU20" i="11531"/>
  <c r="BD28" i="11531"/>
  <c r="H21" i="3"/>
  <c r="BD24" i="11531"/>
  <c r="BD26" i="11531"/>
  <c r="X69" i="11531"/>
  <c r="BD16" i="11531"/>
  <c r="BD18" i="11531"/>
  <c r="BD20" i="11531"/>
  <c r="BD22" i="11531"/>
  <c r="BD36" i="11531"/>
  <c r="BD32" i="11531"/>
  <c r="BD13" i="11531"/>
  <c r="BD15" i="11531"/>
  <c r="BE37" i="11531"/>
  <c r="BD17" i="11531"/>
  <c r="BD19" i="11531"/>
  <c r="X83" i="11531"/>
  <c r="BD30" i="11531"/>
  <c r="BD34" i="11531"/>
  <c r="BD21" i="11531"/>
  <c r="BD23" i="11531"/>
  <c r="BD31" i="11531"/>
  <c r="BD25" i="11531"/>
  <c r="BD27" i="11531"/>
  <c r="AU26" i="11531"/>
  <c r="BD33" i="11531"/>
  <c r="BD35" i="11531"/>
  <c r="BD29" i="11531"/>
  <c r="BD12" i="11531"/>
  <c r="BD14" i="11531"/>
  <c r="AU12" i="11531"/>
  <c r="AU36" i="11531"/>
  <c r="AU27" i="11531"/>
  <c r="AU22" i="11531"/>
  <c r="AU24" i="11531"/>
  <c r="AU28" i="11531"/>
  <c r="AU35" i="11531"/>
  <c r="AW37" i="11531"/>
  <c r="L60" i="11531" s="1"/>
  <c r="O60" i="11531" s="1"/>
  <c r="AF81" i="11531" s="1"/>
  <c r="AX37" i="11531"/>
  <c r="I63" i="11531" s="1"/>
  <c r="C21" i="3" s="1"/>
  <c r="AY37" i="11531"/>
  <c r="I62" i="11531" s="1"/>
  <c r="O62" i="11531" s="1"/>
  <c r="AU15" i="11531"/>
  <c r="AU32" i="11531"/>
  <c r="BF11" i="11531"/>
  <c r="BF37" i="11531" s="1"/>
  <c r="AU34" i="11531"/>
  <c r="AU24" i="9"/>
  <c r="BD36" i="9"/>
  <c r="O79" i="9"/>
  <c r="AU29" i="9"/>
  <c r="AU35" i="9"/>
  <c r="X67" i="9"/>
  <c r="AU32" i="9"/>
  <c r="X68" i="9"/>
  <c r="AU18" i="9"/>
  <c r="AU26" i="9"/>
  <c r="BB19" i="9"/>
  <c r="O78" i="9"/>
  <c r="AU31" i="9"/>
  <c r="O76" i="9"/>
  <c r="AU28" i="9"/>
  <c r="AU23" i="9"/>
  <c r="AU21" i="9"/>
  <c r="X73" i="9"/>
  <c r="AU19" i="9"/>
  <c r="AU17" i="9"/>
  <c r="AU21" i="11530"/>
  <c r="AW25" i="11530"/>
  <c r="BF29" i="11530"/>
  <c r="AY26" i="11530"/>
  <c r="BE26" i="11530" s="1"/>
  <c r="AU32" i="11530"/>
  <c r="BE35" i="11530"/>
  <c r="BF23" i="11530"/>
  <c r="BF22" i="11530"/>
  <c r="BG26" i="11530"/>
  <c r="BF30" i="11530"/>
  <c r="E81" i="11530"/>
  <c r="O81" i="11530" s="1"/>
  <c r="BE16" i="11530"/>
  <c r="BG28" i="11530"/>
  <c r="BE13" i="11530"/>
  <c r="BM33" i="11530"/>
  <c r="BF24" i="11530"/>
  <c r="AY34" i="11530"/>
  <c r="BE34" i="11530" s="1"/>
  <c r="BE33" i="11530"/>
  <c r="BG24" i="11530"/>
  <c r="X87" i="11530"/>
  <c r="BG21" i="11530"/>
  <c r="BE31" i="11530"/>
  <c r="AU25" i="11530"/>
  <c r="AF94" i="11530"/>
  <c r="BE30" i="11530"/>
  <c r="BM20" i="11530"/>
  <c r="AU30" i="11530"/>
  <c r="BE28" i="11530"/>
  <c r="AY23" i="11530"/>
  <c r="BE23" i="11530" s="1"/>
  <c r="BE27" i="11530"/>
  <c r="CB38" i="5"/>
  <c r="BO38" i="5"/>
  <c r="BG18" i="5"/>
  <c r="BQ18" i="5" s="1"/>
  <c r="AR37" i="5"/>
  <c r="CB28" i="5"/>
  <c r="BZ14" i="5"/>
  <c r="Q19" i="3"/>
  <c r="CB29" i="5"/>
  <c r="CB21" i="5"/>
  <c r="AW39" i="5"/>
  <c r="S19" i="3"/>
  <c r="C19" i="3"/>
  <c r="AU8" i="5"/>
  <c r="BC21" i="5"/>
  <c r="BM21" i="5" s="1"/>
  <c r="BD19" i="5"/>
  <c r="BN19" i="5" s="1"/>
  <c r="AL36" i="5"/>
  <c r="BD20" i="5"/>
  <c r="BN20" i="5" s="1"/>
  <c r="AM21" i="5"/>
  <c r="CB25" i="5"/>
  <c r="BZ16" i="5"/>
  <c r="AT7" i="5"/>
  <c r="BZ13" i="5"/>
  <c r="O72" i="5"/>
  <c r="BZ37" i="5"/>
  <c r="BD30" i="5"/>
  <c r="BN30" i="5" s="1"/>
  <c r="BZ38" i="5"/>
  <c r="CC36" i="5"/>
  <c r="V15" i="4"/>
  <c r="BK17" i="2826"/>
  <c r="O78" i="11531"/>
  <c r="X145" i="8080"/>
  <c r="AP27" i="8"/>
  <c r="AP23" i="8"/>
  <c r="BM29" i="8"/>
  <c r="G76" i="8" s="1"/>
  <c r="O76" i="8" s="1"/>
  <c r="AE114" i="8" s="1"/>
  <c r="O98" i="3" s="1"/>
  <c r="AP18" i="8"/>
  <c r="AP26" i="8"/>
  <c r="F68" i="2826"/>
  <c r="Q68" i="2826" s="1"/>
  <c r="U72" i="2826"/>
  <c r="Y72" i="2826" s="1"/>
  <c r="AD73" i="2826" s="1"/>
  <c r="M42" i="3" s="1"/>
  <c r="AW28" i="2826"/>
  <c r="U38" i="2826"/>
  <c r="C138" i="11528" s="1"/>
  <c r="AY20" i="2826"/>
  <c r="AR12" i="267"/>
  <c r="AW13" i="267"/>
  <c r="AF100" i="267"/>
  <c r="AV42" i="267"/>
  <c r="AW17" i="267"/>
  <c r="AY40" i="267"/>
  <c r="BE40" i="267" s="1"/>
  <c r="BG33" i="267"/>
  <c r="AY38" i="267"/>
  <c r="BE38" i="267" s="1"/>
  <c r="AY34" i="267"/>
  <c r="BE34" i="267" s="1"/>
  <c r="BE37" i="267"/>
  <c r="BO35" i="267"/>
  <c r="H43" i="3"/>
  <c r="AY18" i="267"/>
  <c r="BE18" i="267" s="1"/>
  <c r="AW39" i="267"/>
  <c r="BE41" i="267"/>
  <c r="BM42" i="267"/>
  <c r="BO33" i="267"/>
  <c r="BE17" i="267"/>
  <c r="AY22" i="267"/>
  <c r="BE22" i="267" s="1"/>
  <c r="BO39" i="267"/>
  <c r="BM19" i="267"/>
  <c r="BE23" i="267"/>
  <c r="AW41" i="267"/>
  <c r="BM24" i="267"/>
  <c r="BM25" i="267"/>
  <c r="AW35" i="267"/>
  <c r="BG25" i="267"/>
  <c r="E87" i="267"/>
  <c r="O87" i="267" s="1"/>
  <c r="BG21" i="267"/>
  <c r="BO37" i="267"/>
  <c r="BM22" i="267"/>
  <c r="AY11" i="6"/>
  <c r="AC48" i="6"/>
  <c r="BS11" i="6"/>
  <c r="BR11" i="6"/>
  <c r="CB11" i="6" s="1"/>
  <c r="AW11" i="6"/>
  <c r="W48" i="11"/>
  <c r="O54" i="2096"/>
  <c r="BT27" i="5"/>
  <c r="N46" i="12"/>
  <c r="AD68" i="12" s="1"/>
  <c r="BT16" i="7"/>
  <c r="AW12" i="11"/>
  <c r="BH17" i="11"/>
  <c r="BK25" i="2826"/>
  <c r="AY87" i="8080"/>
  <c r="U32" i="3"/>
  <c r="O70" i="5"/>
  <c r="O69" i="5"/>
  <c r="CC32" i="5" s="1"/>
  <c r="W44" i="11"/>
  <c r="B3" i="267"/>
  <c r="BT29" i="5"/>
  <c r="W39" i="11"/>
  <c r="A2" i="2826"/>
  <c r="A2" i="11524"/>
  <c r="BT21" i="5"/>
  <c r="AW25" i="12"/>
  <c r="BH21" i="11"/>
  <c r="BT30" i="5"/>
  <c r="BH18" i="7"/>
  <c r="N63" i="11"/>
  <c r="BT31" i="5"/>
  <c r="A2" i="12"/>
  <c r="X86" i="11531"/>
  <c r="T96" i="267"/>
  <c r="G83" i="11528" s="1"/>
  <c r="Y15" i="4"/>
  <c r="U15" i="4"/>
  <c r="T15" i="4"/>
  <c r="AD42" i="6"/>
  <c r="AD41" i="6"/>
  <c r="AD37" i="6"/>
  <c r="AF48" i="6"/>
  <c r="AH48" i="6" s="1"/>
  <c r="AD40" i="6"/>
  <c r="AD39" i="6"/>
  <c r="AD36" i="6"/>
  <c r="BB11" i="6"/>
  <c r="AD38" i="6"/>
  <c r="BA11" i="6"/>
  <c r="AQ11" i="6"/>
  <c r="AZ11" i="6"/>
  <c r="AD48" i="6"/>
  <c r="AG48" i="6" s="1"/>
  <c r="AF111" i="6"/>
  <c r="AD44" i="6"/>
  <c r="AD43" i="6"/>
  <c r="AS27" i="2826"/>
  <c r="U52" i="2826" s="1"/>
  <c r="Y52" i="2826" s="1"/>
  <c r="AY17" i="2826"/>
  <c r="AY13" i="2826"/>
  <c r="AY22" i="2826"/>
  <c r="AI28" i="8"/>
  <c r="AP16" i="8"/>
  <c r="BC16" i="8"/>
  <c r="E50" i="3"/>
  <c r="W17" i="4"/>
  <c r="L46" i="8"/>
  <c r="O46" i="8" s="1"/>
  <c r="C37" i="3"/>
  <c r="S38" i="3" s="1"/>
  <c r="AP14" i="8"/>
  <c r="AN28" i="8"/>
  <c r="BA14" i="8"/>
  <c r="AK28" i="8"/>
  <c r="L40" i="8" s="1"/>
  <c r="O40" i="8" s="1"/>
  <c r="AR28" i="8"/>
  <c r="BF12" i="8"/>
  <c r="BF29" i="8" s="1"/>
  <c r="AS28" i="8"/>
  <c r="BG29" i="8"/>
  <c r="AE85" i="8"/>
  <c r="BG25" i="5"/>
  <c r="BQ25" i="5" s="1"/>
  <c r="BG28" i="5"/>
  <c r="BQ28" i="5" s="1"/>
  <c r="AW23" i="11"/>
  <c r="BD28" i="5"/>
  <c r="BN28" i="5" s="1"/>
  <c r="BB29" i="2096"/>
  <c r="BG24" i="5"/>
  <c r="BQ24" i="5" s="1"/>
  <c r="BG37" i="5"/>
  <c r="BQ37" i="5" s="1"/>
  <c r="BE29" i="5"/>
  <c r="BO29" i="5" s="1"/>
  <c r="BG27" i="5"/>
  <c r="BQ27" i="5" s="1"/>
  <c r="AY42" i="8080"/>
  <c r="BH16" i="7"/>
  <c r="AM28" i="5"/>
  <c r="AY70" i="8080"/>
  <c r="BG36" i="5"/>
  <c r="BQ36" i="5" s="1"/>
  <c r="AY79" i="8080"/>
  <c r="AY99" i="8080"/>
  <c r="AW21" i="11"/>
  <c r="AW20" i="12"/>
  <c r="BU25" i="7"/>
  <c r="BG14" i="5"/>
  <c r="BQ14" i="5" s="1"/>
  <c r="O56" i="2096"/>
  <c r="AF68" i="2096" s="1"/>
  <c r="BU36" i="7"/>
  <c r="AY83" i="8080"/>
  <c r="J2" i="4"/>
  <c r="BU37" i="7"/>
  <c r="F22" i="3"/>
  <c r="U22" i="3"/>
  <c r="B3" i="11530"/>
  <c r="AY97" i="8080"/>
  <c r="BU29" i="7"/>
  <c r="Y40" i="2826"/>
  <c r="AY34" i="8080"/>
  <c r="B3" i="5"/>
  <c r="V29" i="3"/>
  <c r="Q66" i="2826"/>
  <c r="BI10" i="2826" s="1"/>
  <c r="BI28" i="2826" s="1"/>
  <c r="BU14" i="7"/>
  <c r="AU26" i="2826"/>
  <c r="BK14" i="2826"/>
  <c r="BE11" i="2826"/>
  <c r="B4" i="11531"/>
  <c r="AY91" i="8080"/>
  <c r="BU24" i="7"/>
  <c r="BT24" i="5"/>
  <c r="O64" i="7"/>
  <c r="G31" i="3"/>
  <c r="AW15" i="11"/>
  <c r="J4" i="11531"/>
  <c r="BU19" i="7"/>
  <c r="F31" i="3"/>
  <c r="AY95" i="8080"/>
  <c r="B3" i="11531"/>
  <c r="J31" i="3"/>
  <c r="BT12" i="5"/>
  <c r="BU20" i="7"/>
  <c r="BU31" i="7"/>
  <c r="AU21" i="2826"/>
  <c r="X63" i="2096"/>
  <c r="Y39" i="2826"/>
  <c r="AW25" i="11"/>
  <c r="BH13" i="11"/>
  <c r="AY37" i="8080"/>
  <c r="Y49" i="2826"/>
  <c r="BE16" i="2826"/>
  <c r="W38" i="11"/>
  <c r="BH15" i="11"/>
  <c r="BH32" i="7"/>
  <c r="N62" i="11"/>
  <c r="N46" i="11"/>
  <c r="AD69" i="11" s="1"/>
  <c r="BB33" i="2096"/>
  <c r="AY103" i="8080"/>
  <c r="AY93" i="8080"/>
  <c r="BH34" i="7"/>
  <c r="BU11" i="7"/>
  <c r="W51" i="8"/>
  <c r="W42" i="8"/>
  <c r="BH39" i="7"/>
  <c r="BU18" i="7"/>
  <c r="W41" i="11"/>
  <c r="AW26" i="11"/>
  <c r="BH20" i="11"/>
  <c r="BU16" i="7"/>
  <c r="V78" i="11"/>
  <c r="N65" i="11"/>
  <c r="BH26" i="11"/>
  <c r="BH18" i="11"/>
  <c r="AY56" i="8080"/>
  <c r="N39" i="11"/>
  <c r="W50" i="11"/>
  <c r="AY105" i="8080"/>
  <c r="AY113" i="8080"/>
  <c r="BU27" i="7"/>
  <c r="N38" i="11"/>
  <c r="W85" i="5"/>
  <c r="BS36" i="5"/>
  <c r="BH23" i="12"/>
  <c r="W40" i="11"/>
  <c r="BU32" i="7"/>
  <c r="AW17" i="11"/>
  <c r="W52" i="8"/>
  <c r="AY107" i="8080"/>
  <c r="AU23" i="2826"/>
  <c r="BF26" i="11"/>
  <c r="BU34" i="7"/>
  <c r="BH24" i="11"/>
  <c r="AY109" i="8080"/>
  <c r="AY117" i="8080"/>
  <c r="BH12" i="7"/>
  <c r="AU13" i="2826"/>
  <c r="X144" i="8080"/>
  <c r="AY101" i="8080"/>
  <c r="BH22" i="11"/>
  <c r="AW13" i="11"/>
  <c r="BH24" i="7"/>
  <c r="BH26" i="7"/>
  <c r="AU18" i="2826"/>
  <c r="N65" i="12"/>
  <c r="BE14" i="2826"/>
  <c r="BK11" i="2826"/>
  <c r="AW19" i="11"/>
  <c r="S45" i="12"/>
  <c r="AR21" i="12"/>
  <c r="AR17" i="12"/>
  <c r="AR15" i="12"/>
  <c r="AJ27" i="12"/>
  <c r="AM27" i="12"/>
  <c r="P26" i="3"/>
  <c r="S64" i="12"/>
  <c r="G131" i="11528" s="1"/>
  <c r="H50" i="12"/>
  <c r="BC14" i="12" s="1"/>
  <c r="F70" i="12"/>
  <c r="N70" i="12" s="1"/>
  <c r="AD91" i="12" s="1"/>
  <c r="AX28" i="12"/>
  <c r="AL27" i="12"/>
  <c r="K40" i="12" s="1"/>
  <c r="AY19" i="11530"/>
  <c r="BE19" i="11530" s="1"/>
  <c r="AY17" i="11530"/>
  <c r="BE17" i="11530" s="1"/>
  <c r="BG16" i="11530"/>
  <c r="BF17" i="11530"/>
  <c r="BG17" i="11530"/>
  <c r="BG19" i="11530"/>
  <c r="BG18" i="11530"/>
  <c r="BE28" i="11"/>
  <c r="AV28" i="11530"/>
  <c r="AU35" i="11530"/>
  <c r="AU18" i="11530"/>
  <c r="AU26" i="11530"/>
  <c r="AU22" i="11530"/>
  <c r="AU15" i="11530"/>
  <c r="AU29" i="11530"/>
  <c r="AU33" i="11530"/>
  <c r="AV31" i="11530"/>
  <c r="AU36" i="11530"/>
  <c r="AU34" i="11530"/>
  <c r="AU31" i="11530"/>
  <c r="AV34" i="11530"/>
  <c r="AU19" i="11530"/>
  <c r="AO12" i="11530"/>
  <c r="AV12" i="11530" s="1"/>
  <c r="AU28" i="11530"/>
  <c r="BC12" i="11530"/>
  <c r="AW12" i="11530"/>
  <c r="V43" i="267"/>
  <c r="L60" i="267" s="1"/>
  <c r="AU11" i="11531"/>
  <c r="AP37" i="11531"/>
  <c r="L50" i="11531" s="1"/>
  <c r="O50" i="11531" s="1"/>
  <c r="AQ37" i="11531"/>
  <c r="L51" i="11531" s="1"/>
  <c r="AR37" i="11531"/>
  <c r="M72" i="11531"/>
  <c r="AS37" i="11531"/>
  <c r="AT37" i="11531"/>
  <c r="AF84" i="11531"/>
  <c r="P21" i="3" s="1"/>
  <c r="X37" i="11531"/>
  <c r="BG15" i="11530"/>
  <c r="AV32" i="11530"/>
  <c r="AV29" i="11530"/>
  <c r="AW22" i="11530"/>
  <c r="AW34" i="11530"/>
  <c r="AW20" i="11530"/>
  <c r="AV25" i="11530"/>
  <c r="AV21" i="11530"/>
  <c r="BG29" i="11530"/>
  <c r="BG30" i="11530"/>
  <c r="BG32" i="11530"/>
  <c r="BG27" i="11530"/>
  <c r="BG35" i="11530"/>
  <c r="AW33" i="11530"/>
  <c r="AW31" i="11530"/>
  <c r="BO31" i="11530"/>
  <c r="BO33" i="11530"/>
  <c r="AY36" i="11530"/>
  <c r="BE36" i="11530" s="1"/>
  <c r="AW13" i="11530"/>
  <c r="AW14" i="11530"/>
  <c r="AO100" i="6"/>
  <c r="BL11" i="6"/>
  <c r="AC47" i="6"/>
  <c r="BT11" i="6"/>
  <c r="BE11" i="6"/>
  <c r="AC45" i="6"/>
  <c r="AC46" i="6"/>
  <c r="AB74" i="6"/>
  <c r="G10" i="11528" s="1"/>
  <c r="O60" i="11528" s="1"/>
  <c r="G140" i="11528" s="1"/>
  <c r="AF84" i="6"/>
  <c r="O102" i="6"/>
  <c r="BK11" i="6"/>
  <c r="AF47" i="6"/>
  <c r="AH47" i="6" s="1"/>
  <c r="AF46" i="6"/>
  <c r="AH46" i="6" s="1"/>
  <c r="AF45" i="6"/>
  <c r="AH45" i="6" s="1"/>
  <c r="F49" i="3"/>
  <c r="J7" i="11531"/>
  <c r="X52" i="9"/>
  <c r="BC25" i="11530"/>
  <c r="BS15" i="5"/>
  <c r="BB28" i="9"/>
  <c r="O162" i="8080"/>
  <c r="BB28" i="2096"/>
  <c r="AY58" i="8080"/>
  <c r="BB20" i="2096"/>
  <c r="BU28" i="7"/>
  <c r="BB23" i="9"/>
  <c r="BH14" i="12"/>
  <c r="O53" i="11531"/>
  <c r="BB36" i="2096"/>
  <c r="AY62" i="8080"/>
  <c r="BU39" i="7"/>
  <c r="BT14" i="5"/>
  <c r="X61" i="9"/>
  <c r="BH19" i="12"/>
  <c r="BH11" i="12"/>
  <c r="BC24" i="11530"/>
  <c r="BB24" i="11531"/>
  <c r="AY15" i="8080"/>
  <c r="AY66" i="8080"/>
  <c r="AY30" i="8080"/>
  <c r="AW14" i="12"/>
  <c r="BU12" i="7"/>
  <c r="B3" i="8080"/>
  <c r="O88" i="7"/>
  <c r="BF21" i="12"/>
  <c r="BC19" i="11530"/>
  <c r="BF23" i="12"/>
  <c r="BF13" i="12"/>
  <c r="BE25" i="2826"/>
  <c r="O76" i="11531"/>
  <c r="N64" i="12"/>
  <c r="BB17" i="9"/>
  <c r="AW19" i="12"/>
  <c r="BH24" i="12"/>
  <c r="AY23" i="8080"/>
  <c r="X59" i="9"/>
  <c r="BB20" i="9"/>
  <c r="AY27" i="8080"/>
  <c r="O79" i="6"/>
  <c r="Q31" i="3"/>
  <c r="BB33" i="9"/>
  <c r="BB30" i="9"/>
  <c r="W39" i="12"/>
  <c r="BH22" i="12"/>
  <c r="AU15" i="2826"/>
  <c r="W43" i="11"/>
  <c r="U89" i="9"/>
  <c r="V78" i="12"/>
  <c r="O100" i="6"/>
  <c r="BT20" i="5"/>
  <c r="J7" i="11530"/>
  <c r="BB19" i="2096"/>
  <c r="AY50" i="8080"/>
  <c r="AY75" i="8080"/>
  <c r="BB23" i="2096"/>
  <c r="AY19" i="8080"/>
  <c r="BF20" i="12"/>
  <c r="BB32" i="2096"/>
  <c r="AY46" i="8080"/>
  <c r="BB35" i="9"/>
  <c r="BT38" i="7"/>
  <c r="BF12" i="12"/>
  <c r="AY13" i="8080"/>
  <c r="AY52" i="8080"/>
  <c r="BS37" i="5"/>
  <c r="W49" i="12"/>
  <c r="BB28" i="11531"/>
  <c r="AY17" i="8080"/>
  <c r="AF81" i="6"/>
  <c r="R31" i="3"/>
  <c r="S27" i="3"/>
  <c r="AY21" i="8080"/>
  <c r="AY60" i="8080"/>
  <c r="BT37" i="5"/>
  <c r="BH40" i="7"/>
  <c r="AY25" i="8080"/>
  <c r="O31" i="3"/>
  <c r="BS13" i="5"/>
  <c r="AY54" i="8080"/>
  <c r="BB24" i="2096"/>
  <c r="AY38" i="8080"/>
  <c r="BF19" i="12"/>
  <c r="O75" i="11531"/>
  <c r="BB34" i="9"/>
  <c r="X54" i="11531"/>
  <c r="U31" i="3"/>
  <c r="AY33" i="8080"/>
  <c r="BT28" i="5"/>
  <c r="AY89" i="8080"/>
  <c r="AY29" i="8080"/>
  <c r="AW15" i="12"/>
  <c r="BU26" i="7"/>
  <c r="L31" i="3"/>
  <c r="O71" i="5"/>
  <c r="W81" i="8"/>
  <c r="O44" i="8"/>
  <c r="X59" i="11531"/>
  <c r="J5" i="11531"/>
  <c r="J5" i="11530"/>
  <c r="W99" i="267"/>
  <c r="O85" i="267"/>
  <c r="O89" i="267"/>
  <c r="U99" i="267"/>
  <c r="X68" i="267"/>
  <c r="X69" i="267"/>
  <c r="J5" i="6"/>
  <c r="O6" i="11530"/>
  <c r="O6" i="11531"/>
  <c r="X65" i="11530"/>
  <c r="BC28" i="11530"/>
  <c r="BC18" i="11530"/>
  <c r="BC11" i="11530"/>
  <c r="BC36" i="11530"/>
  <c r="BC31" i="11530"/>
  <c r="BC32" i="11530"/>
  <c r="BC21" i="11530"/>
  <c r="BC14" i="11530"/>
  <c r="BC35" i="11530"/>
  <c r="W93" i="11530"/>
  <c r="O83" i="11530"/>
  <c r="J6" i="11531"/>
  <c r="J6" i="11530"/>
  <c r="O5" i="11531"/>
  <c r="O5" i="11530"/>
  <c r="AY64" i="8080"/>
  <c r="AY49" i="8080"/>
  <c r="AY72" i="8080"/>
  <c r="B5" i="11531"/>
  <c r="BH16" i="12"/>
  <c r="BF15" i="12"/>
  <c r="BB34" i="2096"/>
  <c r="Q64" i="2826"/>
  <c r="AY90" i="8080"/>
  <c r="AY84" i="8080"/>
  <c r="AY44" i="8080"/>
  <c r="AY88" i="8080"/>
  <c r="O23" i="3"/>
  <c r="O75" i="9"/>
  <c r="X55" i="9"/>
  <c r="BH25" i="12"/>
  <c r="Q63" i="2826"/>
  <c r="BE22" i="2826"/>
  <c r="BC34" i="11530"/>
  <c r="AY53" i="8080"/>
  <c r="AY20" i="8080"/>
  <c r="AY98" i="8080"/>
  <c r="AY40" i="8080"/>
  <c r="AY14" i="8080"/>
  <c r="AY92" i="8080"/>
  <c r="BU35" i="7"/>
  <c r="BU30" i="7"/>
  <c r="B3" i="8"/>
  <c r="T38" i="5"/>
  <c r="CF38" i="5" s="1"/>
  <c r="N23" i="3"/>
  <c r="W61" i="5"/>
  <c r="BF17" i="12"/>
  <c r="AU14" i="2826"/>
  <c r="BT18" i="5"/>
  <c r="AY57" i="8080"/>
  <c r="AY24" i="8080"/>
  <c r="AY102" i="8080"/>
  <c r="AY48" i="8080"/>
  <c r="AY18" i="8080"/>
  <c r="AY96" i="8080"/>
  <c r="AU16" i="2826"/>
  <c r="BU40" i="7"/>
  <c r="BU23" i="7"/>
  <c r="A2" i="11"/>
  <c r="F52" i="3"/>
  <c r="L23" i="3"/>
  <c r="AF108" i="6"/>
  <c r="BB27" i="9"/>
  <c r="BT25" i="7"/>
  <c r="N62" i="12"/>
  <c r="BH26" i="12"/>
  <c r="BF16" i="12"/>
  <c r="BH19" i="11"/>
  <c r="AW11" i="11"/>
  <c r="BB18" i="2096"/>
  <c r="AY82" i="8080"/>
  <c r="BB25" i="9"/>
  <c r="N42" i="12"/>
  <c r="BH20" i="12"/>
  <c r="BH23" i="11"/>
  <c r="AW14" i="11"/>
  <c r="BF12" i="11"/>
  <c r="O7" i="11530"/>
  <c r="BC17" i="11530"/>
  <c r="X54" i="11530"/>
  <c r="BB36" i="11531"/>
  <c r="O79" i="11531"/>
  <c r="O81" i="6"/>
  <c r="AY68" i="8080"/>
  <c r="O99" i="6"/>
  <c r="X54" i="9"/>
  <c r="BB36" i="9"/>
  <c r="BB12" i="9"/>
  <c r="BH25" i="11"/>
  <c r="AW16" i="11"/>
  <c r="BH10" i="11"/>
  <c r="O55" i="11530"/>
  <c r="AY41" i="8080"/>
  <c r="AY111" i="8080"/>
  <c r="O4" i="11531"/>
  <c r="BB21" i="2096"/>
  <c r="W174" i="8080"/>
  <c r="BB22" i="2096"/>
  <c r="BB27" i="2096"/>
  <c r="Q23" i="3"/>
  <c r="BT38" i="5"/>
  <c r="O61" i="267"/>
  <c r="BF26" i="12"/>
  <c r="AY94" i="8080"/>
  <c r="BT13" i="5"/>
  <c r="AY22" i="8080"/>
  <c r="K23" i="3"/>
  <c r="AY31" i="8080"/>
  <c r="AY55" i="8080"/>
  <c r="AW21" i="12"/>
  <c r="J23" i="3"/>
  <c r="AY114" i="8080"/>
  <c r="W50" i="8"/>
  <c r="BT23" i="5"/>
  <c r="AY73" i="8080"/>
  <c r="AY47" i="8080"/>
  <c r="AY118" i="8080"/>
  <c r="AY63" i="8080"/>
  <c r="AY43" i="8080"/>
  <c r="AY112" i="8080"/>
  <c r="AU10" i="2826"/>
  <c r="BU33" i="7"/>
  <c r="H23" i="3"/>
  <c r="AF105" i="6"/>
  <c r="O63" i="8"/>
  <c r="BH21" i="12"/>
  <c r="BK13" i="2826"/>
  <c r="AW18" i="11"/>
  <c r="BH12" i="11"/>
  <c r="AY45" i="8080"/>
  <c r="AY74" i="8080"/>
  <c r="AY119" i="8080"/>
  <c r="AY76" i="8080"/>
  <c r="AY80" i="8080"/>
  <c r="T36" i="5"/>
  <c r="CF36" i="5" s="1"/>
  <c r="BB35" i="2096"/>
  <c r="AY32" i="8080"/>
  <c r="AY100" i="8080"/>
  <c r="BH12" i="12"/>
  <c r="BE13" i="2826"/>
  <c r="BK10" i="2826"/>
  <c r="W51" i="11"/>
  <c r="AW20" i="11"/>
  <c r="BH14" i="11"/>
  <c r="BC20" i="11530"/>
  <c r="O80" i="6"/>
  <c r="BH17" i="12"/>
  <c r="AW13" i="12"/>
  <c r="AF96" i="6"/>
  <c r="U90" i="2096"/>
  <c r="BE18" i="2826"/>
  <c r="BB31" i="2096"/>
  <c r="AY86" i="8080"/>
  <c r="AW18" i="12"/>
  <c r="BF24" i="12"/>
  <c r="AY12" i="8080"/>
  <c r="P23" i="3"/>
  <c r="BB30" i="2096"/>
  <c r="B3" i="2096"/>
  <c r="AY61" i="8080"/>
  <c r="AY106" i="8080"/>
  <c r="AU24" i="2826"/>
  <c r="O139" i="8080"/>
  <c r="BT25" i="5"/>
  <c r="AY104" i="8080"/>
  <c r="AY59" i="8080"/>
  <c r="BU22" i="7"/>
  <c r="BT15" i="5"/>
  <c r="AY77" i="8080"/>
  <c r="BH30" i="7"/>
  <c r="AU19" i="2826"/>
  <c r="BU38" i="7"/>
  <c r="Y45" i="2826"/>
  <c r="BT16" i="5"/>
  <c r="BH22" i="7"/>
  <c r="AY81" i="8080"/>
  <c r="BH28" i="7"/>
  <c r="BB11" i="2096"/>
  <c r="AY71" i="8080"/>
  <c r="BH20" i="7"/>
  <c r="AW17" i="12"/>
  <c r="AW24" i="12"/>
  <c r="BU13" i="7"/>
  <c r="BB31" i="9"/>
  <c r="X147" i="8080"/>
  <c r="AY11" i="8080"/>
  <c r="AW12" i="12"/>
  <c r="AW11" i="12"/>
  <c r="Y81" i="2826"/>
  <c r="AW22" i="11"/>
  <c r="BH16" i="11"/>
  <c r="BB12" i="2096"/>
  <c r="BC22" i="11530"/>
  <c r="BC27" i="11530"/>
  <c r="BB20" i="11531"/>
  <c r="AY115" i="8080"/>
  <c r="AY78" i="8080"/>
  <c r="S23" i="3"/>
  <c r="W90" i="2096"/>
  <c r="BB26" i="2096"/>
  <c r="R23" i="3"/>
  <c r="O78" i="2096"/>
  <c r="BE19" i="2826"/>
  <c r="T37" i="5"/>
  <c r="CF37" i="5" s="1"/>
  <c r="BB15" i="9"/>
  <c r="BB12" i="11531"/>
  <c r="AY36" i="8080"/>
  <c r="B3" i="6"/>
  <c r="BH15" i="12"/>
  <c r="BB32" i="11531"/>
  <c r="AY16" i="8080"/>
  <c r="AY28" i="8080"/>
  <c r="AY51" i="8080"/>
  <c r="B3" i="9"/>
  <c r="W51" i="12"/>
  <c r="BB16" i="11531"/>
  <c r="AY65" i="8080"/>
  <c r="AY110" i="8080"/>
  <c r="AY26" i="8080"/>
  <c r="BU17" i="7"/>
  <c r="BT19" i="5"/>
  <c r="AY69" i="8080"/>
  <c r="AY39" i="8080"/>
  <c r="AY35" i="8080"/>
  <c r="AY108" i="8080"/>
  <c r="I23" i="3"/>
  <c r="BT17" i="5"/>
  <c r="BH14" i="7"/>
  <c r="AY67" i="8080"/>
  <c r="AY116" i="8080"/>
  <c r="G23" i="3"/>
  <c r="BH38" i="7"/>
  <c r="AY85" i="8080"/>
  <c r="BB16" i="2096"/>
  <c r="BH36" i="7"/>
  <c r="AW26" i="12"/>
  <c r="BU15" i="7"/>
  <c r="V31" i="3"/>
  <c r="V22" i="3"/>
  <c r="X62" i="9"/>
  <c r="O53" i="9"/>
  <c r="BH18" i="12"/>
  <c r="BH13" i="12"/>
  <c r="AW24" i="11"/>
  <c r="BE35" i="267"/>
  <c r="BE39" i="267"/>
  <c r="BE25" i="267"/>
  <c r="AV38" i="267"/>
  <c r="AU23" i="267"/>
  <c r="AW12" i="267"/>
  <c r="AV15" i="11530"/>
  <c r="AZ37" i="11530"/>
  <c r="I64" i="11530" s="1"/>
  <c r="AP37" i="11530"/>
  <c r="AT37" i="11530"/>
  <c r="AX37" i="11530"/>
  <c r="L62" i="11530" s="1"/>
  <c r="T72" i="11530" s="1"/>
  <c r="AY14" i="11530"/>
  <c r="BE14" i="11530" s="1"/>
  <c r="AU14" i="11530"/>
  <c r="AU12" i="11530"/>
  <c r="AK37" i="11530"/>
  <c r="AI37" i="11530"/>
  <c r="AJ37" i="11530"/>
  <c r="AL37" i="11530"/>
  <c r="AM37" i="11530"/>
  <c r="AO11" i="11530"/>
  <c r="BG11" i="11530"/>
  <c r="X37" i="11530"/>
  <c r="AR37" i="11530"/>
  <c r="AU11" i="11530"/>
  <c r="AS37" i="11530"/>
  <c r="AQ37" i="11530"/>
  <c r="AU21" i="267"/>
  <c r="AU37" i="267"/>
  <c r="AV36" i="267"/>
  <c r="AU35" i="267"/>
  <c r="AU33" i="267"/>
  <c r="AU18" i="267"/>
  <c r="AU19" i="267"/>
  <c r="AU17" i="267"/>
  <c r="AU40" i="267"/>
  <c r="AU25" i="267"/>
  <c r="AU20" i="267"/>
  <c r="AU38" i="267"/>
  <c r="AU39" i="267"/>
  <c r="AF74" i="11531"/>
  <c r="AF116" i="11531"/>
  <c r="AU31" i="11531"/>
  <c r="AU23" i="11531"/>
  <c r="BB31" i="11531"/>
  <c r="BD11" i="11531"/>
  <c r="AU30" i="11531"/>
  <c r="U89" i="11531"/>
  <c r="BB14" i="11531"/>
  <c r="BB18" i="11531"/>
  <c r="BB22" i="11531"/>
  <c r="BB26" i="11531"/>
  <c r="BB30" i="11531"/>
  <c r="BB23" i="11531"/>
  <c r="AO37" i="11531"/>
  <c r="L49" i="11531" s="1"/>
  <c r="W21" i="3" s="1"/>
  <c r="AU13" i="11531"/>
  <c r="AU17" i="11531"/>
  <c r="AU21" i="11531"/>
  <c r="AU25" i="11531"/>
  <c r="AU29" i="11531"/>
  <c r="AU33" i="11531"/>
  <c r="E77" i="11531"/>
  <c r="O77" i="11531" s="1"/>
  <c r="AF82" i="11531"/>
  <c r="Q21" i="3" s="1"/>
  <c r="BB11" i="11531"/>
  <c r="X60" i="11531"/>
  <c r="BB27" i="11531"/>
  <c r="X62" i="11531"/>
  <c r="X52" i="11531"/>
  <c r="AU19" i="11531"/>
  <c r="BB13" i="11531"/>
  <c r="BB17" i="11531"/>
  <c r="BB21" i="11531"/>
  <c r="BB25" i="11531"/>
  <c r="BB29" i="11531"/>
  <c r="BB33" i="11531"/>
  <c r="BB34" i="11531"/>
  <c r="V37" i="11531"/>
  <c r="L69" i="11531"/>
  <c r="BB19" i="11531"/>
  <c r="X55" i="11531"/>
  <c r="BB35" i="11531"/>
  <c r="BB15" i="11531"/>
  <c r="X61" i="11531"/>
  <c r="O80" i="11530"/>
  <c r="E82" i="11530"/>
  <c r="O82" i="11530" s="1"/>
  <c r="AF118" i="11530"/>
  <c r="O101" i="3" s="1"/>
  <c r="X90" i="11530"/>
  <c r="AY22" i="11530"/>
  <c r="BE22" i="11530" s="1"/>
  <c r="BC15" i="11530"/>
  <c r="BF35" i="11530"/>
  <c r="AV36" i="11530"/>
  <c r="AN37" i="11530"/>
  <c r="X61" i="11530"/>
  <c r="AY12" i="11530"/>
  <c r="BE12" i="11530" s="1"/>
  <c r="BF25" i="11530"/>
  <c r="BM31" i="11530"/>
  <c r="BF18" i="11530"/>
  <c r="AY29" i="11530"/>
  <c r="BE29" i="11530" s="1"/>
  <c r="AU16" i="11530"/>
  <c r="BO24" i="11530"/>
  <c r="BC29" i="11530"/>
  <c r="BF32" i="11530"/>
  <c r="AV33" i="11530"/>
  <c r="X62" i="11530"/>
  <c r="AU20" i="11530"/>
  <c r="BO28" i="11530"/>
  <c r="BC33" i="11530"/>
  <c r="U93" i="11530"/>
  <c r="BF21" i="11530"/>
  <c r="AY15" i="11530"/>
  <c r="BE15" i="11530" s="1"/>
  <c r="BF28" i="11530"/>
  <c r="AU23" i="11530"/>
  <c r="AV23" i="11530"/>
  <c r="BC16" i="11530"/>
  <c r="BF19" i="11530"/>
  <c r="AU27" i="11530"/>
  <c r="BF36" i="11530"/>
  <c r="X63" i="11530"/>
  <c r="AY11" i="11530"/>
  <c r="AY18" i="11530"/>
  <c r="BE18" i="11530" s="1"/>
  <c r="BC23" i="11530"/>
  <c r="BF26" i="11530"/>
  <c r="AV27" i="11530"/>
  <c r="BO35" i="11530"/>
  <c r="AY32" i="11530"/>
  <c r="BE32" i="11530" s="1"/>
  <c r="BO21" i="11530"/>
  <c r="BC26" i="11530"/>
  <c r="AV30" i="11530"/>
  <c r="AU17" i="11530"/>
  <c r="BO25" i="11530"/>
  <c r="BC30" i="11530"/>
  <c r="BF11" i="11530"/>
  <c r="AU13" i="11530"/>
  <c r="BC13" i="11530"/>
  <c r="T57" i="11530"/>
  <c r="X53" i="11530"/>
  <c r="O79" i="11530"/>
  <c r="AV35" i="11530"/>
  <c r="V37" i="11530"/>
  <c r="T55" i="11530"/>
  <c r="L61" i="11530"/>
  <c r="O61" i="11530" s="1"/>
  <c r="AF74" i="11530" s="1"/>
  <c r="X64" i="11530"/>
  <c r="AD12" i="11524"/>
  <c r="O49" i="3" s="1"/>
  <c r="BJ11" i="6"/>
  <c r="AF80" i="6"/>
  <c r="BQ11" i="6"/>
  <c r="BM11" i="6"/>
  <c r="P50" i="3"/>
  <c r="E51" i="3"/>
  <c r="T25" i="11524"/>
  <c r="R53" i="3" s="1"/>
  <c r="P52" i="3"/>
  <c r="AK10" i="11524"/>
  <c r="AK39" i="11524"/>
  <c r="O80" i="3" s="1"/>
  <c r="AQ13" i="9"/>
  <c r="AQ37" i="9" s="1"/>
  <c r="AP12" i="9"/>
  <c r="AU12" i="9" s="1"/>
  <c r="H20" i="3"/>
  <c r="BD34" i="9"/>
  <c r="BD33" i="9"/>
  <c r="BD22" i="9"/>
  <c r="BD11" i="9"/>
  <c r="BD35" i="9"/>
  <c r="BD28" i="9"/>
  <c r="BD26" i="9"/>
  <c r="BD25" i="9"/>
  <c r="BD32" i="9"/>
  <c r="BD19" i="9"/>
  <c r="BD29" i="9"/>
  <c r="BD20" i="9"/>
  <c r="BD17" i="9"/>
  <c r="BD24" i="9"/>
  <c r="BD21" i="9"/>
  <c r="BD14" i="9"/>
  <c r="BD18" i="9"/>
  <c r="BD16" i="9"/>
  <c r="BD12" i="9"/>
  <c r="BD30" i="9"/>
  <c r="BD27" i="9"/>
  <c r="U44" i="2826"/>
  <c r="C144" i="11528" s="1"/>
  <c r="AY14" i="2826"/>
  <c r="AY24" i="2826"/>
  <c r="AY25" i="2826"/>
  <c r="AY16" i="2826"/>
  <c r="AJ27" i="2826"/>
  <c r="AY15" i="2826"/>
  <c r="AY23" i="2826"/>
  <c r="AL27" i="2826"/>
  <c r="C42" i="3"/>
  <c r="AY19" i="2826"/>
  <c r="AY12" i="2826"/>
  <c r="AY21" i="2826"/>
  <c r="AY18" i="2826"/>
  <c r="AY26" i="2826"/>
  <c r="AY11" i="2826"/>
  <c r="C32" i="2826"/>
  <c r="N42" i="2826"/>
  <c r="AN13" i="2826"/>
  <c r="N44" i="2826"/>
  <c r="Q44" i="2826" s="1"/>
  <c r="Q73" i="2826"/>
  <c r="N41" i="2826"/>
  <c r="Q41" i="2826" s="1"/>
  <c r="AN10" i="2826"/>
  <c r="BE12" i="2826"/>
  <c r="N55" i="2826"/>
  <c r="AD84" i="2826" s="1"/>
  <c r="P42" i="3" s="1"/>
  <c r="H49" i="2826"/>
  <c r="AK27" i="2826"/>
  <c r="AI27" i="2826"/>
  <c r="BH28" i="2826"/>
  <c r="N42" i="3" s="1"/>
  <c r="AR27" i="2826"/>
  <c r="BD13" i="2826"/>
  <c r="C26" i="3"/>
  <c r="AI27" i="12"/>
  <c r="BC25" i="12"/>
  <c r="AW10" i="12"/>
  <c r="A26" i="12"/>
  <c r="A25" i="12" s="1"/>
  <c r="AY28" i="12"/>
  <c r="AR13" i="12"/>
  <c r="AR24" i="12"/>
  <c r="AR16" i="12"/>
  <c r="AR19" i="12"/>
  <c r="AR12" i="12"/>
  <c r="AR20" i="12"/>
  <c r="BA11" i="12"/>
  <c r="BA28" i="12" s="1"/>
  <c r="AW16" i="12"/>
  <c r="AW23" i="12"/>
  <c r="H54" i="12"/>
  <c r="N54" i="12" s="1"/>
  <c r="AD113" i="12" s="1"/>
  <c r="W42" i="12"/>
  <c r="BD10" i="12"/>
  <c r="BD28" i="12" s="1"/>
  <c r="BH49" i="6"/>
  <c r="L75" i="6" s="1"/>
  <c r="G96" i="7"/>
  <c r="O96" i="7" s="1"/>
  <c r="AF96" i="7" s="1"/>
  <c r="I80" i="7"/>
  <c r="O80" i="7" s="1"/>
  <c r="BM11" i="7" s="1"/>
  <c r="BM41" i="7" s="1"/>
  <c r="T69" i="7"/>
  <c r="G42" i="11528" s="1"/>
  <c r="L67" i="7"/>
  <c r="O67" i="7" s="1"/>
  <c r="L69" i="7"/>
  <c r="O69" i="7" s="1"/>
  <c r="I72" i="7"/>
  <c r="AQ36" i="2096"/>
  <c r="AU36" i="2096" s="1"/>
  <c r="BB14" i="2096"/>
  <c r="BB13" i="2096"/>
  <c r="B33" i="2096"/>
  <c r="E88" i="267"/>
  <c r="O88" i="267" s="1"/>
  <c r="O86" i="267"/>
  <c r="AU15" i="267"/>
  <c r="AY12" i="267"/>
  <c r="BE12" i="267" s="1"/>
  <c r="AU13" i="267"/>
  <c r="AY14" i="267"/>
  <c r="BE14" i="267" s="1"/>
  <c r="Q20" i="3"/>
  <c r="E77" i="9"/>
  <c r="O77" i="9" s="1"/>
  <c r="AW37" i="9"/>
  <c r="L60" i="9" s="1"/>
  <c r="O60" i="9" s="1"/>
  <c r="AF81" i="9" s="1"/>
  <c r="BF12" i="9"/>
  <c r="AU15" i="9"/>
  <c r="AU14" i="9"/>
  <c r="AR37" i="9"/>
  <c r="BF11" i="9"/>
  <c r="AT37" i="9"/>
  <c r="Q43" i="3"/>
  <c r="BF13" i="267"/>
  <c r="AU12" i="267"/>
  <c r="AJ43" i="267"/>
  <c r="L67" i="267"/>
  <c r="O67" i="267" s="1"/>
  <c r="AF80" i="267" s="1"/>
  <c r="T63" i="267"/>
  <c r="G64" i="11528" s="1"/>
  <c r="AU11" i="267"/>
  <c r="T61" i="267"/>
  <c r="G62" i="11528" s="1"/>
  <c r="AS43" i="267"/>
  <c r="AK43" i="267"/>
  <c r="BB17" i="2096"/>
  <c r="BB25" i="2096"/>
  <c r="AU16" i="2096"/>
  <c r="AU14" i="2096"/>
  <c r="BF12" i="2096"/>
  <c r="AU23" i="2096"/>
  <c r="AU24" i="2096"/>
  <c r="AU34" i="2096"/>
  <c r="AU22" i="2096"/>
  <c r="AU19" i="2096"/>
  <c r="AU15" i="2096"/>
  <c r="AU32" i="2096"/>
  <c r="AU18" i="2096"/>
  <c r="AU12" i="2096"/>
  <c r="AR37" i="2096"/>
  <c r="D57" i="3"/>
  <c r="AS37" i="2096"/>
  <c r="BG24" i="2096"/>
  <c r="BG17" i="2096"/>
  <c r="BD12" i="2096"/>
  <c r="BG36" i="2096"/>
  <c r="BG31" i="2096"/>
  <c r="BG28" i="2096"/>
  <c r="BG13" i="2096"/>
  <c r="L60" i="2096"/>
  <c r="O60" i="2096" s="1"/>
  <c r="AF74" i="2096" s="1"/>
  <c r="T56" i="2096"/>
  <c r="C38" i="11528" s="1"/>
  <c r="L70" i="2096"/>
  <c r="AF84" i="2096"/>
  <c r="P28" i="3" s="1"/>
  <c r="BG35" i="2096"/>
  <c r="BG32" i="2096"/>
  <c r="BG21" i="2096"/>
  <c r="BP11" i="7"/>
  <c r="BP41" i="7" s="1"/>
  <c r="BN11" i="7"/>
  <c r="X67" i="7"/>
  <c r="L82" i="7"/>
  <c r="BN41" i="7"/>
  <c r="O75" i="7"/>
  <c r="BL42" i="7" s="1"/>
  <c r="J8" i="2096"/>
  <c r="J8" i="8080"/>
  <c r="J7" i="11524"/>
  <c r="J8" i="6"/>
  <c r="L7" i="2826"/>
  <c r="J8" i="8"/>
  <c r="J8" i="5"/>
  <c r="J8" i="9"/>
  <c r="L32" i="3"/>
  <c r="J8" i="267"/>
  <c r="J8" i="7"/>
  <c r="S66" i="8"/>
  <c r="L55" i="8"/>
  <c r="AO28" i="8"/>
  <c r="I50" i="8"/>
  <c r="AY29" i="8"/>
  <c r="P37" i="3"/>
  <c r="G70" i="8"/>
  <c r="BF18" i="2096"/>
  <c r="BB15" i="2096"/>
  <c r="A4" i="2826"/>
  <c r="A4" i="11524"/>
  <c r="B5" i="8080"/>
  <c r="B5" i="7"/>
  <c r="B5" i="267"/>
  <c r="B5" i="5"/>
  <c r="B5" i="9"/>
  <c r="A4" i="11"/>
  <c r="B5" i="8"/>
  <c r="B5" i="2096"/>
  <c r="A4" i="12"/>
  <c r="B5" i="6"/>
  <c r="CE50" i="6"/>
  <c r="AO101" i="6"/>
  <c r="BF49" i="6"/>
  <c r="BR13" i="5"/>
  <c r="BR29" i="5"/>
  <c r="BR15" i="5"/>
  <c r="BR25" i="5"/>
  <c r="BR22" i="5"/>
  <c r="BR37" i="5"/>
  <c r="BR24" i="5"/>
  <c r="BR12" i="5"/>
  <c r="BR21" i="5"/>
  <c r="BR36" i="5"/>
  <c r="BR30" i="5"/>
  <c r="AP24" i="8"/>
  <c r="AJ28" i="8"/>
  <c r="AU34" i="267"/>
  <c r="AU39" i="5"/>
  <c r="BR19" i="5"/>
  <c r="BR17" i="5"/>
  <c r="AF93" i="6"/>
  <c r="BJ36" i="5"/>
  <c r="BJ37" i="5"/>
  <c r="W60" i="5"/>
  <c r="W59" i="5"/>
  <c r="BS14" i="5"/>
  <c r="W53" i="5"/>
  <c r="U85" i="5"/>
  <c r="BS30" i="5"/>
  <c r="BS12" i="5"/>
  <c r="W51" i="5"/>
  <c r="W62" i="5"/>
  <c r="W54" i="5"/>
  <c r="BS19" i="5"/>
  <c r="W52" i="5"/>
  <c r="BS38" i="5"/>
  <c r="BS16" i="5"/>
  <c r="AG39" i="5"/>
  <c r="J39" i="5" s="1"/>
  <c r="BB16" i="9"/>
  <c r="BF16" i="9"/>
  <c r="BG49" i="6"/>
  <c r="BC15" i="5"/>
  <c r="BM15" i="5" s="1"/>
  <c r="BC16" i="5"/>
  <c r="BM16" i="5" s="1"/>
  <c r="BC17" i="5"/>
  <c r="BM17" i="5" s="1"/>
  <c r="BC12" i="5"/>
  <c r="BM12" i="5" s="1"/>
  <c r="BC25" i="5"/>
  <c r="BM25" i="5" s="1"/>
  <c r="BC37" i="5"/>
  <c r="BM37" i="5" s="1"/>
  <c r="BC26" i="5"/>
  <c r="BM26" i="5" s="1"/>
  <c r="BC38" i="5"/>
  <c r="BM38" i="5" s="1"/>
  <c r="BC14" i="5"/>
  <c r="BM14" i="5" s="1"/>
  <c r="BC19" i="5"/>
  <c r="BM19" i="5" s="1"/>
  <c r="BC27" i="5"/>
  <c r="BM27" i="5" s="1"/>
  <c r="BC18" i="5"/>
  <c r="BM18" i="5" s="1"/>
  <c r="BC22" i="5"/>
  <c r="BM22" i="5" s="1"/>
  <c r="BC30" i="5"/>
  <c r="BM30" i="5" s="1"/>
  <c r="BC13" i="5"/>
  <c r="BM13" i="5" s="1"/>
  <c r="BC20" i="5"/>
  <c r="BM20" i="5" s="1"/>
  <c r="BC29" i="5"/>
  <c r="BM29" i="5" s="1"/>
  <c r="BC36" i="5"/>
  <c r="BM36" i="5" s="1"/>
  <c r="BL11" i="5"/>
  <c r="BC23" i="5"/>
  <c r="BM23" i="5" s="1"/>
  <c r="BC24" i="5"/>
  <c r="BM24" i="5" s="1"/>
  <c r="BC28" i="5"/>
  <c r="BM28" i="5" s="1"/>
  <c r="AL38" i="5"/>
  <c r="AM23" i="5"/>
  <c r="AR19" i="5"/>
  <c r="AV39" i="5"/>
  <c r="BR16" i="5"/>
  <c r="AR46" i="5"/>
  <c r="AR47" i="5" s="1"/>
  <c r="BF18" i="267"/>
  <c r="BM18" i="267"/>
  <c r="D7" i="9"/>
  <c r="D7" i="5"/>
  <c r="BT36" i="5"/>
  <c r="BT22" i="5"/>
  <c r="BT26" i="5"/>
  <c r="AF90" i="6"/>
  <c r="L61" i="5"/>
  <c r="AE94" i="5"/>
  <c r="P19" i="3"/>
  <c r="AM18" i="5"/>
  <c r="A3" i="11524"/>
  <c r="A3" i="2826"/>
  <c r="A3" i="12"/>
  <c r="B4" i="7"/>
  <c r="A3" i="11"/>
  <c r="B4" i="2096"/>
  <c r="B4" i="8080"/>
  <c r="B4" i="267"/>
  <c r="B4" i="9"/>
  <c r="B4" i="5"/>
  <c r="B4" i="8"/>
  <c r="B4" i="6"/>
  <c r="AF97" i="6"/>
  <c r="AF106" i="6"/>
  <c r="AF92" i="6"/>
  <c r="O98" i="6"/>
  <c r="AF85" i="6"/>
  <c r="AF98" i="6"/>
  <c r="O101" i="6"/>
  <c r="AF103" i="6"/>
  <c r="AE114" i="6"/>
  <c r="O78" i="6"/>
  <c r="BR23" i="5"/>
  <c r="I153" i="8080"/>
  <c r="O153" i="8080" s="1"/>
  <c r="G171" i="8080"/>
  <c r="O171" i="8080" s="1"/>
  <c r="AH148" i="8080" s="1"/>
  <c r="L143" i="8080"/>
  <c r="I5" i="11524"/>
  <c r="L5" i="2826"/>
  <c r="I5" i="12"/>
  <c r="J6" i="7"/>
  <c r="I5" i="11"/>
  <c r="J6" i="2096"/>
  <c r="J6" i="8080"/>
  <c r="J6" i="9"/>
  <c r="J5" i="267"/>
  <c r="J6" i="8"/>
  <c r="J6" i="5"/>
  <c r="J6" i="6"/>
  <c r="BF14" i="5"/>
  <c r="BP14" i="5" s="1"/>
  <c r="BF17" i="5"/>
  <c r="BP17" i="5" s="1"/>
  <c r="BF12" i="5"/>
  <c r="BP12" i="5" s="1"/>
  <c r="BF13" i="5"/>
  <c r="BP13" i="5" s="1"/>
  <c r="BF16" i="5"/>
  <c r="BP16" i="5" s="1"/>
  <c r="BF18" i="5"/>
  <c r="BP18" i="5" s="1"/>
  <c r="BF15" i="5"/>
  <c r="BP15" i="5" s="1"/>
  <c r="BF22" i="5"/>
  <c r="BP22" i="5" s="1"/>
  <c r="BF30" i="5"/>
  <c r="BP30" i="5" s="1"/>
  <c r="BF23" i="5"/>
  <c r="BP23" i="5" s="1"/>
  <c r="BF31" i="5"/>
  <c r="BP31" i="5" s="1"/>
  <c r="BF24" i="5"/>
  <c r="BP24" i="5" s="1"/>
  <c r="BF36" i="5"/>
  <c r="BP36" i="5" s="1"/>
  <c r="BF19" i="5"/>
  <c r="BP19" i="5" s="1"/>
  <c r="BF27" i="5"/>
  <c r="BP27" i="5" s="1"/>
  <c r="BF20" i="5"/>
  <c r="BP20" i="5" s="1"/>
  <c r="BF21" i="5"/>
  <c r="BP21" i="5" s="1"/>
  <c r="BF28" i="5"/>
  <c r="BP28" i="5" s="1"/>
  <c r="BF25" i="5"/>
  <c r="BP25" i="5" s="1"/>
  <c r="BF29" i="5"/>
  <c r="BP29" i="5" s="1"/>
  <c r="BF37" i="5"/>
  <c r="BP37" i="5" s="1"/>
  <c r="BF38" i="5"/>
  <c r="BP38" i="5" s="1"/>
  <c r="AM20" i="5"/>
  <c r="M23" i="3"/>
  <c r="B7" i="9"/>
  <c r="B7" i="5"/>
  <c r="N3" i="11"/>
  <c r="N3" i="11524"/>
  <c r="N3" i="12"/>
  <c r="O4" i="7"/>
  <c r="Q3" i="2826"/>
  <c r="O4" i="8080"/>
  <c r="O4" i="2096"/>
  <c r="O4" i="9"/>
  <c r="O3" i="267"/>
  <c r="O4" i="8"/>
  <c r="O4" i="6"/>
  <c r="AF109" i="6"/>
  <c r="AF86" i="6"/>
  <c r="BR38" i="5"/>
  <c r="AR36" i="5"/>
  <c r="BE27" i="5"/>
  <c r="BO27" i="5" s="1"/>
  <c r="BD23" i="5"/>
  <c r="BN23" i="5" s="1"/>
  <c r="AU42" i="267"/>
  <c r="F32" i="3"/>
  <c r="N5" i="11524"/>
  <c r="Q5" i="2826"/>
  <c r="N5" i="12"/>
  <c r="O6" i="7"/>
  <c r="N5" i="11"/>
  <c r="O6" i="2096"/>
  <c r="O6" i="8080"/>
  <c r="O6" i="9"/>
  <c r="O5" i="267"/>
  <c r="O6" i="5"/>
  <c r="O6" i="8"/>
  <c r="I3" i="11524"/>
  <c r="L3" i="2826"/>
  <c r="I3" i="11"/>
  <c r="I3" i="12"/>
  <c r="J4" i="7"/>
  <c r="J4" i="2096"/>
  <c r="J4" i="8080"/>
  <c r="J3" i="267"/>
  <c r="J4" i="8"/>
  <c r="J4" i="6"/>
  <c r="J4" i="5"/>
  <c r="AC114" i="6"/>
  <c r="AF104" i="6"/>
  <c r="AF88" i="6"/>
  <c r="AF83" i="6"/>
  <c r="W79" i="5"/>
  <c r="M19" i="3" s="1"/>
  <c r="AE92" i="5"/>
  <c r="BE30" i="5"/>
  <c r="BO30" i="5" s="1"/>
  <c r="AM29" i="5"/>
  <c r="BD27" i="5"/>
  <c r="BN27" i="5" s="1"/>
  <c r="CB26" i="5"/>
  <c r="BR26" i="5"/>
  <c r="BR18" i="5"/>
  <c r="BD14" i="5"/>
  <c r="BN14" i="5" s="1"/>
  <c r="BF36" i="267"/>
  <c r="BM36" i="267"/>
  <c r="F53" i="3"/>
  <c r="F51" i="3"/>
  <c r="D8" i="9"/>
  <c r="D8" i="5"/>
  <c r="O6" i="6"/>
  <c r="BE12" i="5"/>
  <c r="BO12" i="5" s="1"/>
  <c r="BE13" i="5"/>
  <c r="BO13" i="5" s="1"/>
  <c r="BE16" i="5"/>
  <c r="BO16" i="5" s="1"/>
  <c r="BE18" i="5"/>
  <c r="BO18" i="5" s="1"/>
  <c r="BE14" i="5"/>
  <c r="BO14" i="5" s="1"/>
  <c r="BE23" i="5"/>
  <c r="BO23" i="5" s="1"/>
  <c r="BE31" i="5"/>
  <c r="BO31" i="5" s="1"/>
  <c r="BE24" i="5"/>
  <c r="BO24" i="5" s="1"/>
  <c r="BE36" i="5"/>
  <c r="BO36" i="5" s="1"/>
  <c r="BE25" i="5"/>
  <c r="BO25" i="5" s="1"/>
  <c r="BE37" i="5"/>
  <c r="BO37" i="5" s="1"/>
  <c r="BE20" i="5"/>
  <c r="BO20" i="5" s="1"/>
  <c r="BE28" i="5"/>
  <c r="BO28" i="5" s="1"/>
  <c r="BE21" i="5"/>
  <c r="BO21" i="5" s="1"/>
  <c r="AM36" i="5"/>
  <c r="BE26" i="5"/>
  <c r="BO26" i="5" s="1"/>
  <c r="BE22" i="5"/>
  <c r="BO22" i="5" s="1"/>
  <c r="BR20" i="5"/>
  <c r="BO42" i="267"/>
  <c r="AY42" i="267"/>
  <c r="BE42" i="267" s="1"/>
  <c r="B8" i="9"/>
  <c r="B8" i="5"/>
  <c r="Q4" i="2826"/>
  <c r="N4" i="12"/>
  <c r="N4" i="11"/>
  <c r="N4" i="11524"/>
  <c r="O5" i="2096"/>
  <c r="O5" i="7"/>
  <c r="O5" i="8080"/>
  <c r="O5" i="9"/>
  <c r="O5" i="8"/>
  <c r="O5" i="5"/>
  <c r="O4" i="267"/>
  <c r="AF87" i="6"/>
  <c r="AF79" i="6"/>
  <c r="BM11" i="5"/>
  <c r="BD24" i="5"/>
  <c r="BN24" i="5" s="1"/>
  <c r="BD36" i="5"/>
  <c r="BN36" i="5" s="1"/>
  <c r="BD12" i="5"/>
  <c r="BN12" i="5" s="1"/>
  <c r="BD25" i="5"/>
  <c r="BN25" i="5" s="1"/>
  <c r="BD37" i="5"/>
  <c r="BN37" i="5" s="1"/>
  <c r="BD16" i="5"/>
  <c r="BN16" i="5" s="1"/>
  <c r="BD26" i="5"/>
  <c r="BN26" i="5" s="1"/>
  <c r="BD38" i="5"/>
  <c r="BN38" i="5" s="1"/>
  <c r="BD21" i="5"/>
  <c r="BN21" i="5" s="1"/>
  <c r="BD29" i="5"/>
  <c r="BN29" i="5" s="1"/>
  <c r="BD15" i="5"/>
  <c r="BN15" i="5" s="1"/>
  <c r="BD17" i="5"/>
  <c r="BN17" i="5" s="1"/>
  <c r="BD18" i="5"/>
  <c r="BN18" i="5" s="1"/>
  <c r="BJ38" i="5"/>
  <c r="BR28" i="5"/>
  <c r="BD22" i="5"/>
  <c r="BN22" i="5" s="1"/>
  <c r="BQ20" i="5"/>
  <c r="BE19" i="5"/>
  <c r="BO19" i="5" s="1"/>
  <c r="AL19" i="5"/>
  <c r="AY39" i="5"/>
  <c r="BN11" i="5"/>
  <c r="AP17" i="8"/>
  <c r="N6" i="11"/>
  <c r="N6" i="11524"/>
  <c r="N6" i="12"/>
  <c r="Q6" i="2826"/>
  <c r="O7" i="7"/>
  <c r="O7" i="8080"/>
  <c r="O7" i="2096"/>
  <c r="O7" i="5"/>
  <c r="O7" i="9"/>
  <c r="O6" i="267"/>
  <c r="O7" i="8"/>
  <c r="O7" i="6"/>
  <c r="I4" i="11"/>
  <c r="L4" i="2826"/>
  <c r="I4" i="11524"/>
  <c r="I4" i="12"/>
  <c r="J5" i="2096"/>
  <c r="J5" i="7"/>
  <c r="J5" i="8080"/>
  <c r="J5" i="9"/>
  <c r="J4" i="267"/>
  <c r="J5" i="8"/>
  <c r="J5" i="5"/>
  <c r="CL11" i="6"/>
  <c r="BR31" i="5"/>
  <c r="AM31" i="5"/>
  <c r="AM24" i="5"/>
  <c r="AR22" i="5"/>
  <c r="J4" i="9"/>
  <c r="E164" i="8080"/>
  <c r="O164" i="8080" s="1"/>
  <c r="I6" i="11"/>
  <c r="I6" i="11524"/>
  <c r="I6" i="12"/>
  <c r="J7" i="7"/>
  <c r="L6" i="2826"/>
  <c r="J7" i="8080"/>
  <c r="J7" i="2096"/>
  <c r="J7" i="5"/>
  <c r="J7" i="9"/>
  <c r="J6" i="267"/>
  <c r="J7" i="6"/>
  <c r="O5" i="6"/>
  <c r="BA11" i="5"/>
  <c r="BA13" i="5" s="1"/>
  <c r="AM25" i="5"/>
  <c r="AM37" i="5"/>
  <c r="AM14" i="5"/>
  <c r="CB16" i="5"/>
  <c r="CB17" i="5"/>
  <c r="CB13" i="5"/>
  <c r="CB22" i="5"/>
  <c r="CB30" i="5"/>
  <c r="CB23" i="5"/>
  <c r="CB31" i="5"/>
  <c r="I56" i="5"/>
  <c r="S57" i="5"/>
  <c r="W57" i="5" s="1"/>
  <c r="CB12" i="5"/>
  <c r="CB15" i="5"/>
  <c r="CB24" i="5"/>
  <c r="CC31" i="5"/>
  <c r="CB36" i="5"/>
  <c r="CB18" i="5"/>
  <c r="CB19" i="5"/>
  <c r="CC26" i="5"/>
  <c r="CB27" i="5"/>
  <c r="S55" i="5"/>
  <c r="C14" i="11528" s="1"/>
  <c r="CB14" i="5"/>
  <c r="CB20" i="5"/>
  <c r="BD31" i="5"/>
  <c r="BN31" i="5" s="1"/>
  <c r="BR27" i="5"/>
  <c r="BE17" i="5"/>
  <c r="BO17" i="5" s="1"/>
  <c r="AT6" i="5"/>
  <c r="AX39" i="5"/>
  <c r="CC12" i="5"/>
  <c r="O4" i="5"/>
  <c r="AP21" i="8"/>
  <c r="C122" i="11528"/>
  <c r="O68" i="11528" s="1"/>
  <c r="T86" i="9"/>
  <c r="AQ116" i="8080"/>
  <c r="AV40" i="267"/>
  <c r="AP43" i="267"/>
  <c r="X43" i="267"/>
  <c r="AN120" i="8080"/>
  <c r="L136" i="8080" s="1"/>
  <c r="AR104" i="8080"/>
  <c r="BC104" i="8080" s="1"/>
  <c r="W120" i="8080"/>
  <c r="W121" i="8080" s="1"/>
  <c r="T146" i="8080"/>
  <c r="BG38" i="5"/>
  <c r="BQ38" i="5" s="1"/>
  <c r="AR38" i="5"/>
  <c r="AM30" i="5"/>
  <c r="BG26" i="5"/>
  <c r="BQ26" i="5" s="1"/>
  <c r="AM22" i="5"/>
  <c r="BR14" i="5"/>
  <c r="BP11" i="5"/>
  <c r="O47" i="8"/>
  <c r="BE22" i="8" s="1"/>
  <c r="O65" i="8"/>
  <c r="AQ28" i="8"/>
  <c r="X67" i="267"/>
  <c r="X71" i="267"/>
  <c r="X70" i="267"/>
  <c r="X60" i="267"/>
  <c r="BG42" i="267"/>
  <c r="BF40" i="267"/>
  <c r="BM40" i="267"/>
  <c r="X37" i="9"/>
  <c r="AH173" i="8080"/>
  <c r="AP120" i="8080"/>
  <c r="AS120" i="8080"/>
  <c r="AQ16" i="8080"/>
  <c r="AK120" i="8080"/>
  <c r="S82" i="5"/>
  <c r="AM15" i="5"/>
  <c r="AM16" i="5"/>
  <c r="AM12" i="5"/>
  <c r="AM13" i="5"/>
  <c r="AM17" i="5"/>
  <c r="BG31" i="5"/>
  <c r="BQ31" i="5" s="1"/>
  <c r="AM27" i="5"/>
  <c r="BG23" i="5"/>
  <c r="BQ23" i="5" s="1"/>
  <c r="AM19" i="5"/>
  <c r="BG12" i="5"/>
  <c r="BQ12" i="5" s="1"/>
  <c r="BF26" i="267"/>
  <c r="BM26" i="267"/>
  <c r="C128" i="11528"/>
  <c r="O75" i="11528" s="1"/>
  <c r="G156" i="11528" s="1"/>
  <c r="X72" i="9"/>
  <c r="AL120" i="8080"/>
  <c r="L134" i="8080" s="1"/>
  <c r="AM38" i="5"/>
  <c r="BG30" i="5"/>
  <c r="BQ30" i="5" s="1"/>
  <c r="AM26" i="5"/>
  <c r="BJ11" i="5"/>
  <c r="W45" i="8"/>
  <c r="AP20" i="8"/>
  <c r="X59" i="267"/>
  <c r="AM43" i="267"/>
  <c r="AN43" i="267"/>
  <c r="AF74" i="9"/>
  <c r="AQ113" i="8080"/>
  <c r="AQ104" i="8080"/>
  <c r="BG17" i="5"/>
  <c r="BQ17" i="5" s="1"/>
  <c r="BG15" i="5"/>
  <c r="BQ15" i="5" s="1"/>
  <c r="BZ36" i="5"/>
  <c r="BG29" i="5"/>
  <c r="BQ29" i="5" s="1"/>
  <c r="BG21" i="5"/>
  <c r="BQ21" i="5" s="1"/>
  <c r="BZ15" i="5"/>
  <c r="BG13" i="5"/>
  <c r="BQ13" i="5" s="1"/>
  <c r="W75" i="8"/>
  <c r="AP19" i="8"/>
  <c r="AZ43" i="267"/>
  <c r="BM41" i="267"/>
  <c r="BF41" i="267"/>
  <c r="AV39" i="267"/>
  <c r="BB24" i="9"/>
  <c r="BF24" i="9"/>
  <c r="AI43" i="267"/>
  <c r="AU36" i="267"/>
  <c r="BE19" i="267"/>
  <c r="AU14" i="267"/>
  <c r="AW11" i="267"/>
  <c r="AF84" i="9"/>
  <c r="P20" i="3" s="1"/>
  <c r="L69" i="9"/>
  <c r="AY37" i="9"/>
  <c r="I62" i="9" s="1"/>
  <c r="O62" i="9" s="1"/>
  <c r="AQ111" i="8080"/>
  <c r="AQ106" i="8080"/>
  <c r="AT120" i="8080"/>
  <c r="AU24" i="267"/>
  <c r="BE13" i="267"/>
  <c r="AT43" i="267"/>
  <c r="AL43" i="267"/>
  <c r="AU36" i="9"/>
  <c r="AU25" i="9"/>
  <c r="AU22" i="9"/>
  <c r="BB21" i="9"/>
  <c r="BF21" i="9"/>
  <c r="AU11" i="9"/>
  <c r="AH139" i="8080"/>
  <c r="Q34" i="3" s="1"/>
  <c r="M157" i="8080"/>
  <c r="X138" i="8080"/>
  <c r="X146" i="8080"/>
  <c r="X139" i="8080"/>
  <c r="U174" i="8080"/>
  <c r="AQ108" i="8080"/>
  <c r="AX120" i="8080"/>
  <c r="T137" i="8080" s="1"/>
  <c r="AW120" i="8080"/>
  <c r="AM120" i="8080"/>
  <c r="L135" i="8080" s="1"/>
  <c r="AO120" i="8080"/>
  <c r="AU9" i="5"/>
  <c r="AT5" i="5"/>
  <c r="X96" i="267"/>
  <c r="BE33" i="267"/>
  <c r="AU22" i="267"/>
  <c r="AU33" i="9"/>
  <c r="AU30" i="9"/>
  <c r="BB29" i="9"/>
  <c r="BF29" i="9"/>
  <c r="AU20" i="9"/>
  <c r="AX37" i="9"/>
  <c r="AP25" i="8"/>
  <c r="AP22" i="8"/>
  <c r="AV41" i="267"/>
  <c r="AU41" i="267"/>
  <c r="AV37" i="267"/>
  <c r="BE21" i="267"/>
  <c r="BM20" i="267"/>
  <c r="AU16" i="267"/>
  <c r="AO37" i="9"/>
  <c r="AU34" i="9"/>
  <c r="BB32" i="9"/>
  <c r="BF32" i="9"/>
  <c r="AS37" i="9"/>
  <c r="AU26" i="267"/>
  <c r="BE15" i="267"/>
  <c r="AU27" i="9"/>
  <c r="BB13" i="9"/>
  <c r="BF13" i="9"/>
  <c r="V37" i="9"/>
  <c r="BE37" i="9"/>
  <c r="O161" i="8080"/>
  <c r="E160" i="8080"/>
  <c r="O160" i="8080" s="1"/>
  <c r="AQ119" i="8080"/>
  <c r="AQ114" i="8080"/>
  <c r="BC32" i="8080"/>
  <c r="AQ91" i="8080"/>
  <c r="AQ83" i="8080"/>
  <c r="AX43" i="267"/>
  <c r="L68" i="267" s="1"/>
  <c r="M72" i="9"/>
  <c r="BF31" i="9"/>
  <c r="BB26" i="9"/>
  <c r="BF23" i="9"/>
  <c r="BB18" i="9"/>
  <c r="BF15" i="9"/>
  <c r="BB11" i="9"/>
  <c r="AQ100" i="8080"/>
  <c r="AQ98" i="8080"/>
  <c r="U81" i="8"/>
  <c r="BG40" i="267"/>
  <c r="BG38" i="267"/>
  <c r="BG36" i="267"/>
  <c r="BG34" i="267"/>
  <c r="BG26" i="267"/>
  <c r="BG24" i="267"/>
  <c r="BG22" i="267"/>
  <c r="BG20" i="267"/>
  <c r="BG18" i="267"/>
  <c r="BG16" i="267"/>
  <c r="BG14" i="267"/>
  <c r="BD31" i="9"/>
  <c r="BD23" i="9"/>
  <c r="BD15" i="9"/>
  <c r="AQ90" i="8080"/>
  <c r="AQ63" i="8080"/>
  <c r="AQ54" i="8080"/>
  <c r="AQ23" i="8080"/>
  <c r="AQ79" i="8080"/>
  <c r="AQ74" i="8080"/>
  <c r="AQ71" i="8080"/>
  <c r="AQ66" i="8080"/>
  <c r="AQ29" i="8080"/>
  <c r="AL31" i="7"/>
  <c r="X60" i="9"/>
  <c r="BB22" i="9"/>
  <c r="BB14" i="9"/>
  <c r="BD13" i="9"/>
  <c r="AQ87" i="8080"/>
  <c r="AQ84" i="8080"/>
  <c r="AQ62" i="8080"/>
  <c r="AQ36" i="8080"/>
  <c r="AQ99" i="8080"/>
  <c r="AQ80" i="8080"/>
  <c r="AQ72" i="8080"/>
  <c r="AQ64" i="8080"/>
  <c r="AQ28" i="8080"/>
  <c r="AQ27" i="8080"/>
  <c r="AQ22" i="8080"/>
  <c r="AQ12" i="8080"/>
  <c r="AQ52" i="8080"/>
  <c r="AQ43" i="8080"/>
  <c r="M73" i="2096"/>
  <c r="X54" i="2096"/>
  <c r="O77" i="2096"/>
  <c r="O79" i="2096"/>
  <c r="AQ49" i="8080"/>
  <c r="BD11" i="2096"/>
  <c r="AW37" i="2096"/>
  <c r="I64" i="2096" s="1"/>
  <c r="M85" i="7"/>
  <c r="BN42" i="7" s="1"/>
  <c r="AF86" i="7"/>
  <c r="Q24" i="3" s="1"/>
  <c r="AP35" i="7"/>
  <c r="AM41" i="7"/>
  <c r="AP14" i="7"/>
  <c r="AQ45" i="8080"/>
  <c r="AQ17" i="8080"/>
  <c r="AQ14" i="8080"/>
  <c r="BA36" i="7"/>
  <c r="BA14" i="7"/>
  <c r="AV41" i="7"/>
  <c r="L61" i="7" s="1"/>
  <c r="AQ57" i="8080"/>
  <c r="AQ41" i="8080"/>
  <c r="O76" i="2096"/>
  <c r="X61" i="2096"/>
  <c r="AQ37" i="8080"/>
  <c r="AQ33" i="8080"/>
  <c r="AQ25" i="8080"/>
  <c r="AQ21" i="8080"/>
  <c r="AQ13" i="8080"/>
  <c r="AU28" i="2096"/>
  <c r="AU25" i="2096"/>
  <c r="AU21" i="2096"/>
  <c r="AU17" i="2096"/>
  <c r="AU13" i="2096"/>
  <c r="O91" i="7"/>
  <c r="AZ41" i="7"/>
  <c r="AF120" i="7"/>
  <c r="AF88" i="7"/>
  <c r="P24" i="3" s="1"/>
  <c r="AN41" i="7"/>
  <c r="X53" i="2096"/>
  <c r="X55" i="2096"/>
  <c r="X60" i="2096"/>
  <c r="X62" i="2096"/>
  <c r="X52" i="2096"/>
  <c r="AU29" i="2096"/>
  <c r="AU26" i="2096"/>
  <c r="AT37" i="2096"/>
  <c r="V37" i="2096"/>
  <c r="O92" i="7"/>
  <c r="O89" i="7"/>
  <c r="W104" i="7"/>
  <c r="BA38" i="7"/>
  <c r="BA35" i="7"/>
  <c r="AP29" i="7"/>
  <c r="BA27" i="7"/>
  <c r="BA25" i="7"/>
  <c r="AL22" i="7"/>
  <c r="AU33" i="2096"/>
  <c r="AP37" i="2096"/>
  <c r="BA29" i="7"/>
  <c r="BK41" i="7"/>
  <c r="BA26" i="7"/>
  <c r="AO41" i="7"/>
  <c r="BA18" i="7"/>
  <c r="AU41" i="7"/>
  <c r="L60" i="7" s="1"/>
  <c r="AL18" i="7"/>
  <c r="U37" i="2096"/>
  <c r="AO37" i="2096"/>
  <c r="AU11" i="2096"/>
  <c r="O90" i="7"/>
  <c r="X71" i="7"/>
  <c r="BT31" i="7"/>
  <c r="AX41" i="7"/>
  <c r="AP20" i="7"/>
  <c r="BC41" i="7"/>
  <c r="AX37" i="2096"/>
  <c r="L61" i="2096" s="1"/>
  <c r="O61" i="2096" s="1"/>
  <c r="AF79" i="2096" s="1"/>
  <c r="AW41" i="7"/>
  <c r="BB41" i="7"/>
  <c r="AY41" i="7"/>
  <c r="BE41" i="7"/>
  <c r="BT20" i="7"/>
  <c r="BT14" i="7"/>
  <c r="BT23" i="7"/>
  <c r="BT11" i="7"/>
  <c r="BT17" i="7"/>
  <c r="BT24" i="7"/>
  <c r="BT12" i="7"/>
  <c r="BT18" i="7"/>
  <c r="BT27" i="7"/>
  <c r="BT37" i="7"/>
  <c r="BT28" i="7"/>
  <c r="AP27" i="7"/>
  <c r="BT26" i="7"/>
  <c r="AP17" i="7"/>
  <c r="BA11" i="7"/>
  <c r="AR23" i="12"/>
  <c r="BG13" i="12"/>
  <c r="BG28" i="12" s="1"/>
  <c r="AQ27" i="12"/>
  <c r="F73" i="12" s="1"/>
  <c r="BG20" i="2096"/>
  <c r="BG16" i="2096"/>
  <c r="BG12" i="2096"/>
  <c r="BT34" i="7"/>
  <c r="BT21" i="7"/>
  <c r="BA20" i="7"/>
  <c r="AL17" i="7"/>
  <c r="AK27" i="12"/>
  <c r="K39" i="12" s="1"/>
  <c r="N39" i="12" s="1"/>
  <c r="AR25" i="12"/>
  <c r="BG27" i="2096"/>
  <c r="BD21" i="2096"/>
  <c r="BD17" i="2096"/>
  <c r="BD13" i="2096"/>
  <c r="X72" i="7"/>
  <c r="X68" i="7"/>
  <c r="BU21" i="7"/>
  <c r="X62" i="7"/>
  <c r="BT40" i="7"/>
  <c r="BT33" i="7"/>
  <c r="BT22" i="7"/>
  <c r="BA17" i="7"/>
  <c r="W43" i="12"/>
  <c r="K38" i="12"/>
  <c r="BC13" i="12"/>
  <c r="AO27" i="12"/>
  <c r="AZ28" i="12"/>
  <c r="BD36" i="2096"/>
  <c r="BD32" i="2096"/>
  <c r="BD28" i="2096"/>
  <c r="BD24" i="2096"/>
  <c r="BG23" i="2096"/>
  <c r="BG19" i="2096"/>
  <c r="BG15" i="2096"/>
  <c r="BG11" i="2096"/>
  <c r="U104" i="7"/>
  <c r="X70" i="7"/>
  <c r="BT39" i="7"/>
  <c r="BT30" i="7"/>
  <c r="AP28" i="7"/>
  <c r="BA23" i="7"/>
  <c r="AL15" i="7"/>
  <c r="BT13" i="7"/>
  <c r="AD83" i="12"/>
  <c r="G121" i="11528"/>
  <c r="W45" i="12"/>
  <c r="AR26" i="12"/>
  <c r="AR10" i="12"/>
  <c r="AN27" i="12"/>
  <c r="S47" i="11"/>
  <c r="W47" i="11" s="1"/>
  <c r="W46" i="11"/>
  <c r="I9" i="41"/>
  <c r="BG34" i="2096"/>
  <c r="BG30" i="2096"/>
  <c r="BG26" i="2096"/>
  <c r="BD20" i="2096"/>
  <c r="BD16" i="2096"/>
  <c r="O65" i="7"/>
  <c r="AF77" i="7" s="1"/>
  <c r="BT36" i="7"/>
  <c r="BT29" i="7"/>
  <c r="BA24" i="7"/>
  <c r="BA13" i="7"/>
  <c r="AR14" i="12"/>
  <c r="F71" i="12"/>
  <c r="N71" i="12" s="1"/>
  <c r="BE10" i="12" s="1"/>
  <c r="BE28" i="12" s="1"/>
  <c r="BG22" i="2096"/>
  <c r="BG18" i="2096"/>
  <c r="BG14" i="2096"/>
  <c r="O68" i="7"/>
  <c r="BT35" i="7"/>
  <c r="BT19" i="7"/>
  <c r="AL16" i="7"/>
  <c r="K56" i="12"/>
  <c r="K45" i="12"/>
  <c r="N45" i="12" s="1"/>
  <c r="AR22" i="12"/>
  <c r="AW22" i="12"/>
  <c r="O55" i="2096"/>
  <c r="BG33" i="2096"/>
  <c r="BG29" i="2096"/>
  <c r="T101" i="7"/>
  <c r="X101" i="7" s="1"/>
  <c r="X73" i="7"/>
  <c r="BT32" i="7"/>
  <c r="AL26" i="7"/>
  <c r="BA19" i="7"/>
  <c r="BT15" i="7"/>
  <c r="AP11" i="7"/>
  <c r="BH11" i="7" s="1"/>
  <c r="BC12" i="12"/>
  <c r="BC15" i="12"/>
  <c r="BC22" i="12"/>
  <c r="BC19" i="12"/>
  <c r="N50" i="12"/>
  <c r="N52" i="12"/>
  <c r="AD98" i="12" s="1"/>
  <c r="BC16" i="12"/>
  <c r="BC23" i="12"/>
  <c r="BC26" i="12"/>
  <c r="BC18" i="12"/>
  <c r="K41" i="12"/>
  <c r="AR18" i="12"/>
  <c r="BB28" i="12"/>
  <c r="AR11" i="12"/>
  <c r="AD116" i="11"/>
  <c r="AV28" i="2826"/>
  <c r="S37" i="11524"/>
  <c r="AE37" i="11524"/>
  <c r="AE38" i="11524" s="1"/>
  <c r="S16" i="11524"/>
  <c r="U16" i="11524" s="1"/>
  <c r="AD16" i="11524"/>
  <c r="BJ28" i="11"/>
  <c r="AN15" i="2826"/>
  <c r="BJ28" i="2826"/>
  <c r="AR24" i="11"/>
  <c r="AR22" i="11"/>
  <c r="AR20" i="11"/>
  <c r="AR18" i="11"/>
  <c r="AR16" i="11"/>
  <c r="AR14" i="11"/>
  <c r="AR12" i="11"/>
  <c r="AP27" i="11" s="1"/>
  <c r="BG11" i="11"/>
  <c r="BG28" i="11" s="1"/>
  <c r="AQ27" i="11"/>
  <c r="AI27" i="11"/>
  <c r="AU20" i="2826"/>
  <c r="BE15" i="2826"/>
  <c r="AN14" i="2826"/>
  <c r="AU12" i="2826"/>
  <c r="S10" i="11524"/>
  <c r="AD10" i="11524"/>
  <c r="W58" i="11"/>
  <c r="K45" i="11"/>
  <c r="N45" i="11" s="1"/>
  <c r="AF27" i="11"/>
  <c r="K43" i="11" s="1"/>
  <c r="N43" i="11" s="1"/>
  <c r="BH11" i="11"/>
  <c r="S54" i="12"/>
  <c r="W50" i="12"/>
  <c r="BF10" i="12"/>
  <c r="BF11" i="12"/>
  <c r="W40" i="12"/>
  <c r="BF22" i="12"/>
  <c r="BK24" i="2826"/>
  <c r="BE24" i="2826"/>
  <c r="AN12" i="2826"/>
  <c r="V27" i="2826"/>
  <c r="AD82" i="11"/>
  <c r="L59" i="11"/>
  <c r="BF13" i="11"/>
  <c r="BF15" i="11"/>
  <c r="BF17" i="11"/>
  <c r="BF19" i="11"/>
  <c r="BF21" i="11"/>
  <c r="BF23" i="11"/>
  <c r="BF25" i="11"/>
  <c r="BF11" i="11"/>
  <c r="BF10" i="11"/>
  <c r="BF14" i="11"/>
  <c r="BF16" i="11"/>
  <c r="BF18" i="11"/>
  <c r="BF20" i="11"/>
  <c r="BF22" i="11"/>
  <c r="BF24" i="11"/>
  <c r="AR13" i="11"/>
  <c r="BD28" i="11"/>
  <c r="AO27" i="11"/>
  <c r="AE27" i="11"/>
  <c r="AZ11" i="11"/>
  <c r="AZ28" i="11" s="1"/>
  <c r="AY8" i="11" s="1"/>
  <c r="W64" i="12"/>
  <c r="W48" i="12"/>
  <c r="S46" i="12"/>
  <c r="W44" i="12"/>
  <c r="W41" i="12"/>
  <c r="W38" i="12"/>
  <c r="AF27" i="12"/>
  <c r="K43" i="12" s="1"/>
  <c r="N43" i="12" s="1"/>
  <c r="BF25" i="12"/>
  <c r="BF18" i="12"/>
  <c r="BK18" i="2826"/>
  <c r="Y48" i="2826"/>
  <c r="Y50" i="2826"/>
  <c r="BK15" i="2826"/>
  <c r="BK22" i="2826"/>
  <c r="BK12" i="2826"/>
  <c r="BK19" i="2826"/>
  <c r="Y43" i="2826"/>
  <c r="BK16" i="2826"/>
  <c r="BK23" i="2826"/>
  <c r="BK26" i="2826"/>
  <c r="Y41" i="2826"/>
  <c r="Y46" i="2826"/>
  <c r="W81" i="2826"/>
  <c r="BE26" i="2826"/>
  <c r="AU25" i="2826"/>
  <c r="BE21" i="2826"/>
  <c r="BE20" i="2826"/>
  <c r="AU17" i="2826"/>
  <c r="AN27" i="11"/>
  <c r="BF14" i="12"/>
  <c r="AN25" i="2826"/>
  <c r="BK21" i="2826"/>
  <c r="BK20" i="2826"/>
  <c r="AU11" i="2826"/>
  <c r="R38" i="11524"/>
  <c r="W17" i="11524"/>
  <c r="W49" i="11"/>
  <c r="BB28" i="11"/>
  <c r="BH10" i="12"/>
  <c r="Y47" i="2826"/>
  <c r="Q45" i="2826"/>
  <c r="BE23" i="2826"/>
  <c r="AU22" i="2826"/>
  <c r="BE17" i="2826"/>
  <c r="BE10" i="2826"/>
  <c r="S13" i="11524"/>
  <c r="AD84" i="11"/>
  <c r="N42" i="11"/>
  <c r="S45" i="11"/>
  <c r="W45" i="11" s="1"/>
  <c r="BA28" i="11"/>
  <c r="AW10" i="11"/>
  <c r="K41" i="11"/>
  <c r="H54" i="11"/>
  <c r="N54" i="11" s="1"/>
  <c r="I45" i="41"/>
  <c r="BC26" i="11"/>
  <c r="BC24" i="11"/>
  <c r="BC22" i="11"/>
  <c r="BC20" i="11"/>
  <c r="BC18" i="11"/>
  <c r="BC16" i="11"/>
  <c r="BC14" i="11"/>
  <c r="BC12" i="11"/>
  <c r="BD48" i="6" l="1"/>
  <c r="CD48" i="6" s="1"/>
  <c r="V37" i="5"/>
  <c r="BD43" i="6"/>
  <c r="CD43" i="6" s="1"/>
  <c r="CQ49" i="6"/>
  <c r="BD37" i="6"/>
  <c r="CD37" i="6" s="1"/>
  <c r="BD36" i="6"/>
  <c r="CD36" i="6" s="1"/>
  <c r="BD40" i="6"/>
  <c r="CD40" i="6" s="1"/>
  <c r="BD39" i="6"/>
  <c r="CD39" i="6" s="1"/>
  <c r="BD44" i="6"/>
  <c r="CD44" i="6" s="1"/>
  <c r="AE83" i="8"/>
  <c r="U41" i="11534"/>
  <c r="X48" i="3" s="1"/>
  <c r="V19" i="4"/>
  <c r="AL30" i="5"/>
  <c r="AR26" i="5"/>
  <c r="X39" i="3"/>
  <c r="J32" i="11536"/>
  <c r="J82" i="11536" s="1"/>
  <c r="E32" i="11536"/>
  <c r="U82" i="11536"/>
  <c r="O51" i="11531"/>
  <c r="L40" i="3"/>
  <c r="T40" i="3" s="1"/>
  <c r="U39" i="3"/>
  <c r="U17" i="11524"/>
  <c r="U47" i="11535"/>
  <c r="J47" i="11535" s="1"/>
  <c r="J100" i="11535" s="1"/>
  <c r="AL26" i="5"/>
  <c r="BA11" i="8"/>
  <c r="BA29" i="8" s="1"/>
  <c r="BA12" i="8"/>
  <c r="BA13" i="8"/>
  <c r="AR21" i="5"/>
  <c r="V21" i="5" s="1"/>
  <c r="AL21" i="5"/>
  <c r="BS27" i="5"/>
  <c r="AL27" i="5"/>
  <c r="BS22" i="5"/>
  <c r="AR25" i="5"/>
  <c r="V25" i="5" s="1"/>
  <c r="BS25" i="5"/>
  <c r="AL23" i="5"/>
  <c r="BZ29" i="5"/>
  <c r="AR29" i="5"/>
  <c r="V29" i="5" s="1"/>
  <c r="BD29" i="6"/>
  <c r="CD29" i="6" s="1"/>
  <c r="BD31" i="6"/>
  <c r="CD31" i="6" s="1"/>
  <c r="BZ21" i="5"/>
  <c r="BD33" i="6"/>
  <c r="CD33" i="6" s="1"/>
  <c r="BD35" i="6"/>
  <c r="CD35" i="6" s="1"/>
  <c r="BD32" i="6"/>
  <c r="CD32" i="6" s="1"/>
  <c r="AL28" i="5"/>
  <c r="X19" i="4"/>
  <c r="T19" i="4"/>
  <c r="Y19" i="4"/>
  <c r="BA31" i="5"/>
  <c r="BK31" i="5" s="1"/>
  <c r="AZ34" i="5"/>
  <c r="BJ34" i="5" s="1"/>
  <c r="AZ35" i="5"/>
  <c r="BJ35" i="5" s="1"/>
  <c r="AZ32" i="5"/>
  <c r="BJ32" i="5" s="1"/>
  <c r="AZ33" i="5"/>
  <c r="BJ33" i="5" s="1"/>
  <c r="AZ24" i="5"/>
  <c r="BJ24" i="5" s="1"/>
  <c r="AZ19" i="5"/>
  <c r="BJ19" i="5" s="1"/>
  <c r="AZ27" i="5"/>
  <c r="BJ27" i="5" s="1"/>
  <c r="AZ22" i="5"/>
  <c r="BJ22" i="5" s="1"/>
  <c r="AZ30" i="5"/>
  <c r="BJ30" i="5" s="1"/>
  <c r="AZ25" i="5"/>
  <c r="BJ25" i="5" s="1"/>
  <c r="AZ20" i="5"/>
  <c r="BJ20" i="5" s="1"/>
  <c r="AZ28" i="5"/>
  <c r="BJ28" i="5" s="1"/>
  <c r="AZ23" i="5"/>
  <c r="BJ23" i="5" s="1"/>
  <c r="AZ31" i="5"/>
  <c r="BJ31" i="5" s="1"/>
  <c r="S39" i="5" s="1"/>
  <c r="AZ26" i="5"/>
  <c r="BJ26" i="5" s="1"/>
  <c r="AZ21" i="5"/>
  <c r="BJ21" i="5" s="1"/>
  <c r="AZ29" i="5"/>
  <c r="BJ29" i="5" s="1"/>
  <c r="BZ22" i="5"/>
  <c r="BS28" i="5"/>
  <c r="AR31" i="5"/>
  <c r="V31" i="5" s="1"/>
  <c r="AR23" i="5"/>
  <c r="V23" i="5" s="1"/>
  <c r="BZ26" i="5"/>
  <c r="BS24" i="5"/>
  <c r="AJ26" i="5"/>
  <c r="BS31" i="5"/>
  <c r="BS29" i="5"/>
  <c r="AQ30" i="5"/>
  <c r="BZ31" i="5"/>
  <c r="BZ27" i="5"/>
  <c r="BY27" i="5"/>
  <c r="AJ30" i="5"/>
  <c r="BY30" i="5"/>
  <c r="AL24" i="5"/>
  <c r="AJ27" i="5"/>
  <c r="U19" i="4"/>
  <c r="AE69" i="8"/>
  <c r="BX50" i="11533"/>
  <c r="BW50" i="11533" s="1"/>
  <c r="AC64" i="11532"/>
  <c r="AC115" i="11532" s="1"/>
  <c r="BD41" i="6"/>
  <c r="CD41" i="6" s="1"/>
  <c r="BD34" i="6"/>
  <c r="CD34" i="6" s="1"/>
  <c r="BD45" i="6"/>
  <c r="CD45" i="6" s="1"/>
  <c r="BD30" i="6"/>
  <c r="CD30" i="6" s="1"/>
  <c r="BD42" i="6"/>
  <c r="CD42" i="6" s="1"/>
  <c r="L16" i="3"/>
  <c r="AO139" i="11532"/>
  <c r="AC65" i="11532" s="1"/>
  <c r="L12" i="3"/>
  <c r="AO139" i="11533"/>
  <c r="AC65" i="11533" s="1"/>
  <c r="BX50" i="11532"/>
  <c r="BW50" i="11532" s="1"/>
  <c r="BW35" i="5"/>
  <c r="BW34" i="5"/>
  <c r="AC64" i="11533"/>
  <c r="J64" i="11533" s="1"/>
  <c r="J115" i="11533" s="1"/>
  <c r="L48" i="3"/>
  <c r="AF2" i="11534"/>
  <c r="U42" i="11534" s="1"/>
  <c r="BW32" i="5"/>
  <c r="L45" i="3"/>
  <c r="AF2" i="11535"/>
  <c r="U48" i="11535" s="1"/>
  <c r="BW33" i="5"/>
  <c r="AQ29" i="5"/>
  <c r="AQ21" i="5"/>
  <c r="BY21" i="5"/>
  <c r="BZ25" i="5"/>
  <c r="BY22" i="5"/>
  <c r="BY26" i="5"/>
  <c r="BY23" i="5"/>
  <c r="BY29" i="5"/>
  <c r="AQ22" i="5"/>
  <c r="AQ31" i="5"/>
  <c r="AJ31" i="5"/>
  <c r="BY25" i="5"/>
  <c r="AQ23" i="5"/>
  <c r="AJ23" i="5"/>
  <c r="AQ25" i="5"/>
  <c r="BY24" i="5"/>
  <c r="AJ24" i="5"/>
  <c r="AQ24" i="5"/>
  <c r="BY28" i="5"/>
  <c r="AJ28" i="5"/>
  <c r="AQ28" i="5"/>
  <c r="T87" i="267"/>
  <c r="G80" i="11528" s="1"/>
  <c r="BD17" i="6"/>
  <c r="CD17" i="6" s="1"/>
  <c r="X57" i="11530"/>
  <c r="G91" i="11528"/>
  <c r="X55" i="11530"/>
  <c r="G89" i="11528"/>
  <c r="X72" i="11530"/>
  <c r="G102" i="11528"/>
  <c r="W19" i="4"/>
  <c r="BD16" i="6"/>
  <c r="CD16" i="6" s="1"/>
  <c r="BD28" i="6"/>
  <c r="CD28" i="6" s="1"/>
  <c r="BD26" i="6"/>
  <c r="CD26" i="6" s="1"/>
  <c r="BD21" i="6"/>
  <c r="CD21" i="6" s="1"/>
  <c r="BD19" i="6"/>
  <c r="CD19" i="6" s="1"/>
  <c r="BD14" i="6"/>
  <c r="CD14" i="6" s="1"/>
  <c r="BD24" i="6"/>
  <c r="CD24" i="6" s="1"/>
  <c r="BD13" i="6"/>
  <c r="CD13" i="6" s="1"/>
  <c r="BD18" i="6"/>
  <c r="CD18" i="6" s="1"/>
  <c r="BD23" i="6"/>
  <c r="CD23" i="6" s="1"/>
  <c r="BD25" i="6"/>
  <c r="CD25" i="6" s="1"/>
  <c r="BD27" i="6"/>
  <c r="CD27" i="6" s="1"/>
  <c r="BD15" i="6"/>
  <c r="CD15" i="6" s="1"/>
  <c r="BD20" i="6"/>
  <c r="CD20" i="6" s="1"/>
  <c r="BD22" i="6"/>
  <c r="CD22" i="6" s="1"/>
  <c r="CW12" i="6"/>
  <c r="CW49" i="6" s="1"/>
  <c r="CO50" i="6" s="1"/>
  <c r="AB89" i="6" s="1"/>
  <c r="AB91" i="6" s="1"/>
  <c r="AF91" i="6" s="1"/>
  <c r="CP49" i="6"/>
  <c r="AV11" i="6"/>
  <c r="AD11" i="6" s="1"/>
  <c r="BI11" i="6" s="1"/>
  <c r="BD12" i="6"/>
  <c r="CD12" i="6" s="1"/>
  <c r="AV12" i="6"/>
  <c r="AD12" i="6" s="1"/>
  <c r="BS20" i="5"/>
  <c r="AL20" i="5"/>
  <c r="AJ18" i="5"/>
  <c r="BY18" i="5"/>
  <c r="BA15" i="5"/>
  <c r="BK15" i="5" s="1"/>
  <c r="CC16" i="5"/>
  <c r="CC34" i="5"/>
  <c r="BA22" i="5"/>
  <c r="BK22" i="5" s="1"/>
  <c r="BA33" i="5"/>
  <c r="BA35" i="5"/>
  <c r="BA32" i="5"/>
  <c r="BA34" i="5"/>
  <c r="AZ15" i="5"/>
  <c r="BJ15" i="5" s="1"/>
  <c r="AZ16" i="5"/>
  <c r="BJ16" i="5" s="1"/>
  <c r="AZ13" i="5"/>
  <c r="BJ13" i="5" s="1"/>
  <c r="AZ18" i="5"/>
  <c r="BJ18" i="5" s="1"/>
  <c r="AZ14" i="5"/>
  <c r="BJ14" i="5" s="1"/>
  <c r="AZ12" i="5"/>
  <c r="BJ12" i="5" s="1"/>
  <c r="AZ17" i="5"/>
  <c r="BJ17" i="5" s="1"/>
  <c r="BB33" i="5"/>
  <c r="BL33" i="5" s="1"/>
  <c r="BB34" i="5"/>
  <c r="BL34" i="5" s="1"/>
  <c r="BB35" i="5"/>
  <c r="BL35" i="5" s="1"/>
  <c r="BB32" i="5"/>
  <c r="BL32" i="5" s="1"/>
  <c r="BA24" i="5"/>
  <c r="BK24" i="5" s="1"/>
  <c r="CC23" i="5"/>
  <c r="BA29" i="5"/>
  <c r="BK29" i="5" s="1"/>
  <c r="CC25" i="5"/>
  <c r="CC35" i="5"/>
  <c r="BA37" i="5"/>
  <c r="BK37" i="5" s="1"/>
  <c r="CC33" i="5"/>
  <c r="BA20" i="5"/>
  <c r="BK20" i="5" s="1"/>
  <c r="CC28" i="5"/>
  <c r="CC37" i="5"/>
  <c r="BA28" i="5"/>
  <c r="BK28" i="5" s="1"/>
  <c r="CC27" i="5"/>
  <c r="BA12" i="5"/>
  <c r="BK12" i="5" s="1"/>
  <c r="CC22" i="5"/>
  <c r="BA23" i="5"/>
  <c r="BK23" i="5" s="1"/>
  <c r="CC29" i="5"/>
  <c r="CC20" i="5"/>
  <c r="BA26" i="5"/>
  <c r="BK26" i="5" s="1"/>
  <c r="CC24" i="5"/>
  <c r="BA19" i="5"/>
  <c r="BK19" i="5" s="1"/>
  <c r="CC19" i="5"/>
  <c r="BA36" i="5"/>
  <c r="BK36" i="5" s="1"/>
  <c r="CC18" i="5"/>
  <c r="CC21" i="5"/>
  <c r="CC15" i="5"/>
  <c r="BA25" i="5"/>
  <c r="BK25" i="5" s="1"/>
  <c r="BA18" i="5"/>
  <c r="BK18" i="5" s="1"/>
  <c r="CC13" i="5"/>
  <c r="BA27" i="5"/>
  <c r="BK27" i="5" s="1"/>
  <c r="CC30" i="5"/>
  <c r="BA30" i="5"/>
  <c r="BK30" i="5" s="1"/>
  <c r="V24" i="5"/>
  <c r="BA38" i="5"/>
  <c r="BK38" i="5" s="1"/>
  <c r="BA17" i="5"/>
  <c r="BK17" i="5" s="1"/>
  <c r="BA16" i="5"/>
  <c r="BK16" i="5" s="1"/>
  <c r="CC14" i="5"/>
  <c r="BA21" i="5"/>
  <c r="BK21" i="5" s="1"/>
  <c r="BA14" i="5"/>
  <c r="BK14" i="5" s="1"/>
  <c r="CC38" i="5"/>
  <c r="CC17" i="5"/>
  <c r="AT39" i="5"/>
  <c r="L49" i="5" s="1"/>
  <c r="R39" i="5"/>
  <c r="L52" i="5" s="1"/>
  <c r="AQ18" i="5"/>
  <c r="BZ17" i="5"/>
  <c r="BZ20" i="5"/>
  <c r="AJ20" i="5"/>
  <c r="AQ20" i="5"/>
  <c r="AV12" i="267"/>
  <c r="AJ17" i="5"/>
  <c r="BY17" i="5"/>
  <c r="AV11" i="267"/>
  <c r="AO43" i="267"/>
  <c r="L57" i="267" s="1"/>
  <c r="Q14" i="3"/>
  <c r="O75" i="6"/>
  <c r="L64" i="11"/>
  <c r="G149" i="11528"/>
  <c r="AR43" i="267"/>
  <c r="L59" i="267" s="1"/>
  <c r="AQ43" i="267"/>
  <c r="AG34" i="6"/>
  <c r="BI34" i="6"/>
  <c r="AG35" i="6"/>
  <c r="BI35" i="6"/>
  <c r="AG38" i="6"/>
  <c r="BI38" i="6"/>
  <c r="BV48" i="6"/>
  <c r="BY48" i="6"/>
  <c r="AG39" i="6"/>
  <c r="BI39" i="6"/>
  <c r="AG43" i="6"/>
  <c r="BI43" i="6"/>
  <c r="AG40" i="6"/>
  <c r="BI40" i="6"/>
  <c r="AG44" i="6"/>
  <c r="BI44" i="6"/>
  <c r="AG33" i="6"/>
  <c r="BI33" i="6"/>
  <c r="AG32" i="6"/>
  <c r="BI32" i="6"/>
  <c r="AG37" i="6"/>
  <c r="BI37" i="6"/>
  <c r="BV46" i="6"/>
  <c r="BY46" i="6"/>
  <c r="AG41" i="6"/>
  <c r="BI41" i="6"/>
  <c r="BV45" i="6"/>
  <c r="BY45" i="6"/>
  <c r="AG22" i="6"/>
  <c r="BI22" i="6"/>
  <c r="AG42" i="6"/>
  <c r="BI42" i="6"/>
  <c r="BV47" i="6"/>
  <c r="BY47" i="6"/>
  <c r="BO26" i="6"/>
  <c r="BO16" i="6"/>
  <c r="AG19" i="6"/>
  <c r="BI19" i="6"/>
  <c r="AG28" i="6"/>
  <c r="BI28" i="6"/>
  <c r="BO27" i="6"/>
  <c r="AG29" i="6"/>
  <c r="BI29" i="6"/>
  <c r="AG30" i="6"/>
  <c r="BI30" i="6"/>
  <c r="AG36" i="6"/>
  <c r="BI36" i="6"/>
  <c r="AG31" i="6"/>
  <c r="BI31" i="6"/>
  <c r="BD11" i="6"/>
  <c r="CD11" i="6" s="1"/>
  <c r="BU49" i="6"/>
  <c r="L77" i="6" s="1"/>
  <c r="O77" i="6" s="1"/>
  <c r="AO84" i="6" s="1"/>
  <c r="S25" i="8"/>
  <c r="T25" i="8"/>
  <c r="S24" i="8"/>
  <c r="T24" i="8"/>
  <c r="S20" i="8"/>
  <c r="T20" i="8"/>
  <c r="S19" i="8"/>
  <c r="T19" i="8"/>
  <c r="S26" i="8"/>
  <c r="T26" i="8"/>
  <c r="S18" i="8"/>
  <c r="T18" i="8"/>
  <c r="S17" i="8"/>
  <c r="T17" i="8"/>
  <c r="S16" i="8"/>
  <c r="T16" i="8"/>
  <c r="S15" i="8"/>
  <c r="T15" i="8"/>
  <c r="S11" i="8"/>
  <c r="T11" i="8"/>
  <c r="AL11" i="8" s="1"/>
  <c r="S47" i="8"/>
  <c r="J28" i="8"/>
  <c r="I54" i="8" s="1"/>
  <c r="O54" i="8" s="1"/>
  <c r="AV25" i="8" s="1"/>
  <c r="L48" i="8"/>
  <c r="O48" i="8" s="1"/>
  <c r="S48" i="8"/>
  <c r="S43" i="8"/>
  <c r="S44" i="8"/>
  <c r="S14" i="8"/>
  <c r="T14" i="8"/>
  <c r="S13" i="8"/>
  <c r="T13" i="8"/>
  <c r="AL13" i="8" s="1"/>
  <c r="AP13" i="8" s="1"/>
  <c r="S27" i="8"/>
  <c r="T27" i="8"/>
  <c r="S23" i="8"/>
  <c r="T23" i="8"/>
  <c r="S22" i="8"/>
  <c r="T22" i="8"/>
  <c r="S21" i="8"/>
  <c r="T21" i="8"/>
  <c r="T12" i="8"/>
  <c r="AN11" i="2826"/>
  <c r="Y38" i="2826"/>
  <c r="AQ37" i="2096"/>
  <c r="F69" i="2826"/>
  <c r="F70" i="2826" s="1"/>
  <c r="Q70" i="2826" s="1"/>
  <c r="V20" i="5"/>
  <c r="V28" i="5"/>
  <c r="V30" i="5"/>
  <c r="BH19" i="7"/>
  <c r="L62" i="7"/>
  <c r="BH31" i="7"/>
  <c r="X90" i="7"/>
  <c r="BH25" i="7"/>
  <c r="BH23" i="7"/>
  <c r="AL41" i="7"/>
  <c r="BH13" i="7"/>
  <c r="I76" i="7"/>
  <c r="T63" i="7" s="1"/>
  <c r="G36" i="11528" s="1"/>
  <c r="BH15" i="7"/>
  <c r="X69" i="7"/>
  <c r="BH29" i="7"/>
  <c r="BH27" i="7"/>
  <c r="AP41" i="7"/>
  <c r="U37" i="7"/>
  <c r="BH37" i="7" s="1"/>
  <c r="T136" i="8080"/>
  <c r="X136" i="8080" s="1"/>
  <c r="BD37" i="11531"/>
  <c r="AU37" i="11531"/>
  <c r="I68" i="11531" s="1"/>
  <c r="BG26" i="11531" s="1"/>
  <c r="AP37" i="9"/>
  <c r="L50" i="9" s="1"/>
  <c r="O50" i="9" s="1"/>
  <c r="V27" i="5"/>
  <c r="W55" i="5"/>
  <c r="C152" i="11528"/>
  <c r="O82" i="11528" s="1"/>
  <c r="G163" i="11528" s="1"/>
  <c r="AW43" i="267"/>
  <c r="BR49" i="6"/>
  <c r="I87" i="6" s="1"/>
  <c r="AD23" i="6"/>
  <c r="BH28" i="12"/>
  <c r="AE125" i="5"/>
  <c r="R19" i="3" s="1"/>
  <c r="AF123" i="267"/>
  <c r="R43" i="3" s="1"/>
  <c r="AD115" i="11"/>
  <c r="R22" i="3" s="1"/>
  <c r="P38" i="3"/>
  <c r="AD20" i="6"/>
  <c r="BI20" i="6" s="1"/>
  <c r="AD18" i="6"/>
  <c r="BI18" i="6" s="1"/>
  <c r="AD25" i="6"/>
  <c r="BI25" i="6" s="1"/>
  <c r="AD17" i="6"/>
  <c r="AD21" i="6"/>
  <c r="BI21" i="6" s="1"/>
  <c r="AD15" i="6"/>
  <c r="AD24" i="6"/>
  <c r="U51" i="2826"/>
  <c r="U54" i="2826" s="1"/>
  <c r="AY28" i="2826"/>
  <c r="C158" i="11528"/>
  <c r="I38" i="3"/>
  <c r="BB49" i="6"/>
  <c r="AD14" i="6"/>
  <c r="AD13" i="6"/>
  <c r="E38" i="11529"/>
  <c r="AG26" i="6"/>
  <c r="E28" i="11529"/>
  <c r="AG16" i="6"/>
  <c r="E39" i="11529"/>
  <c r="AG27" i="6"/>
  <c r="L2" i="4"/>
  <c r="K2" i="4"/>
  <c r="BX33" i="11532" s="1"/>
  <c r="AE85" i="5"/>
  <c r="AF115" i="9"/>
  <c r="R20" i="3" s="1"/>
  <c r="BH28" i="11"/>
  <c r="M81" i="11530"/>
  <c r="AF84" i="7"/>
  <c r="AY120" i="8080"/>
  <c r="BD123" i="8080" s="1"/>
  <c r="Y124" i="8080" s="1"/>
  <c r="AF115" i="11531"/>
  <c r="R21" i="3" s="1"/>
  <c r="N53" i="12"/>
  <c r="AD100" i="12" s="1"/>
  <c r="BC24" i="12"/>
  <c r="BC21" i="12"/>
  <c r="N51" i="12"/>
  <c r="AD97" i="12" s="1"/>
  <c r="S71" i="12"/>
  <c r="W71" i="12" s="1"/>
  <c r="BC17" i="12"/>
  <c r="BC20" i="12"/>
  <c r="BC11" i="12"/>
  <c r="AO37" i="11530"/>
  <c r="L51" i="11530" s="1"/>
  <c r="X61" i="267"/>
  <c r="BG37" i="11530"/>
  <c r="M77" i="9"/>
  <c r="AW37" i="11530"/>
  <c r="L52" i="11530"/>
  <c r="O52" i="11530" s="1"/>
  <c r="O62" i="11530"/>
  <c r="AF83" i="11530" s="1"/>
  <c r="AF74" i="6"/>
  <c r="AO90" i="6"/>
  <c r="T23" i="3"/>
  <c r="BU41" i="7"/>
  <c r="AW28" i="11"/>
  <c r="M71" i="5"/>
  <c r="AW28" i="12"/>
  <c r="L64" i="12"/>
  <c r="AD114" i="12"/>
  <c r="R26" i="3" s="1"/>
  <c r="M162" i="8080"/>
  <c r="BC28" i="11"/>
  <c r="O60" i="267"/>
  <c r="AF76" i="267" s="1"/>
  <c r="AV11" i="11530"/>
  <c r="AV37" i="11530" s="1"/>
  <c r="I70" i="11530" s="1"/>
  <c r="L53" i="11530"/>
  <c r="O53" i="11530" s="1"/>
  <c r="AU37" i="11530"/>
  <c r="I75" i="267"/>
  <c r="O75" i="267" s="1"/>
  <c r="AF122" i="267" s="1"/>
  <c r="BG33" i="11531"/>
  <c r="BG29" i="11531"/>
  <c r="BG25" i="11531"/>
  <c r="BG21" i="11531"/>
  <c r="BG17" i="11531"/>
  <c r="BG13" i="11531"/>
  <c r="BG20" i="11531"/>
  <c r="BG12" i="11531"/>
  <c r="BG34" i="11531"/>
  <c r="BG30" i="11531"/>
  <c r="BG18" i="11531"/>
  <c r="BG14" i="11531"/>
  <c r="BG35" i="11531"/>
  <c r="O68" i="11531"/>
  <c r="BG36" i="11531"/>
  <c r="BG24" i="11531"/>
  <c r="BG16" i="11531"/>
  <c r="BG31" i="11531"/>
  <c r="BG27" i="11531"/>
  <c r="BG23" i="11531"/>
  <c r="BG19" i="11531"/>
  <c r="BG15" i="11531"/>
  <c r="BG11" i="11531"/>
  <c r="BG28" i="11531"/>
  <c r="BG32" i="11531"/>
  <c r="BB37" i="11531"/>
  <c r="M77" i="11531"/>
  <c r="G86" i="11531"/>
  <c r="O86" i="11531" s="1"/>
  <c r="AF91" i="11531" s="1"/>
  <c r="G82" i="11531"/>
  <c r="O82" i="11531" s="1"/>
  <c r="O49" i="11531"/>
  <c r="AF73" i="11531" s="1"/>
  <c r="L21" i="3" s="1"/>
  <c r="O65" i="11531"/>
  <c r="O66" i="11531"/>
  <c r="T70" i="11531"/>
  <c r="T57" i="11531"/>
  <c r="T56" i="11531"/>
  <c r="X56" i="11531" s="1"/>
  <c r="O64" i="11531"/>
  <c r="T75" i="11531"/>
  <c r="X75" i="11531" s="1"/>
  <c r="T82" i="11531"/>
  <c r="X82" i="11531" s="1"/>
  <c r="AF75" i="11531" s="1"/>
  <c r="M21" i="3" s="1"/>
  <c r="O63" i="11531"/>
  <c r="T50" i="11531"/>
  <c r="V38" i="11531"/>
  <c r="L52" i="11531"/>
  <c r="L54" i="11530"/>
  <c r="V38" i="11530"/>
  <c r="BC37" i="11530"/>
  <c r="AF117" i="11530"/>
  <c r="R47" i="3" s="1"/>
  <c r="AY37" i="11530"/>
  <c r="I65" i="11530" s="1"/>
  <c r="BE11" i="11530"/>
  <c r="BE37" i="11530" s="1"/>
  <c r="O64" i="11530"/>
  <c r="BF37" i="11530"/>
  <c r="BF43" i="267"/>
  <c r="AU13" i="9"/>
  <c r="AU37" i="9" s="1"/>
  <c r="I68" i="9" s="1"/>
  <c r="BD37" i="9"/>
  <c r="N40" i="2826"/>
  <c r="Y44" i="2826"/>
  <c r="U67" i="2826"/>
  <c r="C157" i="11528" s="1"/>
  <c r="AN27" i="2826"/>
  <c r="D57" i="2826" s="1"/>
  <c r="N39" i="2826"/>
  <c r="Q39" i="2826" s="1"/>
  <c r="Q50" i="2826"/>
  <c r="Q51" i="2826"/>
  <c r="U66" i="2826"/>
  <c r="Q49" i="2826"/>
  <c r="V38" i="5"/>
  <c r="I27" i="3"/>
  <c r="Q27" i="3"/>
  <c r="R27" i="3"/>
  <c r="P27" i="3"/>
  <c r="AY8" i="12"/>
  <c r="BQ49" i="6"/>
  <c r="BE49" i="6"/>
  <c r="E34" i="11529"/>
  <c r="E31" i="11529"/>
  <c r="CM49" i="6"/>
  <c r="BK49" i="6"/>
  <c r="L73" i="6" s="1"/>
  <c r="I79" i="7"/>
  <c r="O79" i="7" s="1"/>
  <c r="T97" i="7"/>
  <c r="X97" i="7" s="1"/>
  <c r="AF78" i="7" s="1"/>
  <c r="M24" i="3" s="1"/>
  <c r="O74" i="7"/>
  <c r="O73" i="7"/>
  <c r="I78" i="7"/>
  <c r="O78" i="7" s="1"/>
  <c r="BO35" i="7"/>
  <c r="BO14" i="7"/>
  <c r="O72" i="7"/>
  <c r="BO26" i="7"/>
  <c r="BO19" i="7"/>
  <c r="M87" i="267"/>
  <c r="V44" i="267"/>
  <c r="BG43" i="267"/>
  <c r="X63" i="267"/>
  <c r="L58" i="267"/>
  <c r="O58" i="267" s="1"/>
  <c r="AU43" i="267"/>
  <c r="I76" i="267" s="1"/>
  <c r="M78" i="2096"/>
  <c r="BB37" i="2096"/>
  <c r="BF37" i="2096"/>
  <c r="L50" i="2096"/>
  <c r="L52" i="2096"/>
  <c r="L51" i="2096"/>
  <c r="V36" i="5"/>
  <c r="BG37" i="2096"/>
  <c r="X56" i="2096"/>
  <c r="AF119" i="7"/>
  <c r="R24" i="3" s="1"/>
  <c r="M90" i="7"/>
  <c r="BP42" i="7" s="1"/>
  <c r="BO29" i="7"/>
  <c r="BO40" i="7"/>
  <c r="BO20" i="7"/>
  <c r="BO36" i="7"/>
  <c r="BO37" i="7"/>
  <c r="BO32" i="7"/>
  <c r="BO18" i="7"/>
  <c r="BO39" i="7"/>
  <c r="BO31" i="7"/>
  <c r="BO13" i="7"/>
  <c r="BO17" i="7"/>
  <c r="BO25" i="7"/>
  <c r="BO21" i="7"/>
  <c r="BO34" i="7"/>
  <c r="BO27" i="7"/>
  <c r="BO16" i="7"/>
  <c r="BO38" i="7"/>
  <c r="BO33" i="7"/>
  <c r="BO22" i="7"/>
  <c r="BO24" i="7"/>
  <c r="BO12" i="7"/>
  <c r="BO15" i="7"/>
  <c r="BO28" i="7"/>
  <c r="BO23" i="7"/>
  <c r="BO30" i="7"/>
  <c r="V19" i="5"/>
  <c r="C76" i="11528"/>
  <c r="W66" i="8"/>
  <c r="O70" i="8"/>
  <c r="S53" i="8"/>
  <c r="G71" i="8"/>
  <c r="S74" i="8"/>
  <c r="O50" i="8"/>
  <c r="O51" i="8"/>
  <c r="O52" i="8"/>
  <c r="S67" i="8"/>
  <c r="BJ49" i="6"/>
  <c r="L72" i="6" s="1"/>
  <c r="O72" i="6" s="1"/>
  <c r="BL49" i="6"/>
  <c r="BM39" i="5"/>
  <c r="Q50" i="3"/>
  <c r="AK43" i="11524"/>
  <c r="AD38" i="11524"/>
  <c r="O51" i="3"/>
  <c r="BQ39" i="5"/>
  <c r="AH172" i="8080"/>
  <c r="R34" i="3" s="1"/>
  <c r="BK13" i="5"/>
  <c r="BB15" i="5"/>
  <c r="BL15" i="5" s="1"/>
  <c r="BB12" i="5"/>
  <c r="BL12" i="5" s="1"/>
  <c r="BB13" i="5"/>
  <c r="BL13" i="5" s="1"/>
  <c r="BB26" i="5"/>
  <c r="BB38" i="5"/>
  <c r="BB14" i="5"/>
  <c r="BB16" i="5"/>
  <c r="BB19" i="5"/>
  <c r="BL19" i="5" s="1"/>
  <c r="BB27" i="5"/>
  <c r="BL27" i="5" s="1"/>
  <c r="BK11" i="5"/>
  <c r="BB20" i="5"/>
  <c r="BL20" i="5" s="1"/>
  <c r="BB28" i="5"/>
  <c r="BL28" i="5" s="1"/>
  <c r="BB17" i="5"/>
  <c r="BB23" i="5"/>
  <c r="BB31" i="5"/>
  <c r="BB25" i="5"/>
  <c r="BB22" i="5"/>
  <c r="BB37" i="5"/>
  <c r="BB18" i="5"/>
  <c r="BB30" i="5"/>
  <c r="BB24" i="5"/>
  <c r="BB21" i="5"/>
  <c r="BL21" i="5" s="1"/>
  <c r="BB29" i="5"/>
  <c r="BL29" i="5" s="1"/>
  <c r="BB36" i="5"/>
  <c r="BL36" i="5" s="1"/>
  <c r="BM49" i="6"/>
  <c r="E16" i="11529" s="1"/>
  <c r="BT49" i="6"/>
  <c r="D49" i="6" s="1"/>
  <c r="W26" i="3"/>
  <c r="N38" i="12"/>
  <c r="BN39" i="5"/>
  <c r="AD104" i="11"/>
  <c r="AD114" i="11"/>
  <c r="N56" i="11"/>
  <c r="O22" i="3"/>
  <c r="BE28" i="2826"/>
  <c r="AD66" i="2826" s="1"/>
  <c r="H42" i="3" s="1"/>
  <c r="BF28" i="12"/>
  <c r="S38" i="11524"/>
  <c r="Q51" i="3"/>
  <c r="AK26" i="11524"/>
  <c r="H95" i="3" s="1"/>
  <c r="AU37" i="2096"/>
  <c r="AR120" i="8080"/>
  <c r="L51" i="9"/>
  <c r="V26" i="5"/>
  <c r="CL49" i="6"/>
  <c r="E18" i="11529"/>
  <c r="E29" i="13"/>
  <c r="BP39" i="5"/>
  <c r="S65" i="11"/>
  <c r="W65" i="11" s="1"/>
  <c r="N41" i="11"/>
  <c r="S66" i="11"/>
  <c r="W66" i="11" s="1"/>
  <c r="BK28" i="2826"/>
  <c r="Q42" i="2826" s="1"/>
  <c r="G130" i="11528"/>
  <c r="W54" i="12"/>
  <c r="BH21" i="7"/>
  <c r="BT41" i="7"/>
  <c r="BI17" i="7"/>
  <c r="BI12" i="7"/>
  <c r="BI18" i="7"/>
  <c r="BI21" i="7"/>
  <c r="BI15" i="7"/>
  <c r="BI22" i="7"/>
  <c r="BI14" i="7"/>
  <c r="BI19" i="7"/>
  <c r="BI29" i="7"/>
  <c r="BI36" i="7"/>
  <c r="BI30" i="7"/>
  <c r="BI39" i="7"/>
  <c r="BI13" i="7"/>
  <c r="BI33" i="7"/>
  <c r="BI40" i="7"/>
  <c r="BI34" i="7"/>
  <c r="BI24" i="7"/>
  <c r="BI28" i="7"/>
  <c r="BI37" i="7"/>
  <c r="BI23" i="7"/>
  <c r="BI26" i="7"/>
  <c r="BI31" i="7"/>
  <c r="BI38" i="7"/>
  <c r="BI16" i="7"/>
  <c r="BI20" i="7"/>
  <c r="BI25" i="7"/>
  <c r="BI32" i="7"/>
  <c r="L66" i="7"/>
  <c r="O66" i="7" s="1"/>
  <c r="BI11" i="7" s="1"/>
  <c r="BI27" i="7"/>
  <c r="BI35" i="7"/>
  <c r="L53" i="2096"/>
  <c r="U38" i="2096"/>
  <c r="O68" i="267"/>
  <c r="AF89" i="267" s="1"/>
  <c r="T78" i="267"/>
  <c r="V38" i="9"/>
  <c r="L52" i="9"/>
  <c r="BC43" i="267"/>
  <c r="I70" i="267"/>
  <c r="L50" i="5"/>
  <c r="O50" i="5" s="1"/>
  <c r="L49" i="9"/>
  <c r="BE43" i="267"/>
  <c r="L144" i="8080"/>
  <c r="O144" i="8080" s="1"/>
  <c r="O143" i="8080"/>
  <c r="AU28" i="2826"/>
  <c r="AD68" i="2826" s="1"/>
  <c r="J42" i="3" s="1"/>
  <c r="BF28" i="11"/>
  <c r="AD87" i="12"/>
  <c r="N26" i="3"/>
  <c r="N27" i="3" s="1"/>
  <c r="BH17" i="7"/>
  <c r="AF115" i="2096"/>
  <c r="R28" i="3" s="1"/>
  <c r="T76" i="2096"/>
  <c r="T57" i="2096"/>
  <c r="I63" i="2096"/>
  <c r="O63" i="2096" s="1"/>
  <c r="BE26" i="2096" s="1"/>
  <c r="O64" i="2096"/>
  <c r="O66" i="2096"/>
  <c r="T51" i="2096"/>
  <c r="O67" i="2096"/>
  <c r="T58" i="2096"/>
  <c r="T84" i="2096"/>
  <c r="O65" i="2096"/>
  <c r="AQ120" i="8080"/>
  <c r="BB37" i="9"/>
  <c r="BF37" i="9"/>
  <c r="I63" i="9"/>
  <c r="T140" i="8080"/>
  <c r="X140" i="8080" s="1"/>
  <c r="X137" i="8080"/>
  <c r="BE17" i="8080"/>
  <c r="BE25" i="8080"/>
  <c r="BE31" i="8080"/>
  <c r="BE35" i="8080"/>
  <c r="BE39" i="8080"/>
  <c r="BE43" i="8080"/>
  <c r="BE47" i="8080"/>
  <c r="BE52" i="8080"/>
  <c r="BE60" i="8080"/>
  <c r="BE18" i="8080"/>
  <c r="BE26" i="8080"/>
  <c r="BE53" i="8080"/>
  <c r="BE61" i="8080"/>
  <c r="BE11" i="8080"/>
  <c r="BE13" i="8080"/>
  <c r="BE21" i="8080"/>
  <c r="BE29" i="8080"/>
  <c r="BE33" i="8080"/>
  <c r="BE37" i="8080"/>
  <c r="BE41" i="8080"/>
  <c r="BE45" i="8080"/>
  <c r="BE49" i="8080"/>
  <c r="BE56" i="8080"/>
  <c r="BE46" i="8080"/>
  <c r="BE51" i="8080"/>
  <c r="BE57" i="8080"/>
  <c r="BE58" i="8080"/>
  <c r="BE70" i="8080"/>
  <c r="BE78" i="8080"/>
  <c r="BE86" i="8080"/>
  <c r="BE94" i="8080"/>
  <c r="BE102" i="8080"/>
  <c r="BE28" i="8080"/>
  <c r="BE32" i="8080"/>
  <c r="BE36" i="8080"/>
  <c r="BE50" i="8080"/>
  <c r="BE54" i="8080"/>
  <c r="BE71" i="8080"/>
  <c r="BE79" i="8080"/>
  <c r="BE87" i="8080"/>
  <c r="BE95" i="8080"/>
  <c r="BE103" i="8080"/>
  <c r="BE12" i="8080"/>
  <c r="BE20" i="8080"/>
  <c r="BE24" i="8080"/>
  <c r="BE40" i="8080"/>
  <c r="BE63" i="8080"/>
  <c r="BE64" i="8080"/>
  <c r="BE72" i="8080"/>
  <c r="BE80" i="8080"/>
  <c r="BE88" i="8080"/>
  <c r="BE96" i="8080"/>
  <c r="BE22" i="8080"/>
  <c r="BE23" i="8080"/>
  <c r="BE27" i="8080"/>
  <c r="BE44" i="8080"/>
  <c r="BE62" i="8080"/>
  <c r="BE65" i="8080"/>
  <c r="BE73" i="8080"/>
  <c r="BE15" i="8080"/>
  <c r="BE30" i="8080"/>
  <c r="BE34" i="8080"/>
  <c r="BE67" i="8080"/>
  <c r="BE75" i="8080"/>
  <c r="BE83" i="8080"/>
  <c r="BE38" i="8080"/>
  <c r="BE68" i="8080"/>
  <c r="BE76" i="8080"/>
  <c r="BE84" i="8080"/>
  <c r="BE92" i="8080"/>
  <c r="BE69" i="8080"/>
  <c r="BE77" i="8080"/>
  <c r="BE82" i="8080"/>
  <c r="BE105" i="8080"/>
  <c r="BE107" i="8080"/>
  <c r="BE115" i="8080"/>
  <c r="BE98" i="8080"/>
  <c r="BE104" i="8080"/>
  <c r="BE108" i="8080"/>
  <c r="BE116" i="8080"/>
  <c r="BE93" i="8080"/>
  <c r="BE109" i="8080"/>
  <c r="BE117" i="8080"/>
  <c r="BE110" i="8080"/>
  <c r="BE118" i="8080"/>
  <c r="BE81" i="8080"/>
  <c r="BE100" i="8080"/>
  <c r="BE112" i="8080"/>
  <c r="BE14" i="8080"/>
  <c r="BE19" i="8080"/>
  <c r="BE66" i="8080"/>
  <c r="BE74" i="8080"/>
  <c r="BE97" i="8080"/>
  <c r="BE99" i="8080"/>
  <c r="BE101" i="8080"/>
  <c r="BE113" i="8080"/>
  <c r="I148" i="8080"/>
  <c r="BE42" i="8080"/>
  <c r="BE91" i="8080"/>
  <c r="BE89" i="8080"/>
  <c r="BE48" i="8080"/>
  <c r="BE85" i="8080"/>
  <c r="BE114" i="8080"/>
  <c r="BE59" i="8080"/>
  <c r="BE119" i="8080"/>
  <c r="BE111" i="8080"/>
  <c r="BE16" i="8080"/>
  <c r="BE55" i="8080"/>
  <c r="BE90" i="8080"/>
  <c r="BE106" i="8080"/>
  <c r="C135" i="11528"/>
  <c r="X86" i="9"/>
  <c r="CB39" i="5"/>
  <c r="BT39" i="5"/>
  <c r="L51" i="5"/>
  <c r="F73" i="11"/>
  <c r="BB12" i="8080"/>
  <c r="BB20" i="8080"/>
  <c r="BB28" i="8080"/>
  <c r="BB55" i="8080"/>
  <c r="BB13" i="8080"/>
  <c r="BB21" i="8080"/>
  <c r="BB29" i="8080"/>
  <c r="BB33" i="8080"/>
  <c r="BB37" i="8080"/>
  <c r="BB41" i="8080"/>
  <c r="BB45" i="8080"/>
  <c r="BB49" i="8080"/>
  <c r="BB56" i="8080"/>
  <c r="BB14" i="8080"/>
  <c r="BB16" i="8080"/>
  <c r="BB24" i="8080"/>
  <c r="BB51" i="8080"/>
  <c r="BB59" i="8080"/>
  <c r="BB32" i="8080"/>
  <c r="BB36" i="8080"/>
  <c r="BB54" i="8080"/>
  <c r="BB63" i="8080"/>
  <c r="BB65" i="8080"/>
  <c r="BB73" i="8080"/>
  <c r="BB81" i="8080"/>
  <c r="BB89" i="8080"/>
  <c r="BB97" i="8080"/>
  <c r="BB105" i="8080"/>
  <c r="BB22" i="8080"/>
  <c r="BB23" i="8080"/>
  <c r="BB31" i="8080"/>
  <c r="BB35" i="8080"/>
  <c r="BB40" i="8080"/>
  <c r="BB61" i="8080"/>
  <c r="BB62" i="8080"/>
  <c r="BB66" i="8080"/>
  <c r="BB74" i="8080"/>
  <c r="BB82" i="8080"/>
  <c r="BB90" i="8080"/>
  <c r="BB98" i="8080"/>
  <c r="BB27" i="8080"/>
  <c r="BB39" i="8080"/>
  <c r="BB44" i="8080"/>
  <c r="BB53" i="8080"/>
  <c r="BB60" i="8080"/>
  <c r="BB67" i="8080"/>
  <c r="BB75" i="8080"/>
  <c r="BB83" i="8080"/>
  <c r="BB91" i="8080"/>
  <c r="BB99" i="8080"/>
  <c r="BB15" i="8080"/>
  <c r="BB19" i="8080"/>
  <c r="BB30" i="8080"/>
  <c r="BB34" i="8080"/>
  <c r="BB43" i="8080"/>
  <c r="BB48" i="8080"/>
  <c r="BB52" i="8080"/>
  <c r="BB68" i="8080"/>
  <c r="BB76" i="8080"/>
  <c r="BB25" i="8080"/>
  <c r="BB42" i="8080"/>
  <c r="BB70" i="8080"/>
  <c r="BB78" i="8080"/>
  <c r="BB86" i="8080"/>
  <c r="BB18" i="8080"/>
  <c r="BB46" i="8080"/>
  <c r="BB57" i="8080"/>
  <c r="BB58" i="8080"/>
  <c r="BB71" i="8080"/>
  <c r="BB79" i="8080"/>
  <c r="BB87" i="8080"/>
  <c r="BB11" i="8080"/>
  <c r="BB26" i="8080"/>
  <c r="BB38" i="8080"/>
  <c r="BB88" i="8080"/>
  <c r="BB110" i="8080"/>
  <c r="BB118" i="8080"/>
  <c r="BB64" i="8080"/>
  <c r="BB72" i="8080"/>
  <c r="BB80" i="8080"/>
  <c r="BB111" i="8080"/>
  <c r="BB119" i="8080"/>
  <c r="BB122" i="8080"/>
  <c r="BB47" i="8080"/>
  <c r="BB96" i="8080"/>
  <c r="BB100" i="8080"/>
  <c r="BB103" i="8080"/>
  <c r="BB112" i="8080"/>
  <c r="BB101" i="8080"/>
  <c r="BB102" i="8080"/>
  <c r="BB113" i="8080"/>
  <c r="BB85" i="8080"/>
  <c r="BB95" i="8080"/>
  <c r="BB107" i="8080"/>
  <c r="BB115" i="8080"/>
  <c r="BB17" i="8080"/>
  <c r="BB69" i="8080"/>
  <c r="BB77" i="8080"/>
  <c r="BB84" i="8080"/>
  <c r="BB94" i="8080"/>
  <c r="BB108" i="8080"/>
  <c r="BB116" i="8080"/>
  <c r="BB106" i="8080"/>
  <c r="BB50" i="8080"/>
  <c r="BB92" i="8080"/>
  <c r="BB104" i="8080"/>
  <c r="BB93" i="8080"/>
  <c r="BB117" i="8080"/>
  <c r="BB114" i="8080"/>
  <c r="BB109" i="8080"/>
  <c r="AD67" i="11"/>
  <c r="AD74" i="11"/>
  <c r="G22" i="3"/>
  <c r="BA41" i="7"/>
  <c r="BD37" i="2096"/>
  <c r="AE70" i="8"/>
  <c r="H82" i="3" s="1"/>
  <c r="BE15" i="8"/>
  <c r="BE26" i="8"/>
  <c r="BE20" i="8"/>
  <c r="BE18" i="8"/>
  <c r="BE12" i="8"/>
  <c r="BE13" i="8"/>
  <c r="BE21" i="8"/>
  <c r="BE19" i="8"/>
  <c r="BE11" i="8"/>
  <c r="BE23" i="8"/>
  <c r="BE14" i="8"/>
  <c r="BE25" i="8"/>
  <c r="H37" i="3"/>
  <c r="H38" i="3" s="1"/>
  <c r="BE24" i="8"/>
  <c r="BE16" i="8"/>
  <c r="BE27" i="8"/>
  <c r="BE17" i="8"/>
  <c r="V22" i="5"/>
  <c r="C16" i="11528"/>
  <c r="S58" i="5"/>
  <c r="BO39" i="5"/>
  <c r="M100" i="6"/>
  <c r="CG50" i="6"/>
  <c r="AO133" i="6"/>
  <c r="BP49" i="6"/>
  <c r="L76" i="6" s="1"/>
  <c r="O76" i="6" s="1"/>
  <c r="CB49" i="6"/>
  <c r="AD73" i="12"/>
  <c r="N56" i="12"/>
  <c r="D56" i="12" s="1"/>
  <c r="AD96" i="12"/>
  <c r="O26" i="3"/>
  <c r="O27" i="3" s="1"/>
  <c r="G122" i="11528"/>
  <c r="S47" i="12"/>
  <c r="W46" i="12"/>
  <c r="AD68" i="11"/>
  <c r="H22" i="3"/>
  <c r="AK55" i="11524"/>
  <c r="O96" i="3" s="1"/>
  <c r="O50" i="3"/>
  <c r="AK28" i="11524"/>
  <c r="S66" i="12"/>
  <c r="S65" i="12"/>
  <c r="AD67" i="12"/>
  <c r="H26" i="3"/>
  <c r="H27" i="3" s="1"/>
  <c r="AP27" i="12"/>
  <c r="U42" i="7"/>
  <c r="W24" i="3"/>
  <c r="N41" i="12"/>
  <c r="AY43" i="267"/>
  <c r="G167" i="8080"/>
  <c r="O167" i="8080" s="1"/>
  <c r="AH145" i="8080" s="1"/>
  <c r="N34" i="3" s="1"/>
  <c r="W34" i="3"/>
  <c r="O134" i="8080"/>
  <c r="C29" i="11528"/>
  <c r="W82" i="5"/>
  <c r="O57" i="5"/>
  <c r="O58" i="5"/>
  <c r="O56" i="5"/>
  <c r="BR39" i="5"/>
  <c r="BI15" i="6" l="1"/>
  <c r="CJ29" i="6"/>
  <c r="CJ12" i="6"/>
  <c r="CJ18" i="6"/>
  <c r="CJ24" i="6"/>
  <c r="CJ43" i="6"/>
  <c r="CJ47" i="6"/>
  <c r="CJ46" i="6"/>
  <c r="CJ35" i="6"/>
  <c r="CJ16" i="6"/>
  <c r="CJ26" i="6"/>
  <c r="CJ30" i="6"/>
  <c r="CJ40" i="6"/>
  <c r="CJ39" i="6"/>
  <c r="CJ45" i="6"/>
  <c r="CJ17" i="6"/>
  <c r="CJ33" i="6"/>
  <c r="CJ28" i="6"/>
  <c r="CJ32" i="6"/>
  <c r="CJ42" i="6"/>
  <c r="CJ27" i="6"/>
  <c r="CJ38" i="6"/>
  <c r="CJ21" i="6"/>
  <c r="CJ31" i="6"/>
  <c r="CJ25" i="6"/>
  <c r="CJ36" i="6"/>
  <c r="CJ22" i="6"/>
  <c r="CJ20" i="6"/>
  <c r="CJ34" i="6"/>
  <c r="CJ48" i="6"/>
  <c r="CJ37" i="6"/>
  <c r="CJ14" i="6"/>
  <c r="CJ44" i="6"/>
  <c r="CJ13" i="6"/>
  <c r="CJ23" i="6"/>
  <c r="CJ15" i="6"/>
  <c r="CJ41" i="6"/>
  <c r="CJ19" i="6"/>
  <c r="CJ11" i="6"/>
  <c r="BL11" i="267"/>
  <c r="BK11" i="267"/>
  <c r="BK12" i="267"/>
  <c r="BK36" i="267"/>
  <c r="BK37" i="267"/>
  <c r="BK14" i="267"/>
  <c r="BK38" i="267"/>
  <c r="BK15" i="267"/>
  <c r="BK39" i="267"/>
  <c r="BK16" i="267"/>
  <c r="BK40" i="267"/>
  <c r="BK17" i="267"/>
  <c r="BK41" i="267"/>
  <c r="BK18" i="267"/>
  <c r="BK42" i="267"/>
  <c r="BK19" i="267"/>
  <c r="BK20" i="267"/>
  <c r="BK21" i="267"/>
  <c r="BK22" i="267"/>
  <c r="BK23" i="267"/>
  <c r="BK24" i="267"/>
  <c r="BK25" i="267"/>
  <c r="BK26" i="267"/>
  <c r="BK27" i="267"/>
  <c r="BK28" i="267"/>
  <c r="BK29" i="267"/>
  <c r="BK30" i="267"/>
  <c r="BK31" i="267"/>
  <c r="BK33" i="267"/>
  <c r="BK35" i="267"/>
  <c r="BK13" i="267"/>
  <c r="BK32" i="267"/>
  <c r="BK34" i="267"/>
  <c r="E41" i="11534"/>
  <c r="E48" i="3" s="1"/>
  <c r="U94" i="11534"/>
  <c r="E64" i="8"/>
  <c r="O64" i="8" s="1"/>
  <c r="E66" i="8"/>
  <c r="BL19" i="11535"/>
  <c r="AT11" i="11536"/>
  <c r="V11" i="11536" s="1"/>
  <c r="BL30" i="11535"/>
  <c r="BL37" i="11535"/>
  <c r="AT14" i="11536"/>
  <c r="V14" i="11536" s="1"/>
  <c r="U14" i="11536" s="1"/>
  <c r="BD12" i="11535"/>
  <c r="AT13" i="11536"/>
  <c r="V13" i="11536" s="1"/>
  <c r="U13" i="11536" s="1"/>
  <c r="BD23" i="11535"/>
  <c r="AT15" i="11536"/>
  <c r="V15" i="11536" s="1"/>
  <c r="BD28" i="11535"/>
  <c r="AT18" i="11536"/>
  <c r="V18" i="11536" s="1"/>
  <c r="BL39" i="11535"/>
  <c r="BD42" i="11535"/>
  <c r="BL36" i="11535"/>
  <c r="AT25" i="11536"/>
  <c r="V25" i="11536" s="1"/>
  <c r="AT16" i="11536"/>
  <c r="V16" i="11536" s="1"/>
  <c r="U16" i="11536" s="1"/>
  <c r="BL26" i="11535"/>
  <c r="BD26" i="11535"/>
  <c r="BD16" i="11535"/>
  <c r="AT20" i="11536"/>
  <c r="V20" i="11536" s="1"/>
  <c r="BD31" i="11535"/>
  <c r="BD30" i="11535"/>
  <c r="BD11" i="11535"/>
  <c r="BL22" i="11535"/>
  <c r="BL41" i="11535"/>
  <c r="BL34" i="11535"/>
  <c r="BL12" i="11535"/>
  <c r="BL32" i="11535"/>
  <c r="AT21" i="11536"/>
  <c r="V21" i="11536" s="1"/>
  <c r="AT27" i="11536"/>
  <c r="V27" i="11536" s="1"/>
  <c r="AT26" i="11536"/>
  <c r="V26" i="11536" s="1"/>
  <c r="BL17" i="11535"/>
  <c r="BD15" i="11535"/>
  <c r="BD40" i="11535"/>
  <c r="BL23" i="11535"/>
  <c r="BN23" i="11535" s="1"/>
  <c r="BD19" i="11535"/>
  <c r="BL20" i="11535"/>
  <c r="BL35" i="11535"/>
  <c r="BL40" i="11535"/>
  <c r="BD39" i="11535"/>
  <c r="BN39" i="11535" s="1"/>
  <c r="BD24" i="11535"/>
  <c r="BD25" i="11535"/>
  <c r="BD36" i="11535"/>
  <c r="BL33" i="11535"/>
  <c r="BL27" i="11535"/>
  <c r="BL16" i="11535"/>
  <c r="BD18" i="11535"/>
  <c r="AT24" i="11536"/>
  <c r="V24" i="11536" s="1"/>
  <c r="BD34" i="11535"/>
  <c r="BD17" i="11535"/>
  <c r="BD33" i="11535"/>
  <c r="BD27" i="11535"/>
  <c r="BD37" i="11535"/>
  <c r="BN37" i="11535" s="1"/>
  <c r="AT12" i="11536"/>
  <c r="V12" i="11536" s="1"/>
  <c r="BL28" i="11535"/>
  <c r="AT17" i="11536"/>
  <c r="V17" i="11536" s="1"/>
  <c r="U17" i="11536" s="1"/>
  <c r="BD22" i="11535"/>
  <c r="BL15" i="11535"/>
  <c r="BD41" i="11535"/>
  <c r="BL14" i="11535"/>
  <c r="BL42" i="11535"/>
  <c r="E39" i="3"/>
  <c r="F39" i="3" s="1"/>
  <c r="M64" i="11536"/>
  <c r="H32" i="11536"/>
  <c r="C32" i="11536"/>
  <c r="C82" i="11536" s="1"/>
  <c r="E82" i="11536"/>
  <c r="AT22" i="11536"/>
  <c r="V22" i="11536" s="1"/>
  <c r="BL18" i="11535"/>
  <c r="BL29" i="11535"/>
  <c r="BL38" i="11535"/>
  <c r="Y39" i="3"/>
  <c r="BD32" i="11535"/>
  <c r="AT23" i="11536"/>
  <c r="V23" i="11536" s="1"/>
  <c r="BD14" i="11535"/>
  <c r="BD35" i="11535"/>
  <c r="BD13" i="11535"/>
  <c r="BD38" i="11535"/>
  <c r="BL24" i="11535"/>
  <c r="BD29" i="11535"/>
  <c r="AT19" i="11536"/>
  <c r="V19" i="11536" s="1"/>
  <c r="U19" i="11536" s="1"/>
  <c r="BD21" i="11535"/>
  <c r="BL31" i="11535"/>
  <c r="BD20" i="11535"/>
  <c r="BL25" i="11535"/>
  <c r="BL11" i="11535"/>
  <c r="BL13" i="11535"/>
  <c r="BL21" i="11535"/>
  <c r="X45" i="3"/>
  <c r="U100" i="11535"/>
  <c r="E47" i="11535"/>
  <c r="C47" i="11535" s="1"/>
  <c r="C100" i="11535" s="1"/>
  <c r="AM12" i="8"/>
  <c r="AL12" i="8"/>
  <c r="BC13" i="8"/>
  <c r="BS39" i="5"/>
  <c r="E64" i="11532"/>
  <c r="M92" i="11532" s="1"/>
  <c r="X16" i="3"/>
  <c r="AN36" i="5"/>
  <c r="H94" i="3"/>
  <c r="H81" i="3"/>
  <c r="BC11" i="8"/>
  <c r="BX32" i="11532"/>
  <c r="BX18" i="11532"/>
  <c r="BL36" i="11534"/>
  <c r="BX11" i="11532"/>
  <c r="BX35" i="11532"/>
  <c r="BL25" i="11534"/>
  <c r="BX17" i="11532"/>
  <c r="BD13" i="11534"/>
  <c r="BX38" i="11532"/>
  <c r="BX39" i="11532"/>
  <c r="BX33" i="11533"/>
  <c r="BX39" i="11533"/>
  <c r="BX25" i="11533"/>
  <c r="BW25" i="11533" s="1"/>
  <c r="AF25" i="11533" s="1"/>
  <c r="BL32" i="267"/>
  <c r="BX29" i="11533"/>
  <c r="BL32" i="11534"/>
  <c r="BX41" i="11533"/>
  <c r="BX27" i="6"/>
  <c r="BX22" i="11532"/>
  <c r="BX12" i="11533"/>
  <c r="BW12" i="11533" s="1"/>
  <c r="AF12" i="11533" s="1"/>
  <c r="BX36" i="11532"/>
  <c r="BL30" i="11534"/>
  <c r="BX43" i="11533"/>
  <c r="BD28" i="11534"/>
  <c r="BD19" i="11534"/>
  <c r="BL33" i="11534"/>
  <c r="BX40" i="11533"/>
  <c r="BX42" i="11532"/>
  <c r="BX45" i="11533"/>
  <c r="BX32" i="11533"/>
  <c r="BD30" i="267"/>
  <c r="BX44" i="11532"/>
  <c r="BD34" i="11534"/>
  <c r="BD29" i="267"/>
  <c r="BX34" i="11532"/>
  <c r="BX18" i="11533"/>
  <c r="BW18" i="11533" s="1"/>
  <c r="AF18" i="11533" s="1"/>
  <c r="BD22" i="11534"/>
  <c r="BD25" i="11534"/>
  <c r="BX15" i="11532"/>
  <c r="BL29" i="267"/>
  <c r="BL34" i="11534"/>
  <c r="BD32" i="267"/>
  <c r="BX38" i="11533"/>
  <c r="BD32" i="11534"/>
  <c r="BL13" i="11534"/>
  <c r="BD33" i="11534"/>
  <c r="BX31" i="11533"/>
  <c r="BX26" i="11533"/>
  <c r="BW26" i="11533" s="1"/>
  <c r="AF26" i="11533" s="1"/>
  <c r="BL18" i="11534"/>
  <c r="BX41" i="11532"/>
  <c r="BD15" i="11534"/>
  <c r="BX16" i="6"/>
  <c r="BX46" i="11532"/>
  <c r="BX16" i="11533"/>
  <c r="BW16" i="11533" s="1"/>
  <c r="AF16" i="11533" s="1"/>
  <c r="BD30" i="11534"/>
  <c r="BX28" i="11532"/>
  <c r="BL17" i="11534"/>
  <c r="BX26" i="6"/>
  <c r="BL31" i="267"/>
  <c r="BL11" i="11534"/>
  <c r="BX47" i="6"/>
  <c r="BD27" i="11534"/>
  <c r="BX34" i="11533"/>
  <c r="BX36" i="11533"/>
  <c r="BL23" i="11534"/>
  <c r="BD23" i="11534"/>
  <c r="BD31" i="267"/>
  <c r="BX23" i="11532"/>
  <c r="BX30" i="11532"/>
  <c r="BD14" i="11534"/>
  <c r="BX24" i="11532"/>
  <c r="BD16" i="11534"/>
  <c r="BX30" i="11533"/>
  <c r="BD36" i="11534"/>
  <c r="BX12" i="11532"/>
  <c r="BX26" i="11532"/>
  <c r="BD20" i="11534"/>
  <c r="BL19" i="11534"/>
  <c r="BL21" i="11534"/>
  <c r="BD18" i="11534"/>
  <c r="BX13" i="11533"/>
  <c r="BW13" i="11533" s="1"/>
  <c r="AF13" i="11533" s="1"/>
  <c r="BL12" i="11534"/>
  <c r="BD21" i="11534"/>
  <c r="BL20" i="11534"/>
  <c r="BX42" i="11533"/>
  <c r="BD29" i="11534"/>
  <c r="BX40" i="11532"/>
  <c r="BL28" i="11534"/>
  <c r="BX27" i="11533"/>
  <c r="BL22" i="11534"/>
  <c r="BL30" i="267"/>
  <c r="BL27" i="11534"/>
  <c r="BX46" i="11533"/>
  <c r="BX20" i="11532"/>
  <c r="BX48" i="6"/>
  <c r="BC25" i="11531"/>
  <c r="F38" i="2826"/>
  <c r="Q38" i="2826" s="1"/>
  <c r="K8" i="11524"/>
  <c r="S8" i="11524"/>
  <c r="P21" i="11524" s="1"/>
  <c r="U21" i="11524" s="1"/>
  <c r="W21" i="11524" s="1"/>
  <c r="BX32" i="5"/>
  <c r="BX35" i="5"/>
  <c r="BX33" i="5"/>
  <c r="BX46" i="6"/>
  <c r="BX13" i="11532"/>
  <c r="BX16" i="11532"/>
  <c r="BX34" i="5"/>
  <c r="BX37" i="11532"/>
  <c r="BD17" i="11534"/>
  <c r="BX15" i="11533"/>
  <c r="BW15" i="11533" s="1"/>
  <c r="AF15" i="11533" s="1"/>
  <c r="BX24" i="11533"/>
  <c r="BW24" i="11533" s="1"/>
  <c r="AF24" i="11533" s="1"/>
  <c r="BX43" i="11532"/>
  <c r="BX29" i="11532"/>
  <c r="BL35" i="11534"/>
  <c r="AC115" i="11533"/>
  <c r="E64" i="11533"/>
  <c r="X12" i="3"/>
  <c r="BD12" i="11534"/>
  <c r="BL15" i="11534"/>
  <c r="BX11" i="11533"/>
  <c r="BW11" i="11533" s="1"/>
  <c r="BX47" i="11533"/>
  <c r="BX19" i="11533"/>
  <c r="BW19" i="11533" s="1"/>
  <c r="AF19" i="11533" s="1"/>
  <c r="BD27" i="267"/>
  <c r="BX47" i="11532"/>
  <c r="BL31" i="11534"/>
  <c r="BL29" i="11534"/>
  <c r="BX14" i="11533"/>
  <c r="BW14" i="11533" s="1"/>
  <c r="AF14" i="11533" s="1"/>
  <c r="BX27" i="11532"/>
  <c r="BD24" i="11534"/>
  <c r="BX21" i="11533"/>
  <c r="BW21" i="11533" s="1"/>
  <c r="AF21" i="11533" s="1"/>
  <c r="BX45" i="6"/>
  <c r="BX45" i="11532"/>
  <c r="BD31" i="11534"/>
  <c r="BD28" i="267"/>
  <c r="BL24" i="11534"/>
  <c r="BL26" i="11534"/>
  <c r="BL28" i="267"/>
  <c r="BX19" i="11532"/>
  <c r="BL27" i="267"/>
  <c r="BX48" i="11533"/>
  <c r="BX35" i="11533"/>
  <c r="BX21" i="11532"/>
  <c r="BX44" i="11533"/>
  <c r="BX20" i="11533"/>
  <c r="BW20" i="11533" s="1"/>
  <c r="AF20" i="11533" s="1"/>
  <c r="BX25" i="11532"/>
  <c r="BX14" i="11532"/>
  <c r="BL16" i="11534"/>
  <c r="BL14" i="11534"/>
  <c r="BX28" i="11533"/>
  <c r="BX22" i="11533"/>
  <c r="BW22" i="11533" s="1"/>
  <c r="AF22" i="11533" s="1"/>
  <c r="BX48" i="11532"/>
  <c r="BX31" i="11532"/>
  <c r="BD11" i="11534"/>
  <c r="BX23" i="11533"/>
  <c r="BW23" i="11533" s="1"/>
  <c r="AF23" i="11533" s="1"/>
  <c r="BX37" i="11533"/>
  <c r="BD35" i="11534"/>
  <c r="BX17" i="11533"/>
  <c r="BW17" i="11533" s="1"/>
  <c r="AF17" i="11533" s="1"/>
  <c r="BD26" i="11534"/>
  <c r="AO28" i="5"/>
  <c r="U28" i="5" s="1"/>
  <c r="X87" i="267"/>
  <c r="AF77" i="267" s="1"/>
  <c r="K43" i="3" s="1"/>
  <c r="AO27" i="5"/>
  <c r="U27" i="5" s="1"/>
  <c r="T27" i="5"/>
  <c r="CF27" i="5" s="1"/>
  <c r="AO29" i="5"/>
  <c r="U29" i="5" s="1"/>
  <c r="AO21" i="5"/>
  <c r="U21" i="5" s="1"/>
  <c r="T28" i="5"/>
  <c r="CF28" i="5" s="1"/>
  <c r="AO20" i="5"/>
  <c r="U20" i="5" s="1"/>
  <c r="T21" i="5"/>
  <c r="CF21" i="5" s="1"/>
  <c r="T29" i="5"/>
  <c r="CF29" i="5" s="1"/>
  <c r="BI12" i="6"/>
  <c r="BX12" i="6" s="1"/>
  <c r="E24" i="11529"/>
  <c r="J43" i="3"/>
  <c r="BH30" i="11530"/>
  <c r="BH31" i="11530"/>
  <c r="BH32" i="11530"/>
  <c r="BH33" i="11530"/>
  <c r="BH34" i="11530"/>
  <c r="BH35" i="11530"/>
  <c r="BH12" i="11530"/>
  <c r="BH36" i="11530"/>
  <c r="BH13" i="11530"/>
  <c r="BH11" i="11530"/>
  <c r="BH14" i="11530"/>
  <c r="BH15" i="11530"/>
  <c r="BH16" i="11530"/>
  <c r="BH17" i="11530"/>
  <c r="BH18" i="11530"/>
  <c r="BH19" i="11530"/>
  <c r="BH20" i="11530"/>
  <c r="BH21" i="11530"/>
  <c r="BH22" i="11530"/>
  <c r="BH23" i="11530"/>
  <c r="BH24" i="11530"/>
  <c r="BH25" i="11530"/>
  <c r="BH26" i="11530"/>
  <c r="BH27" i="11530"/>
  <c r="BH28" i="11530"/>
  <c r="BH29" i="11530"/>
  <c r="BH11" i="267"/>
  <c r="BH12" i="267"/>
  <c r="BH36" i="267"/>
  <c r="BH13" i="267"/>
  <c r="BH37" i="267"/>
  <c r="BH14" i="267"/>
  <c r="BH38" i="267"/>
  <c r="BH15" i="267"/>
  <c r="BH39" i="267"/>
  <c r="BH23" i="267"/>
  <c r="BH16" i="267"/>
  <c r="BH40" i="267"/>
  <c r="BH25" i="267"/>
  <c r="BH26" i="267"/>
  <c r="BH27" i="267"/>
  <c r="BH28" i="267"/>
  <c r="BH17" i="267"/>
  <c r="BH41" i="267"/>
  <c r="BH18" i="267"/>
  <c r="BH42" i="267"/>
  <c r="BH19" i="267"/>
  <c r="BH20" i="267"/>
  <c r="BH21" i="267"/>
  <c r="BH22" i="267"/>
  <c r="BH24" i="267"/>
  <c r="BH29" i="267"/>
  <c r="BH30" i="267"/>
  <c r="BH31" i="267"/>
  <c r="BH32" i="267"/>
  <c r="BH33" i="267"/>
  <c r="BH34" i="267"/>
  <c r="BH35" i="267"/>
  <c r="O51" i="11530"/>
  <c r="AF73" i="11530" s="1"/>
  <c r="L47" i="3" s="1"/>
  <c r="G86" i="11530"/>
  <c r="O86" i="11530" s="1"/>
  <c r="AF90" i="11530" s="1"/>
  <c r="N47" i="3" s="1"/>
  <c r="BI27" i="5"/>
  <c r="AG11" i="6"/>
  <c r="BY39" i="5"/>
  <c r="BJ39" i="5"/>
  <c r="CC39" i="5"/>
  <c r="S50" i="5"/>
  <c r="C9" i="11528" s="1"/>
  <c r="S56" i="5"/>
  <c r="C15" i="11528" s="1"/>
  <c r="I59" i="5"/>
  <c r="O59" i="5" s="1"/>
  <c r="AE124" i="5" s="1"/>
  <c r="S49" i="5"/>
  <c r="C8" i="11528" s="1"/>
  <c r="BK32" i="5"/>
  <c r="AN32" i="5"/>
  <c r="W32" i="5" s="1"/>
  <c r="BK35" i="5"/>
  <c r="AN35" i="5"/>
  <c r="W35" i="5" s="1"/>
  <c r="BK33" i="5"/>
  <c r="AN33" i="5"/>
  <c r="W33" i="5" s="1"/>
  <c r="BI36" i="5"/>
  <c r="BK34" i="5"/>
  <c r="AN34" i="5"/>
  <c r="W34" i="5" s="1"/>
  <c r="AV43" i="267"/>
  <c r="BZ39" i="5"/>
  <c r="AO13" i="5"/>
  <c r="AN19" i="5"/>
  <c r="W19" i="5" s="1"/>
  <c r="BI19" i="5"/>
  <c r="AO19" i="5"/>
  <c r="U19" i="5" s="1"/>
  <c r="AO15" i="5"/>
  <c r="AO12" i="5"/>
  <c r="R14" i="3"/>
  <c r="R17" i="3"/>
  <c r="P17" i="3"/>
  <c r="O17" i="3"/>
  <c r="G17" i="3"/>
  <c r="U16" i="3"/>
  <c r="Y16" i="3" s="1"/>
  <c r="N17" i="3"/>
  <c r="J17" i="3"/>
  <c r="K17" i="3"/>
  <c r="Q17" i="3"/>
  <c r="H17" i="3"/>
  <c r="M17" i="3"/>
  <c r="I17" i="3"/>
  <c r="F16" i="3"/>
  <c r="L17" i="3"/>
  <c r="S17" i="3"/>
  <c r="AC11" i="6"/>
  <c r="BY11" i="6" s="1"/>
  <c r="H14" i="3"/>
  <c r="T141" i="8080"/>
  <c r="BX30" i="6"/>
  <c r="BO30" i="6"/>
  <c r="BX29" i="6"/>
  <c r="BO29" i="6"/>
  <c r="BO37" i="6"/>
  <c r="BX37" i="6"/>
  <c r="BX32" i="6"/>
  <c r="BO32" i="6"/>
  <c r="CE30" i="6"/>
  <c r="CE42" i="6"/>
  <c r="CG15" i="6"/>
  <c r="CE16" i="6"/>
  <c r="CG27" i="6"/>
  <c r="CE28" i="6"/>
  <c r="CG39" i="6"/>
  <c r="CE40" i="6"/>
  <c r="CG41" i="6"/>
  <c r="CG16" i="6"/>
  <c r="CE17" i="6"/>
  <c r="CG28" i="6"/>
  <c r="CE29" i="6"/>
  <c r="CG40" i="6"/>
  <c r="CE41" i="6"/>
  <c r="CG17" i="6"/>
  <c r="CE18" i="6"/>
  <c r="CG29" i="6"/>
  <c r="CG18" i="6"/>
  <c r="CE19" i="6"/>
  <c r="CG14" i="6"/>
  <c r="CE15" i="6"/>
  <c r="CG26" i="6"/>
  <c r="CE27" i="6"/>
  <c r="CG13" i="6"/>
  <c r="CE25" i="6"/>
  <c r="CG12" i="6"/>
  <c r="CE32" i="6"/>
  <c r="CG36" i="6"/>
  <c r="CE45" i="6"/>
  <c r="CG24" i="6"/>
  <c r="CG45" i="6"/>
  <c r="CG21" i="6"/>
  <c r="CG30" i="6"/>
  <c r="CE37" i="6"/>
  <c r="CG43" i="6"/>
  <c r="CE46" i="6"/>
  <c r="CG42" i="6"/>
  <c r="CE14" i="6"/>
  <c r="CE22" i="6"/>
  <c r="CG25" i="6"/>
  <c r="CE33" i="6"/>
  <c r="CG37" i="6"/>
  <c r="CE35" i="6"/>
  <c r="CG46" i="6"/>
  <c r="CG22" i="6"/>
  <c r="CG33" i="6"/>
  <c r="CE24" i="6"/>
  <c r="CG32" i="6"/>
  <c r="CE36" i="6"/>
  <c r="CE21" i="6"/>
  <c r="CE39" i="6"/>
  <c r="CE26" i="6"/>
  <c r="CE12" i="6"/>
  <c r="CG19" i="6"/>
  <c r="CE31" i="6"/>
  <c r="CE38" i="6"/>
  <c r="CG44" i="6"/>
  <c r="CG38" i="6"/>
  <c r="CG31" i="6"/>
  <c r="CG23" i="6"/>
  <c r="CE48" i="6"/>
  <c r="CG34" i="6"/>
  <c r="CG48" i="6"/>
  <c r="CE43" i="6"/>
  <c r="CE44" i="6"/>
  <c r="CE23" i="6"/>
  <c r="CE20" i="6"/>
  <c r="CE34" i="6"/>
  <c r="CG20" i="6"/>
  <c r="CE13" i="6"/>
  <c r="CG35" i="6"/>
  <c r="CG47" i="6"/>
  <c r="CE47" i="6"/>
  <c r="AG23" i="6"/>
  <c r="BI23" i="6"/>
  <c r="BO40" i="6"/>
  <c r="BX40" i="6"/>
  <c r="BX33" i="6"/>
  <c r="BO33" i="6"/>
  <c r="BO28" i="6"/>
  <c r="BX28" i="6"/>
  <c r="BX44" i="6"/>
  <c r="BO44" i="6"/>
  <c r="BX43" i="6"/>
  <c r="BO43" i="6"/>
  <c r="AG24" i="6"/>
  <c r="BI24" i="6"/>
  <c r="BO15" i="6"/>
  <c r="BX15" i="6"/>
  <c r="BX22" i="6"/>
  <c r="BO22" i="6"/>
  <c r="AG13" i="6"/>
  <c r="BI13" i="6"/>
  <c r="BX19" i="6"/>
  <c r="BO19" i="6"/>
  <c r="BX39" i="6"/>
  <c r="BO39" i="6"/>
  <c r="AG14" i="6"/>
  <c r="BI14" i="6"/>
  <c r="BX42" i="6"/>
  <c r="BO42" i="6"/>
  <c r="BO38" i="6"/>
  <c r="BX38" i="6"/>
  <c r="BX21" i="6"/>
  <c r="BO21" i="6"/>
  <c r="AG17" i="6"/>
  <c r="BI17" i="6"/>
  <c r="BX31" i="6"/>
  <c r="BO31" i="6"/>
  <c r="BO35" i="6"/>
  <c r="BX35" i="6"/>
  <c r="BO25" i="6"/>
  <c r="BX25" i="6"/>
  <c r="CM50" i="6"/>
  <c r="BX18" i="6"/>
  <c r="BO18" i="6"/>
  <c r="BO36" i="6"/>
  <c r="BX36" i="6"/>
  <c r="BX41" i="6"/>
  <c r="BO41" i="6"/>
  <c r="BX34" i="6"/>
  <c r="BO34" i="6"/>
  <c r="BX20" i="6"/>
  <c r="BO20" i="6"/>
  <c r="AG12" i="6"/>
  <c r="AB75" i="6"/>
  <c r="AB73" i="6" s="1"/>
  <c r="AB72" i="6" s="1"/>
  <c r="E35" i="11529"/>
  <c r="AV20" i="8"/>
  <c r="AV22" i="8"/>
  <c r="AV26" i="8"/>
  <c r="AV21" i="8"/>
  <c r="AV17" i="8"/>
  <c r="AV11" i="8"/>
  <c r="AV24" i="8"/>
  <c r="AV14" i="8"/>
  <c r="AV15" i="8"/>
  <c r="AV23" i="8"/>
  <c r="AV27" i="8"/>
  <c r="AL28" i="8"/>
  <c r="L41" i="8" s="1"/>
  <c r="AP11" i="8"/>
  <c r="AV12" i="8"/>
  <c r="AV13" i="8"/>
  <c r="AV19" i="8"/>
  <c r="AV16" i="8"/>
  <c r="AV18" i="8"/>
  <c r="AZ15" i="8"/>
  <c r="AU15" i="8"/>
  <c r="AZ16" i="8"/>
  <c r="AU16" i="8"/>
  <c r="AZ23" i="8"/>
  <c r="AU23" i="8"/>
  <c r="AZ18" i="8"/>
  <c r="AU18" i="8"/>
  <c r="AZ27" i="8"/>
  <c r="AU27" i="8"/>
  <c r="AZ26" i="8"/>
  <c r="AU26" i="8"/>
  <c r="AZ19" i="8"/>
  <c r="AU19" i="8"/>
  <c r="AZ20" i="8"/>
  <c r="AU20" i="8"/>
  <c r="C63" i="11528"/>
  <c r="W44" i="8"/>
  <c r="S40" i="8"/>
  <c r="W43" i="8"/>
  <c r="C62" i="11528"/>
  <c r="S46" i="8"/>
  <c r="S41" i="8"/>
  <c r="AM28" i="8"/>
  <c r="L42" i="8" s="1"/>
  <c r="AP12" i="8"/>
  <c r="C67" i="11528"/>
  <c r="W48" i="8"/>
  <c r="S49" i="8"/>
  <c r="AZ22" i="8"/>
  <c r="AU22" i="8"/>
  <c r="AZ17" i="8"/>
  <c r="AU17" i="8"/>
  <c r="AZ13" i="8"/>
  <c r="AU13" i="8"/>
  <c r="AZ14" i="8"/>
  <c r="AU14" i="8"/>
  <c r="AZ12" i="8"/>
  <c r="AU12" i="8"/>
  <c r="AZ25" i="8"/>
  <c r="AU25" i="8"/>
  <c r="AZ24" i="8"/>
  <c r="AU24" i="8"/>
  <c r="C66" i="11528"/>
  <c r="W47" i="8"/>
  <c r="AZ21" i="8"/>
  <c r="AU21" i="8"/>
  <c r="S28" i="8"/>
  <c r="AZ11" i="8"/>
  <c r="AU11" i="8"/>
  <c r="I53" i="8"/>
  <c r="O53" i="8" s="1"/>
  <c r="AE115" i="8" s="1"/>
  <c r="L43" i="8"/>
  <c r="N28" i="8"/>
  <c r="W42" i="3"/>
  <c r="C44" i="3"/>
  <c r="L70" i="267"/>
  <c r="Q69" i="2826"/>
  <c r="BD11" i="2826" s="1"/>
  <c r="U41" i="7"/>
  <c r="O76" i="7"/>
  <c r="T60" i="7"/>
  <c r="T65" i="7"/>
  <c r="G97" i="7"/>
  <c r="O97" i="7" s="1"/>
  <c r="BQ11" i="7" s="1"/>
  <c r="BQ41" i="7" s="1"/>
  <c r="I81" i="7"/>
  <c r="O81" i="7" s="1"/>
  <c r="O82" i="7" s="1"/>
  <c r="E82" i="7" s="1"/>
  <c r="X63" i="7"/>
  <c r="T66" i="7"/>
  <c r="X66" i="7" s="1"/>
  <c r="BG22" i="11531"/>
  <c r="AN28" i="5"/>
  <c r="W28" i="5" s="1"/>
  <c r="BI29" i="5"/>
  <c r="BI28" i="5"/>
  <c r="AN27" i="5"/>
  <c r="W27" i="5" s="1"/>
  <c r="Y67" i="2826"/>
  <c r="Y51" i="2826"/>
  <c r="U78" i="2826"/>
  <c r="Y78" i="2826" s="1"/>
  <c r="C151" i="11528"/>
  <c r="E33" i="11529"/>
  <c r="AG21" i="6"/>
  <c r="E36" i="11529"/>
  <c r="E29" i="11529"/>
  <c r="AG20" i="6"/>
  <c r="AG18" i="6"/>
  <c r="E30" i="11529"/>
  <c r="E32" i="11529"/>
  <c r="BC14" i="8"/>
  <c r="AG25" i="6"/>
  <c r="E37" i="11529"/>
  <c r="E27" i="11529"/>
  <c r="AG15" i="6"/>
  <c r="E25" i="11529"/>
  <c r="E26" i="11529"/>
  <c r="Y54" i="2826"/>
  <c r="C153" i="11528"/>
  <c r="BD12" i="2826"/>
  <c r="BO11" i="6"/>
  <c r="E23" i="11529"/>
  <c r="BD28" i="11530"/>
  <c r="BL19" i="11530"/>
  <c r="BL23" i="11530"/>
  <c r="BL20" i="11530"/>
  <c r="BD32" i="11530"/>
  <c r="BL27" i="11530"/>
  <c r="BL22" i="11530"/>
  <c r="AN15" i="5"/>
  <c r="BD11" i="11530"/>
  <c r="BD20" i="11530"/>
  <c r="BD17" i="11530"/>
  <c r="BL28" i="11530"/>
  <c r="BC24" i="11531"/>
  <c r="BC21" i="11531"/>
  <c r="BC28" i="11531"/>
  <c r="BL29" i="11530"/>
  <c r="BI21" i="5"/>
  <c r="BL33" i="11530"/>
  <c r="BL21" i="11530"/>
  <c r="BC11" i="11531"/>
  <c r="BL17" i="11530"/>
  <c r="AN29" i="5"/>
  <c r="W29" i="5" s="1"/>
  <c r="AN20" i="5"/>
  <c r="W20" i="5" s="1"/>
  <c r="BD29" i="11530"/>
  <c r="BC14" i="11531"/>
  <c r="BD12" i="11530"/>
  <c r="BL13" i="11530"/>
  <c r="BD22" i="11530"/>
  <c r="BC32" i="11531"/>
  <c r="BC19" i="11531"/>
  <c r="BD24" i="11530"/>
  <c r="BL18" i="11530"/>
  <c r="BD35" i="11530"/>
  <c r="BD14" i="11530"/>
  <c r="BC26" i="11531"/>
  <c r="BC15" i="11531"/>
  <c r="BC18" i="11531"/>
  <c r="BC29" i="11531"/>
  <c r="BC13" i="11531"/>
  <c r="BC22" i="11531"/>
  <c r="BL34" i="11530"/>
  <c r="BD23" i="11530"/>
  <c r="BC34" i="11531"/>
  <c r="BC36" i="11531"/>
  <c r="BD31" i="11530"/>
  <c r="BL14" i="11530"/>
  <c r="BD18" i="11530"/>
  <c r="BL11" i="11530"/>
  <c r="BD21" i="11530"/>
  <c r="BL25" i="11530"/>
  <c r="BC35" i="11531"/>
  <c r="BD25" i="11530"/>
  <c r="BL35" i="11530"/>
  <c r="BC17" i="11531"/>
  <c r="BD27" i="11530"/>
  <c r="BD16" i="11530"/>
  <c r="BL12" i="11530"/>
  <c r="BL24" i="11530"/>
  <c r="BD36" i="11530"/>
  <c r="BD34" i="11530"/>
  <c r="BL16" i="11530"/>
  <c r="BD33" i="11530"/>
  <c r="BD26" i="11530"/>
  <c r="BC27" i="11531"/>
  <c r="BL36" i="11530"/>
  <c r="BL31" i="11530"/>
  <c r="BL30" i="11530"/>
  <c r="BL15" i="11530"/>
  <c r="BD15" i="11530"/>
  <c r="BC33" i="11531"/>
  <c r="BC30" i="11531"/>
  <c r="BC23" i="11531"/>
  <c r="BD13" i="11530"/>
  <c r="BD19" i="11530"/>
  <c r="BC31" i="11531"/>
  <c r="AN12" i="5"/>
  <c r="BL26" i="11530"/>
  <c r="BL32" i="11530"/>
  <c r="BD30" i="11530"/>
  <c r="BC16" i="11531"/>
  <c r="BC12" i="11531"/>
  <c r="BC20" i="11531"/>
  <c r="G134" i="11528"/>
  <c r="C47" i="3"/>
  <c r="L68" i="11530"/>
  <c r="W47" i="3"/>
  <c r="BG37" i="11531"/>
  <c r="AB82" i="6"/>
  <c r="G18" i="11528" s="1"/>
  <c r="AV49" i="6"/>
  <c r="O70" i="11530"/>
  <c r="O76" i="267"/>
  <c r="T77" i="11531"/>
  <c r="X77" i="11531" s="1"/>
  <c r="AF71" i="11531" s="1"/>
  <c r="K21" i="3" s="1"/>
  <c r="I67" i="11531"/>
  <c r="O67" i="11531" s="1"/>
  <c r="O69" i="11531" s="1"/>
  <c r="E69" i="11531" s="1"/>
  <c r="O52" i="11531"/>
  <c r="AF70" i="11531" s="1"/>
  <c r="J21" i="3" s="1"/>
  <c r="T51" i="11531"/>
  <c r="X51" i="11531" s="1"/>
  <c r="T53" i="11531"/>
  <c r="X53" i="11531" s="1"/>
  <c r="X50" i="11531"/>
  <c r="T71" i="11531"/>
  <c r="X71" i="11531" s="1"/>
  <c r="X70" i="11531"/>
  <c r="T58" i="11531"/>
  <c r="X58" i="11531" s="1"/>
  <c r="X57" i="11531"/>
  <c r="AF88" i="11531"/>
  <c r="N21" i="3" s="1"/>
  <c r="BH11" i="11531"/>
  <c r="I69" i="11530"/>
  <c r="O69" i="11530" s="1"/>
  <c r="T81" i="11530"/>
  <c r="X81" i="11530" s="1"/>
  <c r="AF71" i="11530" s="1"/>
  <c r="O54" i="11530"/>
  <c r="AF70" i="11530" s="1"/>
  <c r="O68" i="9"/>
  <c r="BG21" i="9"/>
  <c r="BG32" i="9"/>
  <c r="BG16" i="9"/>
  <c r="BG34" i="9"/>
  <c r="BG14" i="9"/>
  <c r="BG27" i="9"/>
  <c r="BG31" i="9"/>
  <c r="BG13" i="9"/>
  <c r="BG24" i="9"/>
  <c r="BG19" i="9"/>
  <c r="BG22" i="9"/>
  <c r="BG17" i="9"/>
  <c r="BG30" i="9"/>
  <c r="BG20" i="9"/>
  <c r="BG25" i="9"/>
  <c r="BG35" i="9"/>
  <c r="BG15" i="9"/>
  <c r="BG33" i="9"/>
  <c r="BG12" i="9"/>
  <c r="BG23" i="9"/>
  <c r="BG11" i="9"/>
  <c r="BG18" i="9"/>
  <c r="BG28" i="9"/>
  <c r="BG29" i="9"/>
  <c r="BG26" i="9"/>
  <c r="BG36" i="9"/>
  <c r="C156" i="11528"/>
  <c r="Y66" i="2826"/>
  <c r="D59" i="2826"/>
  <c r="Q57" i="2826"/>
  <c r="AD82" i="2826" s="1"/>
  <c r="Q55" i="2826"/>
  <c r="AD96" i="2826" s="1"/>
  <c r="BV27" i="5"/>
  <c r="BV38" i="5"/>
  <c r="BV19" i="5"/>
  <c r="BV25" i="5"/>
  <c r="BV12" i="5"/>
  <c r="BV30" i="5"/>
  <c r="BV14" i="5"/>
  <c r="BV22" i="5"/>
  <c r="BV24" i="5"/>
  <c r="BV17" i="5"/>
  <c r="BV28" i="5"/>
  <c r="BV37" i="5"/>
  <c r="BV29" i="5"/>
  <c r="G42" i="8"/>
  <c r="BV23" i="5"/>
  <c r="BV36" i="5"/>
  <c r="G60" i="7"/>
  <c r="O60" i="7" s="1"/>
  <c r="BV13" i="5"/>
  <c r="BV26" i="5"/>
  <c r="BV31" i="5"/>
  <c r="BV20" i="5"/>
  <c r="G136" i="8080"/>
  <c r="O136" i="8080" s="1"/>
  <c r="BV15" i="5"/>
  <c r="BV16" i="5"/>
  <c r="BV18" i="5"/>
  <c r="BV21" i="5"/>
  <c r="G92" i="267"/>
  <c r="O92" i="267" s="1"/>
  <c r="AF96" i="267" s="1"/>
  <c r="N43" i="3" s="1"/>
  <c r="W43" i="3"/>
  <c r="O57" i="267"/>
  <c r="G83" i="2096"/>
  <c r="O83" i="2096" s="1"/>
  <c r="AF88" i="2096" s="1"/>
  <c r="N28" i="3" s="1"/>
  <c r="BE27" i="2096"/>
  <c r="BE22" i="2096"/>
  <c r="BE17" i="2096"/>
  <c r="BE25" i="2096"/>
  <c r="BE21" i="2096"/>
  <c r="BE23" i="2096"/>
  <c r="BE19" i="2096"/>
  <c r="BE18" i="2096"/>
  <c r="BE13" i="2096"/>
  <c r="BE20" i="2096"/>
  <c r="BE14" i="2096"/>
  <c r="BE36" i="2096"/>
  <c r="BE16" i="2096"/>
  <c r="BE15" i="2096"/>
  <c r="BE29" i="2096"/>
  <c r="BE32" i="2096"/>
  <c r="BE12" i="2096"/>
  <c r="BE11" i="2096"/>
  <c r="BE9" i="2096" s="1"/>
  <c r="BE33" i="2096"/>
  <c r="BE28" i="2096"/>
  <c r="BE34" i="2096"/>
  <c r="BE24" i="2096"/>
  <c r="BE31" i="2096"/>
  <c r="BE30" i="2096"/>
  <c r="BE35" i="2096"/>
  <c r="C72" i="11528"/>
  <c r="W53" i="8"/>
  <c r="S78" i="8"/>
  <c r="S55" i="8"/>
  <c r="C80" i="11528"/>
  <c r="W74" i="8"/>
  <c r="G72" i="8"/>
  <c r="O72" i="8" s="1"/>
  <c r="O71" i="8"/>
  <c r="C77" i="11528"/>
  <c r="W67" i="8"/>
  <c r="E27" i="13"/>
  <c r="E21" i="13"/>
  <c r="E10" i="11529"/>
  <c r="AF92" i="7"/>
  <c r="BQ42" i="7"/>
  <c r="AH131" i="8080"/>
  <c r="H87" i="3" s="1"/>
  <c r="BF24" i="8080"/>
  <c r="BF43" i="8080"/>
  <c r="BF55" i="8080"/>
  <c r="BF93" i="8080"/>
  <c r="BF86" i="8080"/>
  <c r="BF79" i="8080"/>
  <c r="BF11" i="8080"/>
  <c r="BF21" i="8080"/>
  <c r="BF83" i="8080"/>
  <c r="BF88" i="8080"/>
  <c r="BF104" i="8080"/>
  <c r="BF96" i="8080"/>
  <c r="BF23" i="8080"/>
  <c r="BF113" i="8080"/>
  <c r="BF18" i="8080"/>
  <c r="BF28" i="8080"/>
  <c r="BF72" i="8080"/>
  <c r="BF98" i="8080"/>
  <c r="BF51" i="8080"/>
  <c r="BF47" i="8080"/>
  <c r="BF63" i="8080"/>
  <c r="BF101" i="8080"/>
  <c r="BF94" i="8080"/>
  <c r="BF87" i="8080"/>
  <c r="BF19" i="8080"/>
  <c r="BF26" i="8080"/>
  <c r="BF91" i="8080"/>
  <c r="BF105" i="8080"/>
  <c r="BF108" i="8080"/>
  <c r="BF109" i="8080"/>
  <c r="BF81" i="8080"/>
  <c r="BF22" i="8080"/>
  <c r="BF13" i="8080"/>
  <c r="BF85" i="8080"/>
  <c r="BF41" i="8080"/>
  <c r="BF65" i="8080"/>
  <c r="BF59" i="8080"/>
  <c r="BF52" i="8080"/>
  <c r="BF14" i="8080"/>
  <c r="BF46" i="8080"/>
  <c r="BF102" i="8080"/>
  <c r="BF95" i="8080"/>
  <c r="BF29" i="8080"/>
  <c r="BF30" i="8080"/>
  <c r="BF84" i="8080"/>
  <c r="BF107" i="8080"/>
  <c r="BF116" i="8080"/>
  <c r="BF117" i="8080"/>
  <c r="BF100" i="8080"/>
  <c r="BF97" i="8080"/>
  <c r="BF45" i="8080"/>
  <c r="BF36" i="8080"/>
  <c r="BF40" i="8080"/>
  <c r="BF34" i="8080"/>
  <c r="BF38" i="8080"/>
  <c r="BF53" i="8080"/>
  <c r="BF39" i="8080"/>
  <c r="BF17" i="8080"/>
  <c r="BF60" i="8080"/>
  <c r="BF42" i="8080"/>
  <c r="BF49" i="8080"/>
  <c r="BF32" i="8080"/>
  <c r="BF103" i="8080"/>
  <c r="BF48" i="8080"/>
  <c r="BF33" i="8080"/>
  <c r="BF90" i="8080"/>
  <c r="BF115" i="8080"/>
  <c r="BF44" i="8080"/>
  <c r="BF89" i="8080"/>
  <c r="BF112" i="8080"/>
  <c r="BF118" i="8080"/>
  <c r="BF25" i="8080"/>
  <c r="BF57" i="8080"/>
  <c r="BF66" i="8080"/>
  <c r="BF106" i="8080"/>
  <c r="BF111" i="8080"/>
  <c r="BF16" i="8080"/>
  <c r="BF71" i="8080"/>
  <c r="BF75" i="8080"/>
  <c r="BF76" i="8080"/>
  <c r="BF31" i="8080"/>
  <c r="BF12" i="8080"/>
  <c r="BF69" i="8080"/>
  <c r="BF58" i="8080"/>
  <c r="BF50" i="8080"/>
  <c r="BF56" i="8080"/>
  <c r="BF74" i="8080"/>
  <c r="BF37" i="8080"/>
  <c r="BF114" i="8080"/>
  <c r="BF80" i="8080"/>
  <c r="BF61" i="8080"/>
  <c r="BF119" i="8080"/>
  <c r="BF73" i="8080"/>
  <c r="BF62" i="8080"/>
  <c r="BF15" i="8080"/>
  <c r="BF35" i="8080"/>
  <c r="BF20" i="8080"/>
  <c r="BF77" i="8080"/>
  <c r="BF70" i="8080"/>
  <c r="BF54" i="8080"/>
  <c r="BF64" i="8080"/>
  <c r="BF82" i="8080"/>
  <c r="BF67" i="8080"/>
  <c r="BF27" i="8080"/>
  <c r="BF92" i="8080"/>
  <c r="BF68" i="8080"/>
  <c r="BF110" i="8080"/>
  <c r="BF99" i="8080"/>
  <c r="BF78" i="8080"/>
  <c r="K22" i="3"/>
  <c r="AD71" i="11"/>
  <c r="BM42" i="7"/>
  <c r="AF118" i="7"/>
  <c r="S73" i="5"/>
  <c r="S45" i="5"/>
  <c r="O52" i="5"/>
  <c r="G38" i="11528"/>
  <c r="X65" i="7"/>
  <c r="BE29" i="8"/>
  <c r="I67" i="9"/>
  <c r="O67" i="9" s="1"/>
  <c r="O52" i="9"/>
  <c r="AF70" i="9" s="1"/>
  <c r="J20" i="3" s="1"/>
  <c r="T77" i="9"/>
  <c r="AF75" i="7"/>
  <c r="I24" i="3" s="1"/>
  <c r="BI42" i="7"/>
  <c r="BL24" i="5"/>
  <c r="BI24" i="5" s="1"/>
  <c r="AN24" i="5"/>
  <c r="W24" i="5" s="1"/>
  <c r="BL17" i="5"/>
  <c r="AN17" i="5"/>
  <c r="BL38" i="5"/>
  <c r="BI38" i="5" s="1"/>
  <c r="AN38" i="5"/>
  <c r="AN13" i="5"/>
  <c r="V41" i="7"/>
  <c r="L63" i="7"/>
  <c r="BL23" i="5"/>
  <c r="AN23" i="5"/>
  <c r="W23" i="5" s="1"/>
  <c r="BL14" i="5"/>
  <c r="AN14" i="5"/>
  <c r="J26" i="3"/>
  <c r="J27" i="3" s="1"/>
  <c r="AD69" i="12"/>
  <c r="G132" i="11528"/>
  <c r="W65" i="12"/>
  <c r="G123" i="11528"/>
  <c r="W47" i="12"/>
  <c r="G26" i="3" s="1"/>
  <c r="G133" i="11528"/>
  <c r="W66" i="12"/>
  <c r="G33" i="11528"/>
  <c r="T61" i="7"/>
  <c r="X60" i="7"/>
  <c r="AO88" i="6"/>
  <c r="CJ50" i="6"/>
  <c r="AB77" i="6"/>
  <c r="O87" i="6"/>
  <c r="AO118" i="6" s="1"/>
  <c r="O85" i="3" s="1"/>
  <c r="T142" i="8080"/>
  <c r="X141" i="8080"/>
  <c r="BL30" i="5"/>
  <c r="BI30" i="5" s="1"/>
  <c r="AN30" i="5"/>
  <c r="W30" i="5" s="1"/>
  <c r="BL26" i="5"/>
  <c r="BI26" i="5" s="1"/>
  <c r="AN26" i="5"/>
  <c r="W26" i="5" s="1"/>
  <c r="BH41" i="7"/>
  <c r="W76" i="11"/>
  <c r="I71" i="267"/>
  <c r="L71" i="267" s="1"/>
  <c r="O148" i="8080"/>
  <c r="T157" i="8080"/>
  <c r="X157" i="8080" s="1"/>
  <c r="T168" i="8080"/>
  <c r="X168" i="8080" s="1"/>
  <c r="O150" i="8080"/>
  <c r="E154" i="8080"/>
  <c r="T167" i="8080"/>
  <c r="X167" i="8080" s="1"/>
  <c r="BA93" i="8080"/>
  <c r="BA104" i="8080"/>
  <c r="J124" i="8080"/>
  <c r="BA32" i="8080"/>
  <c r="BA54" i="8080"/>
  <c r="BA81" i="8080"/>
  <c r="BA115" i="8080"/>
  <c r="BA118" i="8080"/>
  <c r="O151" i="8080"/>
  <c r="BA107" i="8080"/>
  <c r="T160" i="8080"/>
  <c r="X160" i="8080" s="1"/>
  <c r="BA24" i="8080"/>
  <c r="BA85" i="8080"/>
  <c r="BA110" i="8080"/>
  <c r="O149" i="8080"/>
  <c r="BA95" i="8080"/>
  <c r="C34" i="3"/>
  <c r="BA66" i="8080"/>
  <c r="BA59" i="8080"/>
  <c r="BA73" i="8080"/>
  <c r="BA27" i="8080"/>
  <c r="BA38" i="8080"/>
  <c r="BA21" i="8080"/>
  <c r="BA72" i="8080"/>
  <c r="BA112" i="8080"/>
  <c r="BA22" i="8080"/>
  <c r="BA49" i="8080"/>
  <c r="BA105" i="8080"/>
  <c r="BA37" i="8080"/>
  <c r="BA97" i="8080"/>
  <c r="BA26" i="8080"/>
  <c r="BA82" i="8080"/>
  <c r="BA31" i="8080"/>
  <c r="BA108" i="8080"/>
  <c r="BA116" i="8080"/>
  <c r="BA28" i="8080"/>
  <c r="BA74" i="8080"/>
  <c r="BA17" i="8080"/>
  <c r="BA65" i="8080"/>
  <c r="BA83" i="8080"/>
  <c r="BA39" i="8080"/>
  <c r="BA91" i="8080"/>
  <c r="BA62" i="8080"/>
  <c r="BA44" i="8080"/>
  <c r="BA69" i="8080"/>
  <c r="BA94" i="8080"/>
  <c r="BA103" i="8080"/>
  <c r="BA60" i="8080"/>
  <c r="BA90" i="8080"/>
  <c r="BA114" i="8080"/>
  <c r="BA12" i="8080"/>
  <c r="BA34" i="8080"/>
  <c r="BA55" i="8080"/>
  <c r="BA80" i="8080"/>
  <c r="BA64" i="8080"/>
  <c r="BA88" i="8080"/>
  <c r="BA89" i="8080"/>
  <c r="BA109" i="8080"/>
  <c r="BA36" i="8080"/>
  <c r="BA68" i="8080"/>
  <c r="BA45" i="8080"/>
  <c r="BA19" i="8080"/>
  <c r="BA77" i="8080"/>
  <c r="BA53" i="8080"/>
  <c r="BA78" i="8080"/>
  <c r="BA98" i="8080"/>
  <c r="BA67" i="8080"/>
  <c r="BA96" i="8080"/>
  <c r="BA52" i="8080"/>
  <c r="BA84" i="8080"/>
  <c r="BA14" i="8080"/>
  <c r="BA113" i="8080"/>
  <c r="BA76" i="8080"/>
  <c r="BA40" i="8080"/>
  <c r="BA16" i="8080"/>
  <c r="BA111" i="8080"/>
  <c r="BA63" i="8080"/>
  <c r="BA15" i="8080"/>
  <c r="BA30" i="8080"/>
  <c r="BA46" i="8080"/>
  <c r="BA42" i="8080"/>
  <c r="BA70" i="8080"/>
  <c r="BA86" i="8080"/>
  <c r="BA92" i="8080"/>
  <c r="BA106" i="8080"/>
  <c r="BA56" i="8080"/>
  <c r="BA71" i="8080"/>
  <c r="BA117" i="8080"/>
  <c r="BA101" i="8080"/>
  <c r="BA102" i="8080"/>
  <c r="BA29" i="8080"/>
  <c r="BA20" i="8080"/>
  <c r="BA48" i="8080"/>
  <c r="BA58" i="8080"/>
  <c r="BA25" i="8080"/>
  <c r="BA43" i="8080"/>
  <c r="BA57" i="8080"/>
  <c r="BA87" i="8080"/>
  <c r="BA33" i="8080"/>
  <c r="BA79" i="8080"/>
  <c r="BA119" i="8080"/>
  <c r="BA100" i="8080"/>
  <c r="BA99" i="8080"/>
  <c r="BA23" i="8080"/>
  <c r="BA11" i="8080"/>
  <c r="BA50" i="8080"/>
  <c r="BA18" i="8080"/>
  <c r="BA47" i="8080"/>
  <c r="BA75" i="8080"/>
  <c r="BA41" i="8080"/>
  <c r="BA51" i="8080"/>
  <c r="BA13" i="8080"/>
  <c r="BA35" i="8080"/>
  <c r="BA61" i="8080"/>
  <c r="BL18" i="5"/>
  <c r="AN18" i="5"/>
  <c r="C50" i="11528"/>
  <c r="X76" i="2096"/>
  <c r="C54" i="11528"/>
  <c r="X84" i="2096"/>
  <c r="AF75" i="2096" s="1"/>
  <c r="M28" i="3" s="1"/>
  <c r="C39" i="11528"/>
  <c r="X57" i="2096"/>
  <c r="O49" i="5"/>
  <c r="G78" i="5"/>
  <c r="O78" i="5" s="1"/>
  <c r="BU31" i="5"/>
  <c r="F40" i="12"/>
  <c r="N40" i="12" s="1"/>
  <c r="L26" i="3" s="1"/>
  <c r="L27" i="3" s="1"/>
  <c r="BU13" i="5"/>
  <c r="BU20" i="5"/>
  <c r="BU26" i="5"/>
  <c r="BU16" i="5"/>
  <c r="BU30" i="5"/>
  <c r="BU19" i="5"/>
  <c r="BU23" i="5"/>
  <c r="BU24" i="5"/>
  <c r="G51" i="9"/>
  <c r="O51" i="9" s="1"/>
  <c r="BU38" i="5"/>
  <c r="BU37" i="5"/>
  <c r="BU21" i="5"/>
  <c r="BU27" i="5"/>
  <c r="BU36" i="5"/>
  <c r="G135" i="8080"/>
  <c r="O135" i="8080" s="1"/>
  <c r="G73" i="6"/>
  <c r="O73" i="6" s="1"/>
  <c r="BU25" i="5"/>
  <c r="BU14" i="5"/>
  <c r="BU29" i="5"/>
  <c r="BU12" i="5"/>
  <c r="F40" i="2826"/>
  <c r="Q40" i="2826" s="1"/>
  <c r="BU28" i="5"/>
  <c r="G41" i="8"/>
  <c r="F40" i="11"/>
  <c r="N40" i="11" s="1"/>
  <c r="G59" i="267"/>
  <c r="O59" i="267" s="1"/>
  <c r="BU18" i="5"/>
  <c r="BU17" i="5"/>
  <c r="G51" i="5"/>
  <c r="O51" i="5" s="1"/>
  <c r="BU22" i="5"/>
  <c r="BU15" i="5"/>
  <c r="BL37" i="5"/>
  <c r="BI37" i="5" s="1"/>
  <c r="AN37" i="5"/>
  <c r="BJ42" i="7"/>
  <c r="H72" i="7"/>
  <c r="S54" i="7"/>
  <c r="T54" i="7" s="1"/>
  <c r="C33" i="11528"/>
  <c r="X51" i="2096"/>
  <c r="AN21" i="5"/>
  <c r="W21" i="5" s="1"/>
  <c r="G86" i="9"/>
  <c r="O86" i="9" s="1"/>
  <c r="AF91" i="9" s="1"/>
  <c r="G82" i="9"/>
  <c r="O82" i="9" s="1"/>
  <c r="W20" i="3"/>
  <c r="O49" i="9"/>
  <c r="BI41" i="7"/>
  <c r="G51" i="2096"/>
  <c r="O51" i="2096" s="1"/>
  <c r="G50" i="2096"/>
  <c r="O50" i="2096" s="1"/>
  <c r="AN22" i="5"/>
  <c r="W22" i="5" s="1"/>
  <c r="BL22" i="5"/>
  <c r="BI22" i="5" s="1"/>
  <c r="G39" i="11528"/>
  <c r="AZ122" i="8080"/>
  <c r="G75" i="11528"/>
  <c r="X78" i="267"/>
  <c r="M26" i="3"/>
  <c r="M27" i="3" s="1"/>
  <c r="AD74" i="12"/>
  <c r="C17" i="11528"/>
  <c r="W58" i="5"/>
  <c r="T57" i="9"/>
  <c r="O64" i="9"/>
  <c r="T50" i="9"/>
  <c r="T82" i="9"/>
  <c r="T75" i="9"/>
  <c r="O65" i="9"/>
  <c r="O66" i="9"/>
  <c r="T70" i="9"/>
  <c r="O63" i="9"/>
  <c r="T56" i="9"/>
  <c r="C20" i="3"/>
  <c r="C40" i="11528"/>
  <c r="T59" i="2096"/>
  <c r="X58" i="2096"/>
  <c r="I68" i="2096"/>
  <c r="O68" i="2096" s="1"/>
  <c r="T78" i="2096"/>
  <c r="U44" i="2096"/>
  <c r="O53" i="2096"/>
  <c r="AF70" i="2096" s="1"/>
  <c r="J28" i="3" s="1"/>
  <c r="BL25" i="5"/>
  <c r="BI25" i="5" s="1"/>
  <c r="AN25" i="5"/>
  <c r="W25" i="5" s="1"/>
  <c r="G79" i="5"/>
  <c r="O79" i="5" s="1"/>
  <c r="AE101" i="5" s="1"/>
  <c r="H104" i="3" s="1"/>
  <c r="W19" i="3"/>
  <c r="O70" i="267"/>
  <c r="AD70" i="11"/>
  <c r="J22" i="3"/>
  <c r="L137" i="8080"/>
  <c r="L145" i="8080"/>
  <c r="O145" i="8080" s="1"/>
  <c r="AH138" i="8080" s="1"/>
  <c r="AB100" i="6"/>
  <c r="I83" i="6"/>
  <c r="C14" i="3" s="1"/>
  <c r="G106" i="6"/>
  <c r="O106" i="6" s="1"/>
  <c r="CG11" i="6"/>
  <c r="CE11" i="6"/>
  <c r="BL31" i="5"/>
  <c r="AN31" i="5"/>
  <c r="W31" i="5" s="1"/>
  <c r="BL16" i="5"/>
  <c r="AN16" i="5"/>
  <c r="G41" i="11534" l="1"/>
  <c r="G94" i="11534" s="1"/>
  <c r="H41" i="11534"/>
  <c r="H94" i="11534" s="1"/>
  <c r="CJ49" i="6"/>
  <c r="BN19" i="11535"/>
  <c r="M99" i="11532"/>
  <c r="E115" i="11532"/>
  <c r="H64" i="11532"/>
  <c r="E16" i="3"/>
  <c r="C64" i="11533"/>
  <c r="C115" i="11533" s="1"/>
  <c r="M92" i="11533"/>
  <c r="AG49" i="11532"/>
  <c r="AF49" i="11532" s="1"/>
  <c r="BN34" i="11534"/>
  <c r="Y34" i="11534" s="1"/>
  <c r="Z34" i="11534" s="1"/>
  <c r="BN28" i="11534"/>
  <c r="Y28" i="11534" s="1"/>
  <c r="Z28" i="11534" s="1"/>
  <c r="E94" i="11534"/>
  <c r="M80" i="11534"/>
  <c r="BN36" i="11535"/>
  <c r="BN35" i="11535"/>
  <c r="Y35" i="11535" s="1"/>
  <c r="BN30" i="11535"/>
  <c r="Y30" i="11535" s="1"/>
  <c r="E67" i="8"/>
  <c r="O67" i="8" s="1"/>
  <c r="O66" i="8"/>
  <c r="AE84" i="8"/>
  <c r="H96" i="3" s="1"/>
  <c r="Q37" i="3"/>
  <c r="Q38" i="3" s="1"/>
  <c r="AF11" i="11533"/>
  <c r="BN28" i="11535"/>
  <c r="Y28" i="11535" s="1"/>
  <c r="BN22" i="11535"/>
  <c r="Y22" i="11535" s="1"/>
  <c r="BN40" i="11535"/>
  <c r="Y40" i="11535" s="1"/>
  <c r="V39" i="3"/>
  <c r="BN17" i="11535"/>
  <c r="Y17" i="11535" s="1"/>
  <c r="BN21" i="11535"/>
  <c r="Y21" i="11535" s="1"/>
  <c r="BN29" i="11535"/>
  <c r="Y29" i="11535" s="1"/>
  <c r="BN32" i="11535"/>
  <c r="Y32" i="11535" s="1"/>
  <c r="BN18" i="11535"/>
  <c r="Y18" i="11535" s="1"/>
  <c r="BN15" i="11535"/>
  <c r="Y15" i="11535" s="1"/>
  <c r="BN12" i="11535"/>
  <c r="BO12" i="11535" s="1"/>
  <c r="BM12" i="11535"/>
  <c r="BN34" i="11535"/>
  <c r="Y34" i="11535" s="1"/>
  <c r="BN16" i="11535"/>
  <c r="Y16" i="11535" s="1"/>
  <c r="BN27" i="11535"/>
  <c r="Y27" i="11535" s="1"/>
  <c r="BN33" i="11535"/>
  <c r="Y33" i="11535" s="1"/>
  <c r="BN13" i="11535"/>
  <c r="BO13" i="11535" s="1"/>
  <c r="BM13" i="11535"/>
  <c r="BN26" i="11535"/>
  <c r="Y26" i="11535" s="1"/>
  <c r="BN11" i="11535"/>
  <c r="BO11" i="11535" s="1"/>
  <c r="BM11" i="11535"/>
  <c r="BN25" i="11535"/>
  <c r="Y25" i="11535" s="1"/>
  <c r="BN14" i="11535"/>
  <c r="BO14" i="11535" s="1"/>
  <c r="BN31" i="11535"/>
  <c r="Y31" i="11535" s="1"/>
  <c r="BN20" i="11535"/>
  <c r="Y20" i="11535" s="1"/>
  <c r="BN24" i="11535"/>
  <c r="Y24" i="11535" s="1"/>
  <c r="BN38" i="11535"/>
  <c r="Y38" i="11535" s="1"/>
  <c r="U11" i="11536"/>
  <c r="E30" i="11536"/>
  <c r="AT29" i="11536"/>
  <c r="U29" i="11536" s="1"/>
  <c r="W29" i="11536" s="1"/>
  <c r="G32" i="11536"/>
  <c r="G82" i="11536" s="1"/>
  <c r="H82" i="11536"/>
  <c r="BN41" i="11535"/>
  <c r="Y41" i="11535" s="1"/>
  <c r="BN42" i="11535"/>
  <c r="Y42" i="11535" s="1"/>
  <c r="H47" i="11535"/>
  <c r="H100" i="11535" s="1"/>
  <c r="M86" i="11535"/>
  <c r="E100" i="11535"/>
  <c r="E23" i="13"/>
  <c r="AP28" i="8"/>
  <c r="G73" i="8" s="1"/>
  <c r="AE89" i="8" s="1"/>
  <c r="W37" i="3"/>
  <c r="BN14" i="11534"/>
  <c r="Y14" i="11534" s="1"/>
  <c r="Z14" i="11534" s="1"/>
  <c r="BN22" i="11534"/>
  <c r="Y22" i="11534" s="1"/>
  <c r="Z22" i="11534" s="1"/>
  <c r="BN15" i="11534"/>
  <c r="Y15" i="11534" s="1"/>
  <c r="Z15" i="11534" s="1"/>
  <c r="BN16" i="11534"/>
  <c r="Y16" i="11534" s="1"/>
  <c r="Z16" i="11534" s="1"/>
  <c r="BN21" i="11534"/>
  <c r="Y21" i="11534" s="1"/>
  <c r="Z21" i="11534" s="1"/>
  <c r="BN19" i="11534"/>
  <c r="Y19" i="11534" s="1"/>
  <c r="Z19" i="11534" s="1"/>
  <c r="BN13" i="11534"/>
  <c r="Y13" i="11534" s="1"/>
  <c r="Z13" i="11534" s="1"/>
  <c r="BN27" i="11534"/>
  <c r="Y27" i="11534" s="1"/>
  <c r="Z27" i="11534" s="1"/>
  <c r="H85" i="3"/>
  <c r="AH12" i="11533"/>
  <c r="AE12" i="11533"/>
  <c r="AH17" i="11533"/>
  <c r="AE17" i="11533"/>
  <c r="AH20" i="11533"/>
  <c r="AE20" i="11533"/>
  <c r="AH14" i="11533"/>
  <c r="AE14" i="11533"/>
  <c r="AH24" i="11533"/>
  <c r="AE24" i="11533"/>
  <c r="AH25" i="11533"/>
  <c r="AE25" i="11533"/>
  <c r="AH15" i="11533"/>
  <c r="AE15" i="11533"/>
  <c r="AH23" i="11533"/>
  <c r="AE23" i="11533"/>
  <c r="AH19" i="11533"/>
  <c r="AE19" i="11533"/>
  <c r="AH22" i="11533"/>
  <c r="AE22" i="11533"/>
  <c r="AH16" i="11533"/>
  <c r="AE16" i="11533"/>
  <c r="AH26" i="11533"/>
  <c r="AE26" i="11533"/>
  <c r="AH18" i="11533"/>
  <c r="AE18" i="11533"/>
  <c r="AH21" i="11533"/>
  <c r="AE21" i="11533"/>
  <c r="AH13" i="11533"/>
  <c r="AE13" i="11533"/>
  <c r="BN33" i="11534"/>
  <c r="Y33" i="11534" s="1"/>
  <c r="Z33" i="11534" s="1"/>
  <c r="BN12" i="11534"/>
  <c r="Y12" i="11534" s="1"/>
  <c r="Z12" i="11534" s="1"/>
  <c r="BN23" i="11534"/>
  <c r="Y23" i="11534" s="1"/>
  <c r="Z23" i="11534" s="1"/>
  <c r="BN35" i="11534"/>
  <c r="Y35" i="11534" s="1"/>
  <c r="Z35" i="11534" s="1"/>
  <c r="BN18" i="11534"/>
  <c r="Y18" i="11534" s="1"/>
  <c r="Z18" i="11534" s="1"/>
  <c r="E12" i="11529"/>
  <c r="AA35" i="11535"/>
  <c r="AA33" i="11535"/>
  <c r="P25" i="11524"/>
  <c r="P11" i="11524"/>
  <c r="U11" i="11524" s="1"/>
  <c r="P29" i="11524"/>
  <c r="P10" i="11524"/>
  <c r="P31" i="11524"/>
  <c r="P13" i="11524"/>
  <c r="P28" i="11524"/>
  <c r="O28" i="11524" s="1"/>
  <c r="U28" i="11524" s="1"/>
  <c r="W28" i="11524" s="1"/>
  <c r="P24" i="11524"/>
  <c r="P32" i="11524"/>
  <c r="P36" i="11524"/>
  <c r="P12" i="11524"/>
  <c r="P19" i="11524"/>
  <c r="U19" i="11524" s="1"/>
  <c r="P34" i="11524"/>
  <c r="P27" i="11524"/>
  <c r="P26" i="11524"/>
  <c r="P33" i="11524"/>
  <c r="P37" i="11524"/>
  <c r="P35" i="11524"/>
  <c r="AA13" i="11535"/>
  <c r="AA20" i="11535"/>
  <c r="AA28" i="11535"/>
  <c r="AA29" i="11535"/>
  <c r="BN32" i="11534"/>
  <c r="Y32" i="11534" s="1"/>
  <c r="Z32" i="11534" s="1"/>
  <c r="AA22" i="11535"/>
  <c r="BN29" i="11534"/>
  <c r="Y29" i="11534" s="1"/>
  <c r="Z29" i="11534" s="1"/>
  <c r="AA41" i="11535"/>
  <c r="AA37" i="11535"/>
  <c r="Y37" i="11535"/>
  <c r="BN31" i="11534"/>
  <c r="Y31" i="11534" s="1"/>
  <c r="Z31" i="11534" s="1"/>
  <c r="AA18" i="11535"/>
  <c r="AA16" i="11535"/>
  <c r="BD37" i="11534"/>
  <c r="BJ37" i="11534" s="1"/>
  <c r="BL37" i="11534"/>
  <c r="BN11" i="11534"/>
  <c r="Y19" i="11535"/>
  <c r="AA19" i="11535"/>
  <c r="AA21" i="11535"/>
  <c r="AA14" i="11535"/>
  <c r="BN26" i="11534"/>
  <c r="Y26" i="11534" s="1"/>
  <c r="Z26" i="11534" s="1"/>
  <c r="AA23" i="11535"/>
  <c r="Y23" i="11535"/>
  <c r="AA12" i="11535"/>
  <c r="BX49" i="11533"/>
  <c r="AB61" i="11533" s="1"/>
  <c r="AD61" i="11533" s="1"/>
  <c r="AA31" i="11535"/>
  <c r="BN17" i="11534"/>
  <c r="Y17" i="11534" s="1"/>
  <c r="Z17" i="11534" s="1"/>
  <c r="AA26" i="11535"/>
  <c r="BN24" i="11534"/>
  <c r="Y24" i="11534" s="1"/>
  <c r="Z24" i="11534" s="1"/>
  <c r="AA15" i="11535"/>
  <c r="G64" i="11532"/>
  <c r="G115" i="11532" s="1"/>
  <c r="H115" i="11532"/>
  <c r="AA38" i="11535"/>
  <c r="BD43" i="11535"/>
  <c r="BJ43" i="11535" s="1"/>
  <c r="AA27" i="11535"/>
  <c r="AA24" i="11535"/>
  <c r="AA17" i="11535"/>
  <c r="Y36" i="11535"/>
  <c r="AA36" i="11535"/>
  <c r="AA25" i="11535"/>
  <c r="BN20" i="11534"/>
  <c r="Y20" i="11534" s="1"/>
  <c r="Z20" i="11534" s="1"/>
  <c r="BN25" i="11534"/>
  <c r="Y25" i="11534" s="1"/>
  <c r="Z25" i="11534" s="1"/>
  <c r="AA32" i="11535"/>
  <c r="AA40" i="11535"/>
  <c r="E12" i="3"/>
  <c r="M99" i="11533"/>
  <c r="H64" i="11533"/>
  <c r="AG49" i="11533"/>
  <c r="E115" i="11533"/>
  <c r="AA42" i="11535"/>
  <c r="BN30" i="11534"/>
  <c r="Y30" i="11534" s="1"/>
  <c r="Z30" i="11534" s="1"/>
  <c r="Y39" i="11535"/>
  <c r="AA39" i="11535"/>
  <c r="BX49" i="11532"/>
  <c r="AB61" i="11532" s="1"/>
  <c r="AD61" i="11532" s="1"/>
  <c r="BN36" i="11534"/>
  <c r="Y36" i="11534" s="1"/>
  <c r="Z36" i="11534" s="1"/>
  <c r="BL43" i="11535"/>
  <c r="G48" i="11535" s="1"/>
  <c r="AA11" i="11535"/>
  <c r="AA34" i="11535"/>
  <c r="AA30" i="11535"/>
  <c r="BO12" i="6"/>
  <c r="BI34" i="5"/>
  <c r="T34" i="5"/>
  <c r="CF34" i="5" s="1"/>
  <c r="AO34" i="5"/>
  <c r="U34" i="5" s="1"/>
  <c r="BI33" i="5"/>
  <c r="T33" i="5"/>
  <c r="CF33" i="5" s="1"/>
  <c r="AO33" i="5"/>
  <c r="U33" i="5" s="1"/>
  <c r="BI35" i="5"/>
  <c r="T35" i="5"/>
  <c r="CF35" i="5" s="1"/>
  <c r="AO35" i="5"/>
  <c r="U35" i="5" s="1"/>
  <c r="BI32" i="5"/>
  <c r="T32" i="5"/>
  <c r="CF32" i="5" s="1"/>
  <c r="AO32" i="5"/>
  <c r="U32" i="5" s="1"/>
  <c r="BI23" i="5"/>
  <c r="AO23" i="5"/>
  <c r="U23" i="5" s="1"/>
  <c r="T23" i="5"/>
  <c r="CF23" i="5" s="1"/>
  <c r="AO24" i="5"/>
  <c r="U24" i="5" s="1"/>
  <c r="T24" i="5"/>
  <c r="CF24" i="5" s="1"/>
  <c r="AO26" i="5"/>
  <c r="U26" i="5" s="1"/>
  <c r="AO25" i="5"/>
  <c r="U25" i="5" s="1"/>
  <c r="T22" i="5"/>
  <c r="CF22" i="5" s="1"/>
  <c r="AO30" i="5"/>
  <c r="U30" i="5" s="1"/>
  <c r="T26" i="5"/>
  <c r="CF26" i="5" s="1"/>
  <c r="T25" i="5"/>
  <c r="CF25" i="5" s="1"/>
  <c r="BI31" i="5"/>
  <c r="T31" i="5"/>
  <c r="CF31" i="5" s="1"/>
  <c r="AO31" i="5"/>
  <c r="U31" i="5" s="1"/>
  <c r="T30" i="5"/>
  <c r="CF30" i="5" s="1"/>
  <c r="AO22" i="5"/>
  <c r="U22" i="5" s="1"/>
  <c r="J47" i="3"/>
  <c r="K47" i="3"/>
  <c r="AE112" i="5"/>
  <c r="O87" i="3" s="1"/>
  <c r="W49" i="5"/>
  <c r="H15" i="3"/>
  <c r="S15" i="3"/>
  <c r="R15" i="3"/>
  <c r="Q15" i="3"/>
  <c r="O61" i="5"/>
  <c r="E61" i="5" s="1"/>
  <c r="W50" i="5"/>
  <c r="W56" i="5"/>
  <c r="O19" i="3"/>
  <c r="CD35" i="5"/>
  <c r="CD34" i="5"/>
  <c r="CD32" i="5"/>
  <c r="CD33" i="5"/>
  <c r="AL12" i="5"/>
  <c r="W12" i="5" s="1"/>
  <c r="AR12" i="5"/>
  <c r="V12" i="5" s="1"/>
  <c r="BK39" i="5"/>
  <c r="AO18" i="5"/>
  <c r="AO14" i="5"/>
  <c r="AO16" i="5"/>
  <c r="AO17" i="5"/>
  <c r="AE98" i="5"/>
  <c r="CD30" i="5"/>
  <c r="CD18" i="5"/>
  <c r="CD28" i="5"/>
  <c r="CD25" i="5"/>
  <c r="CD12" i="5"/>
  <c r="CD17" i="5"/>
  <c r="CD24" i="5"/>
  <c r="CD19" i="5"/>
  <c r="CD21" i="5"/>
  <c r="CD13" i="5"/>
  <c r="CD29" i="5"/>
  <c r="CD31" i="5"/>
  <c r="CD14" i="5"/>
  <c r="CD37" i="5"/>
  <c r="CD38" i="5"/>
  <c r="CD16" i="5"/>
  <c r="CD23" i="5"/>
  <c r="CD15" i="5"/>
  <c r="CD22" i="5"/>
  <c r="CD20" i="5"/>
  <c r="CD27" i="5"/>
  <c r="CD36" i="5"/>
  <c r="CD26" i="5"/>
  <c r="V16" i="3"/>
  <c r="T17" i="3"/>
  <c r="BV11" i="6"/>
  <c r="I14" i="3"/>
  <c r="I15" i="3" s="1"/>
  <c r="BO14" i="6"/>
  <c r="BX14" i="6"/>
  <c r="BX17" i="6"/>
  <c r="BO17" i="6"/>
  <c r="BO24" i="6"/>
  <c r="BX24" i="6"/>
  <c r="BO23" i="6"/>
  <c r="BX23" i="6"/>
  <c r="BO13" i="6"/>
  <c r="BX13" i="6"/>
  <c r="AF75" i="6"/>
  <c r="G11" i="11528"/>
  <c r="AB78" i="6"/>
  <c r="AF78" i="6" s="1"/>
  <c r="AV29" i="8"/>
  <c r="O41" i="8"/>
  <c r="O37" i="3"/>
  <c r="O38" i="3" s="1"/>
  <c r="AE104" i="8"/>
  <c r="O88" i="3" s="1"/>
  <c r="O55" i="8"/>
  <c r="E55" i="8" s="1"/>
  <c r="C65" i="11528"/>
  <c r="W46" i="8"/>
  <c r="W40" i="8"/>
  <c r="C59" i="11528"/>
  <c r="E14" i="11529"/>
  <c r="E25" i="13"/>
  <c r="O80" i="11528"/>
  <c r="G161" i="11528" s="1"/>
  <c r="O71" i="11528"/>
  <c r="G152" i="11528" s="1"/>
  <c r="C60" i="11528"/>
  <c r="W41" i="8"/>
  <c r="O42" i="8"/>
  <c r="S68" i="8"/>
  <c r="O43" i="8"/>
  <c r="C68" i="11528"/>
  <c r="W49" i="8"/>
  <c r="AU29" i="8"/>
  <c r="AZ29" i="8"/>
  <c r="AY9" i="8"/>
  <c r="BD10" i="2826"/>
  <c r="L77" i="267"/>
  <c r="AF92" i="267"/>
  <c r="L83" i="6"/>
  <c r="L84" i="6"/>
  <c r="BB12" i="2826"/>
  <c r="BD28" i="2826"/>
  <c r="O81" i="11528"/>
  <c r="G162" i="11528" s="1"/>
  <c r="BB10" i="2826"/>
  <c r="AF110" i="7"/>
  <c r="N24" i="3"/>
  <c r="AH132" i="8080"/>
  <c r="M34" i="3" s="1"/>
  <c r="AE93" i="8"/>
  <c r="H105" i="3" s="1"/>
  <c r="O24" i="3"/>
  <c r="BI49" i="6"/>
  <c r="L71" i="6" s="1"/>
  <c r="BD16" i="8"/>
  <c r="BD14" i="8"/>
  <c r="N37" i="3"/>
  <c r="N38" i="3" s="1"/>
  <c r="BD12" i="8"/>
  <c r="BD11" i="8"/>
  <c r="AF82" i="6"/>
  <c r="BL37" i="11530"/>
  <c r="BC37" i="11531"/>
  <c r="BD37" i="11530"/>
  <c r="AH130" i="8080"/>
  <c r="L34" i="3" s="1"/>
  <c r="AF86" i="11530"/>
  <c r="L71" i="11530"/>
  <c r="S45" i="11531"/>
  <c r="AD66" i="12"/>
  <c r="BH37" i="11530"/>
  <c r="X87" i="11531"/>
  <c r="U41" i="11531" s="1"/>
  <c r="AF67" i="11531"/>
  <c r="G21" i="3" s="1"/>
  <c r="AF114" i="11531"/>
  <c r="AF112" i="11531"/>
  <c r="O21" i="3" s="1"/>
  <c r="AF116" i="11530"/>
  <c r="T59" i="11530"/>
  <c r="G93" i="11528" s="1"/>
  <c r="O66" i="11530"/>
  <c r="T86" i="11530"/>
  <c r="T52" i="11530"/>
  <c r="O68" i="11530"/>
  <c r="T58" i="11530"/>
  <c r="O67" i="11530"/>
  <c r="T56" i="11530"/>
  <c r="O65" i="11530"/>
  <c r="BG37" i="9"/>
  <c r="Q59" i="2826"/>
  <c r="D62" i="2826"/>
  <c r="Q62" i="2826" s="1"/>
  <c r="D65" i="2826"/>
  <c r="Q65" i="2826" s="1"/>
  <c r="Y79" i="2826"/>
  <c r="AD69" i="2826" s="1"/>
  <c r="K42" i="3" s="1"/>
  <c r="O42" i="3"/>
  <c r="D55" i="2826"/>
  <c r="BB11" i="2826"/>
  <c r="BB13" i="2826"/>
  <c r="BV39" i="5"/>
  <c r="AF79" i="267"/>
  <c r="BC10" i="12"/>
  <c r="BC28" i="12" s="1"/>
  <c r="G27" i="3"/>
  <c r="BE37" i="2096"/>
  <c r="BC19" i="9"/>
  <c r="G61" i="7"/>
  <c r="O61" i="7" s="1"/>
  <c r="G52" i="2096"/>
  <c r="O52" i="2096" s="1"/>
  <c r="AF73" i="2096" s="1"/>
  <c r="L28" i="3" s="1"/>
  <c r="AT10" i="2826"/>
  <c r="AF73" i="9"/>
  <c r="L20" i="3" s="1"/>
  <c r="M37" i="3"/>
  <c r="M38" i="3" s="1"/>
  <c r="AE76" i="8"/>
  <c r="W55" i="8"/>
  <c r="BB16" i="8" s="1"/>
  <c r="C74" i="11528"/>
  <c r="W78" i="8"/>
  <c r="C82" i="11528"/>
  <c r="G165" i="11528" s="1"/>
  <c r="AF114" i="2096"/>
  <c r="AF110" i="2096"/>
  <c r="C118" i="11528"/>
  <c r="X56" i="9"/>
  <c r="BX20" i="5"/>
  <c r="BX28" i="5"/>
  <c r="BX12" i="5"/>
  <c r="BX25" i="5"/>
  <c r="BX19" i="5"/>
  <c r="BX13" i="5"/>
  <c r="BX26" i="5"/>
  <c r="BX18" i="5"/>
  <c r="BX14" i="5"/>
  <c r="BX27" i="5"/>
  <c r="BX22" i="5"/>
  <c r="BX31" i="5"/>
  <c r="BX37" i="5"/>
  <c r="BX17" i="5"/>
  <c r="BX24" i="5"/>
  <c r="BX38" i="5"/>
  <c r="BX30" i="5"/>
  <c r="BX21" i="5"/>
  <c r="BX29" i="5"/>
  <c r="BX15" i="5"/>
  <c r="BX16" i="5"/>
  <c r="BX23" i="5"/>
  <c r="BX36" i="5"/>
  <c r="AT21" i="2826"/>
  <c r="X21" i="2826" s="1"/>
  <c r="AZ117" i="8080"/>
  <c r="BD19" i="267"/>
  <c r="BC22" i="9"/>
  <c r="BG28" i="7"/>
  <c r="BC16" i="9"/>
  <c r="AZ68" i="8080"/>
  <c r="AZ113" i="8080"/>
  <c r="AT17" i="2826"/>
  <c r="X17" i="2826" s="1"/>
  <c r="BD24" i="267"/>
  <c r="AT25" i="2826"/>
  <c r="X25" i="2826" s="1"/>
  <c r="AZ16" i="8080"/>
  <c r="AT23" i="8"/>
  <c r="V23" i="8" s="1"/>
  <c r="AZ106" i="8080"/>
  <c r="CG49" i="6"/>
  <c r="T162" i="8080"/>
  <c r="X162" i="8080" s="1"/>
  <c r="I152" i="8080"/>
  <c r="O152" i="8080" s="1"/>
  <c r="O137" i="8080"/>
  <c r="AH127" i="8080" s="1"/>
  <c r="J34" i="3" s="1"/>
  <c r="G9" i="11528"/>
  <c r="AF73" i="6"/>
  <c r="O69" i="9"/>
  <c r="E69" i="9" s="1"/>
  <c r="C112" i="11528"/>
  <c r="T51" i="9"/>
  <c r="T53" i="9"/>
  <c r="X50" i="9"/>
  <c r="BJ11" i="7"/>
  <c r="BJ17" i="7"/>
  <c r="BJ12" i="7"/>
  <c r="BJ18" i="7"/>
  <c r="BJ27" i="7"/>
  <c r="BJ21" i="7"/>
  <c r="BJ15" i="7"/>
  <c r="BJ35" i="7"/>
  <c r="BJ14" i="7"/>
  <c r="BJ19" i="7"/>
  <c r="BJ29" i="7"/>
  <c r="BK9" i="7" s="1"/>
  <c r="BJ36" i="7"/>
  <c r="BJ30" i="7"/>
  <c r="BJ39" i="7"/>
  <c r="BJ13" i="7"/>
  <c r="BJ33" i="7"/>
  <c r="BJ40" i="7"/>
  <c r="BJ22" i="7"/>
  <c r="BJ34" i="7"/>
  <c r="BJ24" i="7"/>
  <c r="BJ28" i="7"/>
  <c r="BJ37" i="7"/>
  <c r="BJ23" i="7"/>
  <c r="BJ26" i="7"/>
  <c r="BJ31" i="7"/>
  <c r="BJ38" i="7"/>
  <c r="BJ20" i="7"/>
  <c r="BJ25" i="7"/>
  <c r="BJ16" i="7"/>
  <c r="BJ32" i="7"/>
  <c r="BL34" i="267"/>
  <c r="AZ13" i="8080"/>
  <c r="BC24" i="2096"/>
  <c r="BC17" i="2096"/>
  <c r="BC23" i="2096"/>
  <c r="BC31" i="9"/>
  <c r="AV11" i="11"/>
  <c r="V11" i="11" s="1"/>
  <c r="BG32" i="7"/>
  <c r="AZ37" i="8080"/>
  <c r="BD36" i="267"/>
  <c r="BC36" i="9"/>
  <c r="BD33" i="267"/>
  <c r="BC13" i="2096"/>
  <c r="AZ80" i="8080"/>
  <c r="BC21" i="2096"/>
  <c r="AZ63" i="8080"/>
  <c r="BG27" i="7"/>
  <c r="AZ29" i="8080"/>
  <c r="AT13" i="8"/>
  <c r="BL23" i="267"/>
  <c r="AZ95" i="8080"/>
  <c r="BC22" i="2096"/>
  <c r="AT18" i="8"/>
  <c r="V18" i="8" s="1"/>
  <c r="BC21" i="9"/>
  <c r="BG14" i="7"/>
  <c r="BL42" i="267"/>
  <c r="AV21" i="11"/>
  <c r="V21" i="11" s="1"/>
  <c r="BL19" i="267"/>
  <c r="AZ32" i="8080"/>
  <c r="BC14" i="2096"/>
  <c r="AZ86" i="8080"/>
  <c r="BD37" i="267"/>
  <c r="AZ27" i="8080"/>
  <c r="BD17" i="267"/>
  <c r="BC20" i="2096"/>
  <c r="AZ118" i="8080"/>
  <c r="AZ69" i="8080"/>
  <c r="AZ116" i="8080"/>
  <c r="BC26" i="9"/>
  <c r="AZ100" i="8080"/>
  <c r="L19" i="3"/>
  <c r="AE83" i="5"/>
  <c r="C131" i="11528"/>
  <c r="X77" i="9"/>
  <c r="BD23" i="267"/>
  <c r="BD25" i="267"/>
  <c r="AZ21" i="8080"/>
  <c r="BL39" i="267"/>
  <c r="AZ72" i="8080"/>
  <c r="BC33" i="2096"/>
  <c r="BL13" i="267"/>
  <c r="AZ108" i="8080"/>
  <c r="AZ119" i="8080"/>
  <c r="BG26" i="7"/>
  <c r="BD26" i="267"/>
  <c r="AZ64" i="8080"/>
  <c r="BC36" i="2096"/>
  <c r="AT18" i="2826"/>
  <c r="X18" i="2826" s="1"/>
  <c r="AV18" i="11"/>
  <c r="V18" i="11" s="1"/>
  <c r="BC27" i="2096"/>
  <c r="AT19" i="2826"/>
  <c r="X19" i="2826" s="1"/>
  <c r="AV21" i="12"/>
  <c r="V21" i="12" s="1"/>
  <c r="G34" i="11528"/>
  <c r="X61" i="7"/>
  <c r="AF70" i="7" s="1"/>
  <c r="AD70" i="12"/>
  <c r="K26" i="3"/>
  <c r="K27" i="3" s="1"/>
  <c r="C119" i="11528"/>
  <c r="X57" i="9"/>
  <c r="T58" i="9"/>
  <c r="W76" i="12"/>
  <c r="T31" i="12" s="1"/>
  <c r="O70" i="2096"/>
  <c r="E70" i="2096" s="1"/>
  <c r="BL39" i="5"/>
  <c r="AZ30" i="8080"/>
  <c r="BC30" i="2096"/>
  <c r="AZ19" i="8080"/>
  <c r="AT15" i="2826"/>
  <c r="X15" i="2826" s="1"/>
  <c r="AZ75" i="8080"/>
  <c r="AT11" i="2826"/>
  <c r="BC12" i="9"/>
  <c r="BC23" i="9"/>
  <c r="AT24" i="2826"/>
  <c r="X24" i="2826" s="1"/>
  <c r="AZ24" i="8080"/>
  <c r="BC29" i="2096"/>
  <c r="BL21" i="267"/>
  <c r="BC34" i="9"/>
  <c r="AT12" i="8"/>
  <c r="AV26" i="12"/>
  <c r="V26" i="12" s="1"/>
  <c r="AZ90" i="8080"/>
  <c r="BC18" i="2096"/>
  <c r="AT26" i="8"/>
  <c r="V26" i="8" s="1"/>
  <c r="BD34" i="267"/>
  <c r="AT22" i="2826"/>
  <c r="X22" i="2826" s="1"/>
  <c r="AZ38" i="8080"/>
  <c r="AZ53" i="8080"/>
  <c r="BL33" i="267"/>
  <c r="AZ101" i="8080"/>
  <c r="AV20" i="12"/>
  <c r="V20" i="12" s="1"/>
  <c r="BG20" i="7"/>
  <c r="AT14" i="2826"/>
  <c r="X14" i="2826" s="1"/>
  <c r="AZ11" i="8080"/>
  <c r="AV13" i="12"/>
  <c r="V13" i="12" s="1"/>
  <c r="BD13" i="267"/>
  <c r="BD15" i="267"/>
  <c r="BL18" i="267"/>
  <c r="AZ84" i="8080"/>
  <c r="BC25" i="9"/>
  <c r="AZ62" i="8080"/>
  <c r="AZ36" i="8080"/>
  <c r="BD41" i="267"/>
  <c r="AZ114" i="8080"/>
  <c r="AF114" i="9"/>
  <c r="AF112" i="9"/>
  <c r="C126" i="11528"/>
  <c r="O73" i="11528" s="1"/>
  <c r="T71" i="9"/>
  <c r="X70" i="9"/>
  <c r="BG19" i="7"/>
  <c r="AT16" i="8"/>
  <c r="BD40" i="267"/>
  <c r="AZ22" i="8080"/>
  <c r="BD18" i="267"/>
  <c r="AZ93" i="8080"/>
  <c r="AV19" i="11"/>
  <c r="V19" i="11" s="1"/>
  <c r="BC20" i="9"/>
  <c r="BC24" i="9"/>
  <c r="AZ104" i="8080"/>
  <c r="BD35" i="267"/>
  <c r="AV24" i="11"/>
  <c r="V24" i="11" s="1"/>
  <c r="BG36" i="7"/>
  <c r="BC33" i="9"/>
  <c r="BC15" i="2096"/>
  <c r="AZ26" i="8080"/>
  <c r="AZ85" i="8080"/>
  <c r="AZ46" i="8080"/>
  <c r="AV15" i="11"/>
  <c r="V15" i="11" s="1"/>
  <c r="BC25" i="2096"/>
  <c r="AZ25" i="8080"/>
  <c r="BD21" i="267"/>
  <c r="AZ83" i="8080"/>
  <c r="AE80" i="5"/>
  <c r="J19" i="3"/>
  <c r="AF89" i="6"/>
  <c r="Y92" i="6" s="1"/>
  <c r="Y93" i="6" s="1"/>
  <c r="G24" i="11528"/>
  <c r="O85" i="6"/>
  <c r="AO117" i="6" s="1"/>
  <c r="O84" i="3" s="1"/>
  <c r="AB107" i="6"/>
  <c r="O86" i="6"/>
  <c r="AO119" i="6" s="1"/>
  <c r="O86" i="3" s="1"/>
  <c r="O84" i="6"/>
  <c r="AO116" i="6" s="1"/>
  <c r="O83" i="3" s="1"/>
  <c r="O83" i="6"/>
  <c r="AB101" i="6"/>
  <c r="BC29" i="9"/>
  <c r="BL36" i="267"/>
  <c r="AV20" i="11"/>
  <c r="V20" i="11" s="1"/>
  <c r="BC28" i="9"/>
  <c r="BG12" i="7"/>
  <c r="BG24" i="7"/>
  <c r="BL38" i="267"/>
  <c r="AT14" i="8"/>
  <c r="BG15" i="7"/>
  <c r="BG13" i="7"/>
  <c r="BX11" i="6"/>
  <c r="AV19" i="12"/>
  <c r="V19" i="12" s="1"/>
  <c r="BG39" i="7"/>
  <c r="BL12" i="267"/>
  <c r="AV25" i="11"/>
  <c r="V25" i="11" s="1"/>
  <c r="AT15" i="8"/>
  <c r="V15" i="8" s="1"/>
  <c r="BC26" i="2096"/>
  <c r="AZ33" i="8080"/>
  <c r="AZ94" i="8080"/>
  <c r="AZ61" i="8080"/>
  <c r="AT20" i="8"/>
  <c r="V20" i="8" s="1"/>
  <c r="BL20" i="267"/>
  <c r="AZ78" i="8080"/>
  <c r="AZ115" i="8080"/>
  <c r="AZ34" i="8080"/>
  <c r="AZ18" i="8080"/>
  <c r="AZ59" i="8080"/>
  <c r="AZ39" i="8080"/>
  <c r="AZ112" i="8080"/>
  <c r="AZ45" i="8080"/>
  <c r="BL14" i="267"/>
  <c r="AZ51" i="8080"/>
  <c r="BG16" i="7"/>
  <c r="BL24" i="267"/>
  <c r="AV22" i="11"/>
  <c r="V22" i="11" s="1"/>
  <c r="AV12" i="11"/>
  <c r="V12" i="11" s="1"/>
  <c r="AT12" i="2826"/>
  <c r="BG23" i="7"/>
  <c r="AD72" i="12"/>
  <c r="T143" i="8080"/>
  <c r="X143" i="8080" s="1"/>
  <c r="X142" i="8080"/>
  <c r="BC12" i="2096"/>
  <c r="BC35" i="2096"/>
  <c r="BL22" i="267"/>
  <c r="BC28" i="2096"/>
  <c r="BG18" i="7"/>
  <c r="AZ99" i="8080"/>
  <c r="BD12" i="267"/>
  <c r="AZ79" i="8080"/>
  <c r="AZ47" i="8080"/>
  <c r="AV13" i="11"/>
  <c r="V13" i="11" s="1"/>
  <c r="AZ60" i="8080"/>
  <c r="AV16" i="12"/>
  <c r="V16" i="12" s="1"/>
  <c r="BD42" i="267"/>
  <c r="AZ97" i="8080"/>
  <c r="AV26" i="11"/>
  <c r="V26" i="11" s="1"/>
  <c r="AZ54" i="8080"/>
  <c r="BC32" i="2096"/>
  <c r="BC35" i="9"/>
  <c r="AZ20" i="8080"/>
  <c r="AZ66" i="8080"/>
  <c r="AZ44" i="8080"/>
  <c r="AZ70" i="8080"/>
  <c r="AV25" i="12"/>
  <c r="V25" i="12" s="1"/>
  <c r="AZ28" i="8080"/>
  <c r="AZ14" i="8080"/>
  <c r="AZ91" i="8080"/>
  <c r="AZ74" i="8080"/>
  <c r="AZ76" i="8080"/>
  <c r="AT21" i="8"/>
  <c r="V21" i="8" s="1"/>
  <c r="C124" i="8080"/>
  <c r="C175" i="8080" s="1"/>
  <c r="J175" i="8080"/>
  <c r="BA122" i="8080"/>
  <c r="O154" i="8080"/>
  <c r="T31" i="11"/>
  <c r="X22" i="3" s="1"/>
  <c r="Y22" i="3" s="1"/>
  <c r="T92" i="7"/>
  <c r="U43" i="7"/>
  <c r="O63" i="7"/>
  <c r="C26" i="11528"/>
  <c r="W73" i="5"/>
  <c r="C41" i="11528"/>
  <c r="X59" i="2096"/>
  <c r="AF67" i="2096" s="1"/>
  <c r="C129" i="11528"/>
  <c r="X75" i="9"/>
  <c r="AT22" i="8"/>
  <c r="V22" i="8" s="1"/>
  <c r="AZ96" i="8080"/>
  <c r="AZ73" i="8080"/>
  <c r="AV14" i="11"/>
  <c r="V14" i="11" s="1"/>
  <c r="AV23" i="12"/>
  <c r="V23" i="12" s="1"/>
  <c r="AT26" i="2826"/>
  <c r="X26" i="2826" s="1"/>
  <c r="BG33" i="7"/>
  <c r="BL35" i="267"/>
  <c r="AZ103" i="8080"/>
  <c r="BC14" i="9"/>
  <c r="AV15" i="12"/>
  <c r="V15" i="12" s="1"/>
  <c r="BG11" i="7"/>
  <c r="CE49" i="6"/>
  <c r="AO110" i="6"/>
  <c r="AF100" i="6"/>
  <c r="G25" i="11528"/>
  <c r="AV14" i="12"/>
  <c r="V14" i="12" s="1"/>
  <c r="AV18" i="12"/>
  <c r="V18" i="12" s="1"/>
  <c r="AZ49" i="8080"/>
  <c r="BG40" i="7"/>
  <c r="AZ110" i="8080"/>
  <c r="AZ50" i="8080"/>
  <c r="AZ105" i="8080"/>
  <c r="AV24" i="12"/>
  <c r="V24" i="12" s="1"/>
  <c r="AT11" i="8"/>
  <c r="L22" i="3"/>
  <c r="AD73" i="11"/>
  <c r="AD118" i="11" s="1"/>
  <c r="AZ40" i="8080"/>
  <c r="AZ55" i="8080"/>
  <c r="AZ23" i="8080"/>
  <c r="BG17" i="7"/>
  <c r="AV11" i="12"/>
  <c r="V11" i="12" s="1"/>
  <c r="BL17" i="267"/>
  <c r="BU39" i="5"/>
  <c r="AZ71" i="8080"/>
  <c r="AZ41" i="8080"/>
  <c r="BD20" i="267"/>
  <c r="AT20" i="2826"/>
  <c r="X20" i="2826" s="1"/>
  <c r="BG31" i="7"/>
  <c r="AV23" i="11"/>
  <c r="V23" i="11" s="1"/>
  <c r="BG25" i="7"/>
  <c r="AZ17" i="8080"/>
  <c r="AZ43" i="8080"/>
  <c r="BC31" i="2096"/>
  <c r="AZ52" i="8080"/>
  <c r="AZ35" i="8080"/>
  <c r="BG34" i="7"/>
  <c r="BC30" i="9"/>
  <c r="BL40" i="267"/>
  <c r="AV16" i="11"/>
  <c r="V16" i="11" s="1"/>
  <c r="BG37" i="7"/>
  <c r="AZ87" i="8080"/>
  <c r="AZ48" i="8080"/>
  <c r="AZ65" i="8080"/>
  <c r="AZ109" i="8080"/>
  <c r="BC13" i="9"/>
  <c r="T64" i="267"/>
  <c r="O71" i="267"/>
  <c r="O72" i="267"/>
  <c r="O73" i="267"/>
  <c r="T58" i="267"/>
  <c r="T92" i="267"/>
  <c r="T62" i="267"/>
  <c r="T65" i="267"/>
  <c r="C43" i="3"/>
  <c r="O74" i="267"/>
  <c r="AF77" i="6"/>
  <c r="G13" i="11528"/>
  <c r="C52" i="11528"/>
  <c r="X78" i="2096"/>
  <c r="AF71" i="2096" s="1"/>
  <c r="K28" i="3" s="1"/>
  <c r="C132" i="11528"/>
  <c r="X82" i="9"/>
  <c r="AF75" i="9" s="1"/>
  <c r="M20" i="3" s="1"/>
  <c r="BW21" i="5"/>
  <c r="BW16" i="5"/>
  <c r="AL16" i="5" s="1"/>
  <c r="W16" i="5" s="1"/>
  <c r="BW22" i="5"/>
  <c r="BW14" i="5"/>
  <c r="G62" i="7"/>
  <c r="O62" i="7" s="1"/>
  <c r="BW36" i="5"/>
  <c r="BW28" i="5"/>
  <c r="BW38" i="5"/>
  <c r="BW30" i="5"/>
  <c r="BW15" i="5"/>
  <c r="AL15" i="5" s="1"/>
  <c r="W15" i="5" s="1"/>
  <c r="BW27" i="5"/>
  <c r="BW20" i="5"/>
  <c r="BW24" i="5"/>
  <c r="BW13" i="5"/>
  <c r="AR13" i="5" s="1"/>
  <c r="BW17" i="5"/>
  <c r="AL17" i="5" s="1"/>
  <c r="W17" i="5" s="1"/>
  <c r="BW29" i="5"/>
  <c r="BW26" i="5"/>
  <c r="BW31" i="5"/>
  <c r="BW12" i="5"/>
  <c r="BW37" i="5"/>
  <c r="BW19" i="5"/>
  <c r="BW18" i="5"/>
  <c r="AL18" i="5" s="1"/>
  <c r="W18" i="5" s="1"/>
  <c r="BW23" i="5"/>
  <c r="BW25" i="5"/>
  <c r="AF88" i="9"/>
  <c r="BH11" i="9"/>
  <c r="AT24" i="8"/>
  <c r="V24" i="8" s="1"/>
  <c r="AZ31" i="8080"/>
  <c r="BG29" i="7"/>
  <c r="AT19" i="8"/>
  <c r="V19" i="8" s="1"/>
  <c r="BD22" i="267"/>
  <c r="BL16" i="267"/>
  <c r="BD38" i="267"/>
  <c r="AZ88" i="8080"/>
  <c r="AZ98" i="8080"/>
  <c r="AZ102" i="8080"/>
  <c r="AZ89" i="8080"/>
  <c r="AV10" i="11"/>
  <c r="AZ111" i="8080"/>
  <c r="BL26" i="267"/>
  <c r="BC16" i="2096"/>
  <c r="BC15" i="9"/>
  <c r="BC34" i="2096"/>
  <c r="BC32" i="9"/>
  <c r="AV17" i="11"/>
  <c r="V17" i="11" s="1"/>
  <c r="AV10" i="12"/>
  <c r="BL15" i="267"/>
  <c r="AZ107" i="8080"/>
  <c r="AZ82" i="8080"/>
  <c r="AT23" i="2826"/>
  <c r="X23" i="2826" s="1"/>
  <c r="AZ67" i="8080"/>
  <c r="BC18" i="9"/>
  <c r="BC19" i="2096"/>
  <c r="BG30" i="7"/>
  <c r="AT27" i="8"/>
  <c r="V27" i="8" s="1"/>
  <c r="AV12" i="12"/>
  <c r="V12" i="12" s="1"/>
  <c r="AT13" i="2826"/>
  <c r="AV17" i="12"/>
  <c r="V17" i="12" s="1"/>
  <c r="BC11" i="2096"/>
  <c r="AT25" i="8"/>
  <c r="V25" i="8" s="1"/>
  <c r="BG38" i="7"/>
  <c r="BD11" i="267"/>
  <c r="BN11" i="267" s="1"/>
  <c r="AT16" i="2826"/>
  <c r="X16" i="2826" s="1"/>
  <c r="AT17" i="8"/>
  <c r="V17" i="8" s="1"/>
  <c r="F34" i="3"/>
  <c r="V34" i="3"/>
  <c r="AZ56" i="8080"/>
  <c r="AZ92" i="8080"/>
  <c r="BC27" i="9"/>
  <c r="BD39" i="267"/>
  <c r="BG21" i="7"/>
  <c r="AZ12" i="8080"/>
  <c r="BC17" i="9"/>
  <c r="AZ77" i="8080"/>
  <c r="AZ57" i="8080"/>
  <c r="BL37" i="267"/>
  <c r="AZ58" i="8080"/>
  <c r="BD16" i="267"/>
  <c r="AZ81" i="8080"/>
  <c r="BL25" i="267"/>
  <c r="BC11" i="9"/>
  <c r="AZ15" i="8080"/>
  <c r="BD14" i="267"/>
  <c r="BG22" i="7"/>
  <c r="AV22" i="12"/>
  <c r="V22" i="12" s="1"/>
  <c r="AZ42" i="8080"/>
  <c r="BG35" i="7"/>
  <c r="BL41" i="267"/>
  <c r="BZ17" i="6" l="1"/>
  <c r="BZ47" i="6"/>
  <c r="BZ24" i="6"/>
  <c r="BZ40" i="6"/>
  <c r="BZ29" i="6"/>
  <c r="BZ44" i="6"/>
  <c r="BZ43" i="6"/>
  <c r="BZ39" i="6"/>
  <c r="BZ14" i="6"/>
  <c r="BZ45" i="6"/>
  <c r="BZ35" i="6"/>
  <c r="BZ23" i="6"/>
  <c r="BZ26" i="6"/>
  <c r="BZ15" i="6"/>
  <c r="BC12" i="8"/>
  <c r="BC29" i="8" s="1"/>
  <c r="AE116" i="8"/>
  <c r="R37" i="3" s="1"/>
  <c r="R38" i="3" s="1"/>
  <c r="M65" i="8"/>
  <c r="AH11" i="11533"/>
  <c r="AH49" i="11533" s="1"/>
  <c r="AF49" i="11533" s="1"/>
  <c r="AE11" i="11533"/>
  <c r="Y14" i="11535"/>
  <c r="G47" i="11535"/>
  <c r="G100" i="11535" s="1"/>
  <c r="F46" i="3"/>
  <c r="B41" i="11535"/>
  <c r="BD13" i="8"/>
  <c r="Y13" i="11535"/>
  <c r="Y12" i="11535"/>
  <c r="H101" i="3"/>
  <c r="O76" i="11528"/>
  <c r="G157" i="11528" s="1"/>
  <c r="H97" i="3"/>
  <c r="BN37" i="11534"/>
  <c r="BO37" i="11534" s="1"/>
  <c r="Y11" i="11534"/>
  <c r="Z11" i="11534" s="1"/>
  <c r="N35" i="11524"/>
  <c r="Q35" i="11524" s="1"/>
  <c r="O35" i="11524"/>
  <c r="U35" i="11524" s="1"/>
  <c r="O37" i="11524"/>
  <c r="N37" i="11524"/>
  <c r="Q37" i="11524" s="1"/>
  <c r="N33" i="11524"/>
  <c r="Q33" i="11524" s="1"/>
  <c r="O33" i="11524"/>
  <c r="H115" i="11533"/>
  <c r="G64" i="11533"/>
  <c r="G115" i="11533" s="1"/>
  <c r="L26" i="11524"/>
  <c r="Q26" i="11524" s="1"/>
  <c r="O26" i="11524"/>
  <c r="O27" i="11524"/>
  <c r="L27" i="11524"/>
  <c r="Q27" i="11524" s="1"/>
  <c r="T27" i="11524" s="1"/>
  <c r="N34" i="11524"/>
  <c r="Q34" i="11524" s="1"/>
  <c r="U34" i="11524" s="1"/>
  <c r="W34" i="11524" s="1"/>
  <c r="L49" i="3"/>
  <c r="U49" i="3" s="1"/>
  <c r="V49" i="3" s="1"/>
  <c r="U12" i="11524"/>
  <c r="W12" i="11524" s="1"/>
  <c r="O36" i="11524"/>
  <c r="N36" i="11524"/>
  <c r="Q36" i="11524" s="1"/>
  <c r="O32" i="11524"/>
  <c r="N32" i="11524"/>
  <c r="Q32" i="11524" s="1"/>
  <c r="L52" i="3"/>
  <c r="L24" i="11524"/>
  <c r="Q24" i="11524" s="1"/>
  <c r="U13" i="11524"/>
  <c r="L50" i="3"/>
  <c r="O31" i="11524"/>
  <c r="L29" i="3"/>
  <c r="N31" i="11524"/>
  <c r="L51" i="3"/>
  <c r="U51" i="3" s="1"/>
  <c r="V51" i="3" s="1"/>
  <c r="P38" i="11524"/>
  <c r="U10" i="11524"/>
  <c r="AK16" i="11524"/>
  <c r="BN43" i="11535"/>
  <c r="BO43" i="11535" s="1"/>
  <c r="Y11" i="11535"/>
  <c r="L29" i="11524"/>
  <c r="Q29" i="11524" s="1"/>
  <c r="T29" i="11524" s="1"/>
  <c r="O29" i="11524"/>
  <c r="L25" i="11524"/>
  <c r="Q25" i="11524" s="1"/>
  <c r="J53" i="3" s="1"/>
  <c r="O25" i="11524"/>
  <c r="L53" i="3"/>
  <c r="O71" i="6"/>
  <c r="W14" i="3"/>
  <c r="P43" i="3"/>
  <c r="AE74" i="8"/>
  <c r="X58" i="11530"/>
  <c r="G92" i="11528"/>
  <c r="X86" i="11530"/>
  <c r="AF77" i="11530" s="1"/>
  <c r="G108" i="11528"/>
  <c r="X52" i="11530"/>
  <c r="G86" i="11528"/>
  <c r="X56" i="11530"/>
  <c r="G90" i="11528"/>
  <c r="G14" i="11528"/>
  <c r="O63" i="11528" s="1"/>
  <c r="BO49" i="6"/>
  <c r="G107" i="6" s="1"/>
  <c r="O107" i="6" s="1"/>
  <c r="CH18" i="6" s="1"/>
  <c r="W83" i="5"/>
  <c r="CA17" i="5" s="1"/>
  <c r="T17" i="5" s="1"/>
  <c r="CF17" i="5" s="1"/>
  <c r="AE77" i="5"/>
  <c r="G19" i="3"/>
  <c r="V13" i="5"/>
  <c r="U13" i="5"/>
  <c r="AR18" i="5"/>
  <c r="V18" i="5" s="1"/>
  <c r="AR17" i="5"/>
  <c r="V17" i="5" s="1"/>
  <c r="BI12" i="5"/>
  <c r="AL13" i="5"/>
  <c r="W13" i="5" s="1"/>
  <c r="AR14" i="5"/>
  <c r="V14" i="5" s="1"/>
  <c r="U12" i="5"/>
  <c r="AR16" i="5"/>
  <c r="V16" i="5" s="1"/>
  <c r="AR15" i="5"/>
  <c r="AL14" i="5"/>
  <c r="W14" i="5" s="1"/>
  <c r="BI17" i="5"/>
  <c r="BI15" i="5"/>
  <c r="BI16" i="5"/>
  <c r="BI20" i="5"/>
  <c r="BI18" i="5"/>
  <c r="BI13" i="5"/>
  <c r="BI14" i="5"/>
  <c r="CD39" i="5"/>
  <c r="CA35" i="6"/>
  <c r="BZ31" i="6"/>
  <c r="BZ19" i="6"/>
  <c r="BZ32" i="6"/>
  <c r="BZ13" i="6"/>
  <c r="BZ42" i="6"/>
  <c r="BZ25" i="6"/>
  <c r="BZ30" i="6"/>
  <c r="BZ33" i="6"/>
  <c r="BZ18" i="6"/>
  <c r="BZ37" i="6"/>
  <c r="BZ38" i="6"/>
  <c r="BZ41" i="6"/>
  <c r="BZ34" i="6"/>
  <c r="CA43" i="6"/>
  <c r="BZ48" i="6"/>
  <c r="CA15" i="6"/>
  <c r="CA42" i="6"/>
  <c r="CA21" i="6"/>
  <c r="CA31" i="6"/>
  <c r="CA18" i="6"/>
  <c r="CA26" i="6"/>
  <c r="CA40" i="6"/>
  <c r="CA24" i="6"/>
  <c r="CA30" i="6"/>
  <c r="CA14" i="6"/>
  <c r="CA38" i="6"/>
  <c r="CA27" i="6"/>
  <c r="CA41" i="6"/>
  <c r="CA28" i="6"/>
  <c r="CA48" i="6"/>
  <c r="CA23" i="6"/>
  <c r="CA46" i="6"/>
  <c r="CA29" i="6"/>
  <c r="CA37" i="6"/>
  <c r="CA25" i="6"/>
  <c r="CA13" i="6"/>
  <c r="CA12" i="6"/>
  <c r="CA33" i="6"/>
  <c r="CA36" i="6"/>
  <c r="CA17" i="6"/>
  <c r="BZ36" i="6"/>
  <c r="CA32" i="6"/>
  <c r="CA47" i="6"/>
  <c r="BZ27" i="6"/>
  <c r="CA20" i="6"/>
  <c r="CA22" i="6"/>
  <c r="BZ12" i="6"/>
  <c r="BZ21" i="6"/>
  <c r="BZ46" i="6"/>
  <c r="BZ16" i="6"/>
  <c r="BZ20" i="6"/>
  <c r="CA16" i="6"/>
  <c r="CA39" i="6"/>
  <c r="CA44" i="6"/>
  <c r="BZ28" i="6"/>
  <c r="CA19" i="6"/>
  <c r="BZ22" i="6"/>
  <c r="CA45" i="6"/>
  <c r="CA34" i="6"/>
  <c r="BZ11" i="6"/>
  <c r="BD29" i="8"/>
  <c r="L37" i="3"/>
  <c r="L38" i="3" s="1"/>
  <c r="C78" i="11528"/>
  <c r="W68" i="8"/>
  <c r="BB13" i="8" s="1"/>
  <c r="V13" i="8" s="1"/>
  <c r="U13" i="8" s="1"/>
  <c r="O59" i="11528"/>
  <c r="Q55" i="3"/>
  <c r="AD83" i="2826"/>
  <c r="Q42" i="3" s="1"/>
  <c r="AO102" i="6"/>
  <c r="H98" i="3" s="1"/>
  <c r="L90" i="6"/>
  <c r="CA11" i="6"/>
  <c r="O72" i="11528"/>
  <c r="G153" i="11528" s="1"/>
  <c r="O83" i="11528"/>
  <c r="G164" i="11528" s="1"/>
  <c r="G154" i="11528"/>
  <c r="P47" i="3"/>
  <c r="AD117" i="12"/>
  <c r="T80" i="12" s="1"/>
  <c r="I31" i="12"/>
  <c r="I79" i="12" s="1"/>
  <c r="X26" i="3"/>
  <c r="AA50" i="6"/>
  <c r="E8" i="11529"/>
  <c r="E20" i="11529" s="1"/>
  <c r="E19" i="13"/>
  <c r="E30" i="13" s="1"/>
  <c r="V16" i="8"/>
  <c r="U16" i="8" s="1"/>
  <c r="BB14" i="8"/>
  <c r="V14" i="8" s="1"/>
  <c r="U14" i="8" s="1"/>
  <c r="AE68" i="8"/>
  <c r="G37" i="3"/>
  <c r="G38" i="3" s="1"/>
  <c r="U21" i="3"/>
  <c r="J41" i="11531"/>
  <c r="J90" i="11531" s="1"/>
  <c r="X21" i="3"/>
  <c r="AH124" i="8080"/>
  <c r="L43" i="3"/>
  <c r="X172" i="8080"/>
  <c r="U124" i="8080" s="1"/>
  <c r="U175" i="8080" s="1"/>
  <c r="O71" i="11530"/>
  <c r="E71" i="11530" s="1"/>
  <c r="AF118" i="11531"/>
  <c r="E41" i="11531"/>
  <c r="U90" i="11531"/>
  <c r="T60" i="11530"/>
  <c r="X59" i="11530"/>
  <c r="AF107" i="11530"/>
  <c r="BB28" i="2826"/>
  <c r="O58" i="2826"/>
  <c r="W31" i="2826"/>
  <c r="X42" i="3" s="1"/>
  <c r="BA11" i="2826"/>
  <c r="BA13" i="2826"/>
  <c r="BA12" i="2826"/>
  <c r="BA10" i="2826"/>
  <c r="BC12" i="2826"/>
  <c r="BC10" i="2826"/>
  <c r="BC11" i="2826"/>
  <c r="BC13" i="2826"/>
  <c r="O63" i="2826"/>
  <c r="AD115" i="2826" s="1"/>
  <c r="R42" i="3" s="1"/>
  <c r="T27" i="3"/>
  <c r="U26" i="3"/>
  <c r="AF71" i="9"/>
  <c r="K20" i="3" s="1"/>
  <c r="O77" i="267"/>
  <c r="E77" i="267" s="1"/>
  <c r="BH43" i="267" s="1"/>
  <c r="AF113" i="267"/>
  <c r="O28" i="3"/>
  <c r="BO11" i="7"/>
  <c r="BO41" i="7" s="1"/>
  <c r="AE71" i="8"/>
  <c r="J37" i="3"/>
  <c r="J38" i="3" s="1"/>
  <c r="X88" i="2096"/>
  <c r="G24" i="3"/>
  <c r="G28" i="3"/>
  <c r="AF118" i="2096"/>
  <c r="U42" i="2096" s="1"/>
  <c r="G53" i="11528"/>
  <c r="X92" i="7"/>
  <c r="AC23" i="6"/>
  <c r="AC30" i="6"/>
  <c r="G42" i="11529" s="1"/>
  <c r="T79" i="11"/>
  <c r="D31" i="11"/>
  <c r="AC14" i="6"/>
  <c r="AC26" i="6"/>
  <c r="BC49" i="6"/>
  <c r="CK11" i="6"/>
  <c r="AC40" i="6"/>
  <c r="AC37" i="6"/>
  <c r="Q13" i="3"/>
  <c r="I56" i="3"/>
  <c r="H56" i="3"/>
  <c r="R13" i="3"/>
  <c r="S13" i="3"/>
  <c r="S56" i="3" s="1"/>
  <c r="BO42" i="7"/>
  <c r="G63" i="11528"/>
  <c r="X62" i="267"/>
  <c r="BC37" i="2096"/>
  <c r="V10" i="11"/>
  <c r="AV28" i="11"/>
  <c r="T28" i="11" s="1"/>
  <c r="BX49" i="6"/>
  <c r="AC31" i="6"/>
  <c r="G43" i="11529" s="1"/>
  <c r="G8" i="11528"/>
  <c r="AF72" i="6"/>
  <c r="BC37" i="9"/>
  <c r="AT28" i="2826"/>
  <c r="G66" i="11528"/>
  <c r="T66" i="267"/>
  <c r="X65" i="267"/>
  <c r="G65" i="11528"/>
  <c r="X64" i="267"/>
  <c r="AH128" i="8080"/>
  <c r="K34" i="3" s="1"/>
  <c r="AC44" i="6"/>
  <c r="AC34" i="6"/>
  <c r="G46" i="11529" s="1"/>
  <c r="AC19" i="6"/>
  <c r="AC42" i="6"/>
  <c r="AC18" i="6"/>
  <c r="AC41" i="6"/>
  <c r="AC15" i="6"/>
  <c r="AC36" i="6"/>
  <c r="T79" i="12"/>
  <c r="D31" i="12"/>
  <c r="B31" i="12" s="1"/>
  <c r="B79" i="12" s="1"/>
  <c r="C115" i="11528"/>
  <c r="O61" i="11528" s="1"/>
  <c r="X53" i="9"/>
  <c r="BC122" i="8080"/>
  <c r="AH171" i="8080"/>
  <c r="AH165" i="8080"/>
  <c r="BW39" i="5"/>
  <c r="G81" i="11528"/>
  <c r="X92" i="267"/>
  <c r="AF83" i="267" s="1"/>
  <c r="G26" i="11528"/>
  <c r="AF101" i="6"/>
  <c r="AC16" i="6"/>
  <c r="AC22" i="6"/>
  <c r="C127" i="11528"/>
  <c r="X71" i="9"/>
  <c r="BL43" i="267"/>
  <c r="C113" i="11528"/>
  <c r="X51" i="9"/>
  <c r="T80" i="11"/>
  <c r="T32" i="11"/>
  <c r="BD43" i="267"/>
  <c r="G59" i="11528"/>
  <c r="X58" i="267"/>
  <c r="AC38" i="6"/>
  <c r="AC29" i="6"/>
  <c r="G41" i="11529" s="1"/>
  <c r="AC43" i="6"/>
  <c r="AC21" i="6"/>
  <c r="AC35" i="6"/>
  <c r="G47" i="11529" s="1"/>
  <c r="AC13" i="6"/>
  <c r="BG42" i="7"/>
  <c r="AF76" i="7"/>
  <c r="L24" i="3" s="1"/>
  <c r="K19" i="3"/>
  <c r="AE81" i="5"/>
  <c r="AC33" i="6"/>
  <c r="G45" i="11529" s="1"/>
  <c r="AC32" i="6"/>
  <c r="G44" i="11529" s="1"/>
  <c r="AC28" i="6"/>
  <c r="G40" i="11529" s="1"/>
  <c r="AC27" i="6"/>
  <c r="V10" i="12"/>
  <c r="AV28" i="12"/>
  <c r="T28" i="12" s="1"/>
  <c r="N20" i="3"/>
  <c r="AT29" i="8"/>
  <c r="BG41" i="7"/>
  <c r="BH42" i="7"/>
  <c r="AF73" i="7"/>
  <c r="J24" i="3" s="1"/>
  <c r="AC20" i="6"/>
  <c r="AO115" i="6"/>
  <c r="O82" i="3" s="1"/>
  <c r="AC17" i="6"/>
  <c r="AC24" i="6"/>
  <c r="AC25" i="6"/>
  <c r="AS45" i="5"/>
  <c r="O53" i="5" s="1"/>
  <c r="BN10" i="5"/>
  <c r="C120" i="11528"/>
  <c r="X58" i="9"/>
  <c r="BX39" i="5"/>
  <c r="G28" i="11528"/>
  <c r="AF107" i="6"/>
  <c r="AO91" i="6" s="1"/>
  <c r="AC39" i="6"/>
  <c r="O20" i="3"/>
  <c r="BJ41" i="7"/>
  <c r="BX50" i="6" l="1"/>
  <c r="U29" i="11524"/>
  <c r="U27" i="11524"/>
  <c r="W27" i="11524" s="1"/>
  <c r="C48" i="11535"/>
  <c r="O90" i="3"/>
  <c r="H88" i="3"/>
  <c r="W79" i="8"/>
  <c r="U32" i="8" s="1"/>
  <c r="U82" i="8" s="1"/>
  <c r="BB12" i="8"/>
  <c r="V12" i="8" s="1"/>
  <c r="U12" i="8" s="1"/>
  <c r="J52" i="3"/>
  <c r="U52" i="3" s="1"/>
  <c r="U32" i="11524"/>
  <c r="U36" i="11524"/>
  <c r="AO89" i="6"/>
  <c r="H86" i="3" s="1"/>
  <c r="G53" i="3"/>
  <c r="U53" i="3" s="1"/>
  <c r="V53" i="3" s="1"/>
  <c r="U25" i="11524"/>
  <c r="W25" i="11524" s="1"/>
  <c r="AK9" i="11524"/>
  <c r="O38" i="11524"/>
  <c r="G50" i="3"/>
  <c r="T26" i="11524"/>
  <c r="U26" i="11524" s="1"/>
  <c r="J50" i="3"/>
  <c r="U33" i="11524"/>
  <c r="W10" i="11524"/>
  <c r="Q31" i="11524"/>
  <c r="J29" i="3" s="1"/>
  <c r="N38" i="11524"/>
  <c r="G29" i="3"/>
  <c r="U24" i="11524"/>
  <c r="BB11" i="8"/>
  <c r="V11" i="8" s="1"/>
  <c r="U11" i="8" s="1"/>
  <c r="Q56" i="3"/>
  <c r="M43" i="3"/>
  <c r="U45" i="3"/>
  <c r="O47" i="3"/>
  <c r="M47" i="3"/>
  <c r="O64" i="11528"/>
  <c r="G144" i="11528" s="1"/>
  <c r="O62" i="11528"/>
  <c r="G142" i="11528" s="1"/>
  <c r="CH47" i="6"/>
  <c r="CH12" i="6"/>
  <c r="CH38" i="6"/>
  <c r="X60" i="11530"/>
  <c r="AF67" i="11530" s="1"/>
  <c r="G94" i="11528"/>
  <c r="CH39" i="6"/>
  <c r="CH28" i="6"/>
  <c r="CH15" i="6"/>
  <c r="CH32" i="6"/>
  <c r="CH33" i="6"/>
  <c r="CH44" i="6"/>
  <c r="CH48" i="6"/>
  <c r="CH21" i="6"/>
  <c r="CH22" i="6"/>
  <c r="CH37" i="6"/>
  <c r="CH40" i="6"/>
  <c r="CH41" i="6"/>
  <c r="CH20" i="6"/>
  <c r="CH26" i="6"/>
  <c r="CH43" i="6"/>
  <c r="CH30" i="6"/>
  <c r="CH36" i="6"/>
  <c r="CH35" i="6"/>
  <c r="CH29" i="6"/>
  <c r="CH25" i="6"/>
  <c r="CH45" i="6"/>
  <c r="CH24" i="6"/>
  <c r="CH13" i="6"/>
  <c r="CH16" i="6"/>
  <c r="CH27" i="6"/>
  <c r="CH31" i="6"/>
  <c r="CH42" i="6"/>
  <c r="CH17" i="6"/>
  <c r="CA35" i="5"/>
  <c r="CA36" i="5"/>
  <c r="CA30" i="5"/>
  <c r="CA20" i="5"/>
  <c r="T20" i="5" s="1"/>
  <c r="CF20" i="5" s="1"/>
  <c r="CA33" i="5"/>
  <c r="CA15" i="5"/>
  <c r="T15" i="5" s="1"/>
  <c r="CF15" i="5" s="1"/>
  <c r="CA32" i="5"/>
  <c r="CA34" i="5"/>
  <c r="CA18" i="5"/>
  <c r="T18" i="5" s="1"/>
  <c r="CF18" i="5" s="1"/>
  <c r="CA38" i="5"/>
  <c r="CA12" i="5"/>
  <c r="T12" i="5" s="1"/>
  <c r="CA28" i="5"/>
  <c r="CA24" i="5"/>
  <c r="CA16" i="5"/>
  <c r="T16" i="5" s="1"/>
  <c r="CF16" i="5" s="1"/>
  <c r="CH11" i="6"/>
  <c r="CH46" i="6"/>
  <c r="CH14" i="6"/>
  <c r="CH19" i="6"/>
  <c r="CH34" i="6"/>
  <c r="CH23" i="6"/>
  <c r="CA14" i="5"/>
  <c r="T14" i="5" s="1"/>
  <c r="CF14" i="5" s="1"/>
  <c r="CA31" i="5"/>
  <c r="CH50" i="6"/>
  <c r="CA21" i="5"/>
  <c r="CA37" i="5"/>
  <c r="CA23" i="5"/>
  <c r="CA26" i="5"/>
  <c r="U17" i="5"/>
  <c r="CA19" i="5"/>
  <c r="T19" i="5" s="1"/>
  <c r="CF19" i="5" s="1"/>
  <c r="U14" i="5"/>
  <c r="CA27" i="5"/>
  <c r="AO106" i="6"/>
  <c r="H102" i="3" s="1"/>
  <c r="CA13" i="5"/>
  <c r="T13" i="5" s="1"/>
  <c r="CF13" i="5" s="1"/>
  <c r="CA25" i="5"/>
  <c r="CA29" i="5"/>
  <c r="CA22" i="5"/>
  <c r="U18" i="5"/>
  <c r="U16" i="5"/>
  <c r="V15" i="5"/>
  <c r="U15" i="5"/>
  <c r="BI39" i="5"/>
  <c r="P14" i="3"/>
  <c r="P15" i="3" s="1"/>
  <c r="P13" i="3"/>
  <c r="M14" i="3"/>
  <c r="M15" i="3" s="1"/>
  <c r="L13" i="3"/>
  <c r="O79" i="11528"/>
  <c r="G160" i="11528" s="1"/>
  <c r="T32" i="12"/>
  <c r="CF43" i="6"/>
  <c r="CF17" i="6"/>
  <c r="CF27" i="6"/>
  <c r="CF46" i="6"/>
  <c r="CF14" i="6"/>
  <c r="CF12" i="6"/>
  <c r="CF45" i="6"/>
  <c r="CF19" i="6"/>
  <c r="CF32" i="6"/>
  <c r="CF36" i="6"/>
  <c r="CF20" i="6"/>
  <c r="CF47" i="6"/>
  <c r="CF37" i="6"/>
  <c r="CF16" i="6"/>
  <c r="CF18" i="6"/>
  <c r="CF48" i="6"/>
  <c r="CF29" i="6"/>
  <c r="CF26" i="6"/>
  <c r="CF31" i="6"/>
  <c r="CF28" i="6"/>
  <c r="CF30" i="6"/>
  <c r="CF15" i="6"/>
  <c r="CF34" i="6"/>
  <c r="CF41" i="6"/>
  <c r="CF40" i="6"/>
  <c r="CF42" i="6"/>
  <c r="CF38" i="6"/>
  <c r="CF39" i="6"/>
  <c r="CF24" i="6"/>
  <c r="CF44" i="6"/>
  <c r="CF23" i="6"/>
  <c r="CF21" i="6"/>
  <c r="CF13" i="6"/>
  <c r="CF35" i="6"/>
  <c r="CF25" i="6"/>
  <c r="CF22" i="6"/>
  <c r="CF33" i="6"/>
  <c r="BV23" i="6"/>
  <c r="BY23" i="6"/>
  <c r="BV35" i="6"/>
  <c r="BY35" i="6"/>
  <c r="BV29" i="6"/>
  <c r="BY29" i="6"/>
  <c r="BV17" i="6"/>
  <c r="BY17" i="6"/>
  <c r="BV36" i="6"/>
  <c r="BY36" i="6"/>
  <c r="BV41" i="6"/>
  <c r="BY41" i="6"/>
  <c r="BY42" i="6"/>
  <c r="BV42" i="6"/>
  <c r="BV34" i="6"/>
  <c r="BY34" i="6"/>
  <c r="BY38" i="6"/>
  <c r="BV38" i="6"/>
  <c r="BV25" i="6"/>
  <c r="BY25" i="6"/>
  <c r="BY19" i="6"/>
  <c r="BV19" i="6"/>
  <c r="BY28" i="6"/>
  <c r="BV28" i="6"/>
  <c r="BY40" i="6"/>
  <c r="BV40" i="6"/>
  <c r="BY32" i="6"/>
  <c r="BV32" i="6"/>
  <c r="BV16" i="6"/>
  <c r="BY16" i="6"/>
  <c r="BY31" i="6"/>
  <c r="BV31" i="6"/>
  <c r="BV13" i="6"/>
  <c r="BY13" i="6"/>
  <c r="BV20" i="6"/>
  <c r="BY20" i="6"/>
  <c r="BV27" i="6"/>
  <c r="BY27" i="6"/>
  <c r="BV22" i="6"/>
  <c r="BY22" i="6"/>
  <c r="BV33" i="6"/>
  <c r="BY33" i="6"/>
  <c r="BV39" i="6"/>
  <c r="BY39" i="6"/>
  <c r="BY26" i="6"/>
  <c r="BV26" i="6"/>
  <c r="BY30" i="6"/>
  <c r="BV30" i="6"/>
  <c r="BV21" i="6"/>
  <c r="BY21" i="6"/>
  <c r="BY43" i="6"/>
  <c r="BV43" i="6"/>
  <c r="BV24" i="6"/>
  <c r="BY24" i="6"/>
  <c r="BY15" i="6"/>
  <c r="BV15" i="6"/>
  <c r="BY18" i="6"/>
  <c r="BV18" i="6"/>
  <c r="BY44" i="6"/>
  <c r="BV44" i="6"/>
  <c r="BV37" i="6"/>
  <c r="BY37" i="6"/>
  <c r="BV14" i="6"/>
  <c r="BY14" i="6"/>
  <c r="CB9" i="6"/>
  <c r="AC12" i="6"/>
  <c r="G24" i="11529" s="1"/>
  <c r="CA49" i="6"/>
  <c r="G139" i="11528"/>
  <c r="K37" i="3"/>
  <c r="K38" i="3" s="1"/>
  <c r="T38" i="3" s="1"/>
  <c r="AE72" i="8"/>
  <c r="AD71" i="2826"/>
  <c r="L42" i="3" s="1"/>
  <c r="B33" i="2826"/>
  <c r="O65" i="11528"/>
  <c r="O58" i="11528"/>
  <c r="G138" i="11528" s="1"/>
  <c r="J32" i="8"/>
  <c r="J82" i="8" s="1"/>
  <c r="G143" i="11528"/>
  <c r="G141" i="11528"/>
  <c r="O74" i="11528"/>
  <c r="G155" i="11528" s="1"/>
  <c r="E124" i="8080"/>
  <c r="G124" i="8080" s="1"/>
  <c r="G175" i="8080" s="1"/>
  <c r="AH9" i="8080"/>
  <c r="U125" i="8080" s="1"/>
  <c r="W126" i="8080" s="1"/>
  <c r="Y125" i="8080"/>
  <c r="O43" i="3"/>
  <c r="W32" i="2826"/>
  <c r="G34" i="3"/>
  <c r="L31" i="2826"/>
  <c r="L82" i="2826" s="1"/>
  <c r="G38" i="11529"/>
  <c r="G39" i="11529"/>
  <c r="X11" i="2826"/>
  <c r="W11" i="2826" s="1"/>
  <c r="G37" i="11529"/>
  <c r="C41" i="11531"/>
  <c r="C90" i="11531" s="1"/>
  <c r="E21" i="3"/>
  <c r="F21" i="3" s="1"/>
  <c r="T21" i="3"/>
  <c r="V21" i="3"/>
  <c r="U42" i="11531"/>
  <c r="X13" i="2826"/>
  <c r="W13" i="2826" s="1"/>
  <c r="X12" i="2826"/>
  <c r="W12" i="2826" s="1"/>
  <c r="M76" i="11531"/>
  <c r="H41" i="11531"/>
  <c r="H90" i="11531" s="1"/>
  <c r="M71" i="11531"/>
  <c r="E90" i="11531"/>
  <c r="W82" i="2826"/>
  <c r="D31" i="2826"/>
  <c r="B31" i="2826" s="1"/>
  <c r="B82" i="2826" s="1"/>
  <c r="BC28" i="2826"/>
  <c r="BA28" i="2826"/>
  <c r="X10" i="2826"/>
  <c r="W10" i="2826" s="1"/>
  <c r="D29" i="12"/>
  <c r="G29" i="12" s="1"/>
  <c r="U10" i="12"/>
  <c r="Y26" i="3"/>
  <c r="T26" i="3"/>
  <c r="G32" i="11529"/>
  <c r="G28" i="11529"/>
  <c r="G33" i="11529"/>
  <c r="G27" i="11529"/>
  <c r="G30" i="11529"/>
  <c r="G36" i="11529"/>
  <c r="G31" i="11529"/>
  <c r="G35" i="11529"/>
  <c r="G34" i="11529"/>
  <c r="G29" i="11529"/>
  <c r="G26" i="11529"/>
  <c r="BZ49" i="6"/>
  <c r="G25" i="11529"/>
  <c r="G23" i="11529"/>
  <c r="CF11" i="6"/>
  <c r="S45" i="9"/>
  <c r="X87" i="9"/>
  <c r="U41" i="9" s="1"/>
  <c r="E41" i="9" s="1"/>
  <c r="C41" i="9" s="1"/>
  <c r="C90" i="9" s="1"/>
  <c r="U41" i="2096"/>
  <c r="BH20" i="2096"/>
  <c r="BH12" i="2096"/>
  <c r="W12" i="2096" s="1"/>
  <c r="X12" i="2096" s="1"/>
  <c r="BH24" i="2096"/>
  <c r="BH32" i="2096"/>
  <c r="BH14" i="2096"/>
  <c r="W14" i="2096" s="1"/>
  <c r="X14" i="2096" s="1"/>
  <c r="BH16" i="2096"/>
  <c r="W16" i="2096" s="1"/>
  <c r="X16" i="2096" s="1"/>
  <c r="BH33" i="2096"/>
  <c r="BH35" i="2096"/>
  <c r="BH11" i="2096"/>
  <c r="W11" i="2096" s="1"/>
  <c r="X11" i="2096" s="1"/>
  <c r="BH18" i="2096"/>
  <c r="W18" i="2096" s="1"/>
  <c r="X18" i="2096" s="1"/>
  <c r="BH36" i="2096"/>
  <c r="BH37" i="2096"/>
  <c r="BH15" i="2096"/>
  <c r="W15" i="2096" s="1"/>
  <c r="X15" i="2096" s="1"/>
  <c r="BH28" i="2096"/>
  <c r="BH23" i="2096"/>
  <c r="BH31" i="2096"/>
  <c r="BH30" i="2096"/>
  <c r="BH17" i="2096"/>
  <c r="W17" i="2096" s="1"/>
  <c r="X17" i="2096" s="1"/>
  <c r="BH27" i="2096"/>
  <c r="BH29" i="2096"/>
  <c r="BH19" i="2096"/>
  <c r="BH26" i="2096"/>
  <c r="BH34" i="2096"/>
  <c r="BH22" i="2096"/>
  <c r="BH25" i="2096"/>
  <c r="BH13" i="2096"/>
  <c r="W13" i="2096" s="1"/>
  <c r="X13" i="2096" s="1"/>
  <c r="BH21" i="2096"/>
  <c r="U28" i="3"/>
  <c r="T28" i="3"/>
  <c r="BR39" i="7"/>
  <c r="BR25" i="7"/>
  <c r="BR17" i="7"/>
  <c r="BR28" i="7"/>
  <c r="BR29" i="7"/>
  <c r="BR35" i="7"/>
  <c r="BR37" i="7"/>
  <c r="BR13" i="7"/>
  <c r="BR19" i="7"/>
  <c r="BR23" i="7"/>
  <c r="BR34" i="7"/>
  <c r="BR12" i="7"/>
  <c r="BR26" i="7"/>
  <c r="BR15" i="7"/>
  <c r="BR32" i="7"/>
  <c r="BR18" i="7"/>
  <c r="BR24" i="7"/>
  <c r="BR22" i="7"/>
  <c r="BR20" i="7"/>
  <c r="BR27" i="7"/>
  <c r="BR33" i="7"/>
  <c r="BR16" i="7"/>
  <c r="BR31" i="7"/>
  <c r="BR14" i="7"/>
  <c r="BR38" i="7"/>
  <c r="BR21" i="7"/>
  <c r="BR30" i="7"/>
  <c r="BR40" i="7"/>
  <c r="BR11" i="7"/>
  <c r="BR36" i="7"/>
  <c r="AE100" i="5"/>
  <c r="H103" i="3" s="1"/>
  <c r="N19" i="3"/>
  <c r="U19" i="3" s="1"/>
  <c r="BD49" i="6"/>
  <c r="L74" i="6" s="1"/>
  <c r="L63" i="12"/>
  <c r="L58" i="12"/>
  <c r="D79" i="12"/>
  <c r="G31" i="12"/>
  <c r="E26" i="3"/>
  <c r="F26" i="3" s="1"/>
  <c r="BR42" i="7"/>
  <c r="AF74" i="7"/>
  <c r="K24" i="3" s="1"/>
  <c r="U24" i="3" s="1"/>
  <c r="X102" i="7"/>
  <c r="U52" i="7" s="1"/>
  <c r="L63" i="11"/>
  <c r="L58" i="11"/>
  <c r="G31" i="11"/>
  <c r="D79" i="11"/>
  <c r="E22" i="3"/>
  <c r="G67" i="11528"/>
  <c r="X66" i="267"/>
  <c r="AF73" i="267" s="1"/>
  <c r="T42" i="5"/>
  <c r="X19" i="3" s="1"/>
  <c r="O34" i="3"/>
  <c r="CF50" i="6"/>
  <c r="AO83" i="6"/>
  <c r="AF67" i="9"/>
  <c r="CK49" i="6"/>
  <c r="Y45" i="3" l="1"/>
  <c r="V45" i="3"/>
  <c r="U31" i="11524"/>
  <c r="U38" i="11524" s="1"/>
  <c r="L14" i="3"/>
  <c r="L15" i="3" s="1"/>
  <c r="L56" i="3" s="1"/>
  <c r="H80" i="3"/>
  <c r="E32" i="8"/>
  <c r="X37" i="3"/>
  <c r="AE119" i="8"/>
  <c r="U33" i="8" s="1"/>
  <c r="BB29" i="8"/>
  <c r="U29" i="8" s="1"/>
  <c r="W29" i="8" s="1"/>
  <c r="E30" i="8"/>
  <c r="U29" i="3"/>
  <c r="Y29" i="3" s="1"/>
  <c r="AK59" i="11524"/>
  <c r="O100" i="3" s="1"/>
  <c r="R50" i="3"/>
  <c r="R56" i="3" s="1"/>
  <c r="T38" i="11524"/>
  <c r="Q38" i="11524"/>
  <c r="AK13" i="11524"/>
  <c r="U37" i="3"/>
  <c r="Y37" i="3" s="1"/>
  <c r="M156" i="8080"/>
  <c r="H124" i="8080"/>
  <c r="H175" i="8080" s="1"/>
  <c r="E34" i="3"/>
  <c r="X91" i="11530"/>
  <c r="U41" i="11530" s="1"/>
  <c r="U94" i="11530" s="1"/>
  <c r="U48" i="3"/>
  <c r="V48" i="3" s="1"/>
  <c r="O66" i="11528"/>
  <c r="G146" i="11528" s="1"/>
  <c r="CH49" i="6"/>
  <c r="N14" i="3"/>
  <c r="N15" i="3" s="1"/>
  <c r="CA39" i="5"/>
  <c r="T40" i="5" s="1"/>
  <c r="Y19" i="3"/>
  <c r="CF12" i="5"/>
  <c r="CF39" i="5" s="1"/>
  <c r="T39" i="5" s="1"/>
  <c r="F40" i="5"/>
  <c r="N13" i="3"/>
  <c r="AA52" i="6"/>
  <c r="W56" i="3"/>
  <c r="P56" i="3"/>
  <c r="L63" i="3" s="1"/>
  <c r="G14" i="3"/>
  <c r="E175" i="8080"/>
  <c r="M161" i="8080"/>
  <c r="AA55" i="6"/>
  <c r="AA55" i="11532"/>
  <c r="AA55" i="11533"/>
  <c r="BV12" i="6"/>
  <c r="BV49" i="6" s="1"/>
  <c r="BY12" i="6"/>
  <c r="BY49" i="6" s="1"/>
  <c r="C32" i="8"/>
  <c r="C82" i="8" s="1"/>
  <c r="E37" i="3"/>
  <c r="F37" i="3" s="1"/>
  <c r="G145" i="11528"/>
  <c r="X23" i="7"/>
  <c r="U34" i="3"/>
  <c r="X33" i="7"/>
  <c r="X31" i="7"/>
  <c r="J52" i="7"/>
  <c r="J105" i="7" s="1"/>
  <c r="X24" i="3"/>
  <c r="Y24" i="3" s="1"/>
  <c r="J41" i="2096"/>
  <c r="J91" i="2096" s="1"/>
  <c r="X28" i="3"/>
  <c r="Y28" i="3" s="1"/>
  <c r="U42" i="3"/>
  <c r="Y42" i="3" s="1"/>
  <c r="T42" i="3"/>
  <c r="X21" i="7"/>
  <c r="X29" i="7"/>
  <c r="X27" i="7"/>
  <c r="AF2" i="11530"/>
  <c r="U42" i="11530" s="1"/>
  <c r="G47" i="3"/>
  <c r="U47" i="3" s="1"/>
  <c r="G41" i="11531"/>
  <c r="G90" i="11531" s="1"/>
  <c r="D82" i="2826"/>
  <c r="E42" i="3"/>
  <c r="F42" i="3" s="1"/>
  <c r="O57" i="2826"/>
  <c r="O62" i="2826"/>
  <c r="G31" i="2826"/>
  <c r="F31" i="2826" s="1"/>
  <c r="F82" i="2826" s="1"/>
  <c r="V26" i="3"/>
  <c r="CD49" i="6"/>
  <c r="CF49" i="6"/>
  <c r="M13" i="3"/>
  <c r="M56" i="3" s="1"/>
  <c r="U90" i="9"/>
  <c r="J41" i="9"/>
  <c r="J90" i="9" s="1"/>
  <c r="X20" i="3"/>
  <c r="Y48" i="2096"/>
  <c r="E41" i="2096"/>
  <c r="C41" i="2096" s="1"/>
  <c r="C91" i="2096" s="1"/>
  <c r="U91" i="2096"/>
  <c r="BR41" i="7"/>
  <c r="X11" i="7"/>
  <c r="X35" i="7"/>
  <c r="X17" i="7"/>
  <c r="X25" i="7"/>
  <c r="AF122" i="7"/>
  <c r="U53" i="7" s="1"/>
  <c r="V54" i="7" s="1"/>
  <c r="X19" i="7"/>
  <c r="X39" i="7"/>
  <c r="X15" i="7"/>
  <c r="X13" i="7"/>
  <c r="X37" i="7"/>
  <c r="G43" i="3"/>
  <c r="AF2" i="267"/>
  <c r="U48" i="267" s="1"/>
  <c r="X49" i="7"/>
  <c r="E52" i="7"/>
  <c r="C52" i="7" s="1"/>
  <c r="C105" i="7" s="1"/>
  <c r="U105" i="7"/>
  <c r="X97" i="267"/>
  <c r="G20" i="3"/>
  <c r="U20" i="3" s="1"/>
  <c r="AF118" i="9"/>
  <c r="U42" i="9" s="1"/>
  <c r="Y21" i="3" s="1"/>
  <c r="E42" i="5"/>
  <c r="C42" i="5" s="1"/>
  <c r="U86" i="5"/>
  <c r="F31" i="12"/>
  <c r="F79" i="12" s="1"/>
  <c r="G79" i="12"/>
  <c r="I89" i="6"/>
  <c r="O89" i="6" s="1"/>
  <c r="O74" i="6"/>
  <c r="BY50" i="6" s="1"/>
  <c r="AB102" i="6"/>
  <c r="J55" i="3"/>
  <c r="G168" i="11528" s="1"/>
  <c r="M71" i="9"/>
  <c r="E90" i="9"/>
  <c r="M76" i="9"/>
  <c r="H41" i="9"/>
  <c r="H90" i="9" s="1"/>
  <c r="E20" i="3"/>
  <c r="F20" i="3" s="1"/>
  <c r="F31" i="11"/>
  <c r="F79" i="11" s="1"/>
  <c r="G79" i="11"/>
  <c r="AE128" i="5"/>
  <c r="T43" i="5" s="1"/>
  <c r="J41" i="11530" l="1"/>
  <c r="J94" i="11530" s="1"/>
  <c r="M64" i="8"/>
  <c r="M57" i="8"/>
  <c r="E82" i="8"/>
  <c r="H32" i="8"/>
  <c r="H82" i="8" s="1"/>
  <c r="AK62" i="11524"/>
  <c r="U39" i="11524" s="1"/>
  <c r="U50" i="3"/>
  <c r="V50" i="3" s="1"/>
  <c r="V37" i="3"/>
  <c r="X47" i="3"/>
  <c r="Y47" i="3" s="1"/>
  <c r="Y48" i="3"/>
  <c r="BI35" i="11530"/>
  <c r="BI34" i="11530"/>
  <c r="BI25" i="11530"/>
  <c r="BI12" i="11530"/>
  <c r="BI14" i="11530"/>
  <c r="BI32" i="11530"/>
  <c r="BI29" i="11530"/>
  <c r="BI13" i="11530"/>
  <c r="BI11" i="11530"/>
  <c r="BI33" i="11530"/>
  <c r="BI15" i="11530"/>
  <c r="L55" i="3"/>
  <c r="G167" i="11528" s="1"/>
  <c r="BI36" i="11530"/>
  <c r="BI28" i="11530"/>
  <c r="BI20" i="11530"/>
  <c r="BI27" i="11530"/>
  <c r="BI24" i="11530"/>
  <c r="BI23" i="11530"/>
  <c r="BI21" i="11530"/>
  <c r="E41" i="11530"/>
  <c r="C41" i="11530" s="1"/>
  <c r="C94" i="11530" s="1"/>
  <c r="BI26" i="11530"/>
  <c r="BI31" i="11530"/>
  <c r="BI17" i="11530"/>
  <c r="BI18" i="11530"/>
  <c r="BI30" i="11530"/>
  <c r="BI22" i="11530"/>
  <c r="BI19" i="11530"/>
  <c r="BI16" i="11530"/>
  <c r="N56" i="3"/>
  <c r="L65" i="3" s="1"/>
  <c r="G15" i="3"/>
  <c r="C86" i="5"/>
  <c r="J42" i="5"/>
  <c r="J86" i="5" s="1"/>
  <c r="U43" i="3"/>
  <c r="G32" i="8"/>
  <c r="G82" i="8" s="1"/>
  <c r="BI31" i="267"/>
  <c r="BI28" i="267"/>
  <c r="BI30" i="267"/>
  <c r="BI32" i="267"/>
  <c r="BI29" i="267"/>
  <c r="BI27" i="267"/>
  <c r="G82" i="2826"/>
  <c r="V42" i="3"/>
  <c r="T20" i="3"/>
  <c r="V20" i="3"/>
  <c r="Y20" i="3"/>
  <c r="G41" i="9"/>
  <c r="G90" i="9" s="1"/>
  <c r="U47" i="267"/>
  <c r="BI13" i="267"/>
  <c r="BI35" i="267"/>
  <c r="BI24" i="267"/>
  <c r="BI42" i="267"/>
  <c r="BI15" i="267"/>
  <c r="BI37" i="267"/>
  <c r="BI26" i="267"/>
  <c r="BI33" i="267"/>
  <c r="BI17" i="267"/>
  <c r="BI39" i="267"/>
  <c r="BI12" i="267"/>
  <c r="BI34" i="267"/>
  <c r="BI11" i="267"/>
  <c r="BI19" i="267"/>
  <c r="BI14" i="267"/>
  <c r="BI36" i="267"/>
  <c r="BI21" i="267"/>
  <c r="BI16" i="267"/>
  <c r="BI38" i="267"/>
  <c r="BI22" i="267"/>
  <c r="BI23" i="267"/>
  <c r="BI18" i="267"/>
  <c r="BI40" i="267"/>
  <c r="BI41" i="267"/>
  <c r="BI25" i="267"/>
  <c r="BI20" i="267"/>
  <c r="E91" i="2096"/>
  <c r="L37" i="2096"/>
  <c r="H41" i="2096"/>
  <c r="H91" i="2096" s="1"/>
  <c r="M77" i="2096"/>
  <c r="E28" i="3"/>
  <c r="F28" i="3" s="1"/>
  <c r="M72" i="2096"/>
  <c r="X41" i="7"/>
  <c r="BF41" i="7"/>
  <c r="X42" i="7"/>
  <c r="X43" i="7" s="1"/>
  <c r="AO132" i="6"/>
  <c r="O99" i="3" s="1"/>
  <c r="O90" i="6"/>
  <c r="BZ50" i="6" s="1"/>
  <c r="E86" i="5"/>
  <c r="E19" i="3"/>
  <c r="M70" i="5"/>
  <c r="H42" i="5"/>
  <c r="M84" i="7"/>
  <c r="E105" i="7"/>
  <c r="N53" i="7"/>
  <c r="E24" i="3"/>
  <c r="M89" i="7"/>
  <c r="H52" i="7"/>
  <c r="AF102" i="6"/>
  <c r="G27" i="11528"/>
  <c r="O78" i="11528" s="1"/>
  <c r="AO86" i="6"/>
  <c r="H83" i="3" s="1"/>
  <c r="M80" i="11530" l="1"/>
  <c r="E94" i="11530"/>
  <c r="H41" i="11530"/>
  <c r="H94" i="11530" s="1"/>
  <c r="E47" i="3"/>
  <c r="V47" i="3" s="1"/>
  <c r="BI37" i="11530"/>
  <c r="BK23" i="11530" s="1"/>
  <c r="BN23" i="11530" s="1"/>
  <c r="Y23" i="11530" s="1"/>
  <c r="Z23" i="11530" s="1"/>
  <c r="F19" i="3"/>
  <c r="V19" i="3"/>
  <c r="J14" i="3"/>
  <c r="O14" i="3"/>
  <c r="O15" i="3" s="1"/>
  <c r="CI47" i="6"/>
  <c r="CI33" i="6"/>
  <c r="BW33" i="6" s="1"/>
  <c r="AF33" i="6" s="1"/>
  <c r="CI14" i="6"/>
  <c r="BW14" i="6" s="1"/>
  <c r="AF14" i="6" s="1"/>
  <c r="AH14" i="6" s="1"/>
  <c r="CI48" i="6"/>
  <c r="CI41" i="6"/>
  <c r="BW41" i="6" s="1"/>
  <c r="AF41" i="6" s="1"/>
  <c r="CI20" i="6"/>
  <c r="BW20" i="6" s="1"/>
  <c r="AF20" i="6" s="1"/>
  <c r="AH20" i="6" s="1"/>
  <c r="CI25" i="6"/>
  <c r="BW25" i="6" s="1"/>
  <c r="AF25" i="6" s="1"/>
  <c r="AH25" i="6" s="1"/>
  <c r="CI17" i="6"/>
  <c r="BW17" i="6" s="1"/>
  <c r="AF17" i="6" s="1"/>
  <c r="AH17" i="6" s="1"/>
  <c r="CI27" i="6"/>
  <c r="BW27" i="6" s="1"/>
  <c r="AF27" i="6" s="1"/>
  <c r="AH27" i="6" s="1"/>
  <c r="CI46" i="6"/>
  <c r="CI31" i="6"/>
  <c r="BW31" i="6" s="1"/>
  <c r="AF31" i="6" s="1"/>
  <c r="CI38" i="6"/>
  <c r="BW38" i="6" s="1"/>
  <c r="AF38" i="6" s="1"/>
  <c r="CI19" i="6"/>
  <c r="BW19" i="6" s="1"/>
  <c r="AF19" i="6" s="1"/>
  <c r="AH19" i="6" s="1"/>
  <c r="CI15" i="6"/>
  <c r="BW15" i="6" s="1"/>
  <c r="AF15" i="6" s="1"/>
  <c r="AH15" i="6" s="1"/>
  <c r="CI26" i="6"/>
  <c r="BW26" i="6" s="1"/>
  <c r="AF26" i="6" s="1"/>
  <c r="AH26" i="6" s="1"/>
  <c r="CI30" i="6"/>
  <c r="BW30" i="6" s="1"/>
  <c r="AF30" i="6" s="1"/>
  <c r="CI35" i="6"/>
  <c r="BW35" i="6" s="1"/>
  <c r="AF35" i="6" s="1"/>
  <c r="CI22" i="6"/>
  <c r="BW22" i="6" s="1"/>
  <c r="AF22" i="6" s="1"/>
  <c r="CI23" i="6"/>
  <c r="BW23" i="6" s="1"/>
  <c r="AF23" i="6" s="1"/>
  <c r="AH23" i="6" s="1"/>
  <c r="CI45" i="6"/>
  <c r="CI32" i="6"/>
  <c r="BW32" i="6" s="1"/>
  <c r="AF32" i="6" s="1"/>
  <c r="CI18" i="6"/>
  <c r="BW18" i="6" s="1"/>
  <c r="AF18" i="6" s="1"/>
  <c r="AH18" i="6" s="1"/>
  <c r="CI39" i="6"/>
  <c r="BW39" i="6" s="1"/>
  <c r="AF39" i="6" s="1"/>
  <c r="CI29" i="6"/>
  <c r="BW29" i="6" s="1"/>
  <c r="AF29" i="6" s="1"/>
  <c r="CI40" i="6"/>
  <c r="BW40" i="6" s="1"/>
  <c r="AF40" i="6" s="1"/>
  <c r="CI37" i="6"/>
  <c r="BW37" i="6" s="1"/>
  <c r="AF37" i="6" s="1"/>
  <c r="CI43" i="6"/>
  <c r="BW43" i="6" s="1"/>
  <c r="AF43" i="6" s="1"/>
  <c r="CI42" i="6"/>
  <c r="BW42" i="6" s="1"/>
  <c r="AF42" i="6" s="1"/>
  <c r="CI34" i="6"/>
  <c r="BW34" i="6" s="1"/>
  <c r="AF34" i="6" s="1"/>
  <c r="CI16" i="6"/>
  <c r="BW16" i="6" s="1"/>
  <c r="AF16" i="6" s="1"/>
  <c r="AH16" i="6" s="1"/>
  <c r="CI28" i="6"/>
  <c r="BW28" i="6" s="1"/>
  <c r="AF28" i="6" s="1"/>
  <c r="CI21" i="6"/>
  <c r="BW21" i="6" s="1"/>
  <c r="AF21" i="6" s="1"/>
  <c r="AH21" i="6" s="1"/>
  <c r="CI44" i="6"/>
  <c r="BW44" i="6" s="1"/>
  <c r="AF44" i="6" s="1"/>
  <c r="CI13" i="6"/>
  <c r="BW13" i="6" s="1"/>
  <c r="AF13" i="6" s="1"/>
  <c r="AH13" i="6" s="1"/>
  <c r="CI36" i="6"/>
  <c r="BW36" i="6" s="1"/>
  <c r="AF36" i="6" s="1"/>
  <c r="CI24" i="6"/>
  <c r="BW24" i="6" s="1"/>
  <c r="AF24" i="6" s="1"/>
  <c r="AH24" i="6" s="1"/>
  <c r="CI12" i="6"/>
  <c r="BW12" i="6" s="1"/>
  <c r="AF12" i="6" s="1"/>
  <c r="AH12" i="6" s="1"/>
  <c r="CI11" i="6"/>
  <c r="BW11" i="6" s="1"/>
  <c r="G159" i="11528"/>
  <c r="BO19" i="11530"/>
  <c r="BO17" i="11530"/>
  <c r="BO18" i="11530"/>
  <c r="J47" i="267"/>
  <c r="J100" i="267" s="1"/>
  <c r="X43" i="3"/>
  <c r="Y43" i="3" s="1"/>
  <c r="BM15" i="11530"/>
  <c r="BM13" i="11530"/>
  <c r="E90" i="6"/>
  <c r="E47" i="267"/>
  <c r="C47" i="267" s="1"/>
  <c r="C100" i="267" s="1"/>
  <c r="U100" i="267"/>
  <c r="BI43" i="267"/>
  <c r="AB11" i="267" s="1"/>
  <c r="AA11" i="267" s="1"/>
  <c r="G41" i="2096"/>
  <c r="G91" i="2096" s="1"/>
  <c r="V28" i="3"/>
  <c r="V24" i="3"/>
  <c r="BY51" i="6"/>
  <c r="AF112" i="6"/>
  <c r="AO87" i="6"/>
  <c r="H84" i="3" s="1"/>
  <c r="CI50" i="6"/>
  <c r="BW50" i="6" s="1"/>
  <c r="G52" i="7"/>
  <c r="G105" i="7" s="1"/>
  <c r="H105" i="7"/>
  <c r="G42" i="5"/>
  <c r="G86" i="5" s="1"/>
  <c r="H86" i="5"/>
  <c r="BK25" i="11530" l="1"/>
  <c r="BN25" i="11530" s="1"/>
  <c r="Y25" i="11530" s="1"/>
  <c r="Z25" i="11530" s="1"/>
  <c r="BK34" i="11530"/>
  <c r="BN34" i="11530" s="1"/>
  <c r="Y34" i="11530" s="1"/>
  <c r="Z34" i="11530" s="1"/>
  <c r="BK29" i="11530"/>
  <c r="BN29" i="11530" s="1"/>
  <c r="Y29" i="11530" s="1"/>
  <c r="Z29" i="11530" s="1"/>
  <c r="BK19" i="11530"/>
  <c r="BN19" i="11530" s="1"/>
  <c r="Y19" i="11530" s="1"/>
  <c r="Z19" i="11530" s="1"/>
  <c r="BK13" i="11530"/>
  <c r="BN13" i="11530" s="1"/>
  <c r="BO13" i="11530" s="1"/>
  <c r="BK15" i="11530"/>
  <c r="BN15" i="11530" s="1"/>
  <c r="Y15" i="11530" s="1"/>
  <c r="Z15" i="11530" s="1"/>
  <c r="BK33" i="11530"/>
  <c r="BN33" i="11530" s="1"/>
  <c r="Y33" i="11530" s="1"/>
  <c r="Z33" i="11530" s="1"/>
  <c r="BK27" i="11530"/>
  <c r="BN27" i="11530" s="1"/>
  <c r="Y27" i="11530" s="1"/>
  <c r="Z27" i="11530" s="1"/>
  <c r="BK20" i="11530"/>
  <c r="BN20" i="11530" s="1"/>
  <c r="Y20" i="11530" s="1"/>
  <c r="Z20" i="11530" s="1"/>
  <c r="BK11" i="11530"/>
  <c r="BM11" i="11530" s="1"/>
  <c r="BK22" i="11530"/>
  <c r="BN22" i="11530" s="1"/>
  <c r="Y22" i="11530" s="1"/>
  <c r="Z22" i="11530" s="1"/>
  <c r="BK35" i="11530"/>
  <c r="BN35" i="11530" s="1"/>
  <c r="Y35" i="11530" s="1"/>
  <c r="Z35" i="11530" s="1"/>
  <c r="BK17" i="11530"/>
  <c r="BN17" i="11530" s="1"/>
  <c r="Y17" i="11530" s="1"/>
  <c r="Z17" i="11530" s="1"/>
  <c r="BK30" i="11530"/>
  <c r="BN30" i="11530" s="1"/>
  <c r="Y30" i="11530" s="1"/>
  <c r="Z30" i="11530" s="1"/>
  <c r="BK24" i="11530"/>
  <c r="BN24" i="11530" s="1"/>
  <c r="Y24" i="11530" s="1"/>
  <c r="Z24" i="11530" s="1"/>
  <c r="G41" i="11530"/>
  <c r="G94" i="11530" s="1"/>
  <c r="BK28" i="11530"/>
  <c r="BN28" i="11530" s="1"/>
  <c r="Y28" i="11530" s="1"/>
  <c r="Z28" i="11530" s="1"/>
  <c r="BK18" i="11530"/>
  <c r="BN18" i="11530" s="1"/>
  <c r="Y18" i="11530" s="1"/>
  <c r="Z18" i="11530" s="1"/>
  <c r="BK14" i="11530"/>
  <c r="BN14" i="11530" s="1"/>
  <c r="BK12" i="11530"/>
  <c r="BN12" i="11530" s="1"/>
  <c r="BK36" i="11530"/>
  <c r="BN36" i="11530" s="1"/>
  <c r="Y36" i="11530" s="1"/>
  <c r="Z36" i="11530" s="1"/>
  <c r="BK32" i="11530"/>
  <c r="BN32" i="11530" s="1"/>
  <c r="Y32" i="11530" s="1"/>
  <c r="Z32" i="11530" s="1"/>
  <c r="BK16" i="11530"/>
  <c r="BN16" i="11530" s="1"/>
  <c r="BJ37" i="11530"/>
  <c r="BK21" i="11530"/>
  <c r="BN21" i="11530" s="1"/>
  <c r="Y21" i="11530" s="1"/>
  <c r="Z21" i="11530" s="1"/>
  <c r="BK26" i="11530"/>
  <c r="BN26" i="11530" s="1"/>
  <c r="Y26" i="11530" s="1"/>
  <c r="Z26" i="11530" s="1"/>
  <c r="BK31" i="11530"/>
  <c r="BN31" i="11530" s="1"/>
  <c r="Y31" i="11530" s="1"/>
  <c r="Z31" i="11530" s="1"/>
  <c r="J15" i="3"/>
  <c r="J56" i="3" s="1"/>
  <c r="F22" i="4" s="1"/>
  <c r="K14" i="3"/>
  <c r="K15" i="3" s="1"/>
  <c r="AH43" i="6"/>
  <c r="AE43" i="6"/>
  <c r="AH36" i="6"/>
  <c r="AE36" i="6"/>
  <c r="AH40" i="6"/>
  <c r="AE40" i="6"/>
  <c r="AH34" i="6"/>
  <c r="AE34" i="6"/>
  <c r="AH31" i="6"/>
  <c r="AE31" i="6"/>
  <c r="AH33" i="6"/>
  <c r="AE33" i="6"/>
  <c r="AH37" i="6"/>
  <c r="AE37" i="6"/>
  <c r="AH29" i="6"/>
  <c r="AE29" i="6"/>
  <c r="AH39" i="6"/>
  <c r="AE39" i="6"/>
  <c r="AH38" i="6"/>
  <c r="AE38" i="6"/>
  <c r="AH32" i="6"/>
  <c r="AE32" i="6"/>
  <c r="AH30" i="6"/>
  <c r="AE30" i="6"/>
  <c r="AH42" i="6"/>
  <c r="AE42" i="6"/>
  <c r="AH35" i="6"/>
  <c r="AE35" i="6"/>
  <c r="AH44" i="6"/>
  <c r="AE44" i="6"/>
  <c r="AH41" i="6"/>
  <c r="AE41" i="6"/>
  <c r="AH28" i="6"/>
  <c r="AE28" i="6"/>
  <c r="AH22" i="6"/>
  <c r="AE22" i="6"/>
  <c r="AF11" i="6"/>
  <c r="AE24" i="6"/>
  <c r="AE23" i="6"/>
  <c r="AE18" i="6"/>
  <c r="AE17" i="6"/>
  <c r="AE20" i="6"/>
  <c r="AE16" i="6"/>
  <c r="AE27" i="6"/>
  <c r="AE13" i="6"/>
  <c r="AE26" i="6"/>
  <c r="AE25" i="6"/>
  <c r="AE15" i="6"/>
  <c r="AE21" i="6"/>
  <c r="AE19" i="6"/>
  <c r="AE12" i="6"/>
  <c r="AE14" i="6"/>
  <c r="BO15" i="11530"/>
  <c r="AO139" i="6"/>
  <c r="AC65" i="6" s="1"/>
  <c r="O106" i="3"/>
  <c r="BM16" i="11530"/>
  <c r="BM14" i="11530"/>
  <c r="BM12" i="11530"/>
  <c r="M86" i="267"/>
  <c r="H47" i="267"/>
  <c r="H100" i="267" s="1"/>
  <c r="O13" i="3"/>
  <c r="CI49" i="6"/>
  <c r="AB61" i="6" s="1"/>
  <c r="AC64" i="6"/>
  <c r="X14" i="3" s="1"/>
  <c r="AE71" i="6"/>
  <c r="E100" i="267"/>
  <c r="E43" i="3"/>
  <c r="V43" i="3" s="1"/>
  <c r="AA12" i="267"/>
  <c r="AA14" i="267"/>
  <c r="AA13" i="267"/>
  <c r="BJ43" i="267"/>
  <c r="U55" i="3" l="1"/>
  <c r="U61" i="3"/>
  <c r="Y13" i="11530"/>
  <c r="Z13" i="11530" s="1"/>
  <c r="BN11" i="11530"/>
  <c r="Y11" i="11530" s="1"/>
  <c r="Z11" i="11530" s="1"/>
  <c r="BK37" i="11530"/>
  <c r="G42" i="11530" s="1"/>
  <c r="B35" i="11530" s="1"/>
  <c r="BN33" i="267"/>
  <c r="Y33" i="267" s="1"/>
  <c r="AA33" i="267"/>
  <c r="BN19" i="267"/>
  <c r="AA19" i="267"/>
  <c r="BN38" i="267"/>
  <c r="Y38" i="267" s="1"/>
  <c r="AA38" i="267"/>
  <c r="BM11" i="267"/>
  <c r="BN16" i="267"/>
  <c r="AA16" i="267"/>
  <c r="BN23" i="267"/>
  <c r="AA23" i="267"/>
  <c r="BN36" i="267"/>
  <c r="Y36" i="267" s="1"/>
  <c r="AA36" i="267"/>
  <c r="BN20" i="267"/>
  <c r="AA20" i="267"/>
  <c r="BN18" i="267"/>
  <c r="AA18" i="267"/>
  <c r="BN31" i="267"/>
  <c r="Y31" i="267" s="1"/>
  <c r="AA31" i="267"/>
  <c r="BN28" i="267"/>
  <c r="AA28" i="267"/>
  <c r="BN15" i="267"/>
  <c r="AA15" i="267"/>
  <c r="BN32" i="267"/>
  <c r="Y32" i="267" s="1"/>
  <c r="AA32" i="267"/>
  <c r="BN41" i="267"/>
  <c r="Y41" i="267" s="1"/>
  <c r="AA41" i="267"/>
  <c r="BN25" i="267"/>
  <c r="AA25" i="267"/>
  <c r="BN24" i="267"/>
  <c r="AA24" i="267"/>
  <c r="BN17" i="267"/>
  <c r="AA17" i="267"/>
  <c r="BN22" i="267"/>
  <c r="AA22" i="267"/>
  <c r="BN42" i="267"/>
  <c r="Y42" i="267" s="1"/>
  <c r="AA42" i="267"/>
  <c r="BN30" i="267"/>
  <c r="AA30" i="267"/>
  <c r="BN40" i="267"/>
  <c r="Y40" i="267" s="1"/>
  <c r="AA40" i="267"/>
  <c r="BN34" i="267"/>
  <c r="Y34" i="267" s="1"/>
  <c r="AA34" i="267"/>
  <c r="BN26" i="267"/>
  <c r="AA26" i="267"/>
  <c r="BN21" i="267"/>
  <c r="AA21" i="267"/>
  <c r="BN39" i="267"/>
  <c r="Y39" i="267" s="1"/>
  <c r="AA39" i="267"/>
  <c r="BN37" i="267"/>
  <c r="Y37" i="267" s="1"/>
  <c r="AA37" i="267"/>
  <c r="BN29" i="267"/>
  <c r="AA29" i="267"/>
  <c r="BN35" i="267"/>
  <c r="Y35" i="267" s="1"/>
  <c r="AA35" i="267"/>
  <c r="BN27" i="267"/>
  <c r="AA27" i="267"/>
  <c r="U14" i="3"/>
  <c r="Y14" i="3" s="1"/>
  <c r="T15" i="3"/>
  <c r="O56" i="3"/>
  <c r="L64" i="3" s="1"/>
  <c r="G56" i="3"/>
  <c r="AE11" i="6"/>
  <c r="AH11" i="6"/>
  <c r="AH49" i="6" s="1"/>
  <c r="G47" i="267"/>
  <c r="G100" i="267" s="1"/>
  <c r="BO12" i="11530"/>
  <c r="Y12" i="11530"/>
  <c r="Z12" i="11530" s="1"/>
  <c r="BO14" i="11530"/>
  <c r="Y14" i="11530"/>
  <c r="Z14" i="11530" s="1"/>
  <c r="BO16" i="11530"/>
  <c r="Y16" i="11530"/>
  <c r="Z16" i="11530" s="1"/>
  <c r="J64" i="6"/>
  <c r="J115" i="6" s="1"/>
  <c r="AD61" i="6"/>
  <c r="K13" i="3"/>
  <c r="E64" i="6"/>
  <c r="AC115" i="6"/>
  <c r="U12" i="3"/>
  <c r="BN14" i="267"/>
  <c r="BM14" i="267"/>
  <c r="BN13" i="267"/>
  <c r="BM13" i="267"/>
  <c r="BN12" i="267"/>
  <c r="BM12" i="267"/>
  <c r="BK43" i="267"/>
  <c r="G48" i="267" s="1"/>
  <c r="E14" i="3" l="1"/>
  <c r="F14" i="3" s="1"/>
  <c r="M92" i="6"/>
  <c r="Y29" i="267"/>
  <c r="BO29" i="267"/>
  <c r="Y30" i="267"/>
  <c r="BO30" i="267"/>
  <c r="Y28" i="267"/>
  <c r="BO28" i="267"/>
  <c r="Z11" i="267"/>
  <c r="Y11" i="267" s="1"/>
  <c r="BN37" i="11530"/>
  <c r="BO37" i="11530" s="1"/>
  <c r="BO11" i="11530"/>
  <c r="C42" i="11530"/>
  <c r="F47" i="3" s="1"/>
  <c r="BO15" i="267"/>
  <c r="Y15" i="267"/>
  <c r="BO21" i="267"/>
  <c r="Y21" i="267"/>
  <c r="BO12" i="267"/>
  <c r="Y12" i="267"/>
  <c r="BO22" i="267"/>
  <c r="Y22" i="267"/>
  <c r="BO26" i="267"/>
  <c r="Y26" i="267"/>
  <c r="BO13" i="267"/>
  <c r="Y13" i="267"/>
  <c r="BO27" i="267"/>
  <c r="Y27" i="267"/>
  <c r="BO16" i="267"/>
  <c r="Y16" i="267"/>
  <c r="BO25" i="267"/>
  <c r="Y25" i="267"/>
  <c r="BO19" i="267"/>
  <c r="Y19" i="267"/>
  <c r="BO18" i="267"/>
  <c r="Y18" i="267"/>
  <c r="BO20" i="267"/>
  <c r="Y20" i="267"/>
  <c r="BO23" i="267"/>
  <c r="Y23" i="267"/>
  <c r="BO17" i="267"/>
  <c r="Y17" i="267"/>
  <c r="BO14" i="267"/>
  <c r="Y14" i="267"/>
  <c r="BO24" i="267"/>
  <c r="Y24" i="267"/>
  <c r="U56" i="3"/>
  <c r="V14" i="3"/>
  <c r="T13" i="3"/>
  <c r="K56" i="3"/>
  <c r="L62" i="3" s="1"/>
  <c r="C64" i="6"/>
  <c r="C115" i="6" s="1"/>
  <c r="AG49" i="6"/>
  <c r="AF49" i="6" s="1"/>
  <c r="Y12" i="3"/>
  <c r="H64" i="6"/>
  <c r="H115" i="6" s="1"/>
  <c r="E115" i="6"/>
  <c r="M99" i="6"/>
  <c r="B41" i="267"/>
  <c r="F44" i="3"/>
  <c r="BO11" i="267"/>
  <c r="BN43" i="267"/>
  <c r="BO43" i="267" s="1"/>
  <c r="U58" i="3" l="1"/>
  <c r="U60" i="3"/>
  <c r="G64" i="6"/>
  <c r="G115" i="6" s="1"/>
  <c r="E56" i="3"/>
  <c r="G57" i="3" s="1"/>
  <c r="F12" i="3"/>
  <c r="V12" i="3"/>
  <c r="C48" i="267"/>
  <c r="F43" i="3" s="1"/>
  <c r="W57" i="3" l="1"/>
  <c r="L57" i="3"/>
  <c r="Q57" i="3"/>
  <c r="K57" i="3"/>
  <c r="O57" i="3"/>
  <c r="N57" i="3"/>
  <c r="I57" i="3"/>
  <c r="M57" i="3"/>
  <c r="R57" i="3"/>
  <c r="S57" i="3"/>
  <c r="J57" i="3"/>
  <c r="D58" i="3"/>
  <c r="H57" i="3"/>
  <c r="P57" i="3"/>
  <c r="L67" i="3" l="1"/>
  <c r="L66" i="3"/>
  <c r="Q63" i="3" s="1"/>
  <c r="U57" i="3"/>
  <c r="M63" i="3"/>
  <c r="M65" i="3"/>
  <c r="M64" i="3"/>
  <c r="M62" i="3"/>
  <c r="M67" i="3" l="1"/>
  <c r="M66" i="3"/>
  <c r="Q64" i="3"/>
  <c r="Q66" i="3" l="1"/>
  <c r="AX28" i="2826"/>
  <c r="BL28" i="28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304E56DA-A75C-43F6-A1B0-F7463A1A6873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00000000-0006-0000-0300-000001000000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253CE829-DB9D-42EF-AA3A-74454890F4B9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D089A7DB-17ED-4BED-8093-25D39F765189}">
      <text>
        <r>
          <rPr>
            <sz val="8"/>
            <color indexed="81"/>
            <rFont val="Tahoma"/>
            <family val="2"/>
          </rPr>
          <t>//Drawing Data//_x000D_
Scale=1:50_x000D_
Factor=600
_x000D_Units=3
_x000D_Job=
_x000D_Location=
_x000D_Measurement=
_x000D_Rounding=0
_x000D_Source=XL
_x000D_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00000000-0006-0000-0500-000001000000}">
      <text>
        <r>
          <rPr>
            <sz val="8"/>
            <color indexed="81"/>
            <rFont val="Tahoma"/>
            <family val="2"/>
          </rPr>
          <t>//Drawing Data//_x000D_
Scale=1:50_x000D_
Factor=600
_x000D_Units=3
_x000D_Job=
_x000D_Location=
_x000D_Measurement=
_x000D_Rounding=0
_x000D_Source=XL
_x000D_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ED9A401A-5E8C-4B70-96D3-E30EBFCFFFB5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EF15373C-DCBB-46B5-ABF4-8F5AEDEBD8F3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B2" authorId="0" shapeId="0" xr:uid="{5F1960B8-B961-4AF9-9091-587A78221A2D}">
      <text>
        <r>
          <rPr>
            <sz val="8"/>
            <color indexed="81"/>
            <rFont val="Tahoma"/>
            <family val="2"/>
          </rPr>
          <t>//Drawing Data//_x000D_
Scale=1/8"_x000D_
Factor=96
_x000D_Units=1
_x000D_Job=
_x000D_Location=
_x000D_Measurement=
_x000D_Rounding=0
_x000D_Source=XL
_x000D_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ACCI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>//Drawing Data//_x000D_
Scale=1:40_x000D_
Factor=480
_x000D_Units=3
_x000D_Job=
_x000D_Location=
_x000D_Measurement=
_x000D_Rounding=0
_x000D_Source=XL
_x000D_</t>
        </r>
      </text>
    </comment>
  </commentList>
</comments>
</file>

<file path=xl/sharedStrings.xml><?xml version="1.0" encoding="utf-8"?>
<sst xmlns="http://schemas.openxmlformats.org/spreadsheetml/2006/main" count="7716" uniqueCount="1172">
  <si>
    <t>16p NAILS DUPLEX</t>
  </si>
  <si>
    <t>6p NAILS</t>
  </si>
  <si>
    <t>8p DUPLEX</t>
  </si>
  <si>
    <t>6 mil 20 x 100</t>
  </si>
  <si>
    <t>6 mil 32 x 100</t>
  </si>
  <si>
    <t>Unit</t>
  </si>
  <si>
    <t>Box</t>
  </si>
  <si>
    <t>Unit Cost</t>
  </si>
  <si>
    <t>SAND DELIVERED PER TON</t>
  </si>
  <si>
    <t>ROCK DELEVERED PER TON</t>
  </si>
  <si>
    <t>STEEL</t>
  </si>
  <si>
    <t>REBAR GRADE BEAM</t>
  </si>
  <si>
    <t>REBAR PAVING</t>
  </si>
  <si>
    <t>EQUIPMENT RENTAL</t>
  </si>
  <si>
    <t>BACKHOE</t>
  </si>
  <si>
    <t>BOXBLADE</t>
  </si>
  <si>
    <t>TRENCHER</t>
  </si>
  <si>
    <t>CODE</t>
  </si>
  <si>
    <t>EACH</t>
  </si>
  <si>
    <t>CHIPPING HAMMER</t>
  </si>
  <si>
    <t>COMPRESSOR</t>
  </si>
  <si>
    <t>TOWER LIGHT w/ GENERATOR</t>
  </si>
  <si>
    <t>GENERATOR</t>
  </si>
  <si>
    <t>COST PER INCH FOR BELLS</t>
  </si>
  <si>
    <t>TOTAL INCHES OF BELLS</t>
  </si>
  <si>
    <t>TOTAL COST FOR BELLS</t>
  </si>
  <si>
    <t>PIERS</t>
  </si>
  <si>
    <t>DOWELS</t>
  </si>
  <si>
    <t>SIZE</t>
  </si>
  <si>
    <t>SPACING</t>
  </si>
  <si>
    <t xml:space="preserve">  TOTAL LBS.</t>
  </si>
  <si>
    <t>YDS</t>
  </si>
  <si>
    <t>LBS</t>
  </si>
  <si>
    <t>TIE STEEL</t>
  </si>
  <si>
    <t>TAX  @…………</t>
  </si>
  <si>
    <t>MIX DESIGN</t>
  </si>
  <si>
    <t>BASE DEPTH (FT)</t>
  </si>
  <si>
    <t>TOTAL DEPTH (FT)</t>
  </si>
  <si>
    <t>BELL SIZE (INCHES)</t>
  </si>
  <si>
    <t>STEEL WEIGHT (LBS)</t>
  </si>
  <si>
    <t>CUBIC YARDS</t>
  </si>
  <si>
    <t>TOTALS</t>
  </si>
  <si>
    <t>LN FT</t>
  </si>
  <si>
    <t>REBAR PIERS</t>
  </si>
  <si>
    <t>EQUIPMENT</t>
  </si>
  <si>
    <t>LABOR</t>
  </si>
  <si>
    <t>BY</t>
  </si>
  <si>
    <t>TYPE</t>
  </si>
  <si>
    <t>GRADE BEAMS</t>
  </si>
  <si>
    <t>SF</t>
  </si>
  <si>
    <t>TOTAL COST</t>
  </si>
  <si>
    <t>MISC</t>
  </si>
  <si>
    <t>QTY</t>
  </si>
  <si>
    <t>REINFORCING</t>
  </si>
  <si>
    <t xml:space="preserve"> TOTAL WIEGHT LBS.</t>
  </si>
  <si>
    <t>TOTAL LINEAR FEET BEAMS</t>
  </si>
  <si>
    <t xml:space="preserve"> TOTAL WEIGHT TONS</t>
  </si>
  <si>
    <t>2 X 6</t>
  </si>
  <si>
    <t>2 X 8</t>
  </si>
  <si>
    <t>1 X 6</t>
  </si>
  <si>
    <t>GB TYPE</t>
  </si>
  <si>
    <t>LENGTH FT.</t>
  </si>
  <si>
    <t>WIDTH IN.</t>
  </si>
  <si>
    <t>HEIGHT IN</t>
  </si>
  <si>
    <t>CONCRETE CU. YDS.</t>
  </si>
  <si>
    <t>GB DEMINSIONS</t>
  </si>
  <si>
    <t>CARTON FORMS</t>
  </si>
  <si>
    <t>LUMBER</t>
  </si>
  <si>
    <t>/DAY</t>
  </si>
  <si>
    <t>/SQ FT</t>
  </si>
  <si>
    <t>FORM RENTAL</t>
  </si>
  <si>
    <t>DAY</t>
  </si>
  <si>
    <t>DIA INCHES</t>
  </si>
  <si>
    <t>VERTICAL RENFORCING</t>
  </si>
  <si>
    <t xml:space="preserve">STIRRUPS </t>
  </si>
  <si>
    <t xml:space="preserve">PIERS </t>
  </si>
  <si>
    <t>ROCK PENETR (FT)</t>
  </si>
  <si>
    <t>QUANTITIES</t>
  </si>
  <si>
    <t>bell dia total</t>
  </si>
  <si>
    <t>CONCRETE FOR PIER CAPS</t>
  </si>
  <si>
    <t>SAND</t>
  </si>
  <si>
    <t>STEEL REINFORCING</t>
  </si>
  <si>
    <t>TOTAL STEEL</t>
  </si>
  <si>
    <t>GUAGE</t>
  </si>
  <si>
    <t>WRECK AND CLEAN UP</t>
  </si>
  <si>
    <t>PUMP ALLOWANCE</t>
  </si>
  <si>
    <t>WIRE MESH</t>
  </si>
  <si>
    <t>mix 1</t>
  </si>
  <si>
    <t>/LB</t>
  </si>
  <si>
    <t>/TON</t>
  </si>
  <si>
    <t>BACK HOE</t>
  </si>
  <si>
    <t>BOB CAT</t>
  </si>
  <si>
    <t>Total</t>
  </si>
  <si>
    <t>Supervision</t>
  </si>
  <si>
    <t>POST TENSION CABLES</t>
  </si>
  <si>
    <t>SQ FT</t>
  </si>
  <si>
    <t>NAME</t>
  </si>
  <si>
    <t>DAYS</t>
  </si>
  <si>
    <t>TOTAL SQ FT</t>
  </si>
  <si>
    <t>/FT</t>
  </si>
  <si>
    <t>6 GAGE</t>
  </si>
  <si>
    <t>10 GAGE</t>
  </si>
  <si>
    <t>YDS.   =</t>
  </si>
  <si>
    <t>TOTAL COST SAND</t>
  </si>
  <si>
    <t>TOTAL STEEL COST @</t>
  </si>
  <si>
    <t>AMOUNT</t>
  </si>
  <si>
    <t>TOTAL CONCRETE</t>
  </si>
  <si>
    <t xml:space="preserve">Days </t>
  </si>
  <si>
    <t>MISCELLANIOUS</t>
  </si>
  <si>
    <t>10 mil 20 x 100</t>
  </si>
  <si>
    <t>WALL</t>
  </si>
  <si>
    <t>WIDTH</t>
  </si>
  <si>
    <t>BRACE INSERTS</t>
  </si>
  <si>
    <t>QUANTITY</t>
  </si>
  <si>
    <t xml:space="preserve">TOTAL </t>
  </si>
  <si>
    <t>NUMBER</t>
  </si>
  <si>
    <t>MIX #</t>
  </si>
  <si>
    <t>/YARD</t>
  </si>
  <si>
    <t>/LN FT</t>
  </si>
  <si>
    <t>CHAMFER</t>
  </si>
  <si>
    <t>LIFT INSERT</t>
  </si>
  <si>
    <t>/EACH</t>
  </si>
  <si>
    <t>METAL CHAIRS 2.5"</t>
  </si>
  <si>
    <t>POLY 6 mill</t>
  </si>
  <si>
    <t>/YD</t>
  </si>
  <si>
    <t>DATE</t>
  </si>
  <si>
    <t>JOB NAME:</t>
  </si>
  <si>
    <t xml:space="preserve"> BID: </t>
  </si>
  <si>
    <t>JOB ADDRESS:</t>
  </si>
  <si>
    <t xml:space="preserve">REVISION: </t>
  </si>
  <si>
    <t>CITY, STATE:</t>
  </si>
  <si>
    <t>DWGS SUPPLIED:</t>
  </si>
  <si>
    <t xml:space="preserve">ARCHITECTUAL: </t>
  </si>
  <si>
    <t xml:space="preserve">STRUCTURAL: </t>
  </si>
  <si>
    <t xml:space="preserve">CIVIL: </t>
  </si>
  <si>
    <t xml:space="preserve">LANDSCAPE: </t>
  </si>
  <si>
    <t>CY</t>
  </si>
  <si>
    <t>EA</t>
  </si>
  <si>
    <t xml:space="preserve">JOB COST SUMMARY </t>
  </si>
  <si>
    <t>%</t>
  </si>
  <si>
    <t>SALE</t>
  </si>
  <si>
    <t>Sale by</t>
  </si>
  <si>
    <t>of</t>
  </si>
  <si>
    <t>DESCRIPTION</t>
  </si>
  <si>
    <t>UNT</t>
  </si>
  <si>
    <t>FORMS</t>
  </si>
  <si>
    <t>REBAR</t>
  </si>
  <si>
    <t>SUPV</t>
  </si>
  <si>
    <t>EQUIP</t>
  </si>
  <si>
    <t>sale</t>
  </si>
  <si>
    <t>SITEWORK</t>
  </si>
  <si>
    <t xml:space="preserve">    TOTALS</t>
  </si>
  <si>
    <t>Total CY</t>
  </si>
  <si>
    <t>TOTAL MATERIAL</t>
  </si>
  <si>
    <t>TOTAL LABOR</t>
  </si>
  <si>
    <t>TOTAL SUB LABOR</t>
  </si>
  <si>
    <t>TOTAL OTHER</t>
  </si>
  <si>
    <t>ESTIMATED PROFIT</t>
  </si>
  <si>
    <t>FORMAN</t>
  </si>
  <si>
    <t>Per CY</t>
  </si>
  <si>
    <t>LIGHT TOWER</t>
  </si>
  <si>
    <t>Concrete Supplier:</t>
  </si>
  <si>
    <t>PLACE AND FINISH</t>
  </si>
  <si>
    <t>DIA.</t>
  </si>
  <si>
    <t xml:space="preserve">6X6 </t>
  </si>
  <si>
    <t>COMPANY</t>
  </si>
  <si>
    <t>CONTACT</t>
  </si>
  <si>
    <t xml:space="preserve"> MATERIAL COSTS :</t>
  </si>
  <si>
    <t>/CU. YD.</t>
  </si>
  <si>
    <t>/ YD</t>
  </si>
  <si>
    <t>/ LN FT</t>
  </si>
  <si>
    <t>/' SQ FT</t>
  </si>
  <si>
    <t>$/DAY</t>
  </si>
  <si>
    <t>SUPERINTENDENT</t>
  </si>
  <si>
    <t>CONTRACT  SERVICES</t>
  </si>
  <si>
    <t>SKY LIFT</t>
  </si>
  <si>
    <t>SAW CUTTING</t>
  </si>
  <si>
    <t xml:space="preserve">FOR </t>
  </si>
  <si>
    <t>MARK UP OF SALE:</t>
  </si>
  <si>
    <t>COST +</t>
  </si>
  <si>
    <t>PRICE:</t>
  </si>
  <si>
    <t xml:space="preserve">WIRE MESH </t>
  </si>
  <si>
    <t>8 GAGE</t>
  </si>
  <si>
    <t xml:space="preserve">TONS =   </t>
  </si>
  <si>
    <t>UNIT COST:</t>
  </si>
  <si>
    <t>UNIT SALE / FT</t>
  </si>
  <si>
    <t>OUT OF TOWN EXP</t>
  </si>
  <si>
    <t>DAYS@</t>
  </si>
  <si>
    <t>EXPENSE ALLOWANCE</t>
  </si>
  <si>
    <t>DIAMOND HARD CURE</t>
  </si>
  <si>
    <t>/ YDS</t>
  </si>
  <si>
    <t>/SQ FT.</t>
  </si>
  <si>
    <t>CARTON FORMS(GR BMS)</t>
  </si>
  <si>
    <t>/CONTACT FT.</t>
  </si>
  <si>
    <t>SUPERVISION MONO SLAB</t>
  </si>
  <si>
    <t>% of forming</t>
  </si>
  <si>
    <t>LUMBER AND ACCSESS</t>
  </si>
  <si>
    <t>Ln ft</t>
  </si>
  <si>
    <t>N</t>
  </si>
  <si>
    <t>Quote:</t>
  </si>
  <si>
    <t>Y</t>
  </si>
  <si>
    <t>RETAINER BOARDS (GR BMS)</t>
  </si>
  <si>
    <t xml:space="preserve"> WASTAGE</t>
  </si>
  <si>
    <t>2 X 4  X 16'</t>
  </si>
  <si>
    <t>2 X 6 X 16'</t>
  </si>
  <si>
    <t>2 X 10 X 16'</t>
  </si>
  <si>
    <t>2 X 8 X 16'</t>
  </si>
  <si>
    <t>3/4 " FORMING PLY</t>
  </si>
  <si>
    <t>Rolls</t>
  </si>
  <si>
    <t>SHT</t>
  </si>
  <si>
    <t>ANCHOR BOLTS</t>
  </si>
  <si>
    <t>SLAB CURE</t>
  </si>
  <si>
    <t>FORM RELEASE</t>
  </si>
  <si>
    <t>drms</t>
  </si>
  <si>
    <t>1/2" Smooth Dowels</t>
  </si>
  <si>
    <t>PCS</t>
  </si>
  <si>
    <t>Spacing</t>
  </si>
  <si>
    <t>C . C</t>
  </si>
  <si>
    <t>WALL TIES</t>
  </si>
  <si>
    <t>CAMLOCKS</t>
  </si>
  <si>
    <t>exempt</t>
  </si>
  <si>
    <t xml:space="preserve"> LABOR: SLAB</t>
  </si>
  <si>
    <t>Sub Labor</t>
  </si>
  <si>
    <t>COST PER SQ FT</t>
  </si>
  <si>
    <t>bndls</t>
  </si>
  <si>
    <t xml:space="preserve">2 x 2 x 30 stakes </t>
  </si>
  <si>
    <t>Mix #</t>
  </si>
  <si>
    <t>MIX #1</t>
  </si>
  <si>
    <t>MIX #2</t>
  </si>
  <si>
    <t>MIX #3</t>
  </si>
  <si>
    <t>MIX #4</t>
  </si>
  <si>
    <t>MIX#5</t>
  </si>
  <si>
    <t>MIX #6</t>
  </si>
  <si>
    <t>TURNBUCKLES</t>
  </si>
  <si>
    <t>Carton Forms</t>
  </si>
  <si>
    <t>y</t>
  </si>
  <si>
    <t>KEYWAY</t>
  </si>
  <si>
    <t>BID TO:</t>
  </si>
  <si>
    <t>LOCATION:</t>
  </si>
  <si>
    <t>Code</t>
  </si>
  <si>
    <t>Budget Name</t>
  </si>
  <si>
    <t>No Buget</t>
  </si>
  <si>
    <t>General Requirements</t>
  </si>
  <si>
    <t>Lumber Material</t>
  </si>
  <si>
    <t>Sand Material</t>
  </si>
  <si>
    <t>Rock Material</t>
  </si>
  <si>
    <t>Reinforcement Material</t>
  </si>
  <si>
    <t>P.T. Cable Material</t>
  </si>
  <si>
    <t>Reinforcement Accessories</t>
  </si>
  <si>
    <t>Concrete Material</t>
  </si>
  <si>
    <t>Cures / Sealers</t>
  </si>
  <si>
    <t>Patch &amp; Grout Materials</t>
  </si>
  <si>
    <t>Panel Accessories</t>
  </si>
  <si>
    <t>Carton Forms Material</t>
  </si>
  <si>
    <t>Supervision Expenses</t>
  </si>
  <si>
    <t>In House Labor</t>
  </si>
  <si>
    <t>Out of Town Expenses</t>
  </si>
  <si>
    <t>Labor Burden</t>
  </si>
  <si>
    <t>In House Labor - Walks &amp; Site</t>
  </si>
  <si>
    <t>Sub Pumping</t>
  </si>
  <si>
    <t>Sub Drilling</t>
  </si>
  <si>
    <t>Sub Haul-Off Spoils</t>
  </si>
  <si>
    <t>Sub Sawcutting/Sealing</t>
  </si>
  <si>
    <t>Sub Demolition</t>
  </si>
  <si>
    <t>Sub Labor Pier Caps</t>
  </si>
  <si>
    <t>Sub Labor Forming</t>
  </si>
  <si>
    <t>Sub Labor Grade, Poly, Reinf.</t>
  </si>
  <si>
    <t>Sub Labor Place &amp; Finish</t>
  </si>
  <si>
    <t>Sub Labor - Drops</t>
  </si>
  <si>
    <t>Sub Labor Strip Forms</t>
  </si>
  <si>
    <t>Sub Labor Piers</t>
  </si>
  <si>
    <t>Sub Labor Paving</t>
  </si>
  <si>
    <t>Sub Labor Metal Decks</t>
  </si>
  <si>
    <t>Sub Labor Walks</t>
  </si>
  <si>
    <t>Sub Labor Panels</t>
  </si>
  <si>
    <t>Sub Labor Curbs</t>
  </si>
  <si>
    <t>Sub Labor Columns</t>
  </si>
  <si>
    <t>Sub Labor - Elevator Pit</t>
  </si>
  <si>
    <t>Sub Labor - Footing</t>
  </si>
  <si>
    <t>Sub Labor Other</t>
  </si>
  <si>
    <t>Sub Labor Rebar Per Ton</t>
  </si>
  <si>
    <t>Equipment Rental</t>
  </si>
  <si>
    <t>Small Tools</t>
  </si>
  <si>
    <t>BID #</t>
  </si>
  <si>
    <t>ACC #</t>
  </si>
  <si>
    <t>ACCESSORIES</t>
  </si>
  <si>
    <t>POLSTERS</t>
  </si>
  <si>
    <t>SLAB CHAIRS</t>
  </si>
  <si>
    <t>BAGS</t>
  </si>
  <si>
    <t>TOP BARS</t>
  </si>
  <si>
    <t>/SHEET</t>
  </si>
  <si>
    <t>/BUNDL</t>
  </si>
  <si>
    <t>/BOX</t>
  </si>
  <si>
    <t>/BAG</t>
  </si>
  <si>
    <t>/ROLL</t>
  </si>
  <si>
    <t>/DRUM</t>
  </si>
  <si>
    <t>LBS OF STEEL</t>
  </si>
  <si>
    <t>mix design</t>
  </si>
  <si>
    <t>Rate</t>
  </si>
  <si>
    <t>Sub</t>
  </si>
  <si>
    <t>SUB LABOR</t>
  </si>
  <si>
    <t>Y/N</t>
  </si>
  <si>
    <t>POST TENSION</t>
  </si>
  <si>
    <t>JOB NAME</t>
  </si>
  <si>
    <t>Entered by:</t>
  </si>
  <si>
    <t>DATE:</t>
  </si>
  <si>
    <t>Rev.</t>
  </si>
  <si>
    <t>HAUL OFF</t>
  </si>
  <si>
    <t>Concrete Supplier</t>
  </si>
  <si>
    <t>Low Cost calculator</t>
  </si>
  <si>
    <t>P.T. CABLES</t>
  </si>
  <si>
    <t>REBAR ACCES.</t>
  </si>
  <si>
    <t>CON CRETE</t>
  </si>
  <si>
    <t>SEALERS CURE</t>
  </si>
  <si>
    <t>OTHER SUBS</t>
  </si>
  <si>
    <t>OUT OF TOWN</t>
  </si>
  <si>
    <t>COST BY UNIT</t>
  </si>
  <si>
    <t>BOTTOM BARS</t>
  </si>
  <si>
    <t>MID BARS</t>
  </si>
  <si>
    <t>STIRRUPS</t>
  </si>
  <si>
    <t># BARS</t>
  </si>
  <si>
    <t>PILASTERS</t>
  </si>
  <si>
    <t>RUB AND PATCH</t>
  </si>
  <si>
    <t>CONCRETE WASTAGE</t>
  </si>
  <si>
    <t>"L" BARS</t>
  </si>
  <si>
    <t>LNTH</t>
  </si>
  <si>
    <t>EXCAVATE</t>
  </si>
  <si>
    <t>CU YD</t>
  </si>
  <si>
    <t>CU/YD</t>
  </si>
  <si>
    <t>FORMING</t>
  </si>
  <si>
    <t>CONTACT FT</t>
  </si>
  <si>
    <t>FACE FT</t>
  </si>
  <si>
    <t>FC.FT.=</t>
  </si>
  <si>
    <t>PHILASTERS</t>
  </si>
  <si>
    <t>LGTH</t>
  </si>
  <si>
    <t>UNITS</t>
  </si>
  <si>
    <t>PATCH MATERIAL</t>
  </si>
  <si>
    <t>CONCRETE COST</t>
  </si>
  <si>
    <t>FORMING COST</t>
  </si>
  <si>
    <t>PHILASTER COST</t>
  </si>
  <si>
    <t>STEEL LABOR</t>
  </si>
  <si>
    <t>EXCAVATE LABOR</t>
  </si>
  <si>
    <t>EQUIP,SUP,CONTRACT</t>
  </si>
  <si>
    <t>Sand &amp; Rock</t>
  </si>
  <si>
    <t>ROCK COST</t>
  </si>
  <si>
    <t>PAVING TYPE</t>
  </si>
  <si>
    <t>SQUARE FOOTAGE</t>
  </si>
  <si>
    <t>LF CURBS</t>
  </si>
  <si>
    <t>MESH GUAGE</t>
  </si>
  <si>
    <t>STEEL WT LBS</t>
  </si>
  <si>
    <t>TOTAL PRICE</t>
  </si>
  <si>
    <t>MESH WT</t>
  </si>
  <si>
    <t>CY    SAND</t>
  </si>
  <si>
    <t>labor</t>
  </si>
  <si>
    <t>THICKENED EDGE</t>
  </si>
  <si>
    <t>THICK EDGE</t>
  </si>
  <si>
    <t>SAND INCHE</t>
  </si>
  <si>
    <t>HAND POUR Y/N</t>
  </si>
  <si>
    <t>SQ FT MACH POUR</t>
  </si>
  <si>
    <t>PRICE PER FT</t>
  </si>
  <si>
    <t>SUPR</t>
  </si>
  <si>
    <t>TIE WIRE</t>
  </si>
  <si>
    <t>TOTAL ROCK</t>
  </si>
  <si>
    <t>1 X 6 RED WOOD</t>
  </si>
  <si>
    <t>THICK INCHES</t>
  </si>
  <si>
    <t>CONTROL JOINT SEALANT</t>
  </si>
  <si>
    <t>EXPANSION JOINT SEALANT</t>
  </si>
  <si>
    <t>1 X 8 RED WOOD</t>
  </si>
  <si>
    <t>TACK STRIPS</t>
  </si>
  <si>
    <t>1 X 8</t>
  </si>
  <si>
    <t>CONTRACT</t>
  </si>
  <si>
    <t>DEMO</t>
  </si>
  <si>
    <t>LN FT DEMO</t>
  </si>
  <si>
    <t>CURB DEMO</t>
  </si>
  <si>
    <t xml:space="preserve">SUPERVISION </t>
  </si>
  <si>
    <t>3/8" X 12" X 16' SIDING</t>
  </si>
  <si>
    <t>LNGT</t>
  </si>
  <si>
    <t>MASONITE SIDING</t>
  </si>
  <si>
    <t>/LNGTH</t>
  </si>
  <si>
    <t>1 X 1 TACT STRIP</t>
  </si>
  <si>
    <t>1 X 4 RED WOOD</t>
  </si>
  <si>
    <t>SLIB FORMINNG</t>
  </si>
  <si>
    <t>SPACING FT</t>
  </si>
  <si>
    <t>BARRACADES</t>
  </si>
  <si>
    <t>Traffic Control  Y/N</t>
  </si>
  <si>
    <t>traffic control</t>
  </si>
  <si>
    <t>Traf con</t>
  </si>
  <si>
    <t>month</t>
  </si>
  <si>
    <t>/MONTH</t>
  </si>
  <si>
    <t>LN FT THICK EDGE</t>
  </si>
  <si>
    <t>SLAB 5</t>
  </si>
  <si>
    <t>SLAB 6</t>
  </si>
  <si>
    <t>SLAB 7</t>
  </si>
  <si>
    <t>SLAB 8</t>
  </si>
  <si>
    <t>SLAB 9</t>
  </si>
  <si>
    <t>SLAB 10</t>
  </si>
  <si>
    <t>SLAB 11</t>
  </si>
  <si>
    <t>SLAB 12</t>
  </si>
  <si>
    <t>SLAB 13</t>
  </si>
  <si>
    <t>SLAB 14</t>
  </si>
  <si>
    <t>SLAB 15</t>
  </si>
  <si>
    <t>SLAB 16</t>
  </si>
  <si>
    <t>SLAB 17</t>
  </si>
  <si>
    <t>TOP REINFORCING</t>
  </si>
  <si>
    <t>BOTTOM REINFORCING</t>
  </si>
  <si>
    <t>CURBS</t>
  </si>
  <si>
    <t>LASER SCREED</t>
  </si>
  <si>
    <t>CARTON Y/N</t>
  </si>
  <si>
    <t>CARTON</t>
  </si>
  <si>
    <t>CARTONS</t>
  </si>
  <si>
    <t>PRICE PER SQ FT</t>
  </si>
  <si>
    <t>ADD/DED</t>
  </si>
  <si>
    <t>DRILLING</t>
  </si>
  <si>
    <t xml:space="preserve">LABOR </t>
  </si>
  <si>
    <t>ADD / DEDUCT</t>
  </si>
  <si>
    <t>COST Drilling</t>
  </si>
  <si>
    <t>concrete</t>
  </si>
  <si>
    <t>mix 2</t>
  </si>
  <si>
    <t>mix 3</t>
  </si>
  <si>
    <t>mix 4</t>
  </si>
  <si>
    <t>mix 5</t>
  </si>
  <si>
    <t>mix 6</t>
  </si>
  <si>
    <t>ADD /FT</t>
  </si>
  <si>
    <t>DED / FT</t>
  </si>
  <si>
    <t>CASING</t>
  </si>
  <si>
    <t>DEDUCT</t>
  </si>
  <si>
    <t>42"</t>
  </si>
  <si>
    <t>DIA. PIERS IN INCHES</t>
  </si>
  <si>
    <t>DED</t>
  </si>
  <si>
    <t>SUPER</t>
  </si>
  <si>
    <t>PIER QUOTE</t>
  </si>
  <si>
    <t>LAYOUT</t>
  </si>
  <si>
    <t>PLACE &amp; FINISH</t>
  </si>
  <si>
    <t>COST PER PIER</t>
  </si>
  <si>
    <t>BELL COST</t>
  </si>
  <si>
    <t xml:space="preserve"> LABOR</t>
  </si>
  <si>
    <t>PIER SLEDS</t>
  </si>
  <si>
    <t>SUB</t>
  </si>
  <si>
    <t>CASING / FT</t>
  </si>
  <si>
    <t xml:space="preserve"> </t>
  </si>
  <si>
    <t>LGTH (FT)</t>
  </si>
  <si>
    <t xml:space="preserve"> REINFORCING</t>
  </si>
  <si>
    <t>CONCRETE PUMPING</t>
  </si>
  <si>
    <t>/YRD</t>
  </si>
  <si>
    <t>CU YDS</t>
  </si>
  <si>
    <t>GRADE,POLY</t>
  </si>
  <si>
    <t>YRDS</t>
  </si>
  <si>
    <t>LIGHT POLE BASES</t>
  </si>
  <si>
    <t>DOCK LEVELER PITS</t>
  </si>
  <si>
    <t>ELEVATOR PITS</t>
  </si>
  <si>
    <t>BLOCK OUTS</t>
  </si>
  <si>
    <t>PIPE BOLLARDS</t>
  </si>
  <si>
    <t>TRANSFORME PADS</t>
  </si>
  <si>
    <t>DIA</t>
  </si>
  <si>
    <t>DEPTH</t>
  </si>
  <si>
    <t>LABOR  COST</t>
  </si>
  <si>
    <t>CONC</t>
  </si>
  <si>
    <t>UNIT SALE</t>
  </si>
  <si>
    <t>TOTAL SALES</t>
  </si>
  <si>
    <t>SUPRVSN</t>
  </si>
  <si>
    <t>EQUIP.</t>
  </si>
  <si>
    <t>LEN FT.</t>
  </si>
  <si>
    <t>WIDTH IN</t>
  </si>
  <si>
    <t>HGHT INCES</t>
  </si>
  <si>
    <t>STEEL WT</t>
  </si>
  <si>
    <t>YDS CONC.</t>
  </si>
  <si>
    <t>% OF FORMING</t>
  </si>
  <si>
    <t>MARGIN</t>
  </si>
  <si>
    <t>STAND UP CURBS</t>
  </si>
  <si>
    <t>FUEL&amp;MAINT.</t>
  </si>
  <si>
    <t>1 X 2 X 18" STAKES</t>
  </si>
  <si>
    <t>/BNDL</t>
  </si>
  <si>
    <t>2 X 2 X 18 STAKES</t>
  </si>
  <si>
    <t>HT</t>
  </si>
  <si>
    <t>WDTH</t>
  </si>
  <si>
    <t>STAIR TREADS</t>
  </si>
  <si>
    <t>THK</t>
  </si>
  <si>
    <t>MIX 1</t>
  </si>
  <si>
    <t>MIX 2</t>
  </si>
  <si>
    <t>MIX 3</t>
  </si>
  <si>
    <t>MIX 4</t>
  </si>
  <si>
    <t>MIX 5</t>
  </si>
  <si>
    <t>MIX 6</t>
  </si>
  <si>
    <t>MONO</t>
  </si>
  <si>
    <t xml:space="preserve">GRADE </t>
  </si>
  <si>
    <t>SOG</t>
  </si>
  <si>
    <t>PAVING</t>
  </si>
  <si>
    <t>SIDE WALKS</t>
  </si>
  <si>
    <t>STRUCTURAL CONCRETE MIX DESIGN:</t>
  </si>
  <si>
    <t>SITE CONCRETE MIX MIX DESIGN:</t>
  </si>
  <si>
    <t>CRAINE &amp; OPERATOR</t>
  </si>
  <si>
    <t>FORM RENTAL SHORING</t>
  </si>
  <si>
    <t>CABLES</t>
  </si>
  <si>
    <t>PERM. EDGE</t>
  </si>
  <si>
    <t>RESHORING</t>
  </si>
  <si>
    <t>GB #</t>
  </si>
  <si>
    <t xml:space="preserve">TYPE </t>
  </si>
  <si>
    <t>SQ FT CABLES</t>
  </si>
  <si>
    <t>ROLLS</t>
  </si>
  <si>
    <t>SLABS</t>
  </si>
  <si>
    <t>ACCESS</t>
  </si>
  <si>
    <t>WIDTH INCHES</t>
  </si>
  <si>
    <t>HEIGHT FT</t>
  </si>
  <si>
    <t>COLUMN DEM.</t>
  </si>
  <si>
    <t xml:space="preserve">VERTICAL </t>
  </si>
  <si>
    <t>VERTICAL</t>
  </si>
  <si>
    <t>LGTH INCHES</t>
  </si>
  <si>
    <t>COST / COLUMN</t>
  </si>
  <si>
    <t>SET UP/TEAR DOWN</t>
  </si>
  <si>
    <t>TOTAL COLUMNS</t>
  </si>
  <si>
    <t>COST PER YARD</t>
  </si>
  <si>
    <t>SALE PRICE/COLUMN</t>
  </si>
  <si>
    <t>SETUP/TEARDOWN</t>
  </si>
  <si>
    <t>COLUMN TYPE</t>
  </si>
  <si>
    <t>UNIT SALE / EACH</t>
  </si>
  <si>
    <t>CIP ELEV.   SLAB</t>
  </si>
  <si>
    <t>rebar grade beams</t>
  </si>
  <si>
    <t>POLY 6 MILL</t>
  </si>
  <si>
    <t>/ ROLL</t>
  </si>
  <si>
    <t>yrds conc. Beams</t>
  </si>
  <si>
    <t>TOTAL LBS STEEL</t>
  </si>
  <si>
    <t>YDS CONC</t>
  </si>
  <si>
    <t>LNTH INCHES</t>
  </si>
  <si>
    <t>DEPTH INCHES</t>
  </si>
  <si>
    <t>SAW JOINT SEALANT</t>
  </si>
  <si>
    <t>ADD/DED MARGIN</t>
  </si>
  <si>
    <t>CONC STRAIT</t>
  </si>
  <si>
    <t>STEEL WT / FT</t>
  </si>
  <si>
    <t>CASING CON</t>
  </si>
  <si>
    <t>SHAFT CONCRETE</t>
  </si>
  <si>
    <t>CASING CONCRETE</t>
  </si>
  <si>
    <t>HAUL CASING</t>
  </si>
  <si>
    <t>PRICE / PIER</t>
  </si>
  <si>
    <t>price if from quote</t>
  </si>
  <si>
    <t>WALL DEMINSIONS</t>
  </si>
  <si>
    <t>VERTICAL STEEL</t>
  </si>
  <si>
    <t>HORIZONTAL STEEL</t>
  </si>
  <si>
    <t>INCHES WIDE</t>
  </si>
  <si>
    <t>INCHES THICK</t>
  </si>
  <si>
    <t># OF MATS</t>
  </si>
  <si>
    <t>#  OF MATS</t>
  </si>
  <si>
    <t>FOOTERS</t>
  </si>
  <si>
    <t>FOOTER SQ FT</t>
  </si>
  <si>
    <t>FOOTER  COST</t>
  </si>
  <si>
    <t>THICK IN.</t>
  </si>
  <si>
    <t>WALL COST</t>
  </si>
  <si>
    <t>FOOTER COST</t>
  </si>
  <si>
    <t>mix design WALLS</t>
  </si>
  <si>
    <t>mix design FOOTERS</t>
  </si>
  <si>
    <t>TOTAL CONCRETE WALLS</t>
  </si>
  <si>
    <t>CONCRETE FOOTERS</t>
  </si>
  <si>
    <t>COST PER FT</t>
  </si>
  <si>
    <t>COST / FT</t>
  </si>
  <si>
    <t>FOOTER:</t>
  </si>
  <si>
    <t xml:space="preserve">REV </t>
  </si>
  <si>
    <t>HOUSE KEEPING PADS</t>
  </si>
  <si>
    <t>FF</t>
  </si>
  <si>
    <t>DOWEL BASKETS</t>
  </si>
  <si>
    <t xml:space="preserve">CURB  </t>
  </si>
  <si>
    <t>EASY DRILL</t>
  </si>
  <si>
    <t>WATER PROOFING</t>
  </si>
  <si>
    <t>STAMPED CONCRETE</t>
  </si>
  <si>
    <t>FC. FT=</t>
  </si>
  <si>
    <t>DURROCK RETAINER</t>
  </si>
  <si>
    <t>PIER BOOTS</t>
  </si>
  <si>
    <t>STAMPED</t>
  </si>
  <si>
    <t>STAMPING</t>
  </si>
  <si>
    <t>EXT. PIER CAPS</t>
  </si>
  <si>
    <t>CABLE</t>
  </si>
  <si>
    <t>THICK INCH</t>
  </si>
  <si>
    <t>\</t>
  </si>
  <si>
    <t>TONS</t>
  </si>
  <si>
    <t>SUB COST PER COL</t>
  </si>
  <si>
    <t>Days</t>
  </si>
  <si>
    <t>FOOTER INFO</t>
  </si>
  <si>
    <t>LABOR COST</t>
  </si>
  <si>
    <t>SPACE</t>
  </si>
  <si>
    <t>SQ FT WIRE MESH</t>
  </si>
  <si>
    <t>SQ FTWIRE MESH</t>
  </si>
  <si>
    <t>BOT BARS</t>
  </si>
  <si>
    <t>SLAB REBAR</t>
  </si>
  <si>
    <t>DROPS</t>
  </si>
  <si>
    <t>CONCRETE GRADE BEAMS</t>
  </si>
  <si>
    <t>GRADING/CABLES</t>
  </si>
  <si>
    <t>SQ FF</t>
  </si>
  <si>
    <t xml:space="preserve"> FF DROPS</t>
  </si>
  <si>
    <t xml:space="preserve">QTY </t>
  </si>
  <si>
    <t>QTY SLABS</t>
  </si>
  <si>
    <t>TOTAL PRICE EACH</t>
  </si>
  <si>
    <t>TOTAL COST EACH</t>
  </si>
  <si>
    <t>TOTAL PERIMITER</t>
  </si>
  <si>
    <t>COVER SHEETS</t>
  </si>
  <si>
    <t>CARTON FOORMS SLAB</t>
  </si>
  <si>
    <t>COST/ FT</t>
  </si>
  <si>
    <t>WKS</t>
  </si>
  <si>
    <t>MESH SQ FT</t>
  </si>
  <si>
    <t>Site Accessories</t>
  </si>
  <si>
    <t>Structural Accessories</t>
  </si>
  <si>
    <t>Poly vapor barrier</t>
  </si>
  <si>
    <t>TOTAL YDS CON CRETE</t>
  </si>
  <si>
    <t>INCH OF SAND</t>
  </si>
  <si>
    <t>AVERAGE WT /SQ FT</t>
  </si>
  <si>
    <t xml:space="preserve"> SAND</t>
  </si>
  <si>
    <t>WASTAGE</t>
  </si>
  <si>
    <t>CARTON  GRADE BEAMS</t>
  </si>
  <si>
    <t>Y/N         ?</t>
  </si>
  <si>
    <t>/UNITS</t>
  </si>
  <si>
    <t>Notes:</t>
  </si>
  <si>
    <t>OPENINGS</t>
  </si>
  <si>
    <t># CNER BARS</t>
  </si>
  <si>
    <t>BOT EL.</t>
  </si>
  <si>
    <t>TOP  EL.</t>
  </si>
  <si>
    <t>LGTH FT</t>
  </si>
  <si>
    <t>WIDE FT</t>
  </si>
  <si>
    <t>SQ FT EACH</t>
  </si>
  <si>
    <t># EDGE BAR</t>
  </si>
  <si>
    <t>COST PER PANEL</t>
  </si>
  <si>
    <t>MIX DESIGN PANELS</t>
  </si>
  <si>
    <t>TOTAL PANELS</t>
  </si>
  <si>
    <t>LN FT PERIMETER</t>
  </si>
  <si>
    <t>CARTON FORM</t>
  </si>
  <si>
    <t>CARTON FORM QUOTE</t>
  </si>
  <si>
    <t>PANEL LABOR</t>
  </si>
  <si>
    <t>SUP LABOR</t>
  </si>
  <si>
    <t>EQUIP,CONTRACT</t>
  </si>
  <si>
    <t>PANEL CHAIRS</t>
  </si>
  <si>
    <t>BOX</t>
  </si>
  <si>
    <t>BRICK LEDGE</t>
  </si>
  <si>
    <t>BOND BREAKER</t>
  </si>
  <si>
    <t>DURROCK</t>
  </si>
  <si>
    <t>PANEL ENG.</t>
  </si>
  <si>
    <t xml:space="preserve">ELE. </t>
  </si>
  <si>
    <t>NOTES:</t>
  </si>
  <si>
    <t>EXCLUSIONS</t>
  </si>
  <si>
    <t xml:space="preserve">EXCLUSIONS </t>
  </si>
  <si>
    <t>NOTES;</t>
  </si>
  <si>
    <t>ARCHITECTUAL:</t>
  </si>
  <si>
    <t>STRUCTURAL:</t>
  </si>
  <si>
    <t>LBS OF STEEL/ PANEL</t>
  </si>
  <si>
    <t>ZIP CODE:</t>
  </si>
  <si>
    <t xml:space="preserve">TODAY'S DATE: </t>
  </si>
  <si>
    <t>PREPARED BY:</t>
  </si>
  <si>
    <t>CLIENT # 1 NAME:</t>
  </si>
  <si>
    <t xml:space="preserve">ARCHITECTURAL: </t>
  </si>
  <si>
    <t>ADDRESS:</t>
  </si>
  <si>
    <t>CONTACT:</t>
  </si>
  <si>
    <t>CLIENT # 2 NAME:</t>
  </si>
  <si>
    <t>CLIENT # 3 NAME;</t>
  </si>
  <si>
    <t>BLD #</t>
  </si>
  <si>
    <t>5500 PSI COLUMNS</t>
  </si>
  <si>
    <t>CABLE PLACEMENT</t>
  </si>
  <si>
    <t>CRANE AND OPERATOR</t>
  </si>
  <si>
    <t>WATER PROOFING CT YD</t>
  </si>
  <si>
    <t>6 MIL POLY</t>
  </si>
  <si>
    <t>LBS OF STEEL PER LN FT</t>
  </si>
  <si>
    <t>CONCRETE CU. YDS. / LN FT</t>
  </si>
  <si>
    <t>OF COVERAGE</t>
  </si>
  <si>
    <t>TARGET</t>
  </si>
  <si>
    <t xml:space="preserve">set up tear down </t>
  </si>
  <si>
    <t>SLAB BOLSTERS</t>
  </si>
  <si>
    <t>Cables</t>
  </si>
  <si>
    <t>n</t>
  </si>
  <si>
    <t>COMPACTOR</t>
  </si>
  <si>
    <t>CONCRETE BUCKET</t>
  </si>
  <si>
    <t>EXCAVATE / Backfill</t>
  </si>
  <si>
    <t>SPACING IN.</t>
  </si>
  <si>
    <t>RUB &amp; PATCH</t>
  </si>
  <si>
    <t>WRECK AND CLEAN</t>
  </si>
  <si>
    <t>Margin</t>
  </si>
  <si>
    <t>Contengency</t>
  </si>
  <si>
    <t>/FC. FT.</t>
  </si>
  <si>
    <t>/FC FT.</t>
  </si>
  <si>
    <t>SLAB ON GRADE</t>
  </si>
  <si>
    <t>COLUMNS</t>
  </si>
  <si>
    <t>FC.FT.</t>
  </si>
  <si>
    <t>FC. FT</t>
  </si>
  <si>
    <t xml:space="preserve">POST TENSION </t>
  </si>
  <si>
    <t xml:space="preserve">PLY WOOD FORMING </t>
  </si>
  <si>
    <t>POSTE TENSION</t>
  </si>
  <si>
    <t>SLAB ON DECK</t>
  </si>
  <si>
    <t>TILT PANELS</t>
  </si>
  <si>
    <t>SIDEWALKS</t>
  </si>
  <si>
    <t>WALLS /FOOTING</t>
  </si>
  <si>
    <t>FOOTINGS</t>
  </si>
  <si>
    <t>ELEVATIONS</t>
  </si>
  <si>
    <t>YARDS</t>
  </si>
  <si>
    <t>CABLE STRESSING</t>
  </si>
  <si>
    <t>FROM:</t>
  </si>
  <si>
    <t xml:space="preserve">PHONE: </t>
  </si>
  <si>
    <t xml:space="preserve">FAX: </t>
  </si>
  <si>
    <t>RE:</t>
  </si>
  <si>
    <t>PLEASE SEND WRITTEN QUOTES FOR THE FOLLOWING JOB.</t>
  </si>
  <si>
    <t>Message</t>
  </si>
  <si>
    <t>PROJECT-G.C.</t>
  </si>
  <si>
    <r>
      <t>CITY</t>
    </r>
    <r>
      <rPr>
        <sz val="12"/>
        <rFont val="Arial"/>
        <family val="2"/>
      </rPr>
      <t xml:space="preserve">    </t>
    </r>
  </si>
  <si>
    <t>Location</t>
  </si>
  <si>
    <t>3000 PSI / 4.5 SACK SIDE WALKS</t>
  </si>
  <si>
    <t>3000 PSI  5 SACK PIERS GRADE BEAMS SOG PAVING</t>
  </si>
  <si>
    <t>4000 PSI EL. DECK</t>
  </si>
  <si>
    <t>5000 PSI BEAMS AND WALLS</t>
  </si>
  <si>
    <t xml:space="preserve">  </t>
  </si>
  <si>
    <t xml:space="preserve">Please price the above mix designs.  </t>
  </si>
  <si>
    <t>Date</t>
  </si>
  <si>
    <t>Signature</t>
  </si>
  <si>
    <t>Company Name</t>
  </si>
  <si>
    <t>TOTAL WT</t>
  </si>
  <si>
    <t>COST OF FORMING /FACE FOOT</t>
  </si>
  <si>
    <t>BRACING INSERTS</t>
  </si>
  <si>
    <t>LIFTING INSERTS</t>
  </si>
  <si>
    <t>X</t>
  </si>
  <si>
    <t>COST CON. / FT</t>
  </si>
  <si>
    <t>Sub Labor Walls</t>
  </si>
  <si>
    <t>Sub Labor Elevated Slab</t>
  </si>
  <si>
    <t>Sub Labor Eleveated Slab</t>
  </si>
  <si>
    <t>Sub Elevated Slab</t>
  </si>
  <si>
    <t>Sub Labor -Grade Beams</t>
  </si>
  <si>
    <t>Sub Labor - Grade Beams</t>
  </si>
  <si>
    <t xml:space="preserve">Sub Labor Elevated </t>
  </si>
  <si>
    <t>Sub Labor Walls&amp; Footers</t>
  </si>
  <si>
    <t>Sub Labor - Walls and Footings</t>
  </si>
  <si>
    <t>ADA RAMPS</t>
  </si>
  <si>
    <t>QNTY</t>
  </si>
  <si>
    <t>ADA BRICKS</t>
  </si>
  <si>
    <t>VAULT</t>
  </si>
  <si>
    <t>Total SF</t>
  </si>
  <si>
    <t>WIRE MESH Y/N</t>
  </si>
  <si>
    <t>Tax Exempt</t>
  </si>
  <si>
    <t>ADA Ramps</t>
  </si>
  <si>
    <t>20p NAILS</t>
  </si>
  <si>
    <t>SQ FT PER YARD</t>
  </si>
  <si>
    <t>3/4" Smooth Dowels</t>
  </si>
  <si>
    <t>SLAB BLANKETS</t>
  </si>
  <si>
    <t>FORK TRUCK</t>
  </si>
  <si>
    <t>PANEL AND ANCHOR</t>
  </si>
  <si>
    <t>REVEL</t>
  </si>
  <si>
    <t>BACK FILL</t>
  </si>
  <si>
    <t>CASTING SLAB</t>
  </si>
  <si>
    <t>UNIT PRICE</t>
  </si>
  <si>
    <t>SPLASH BLOCKS</t>
  </si>
  <si>
    <t>BONDING PRICE</t>
  </si>
  <si>
    <t>SUB LABOR ?</t>
  </si>
  <si>
    <t>BOND ?</t>
  </si>
  <si>
    <t>TOTAL BOND</t>
  </si>
  <si>
    <t>CONTRACT PRICE</t>
  </si>
  <si>
    <t>Sub Surveying</t>
  </si>
  <si>
    <t>Sub Panel Drawings</t>
  </si>
  <si>
    <t>CONCRETE PUMP</t>
  </si>
  <si>
    <t>10 MIL POLY</t>
  </si>
  <si>
    <t>Job Name:</t>
  </si>
  <si>
    <t>Job Address:</t>
  </si>
  <si>
    <t>2" x 4 x 8</t>
  </si>
  <si>
    <t>/CU FT</t>
  </si>
  <si>
    <t>BOND</t>
  </si>
  <si>
    <t>BNDLS</t>
  </si>
  <si>
    <t>DRMS</t>
  </si>
  <si>
    <t>TEXTURE COMB</t>
  </si>
  <si>
    <t>FOOTER FOR PANELS</t>
  </si>
  <si>
    <t>2 x 2 x 30 STAKES</t>
  </si>
  <si>
    <t>EXEMPT</t>
  </si>
  <si>
    <t>LNFT</t>
  </si>
  <si>
    <t>SNAP TIES</t>
  </si>
  <si>
    <t>FOAM FILL VOID</t>
  </si>
  <si>
    <t>50/BOX</t>
  </si>
  <si>
    <t>/BNDLE</t>
  </si>
  <si>
    <t>Environmental Fee</t>
  </si>
  <si>
    <t>If accepted by this date</t>
  </si>
  <si>
    <t>prices will be good through duration of project.</t>
  </si>
  <si>
    <t xml:space="preserve">SAW CUTTING </t>
  </si>
  <si>
    <t>BOBCATS</t>
  </si>
  <si>
    <t>/BAG/500</t>
  </si>
  <si>
    <t>1 X 1 TACK STRIPS</t>
  </si>
  <si>
    <t>3-1/4 PAVING CHAIRS</t>
  </si>
  <si>
    <t>3-1/4 Paving Chairs</t>
  </si>
  <si>
    <t xml:space="preserve">2 x 2 x 30 Stakes </t>
  </si>
  <si>
    <t>DOWEL SPACING / 3/4" &amp; CAP</t>
  </si>
  <si>
    <t>2-1/4 PAVING CHAIRS</t>
  </si>
  <si>
    <t>SPEED DOWEL INSERT w/ BASE</t>
  </si>
  <si>
    <t>ANCHOR BOLTS 8"x1/2" (50/BX)</t>
  </si>
  <si>
    <t>STEGO WRAP 10 mil. 20 x 150</t>
  </si>
  <si>
    <t>RW Medows 15 mil VAPOR MAT</t>
  </si>
  <si>
    <t>MONTH</t>
  </si>
  <si>
    <t>ROLL</t>
  </si>
  <si>
    <t>1/2" SMOOTH DOWELS &amp; CAP</t>
  </si>
  <si>
    <t>3/8" X 12" X 16' Siding</t>
  </si>
  <si>
    <t>DRUM</t>
  </si>
  <si>
    <t>Patch Material</t>
  </si>
  <si>
    <t>BUNDL</t>
  </si>
  <si>
    <t>/LNFT</t>
  </si>
  <si>
    <t>FT</t>
  </si>
  <si>
    <t>BOB CATS</t>
  </si>
  <si>
    <t>BUNDLS</t>
  </si>
  <si>
    <t>SHEET</t>
  </si>
  <si>
    <t>DRUMS</t>
  </si>
  <si>
    <t>% of FORMING</t>
  </si>
  <si>
    <t>/EA</t>
  </si>
  <si>
    <t>/Contact FT.</t>
  </si>
  <si>
    <t>PAVECRETE</t>
  </si>
  <si>
    <t>/PC</t>
  </si>
  <si>
    <t>level 3</t>
  </si>
  <si>
    <t>level 16</t>
  </si>
  <si>
    <t>level 17</t>
  </si>
  <si>
    <t>Buggies</t>
  </si>
  <si>
    <t>fuel charge</t>
  </si>
  <si>
    <t>1 BOB CAT</t>
  </si>
  <si>
    <t>GB FORMING</t>
  </si>
  <si>
    <t>/FF</t>
  </si>
  <si>
    <t>/LBS</t>
  </si>
  <si>
    <t>face ft</t>
  </si>
  <si>
    <t>ff/ln ft</t>
  </si>
  <si>
    <t xml:space="preserve">EDGE/ Safety Rails </t>
  </si>
  <si>
    <t>Sub contract barracades</t>
  </si>
  <si>
    <t xml:space="preserve"> BOB CATS</t>
  </si>
  <si>
    <t>LNTH  FT</t>
  </si>
  <si>
    <t>POLY 10 mill</t>
  </si>
  <si>
    <t>FREIGHT</t>
  </si>
  <si>
    <t>LOADS</t>
  </si>
  <si>
    <t>Week 1</t>
  </si>
  <si>
    <t xml:space="preserve"> Week 2</t>
  </si>
  <si>
    <t>Week 3</t>
  </si>
  <si>
    <t>Week 4</t>
  </si>
  <si>
    <t>Week 5</t>
  </si>
  <si>
    <t>Week 6</t>
  </si>
  <si>
    <t>Week 7</t>
  </si>
  <si>
    <t>Week 8</t>
  </si>
  <si>
    <t>Week 9</t>
  </si>
  <si>
    <t>WALLS</t>
  </si>
  <si>
    <t>GARAGE SLAB</t>
  </si>
  <si>
    <t>ELEVATED DECK</t>
  </si>
  <si>
    <t>BUILDING SLAB</t>
  </si>
  <si>
    <t>APT SLAB 1</t>
  </si>
  <si>
    <t>APT SLAB 2</t>
  </si>
  <si>
    <t>APPROACHES</t>
  </si>
  <si>
    <t>PARKING</t>
  </si>
  <si>
    <t>SIDEWALKS.</t>
  </si>
  <si>
    <t>FRENCH DRAIN</t>
  </si>
  <si>
    <t>SHORE WALL</t>
  </si>
  <si>
    <t>5000 psi</t>
  </si>
  <si>
    <t>SKY TRACK</t>
  </si>
  <si>
    <t>3000 PSI W/ ASH PIERS, SOG</t>
  </si>
  <si>
    <t>WATER STOP</t>
  </si>
  <si>
    <t>/FC FT</t>
  </si>
  <si>
    <t>Column Form Rental</t>
  </si>
  <si>
    <t>Deck Form Rental</t>
  </si>
  <si>
    <t>Wall Form Rental</t>
  </si>
  <si>
    <t>Wall form Rental</t>
  </si>
  <si>
    <t>Column form Rental</t>
  </si>
  <si>
    <t>Deck form Rental</t>
  </si>
  <si>
    <t>Tax Rate</t>
  </si>
  <si>
    <t>sq ft / yd</t>
  </si>
  <si>
    <t>lbs / ft</t>
  </si>
  <si>
    <t>saw joints</t>
  </si>
  <si>
    <t>expansion</t>
  </si>
  <si>
    <t>Silicone saw joints</t>
  </si>
  <si>
    <t>Silicone expansions</t>
  </si>
  <si>
    <t>sawcutting</t>
  </si>
  <si>
    <t>ln ft</t>
  </si>
  <si>
    <t>ln ft weekend</t>
  </si>
  <si>
    <t>Minimum</t>
  </si>
  <si>
    <t>curb cutting .25 / inch</t>
  </si>
  <si>
    <t>Austin</t>
  </si>
  <si>
    <t>Buomount</t>
  </si>
  <si>
    <t>Metro Pricing</t>
  </si>
  <si>
    <t>curb and gutter demo 8"</t>
  </si>
  <si>
    <t>subcontractor:</t>
  </si>
  <si>
    <t>signature</t>
  </si>
  <si>
    <t>total</t>
  </si>
  <si>
    <t>Scope</t>
  </si>
  <si>
    <t>unit price</t>
  </si>
  <si>
    <t>Grade Beams</t>
  </si>
  <si>
    <t>/ln ft</t>
  </si>
  <si>
    <t>/ ton</t>
  </si>
  <si>
    <t>Walls and footings</t>
  </si>
  <si>
    <t>/sq ft</t>
  </si>
  <si>
    <t>/ton</t>
  </si>
  <si>
    <t>/yrd</t>
  </si>
  <si>
    <t>Slabs</t>
  </si>
  <si>
    <t>CIP Deck</t>
  </si>
  <si>
    <t>Slab on Deck</t>
  </si>
  <si>
    <t>Sidewalks</t>
  </si>
  <si>
    <t>Miscellaneous</t>
  </si>
  <si>
    <t>pipe bollards</t>
  </si>
  <si>
    <t>each</t>
  </si>
  <si>
    <t>elevator pits</t>
  </si>
  <si>
    <t>monument sign base</t>
  </si>
  <si>
    <t>gate track</t>
  </si>
  <si>
    <t>plate and bolt placement</t>
  </si>
  <si>
    <t>pier caps</t>
  </si>
  <si>
    <t>fence footins</t>
  </si>
  <si>
    <t>4000 psi</t>
  </si>
  <si>
    <t>Concrete Columns</t>
  </si>
  <si>
    <t>Rebar by volumn</t>
  </si>
  <si>
    <t>Target Price</t>
  </si>
  <si>
    <t>unrealized savings</t>
  </si>
  <si>
    <t>Unrecognized savings</t>
  </si>
  <si>
    <t>unrecognized savings</t>
  </si>
  <si>
    <t>3500 Psi</t>
  </si>
  <si>
    <t>Wt per CU yd</t>
  </si>
  <si>
    <t>Phone:</t>
  </si>
  <si>
    <t>Fax:</t>
  </si>
  <si>
    <t>Fax</t>
  </si>
  <si>
    <t>Phone</t>
  </si>
  <si>
    <t>Podium</t>
  </si>
  <si>
    <t>Level 1</t>
  </si>
  <si>
    <t>DF</t>
  </si>
  <si>
    <t>Poly area</t>
  </si>
  <si>
    <t>poly area</t>
  </si>
  <si>
    <t>drops</t>
  </si>
  <si>
    <t>GB1</t>
  </si>
  <si>
    <t>GB2</t>
  </si>
  <si>
    <t>GB3</t>
  </si>
  <si>
    <t>Horizontal</t>
  </si>
  <si>
    <t xml:space="preserve">Estimating Checklist 1.1 </t>
  </si>
  <si>
    <t>Starting a New Project</t>
  </si>
  <si>
    <t>Yes</t>
  </si>
  <si>
    <t>NA</t>
  </si>
  <si>
    <t>Look on Letter of Transmittal sheet to ensure plans are sent out to appropriate suppliers.</t>
  </si>
  <si>
    <t>Create a new job folder in the appropriate customer folder.</t>
  </si>
  <si>
    <t>Create folders in the job folder:  by date; mm-dd-yy</t>
  </si>
  <si>
    <t>Create a new spreadsheet for the job by filling out the information page in the master spreadsheet.</t>
  </si>
  <si>
    <t>Save the spreadsheet in the newly created job folder.</t>
  </si>
  <si>
    <t xml:space="preserve">Identify the general contractor(s) the proposal will be sent to. Determine specific </t>
  </si>
  <si>
    <t>Starting a New Take-off</t>
  </si>
  <si>
    <t>Using a site plan, verify and input building type and count, verify with mono slab spreadsheet.</t>
  </si>
  <si>
    <t xml:space="preserve">Using a civil grading plan and an architectural elevation plan, identify any drops or </t>
  </si>
  <si>
    <t>extended grade beams.</t>
  </si>
  <si>
    <t>Verify job locaton to determine out of town expenses or unique costs.</t>
  </si>
  <si>
    <t>If Address is available, include on estimate sheet.</t>
  </si>
  <si>
    <t>Verify sales tax rate. Particularly on out of state jobs.</t>
  </si>
  <si>
    <t>Upload plans to Etakeoff.</t>
  </si>
  <si>
    <r>
      <t xml:space="preserve">Get </t>
    </r>
    <r>
      <rPr>
        <b/>
        <i/>
        <u/>
        <sz val="10"/>
        <rFont val="Arial"/>
        <family val="2"/>
      </rPr>
      <t>written quotes</t>
    </r>
    <r>
      <rPr>
        <sz val="10"/>
        <rFont val="Arial"/>
        <family val="2"/>
      </rPr>
      <t xml:space="preserve"> for the following:</t>
    </r>
  </si>
  <si>
    <t>post tension</t>
  </si>
  <si>
    <t>rebar</t>
  </si>
  <si>
    <t>sealing &amp; sawcutting</t>
  </si>
  <si>
    <t>pier drilling (if applicable)</t>
  </si>
  <si>
    <t>flatwork (if out of town)</t>
  </si>
  <si>
    <t>rock for backfill if needed including delivery charges</t>
  </si>
  <si>
    <t>Slab Take-offs</t>
  </si>
  <si>
    <t>Review spec book, soils reports, and borings</t>
  </si>
  <si>
    <t>wire mesh</t>
  </si>
  <si>
    <t>Waterproofing - Verify Type or Exclude (include Miradrain if nothings in specs)</t>
  </si>
  <si>
    <t>Verify  gradebeam sizes and types.</t>
  </si>
  <si>
    <t>Grade beams larger than 12" wide or 36" deep require a backhoe.</t>
  </si>
  <si>
    <t>Identify rebar quantity and size</t>
  </si>
  <si>
    <t>L-bars?</t>
  </si>
  <si>
    <t>stirrups?</t>
  </si>
  <si>
    <t>Double check for extended grade beams and drops:</t>
  </si>
  <si>
    <t>stemwalls</t>
  </si>
  <si>
    <t>drops in slab elevation</t>
  </si>
  <si>
    <t>brickledge large than 2"x6"</t>
  </si>
  <si>
    <t>exposed &amp; extended gradebeam</t>
  </si>
  <si>
    <t>Identify concrete mix design to be used for the slab.</t>
  </si>
  <si>
    <t>compressive strength?</t>
  </si>
  <si>
    <t>water cement ratio?</t>
  </si>
  <si>
    <t>Can fly ash be used?</t>
  </si>
  <si>
    <t>Slab thickness?</t>
  </si>
  <si>
    <t>Required time for supervision?</t>
  </si>
  <si>
    <t>2 slabs (or pours) per work week +1 week for set up (avg) in town. (appx 20k sq ft)</t>
  </si>
  <si>
    <t xml:space="preserve">2 slabs (or pours) per work week in Austin or San Antonio (appx 15k sq ft) </t>
  </si>
  <si>
    <t>3-2 splits 5 days bottom slab, 7 days pour wall, 3 days backfill, 5 days top slab</t>
  </si>
  <si>
    <t>20 working days.</t>
  </si>
  <si>
    <t>Wrap around need to look at pour size (5000 +/-) pour strips (7 days stress cables +</t>
  </si>
  <si>
    <t>3 days engineer review to cut grout)</t>
  </si>
  <si>
    <t xml:space="preserve">Slabs with multiple pours i.e. University, Ross Hall, Zang, Can Plant.  5 days prep - </t>
  </si>
  <si>
    <t>stress cut &amp; grout &amp; pour again - 1 bldg 1 month</t>
  </si>
  <si>
    <t>Look at soils report for rock or other factors that may prolong work.</t>
  </si>
  <si>
    <t>% of forming: default is 40%</t>
  </si>
  <si>
    <t>If fewer than 4 slabs (less than 40k sq ft) go 100%</t>
  </si>
  <si>
    <t>If fewer than 7 slabs, go 50%</t>
  </si>
  <si>
    <t>Identify vapor barrier type and thickness.</t>
  </si>
  <si>
    <t>Verify if any additional equipment or special sub labor is required.</t>
  </si>
  <si>
    <t>Special equipment - wide grade beams in basements of garage need a bigger tractor</t>
  </si>
  <si>
    <t>to get materials out of basement.  i.e. Can Plant - forklift for rebar, bobcat keep dirt away</t>
  </si>
  <si>
    <t>Verify % of waste for a particular area ( San Antonio &amp; Austin could be higher).</t>
  </si>
  <si>
    <t>If rock is present, a mini excavator may be required (e.g. San Antonio &amp; Austin)</t>
  </si>
  <si>
    <t>Verify in the soils report.</t>
  </si>
  <si>
    <t>Paving Takeoffs</t>
  </si>
  <si>
    <t>Verify paving type? (asphalt or concrete)</t>
  </si>
  <si>
    <t>Thickness?</t>
  </si>
  <si>
    <t>Mix Design?</t>
  </si>
  <si>
    <t>Compressive strength?</t>
  </si>
  <si>
    <t>Water Cement Ratio?</t>
  </si>
  <si>
    <t>Sealing &amp; Sawcutting</t>
  </si>
  <si>
    <t>Expansion joint spacing?</t>
  </si>
  <si>
    <t>Construction joint spacing?</t>
  </si>
  <si>
    <t xml:space="preserve">Verify type of sealing product to be used. Product type should be </t>
  </si>
  <si>
    <t>identified on the paving spreadsheet in the notes.</t>
  </si>
  <si>
    <t>Watch for anything unusual. (dowel support baskets,etc.)</t>
  </si>
  <si>
    <t>Verify type of reinforcement:</t>
  </si>
  <si>
    <t>rebar (identify size and spacing)</t>
  </si>
  <si>
    <t>fibermesh</t>
  </si>
  <si>
    <t>wiremesh</t>
  </si>
  <si>
    <t>Verify city and state specifications for any city paving or approaches</t>
  </si>
  <si>
    <t xml:space="preserve">Identify any stamped or colored concrete. </t>
  </si>
  <si>
    <t>Identify any recessed areas for pavers. Extra labor, forming, or pumping may be required.</t>
  </si>
  <si>
    <t>Flatwork</t>
  </si>
  <si>
    <t>Location of the job:</t>
  </si>
  <si>
    <t>In townwork will be done by our in house flatwork crews.</t>
  </si>
  <si>
    <t>4S Enterprises will do work in Houston, Austin, and San Antonio.</t>
  </si>
  <si>
    <t>Take off sidewalk quantities and count AC Pads and ADA ramps.</t>
  </si>
  <si>
    <t xml:space="preserve">Pick up any stair treads. The landscape plans are best for elevation changes </t>
  </si>
  <si>
    <t>that will require stair treads.</t>
  </si>
  <si>
    <t xml:space="preserve">decorative walks, picture frame, pavers, stamped, stained, </t>
  </si>
  <si>
    <t>or colored concrete. These need to be excluded from the bid.</t>
  </si>
  <si>
    <t>Finishing a Job</t>
  </si>
  <si>
    <t>Print all spreadsheet pages that are applicable.</t>
  </si>
  <si>
    <t>Print the proposal.</t>
  </si>
  <si>
    <t>Print a site plan and a foundation plan for each building type.</t>
  </si>
  <si>
    <t>Verify job information with Dennis or Keith before sending out the proposal.</t>
  </si>
  <si>
    <t>Fax or email the proposal to the customer contact.</t>
  </si>
  <si>
    <t>Put all printed documents in the back of the job folder.</t>
  </si>
  <si>
    <t>Job Follow Up</t>
  </si>
  <si>
    <t>Verify faxed or emailed proposals were received by the customer contact.</t>
  </si>
  <si>
    <t xml:space="preserve">A follow up call to the customer contact should be made within one week </t>
  </si>
  <si>
    <t xml:space="preserve">of submitting a bid. </t>
  </si>
  <si>
    <t>from piers, backhoe for large grade beams &amp; mini ex where backhoe could not dig.</t>
  </si>
  <si>
    <t>company</t>
  </si>
  <si>
    <t>address</t>
  </si>
  <si>
    <t>city, state zip</t>
  </si>
  <si>
    <t>Chad McKinney</t>
  </si>
  <si>
    <t>SKY TRAK</t>
  </si>
  <si>
    <t>Approved by Edward:</t>
  </si>
  <si>
    <t>Approved by Ralph:</t>
  </si>
  <si>
    <t>4500 psi</t>
  </si>
  <si>
    <t>Piers</t>
  </si>
  <si>
    <t>Mono Slab</t>
  </si>
  <si>
    <t>Paving</t>
  </si>
  <si>
    <t>Walls and Footers</t>
  </si>
  <si>
    <t>Grade Beam</t>
  </si>
  <si>
    <t>Columns</t>
  </si>
  <si>
    <t>CIP Ele Deck</t>
  </si>
  <si>
    <t>Slab on Grade</t>
  </si>
  <si>
    <t>CURE</t>
  </si>
  <si>
    <t>Drums</t>
  </si>
  <si>
    <t>Each</t>
  </si>
  <si>
    <t>Poly 10 mil</t>
  </si>
  <si>
    <t>Rebar</t>
  </si>
  <si>
    <t>Bundles</t>
  </si>
  <si>
    <t>Concrete</t>
  </si>
  <si>
    <t>Sheets</t>
  </si>
  <si>
    <t>Concrete Yardage</t>
  </si>
  <si>
    <t>Job  Materials</t>
  </si>
  <si>
    <t>Building Number</t>
  </si>
  <si>
    <t>Type</t>
  </si>
  <si>
    <t>lbs</t>
  </si>
  <si>
    <t>Smooth Dowels</t>
  </si>
  <si>
    <t>SLIP FORMING</t>
  </si>
  <si>
    <t>GD Beams or Cont Footings</t>
  </si>
  <si>
    <t>Top Mat</t>
  </si>
  <si>
    <t>Bottom Mat</t>
  </si>
  <si>
    <t>Footing Deminsions</t>
  </si>
  <si>
    <t>DEMINSIONS</t>
  </si>
  <si>
    <t>Feet Wide</t>
  </si>
  <si>
    <t>NOT USED</t>
  </si>
  <si>
    <t>Concrete Pumping</t>
  </si>
  <si>
    <t>SF Per Yard</t>
  </si>
  <si>
    <t>Whitecap update 5/12/2025</t>
  </si>
  <si>
    <t>Whitecap</t>
  </si>
  <si>
    <t>Curb and Gutter</t>
  </si>
  <si>
    <t>.</t>
  </si>
  <si>
    <t>Drops</t>
  </si>
  <si>
    <t>Footing</t>
  </si>
  <si>
    <t>Panel Type</t>
  </si>
  <si>
    <t>Total Price</t>
  </si>
  <si>
    <t>Price per Footing</t>
  </si>
  <si>
    <t>3000 PSI Sidewalk and Hardscape</t>
  </si>
  <si>
    <t>Martin Marrieta</t>
  </si>
  <si>
    <t>Justin</t>
  </si>
  <si>
    <t>Thickened Edge</t>
  </si>
  <si>
    <t>Stair Labor</t>
  </si>
  <si>
    <t>Light Bollard Footings</t>
  </si>
  <si>
    <t>Footings</t>
  </si>
  <si>
    <t>Gd Beams or Cont Footings</t>
  </si>
  <si>
    <t>Drop 2</t>
  </si>
  <si>
    <t>In-House Labor</t>
  </si>
  <si>
    <t>Intragal Color</t>
  </si>
  <si>
    <t>Acid Etched / Sandblast</t>
  </si>
  <si>
    <t>Stamped</t>
  </si>
  <si>
    <t>Sandblast</t>
  </si>
  <si>
    <t>Sandblast / Acid Etch</t>
  </si>
  <si>
    <t>Total LF of Curb</t>
  </si>
  <si>
    <t>GB4</t>
  </si>
  <si>
    <t>GB5</t>
  </si>
  <si>
    <t>10 MIL Class A Vapor Barrier</t>
  </si>
  <si>
    <t>Vapor Barrier Tape</t>
  </si>
  <si>
    <t>rolls</t>
  </si>
  <si>
    <t>Approved by Chad:</t>
  </si>
  <si>
    <t>MONO SLABS Garden Style</t>
  </si>
  <si>
    <t>MONO SLABS Wrap Bld 2</t>
  </si>
  <si>
    <t>MONO SLABS Wrap Bld 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</si>
  <si>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</si>
  <si>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</si>
  <si>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</si>
  <si>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</si>
  <si>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</si>
  <si>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</si>
  <si>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</si>
  <si>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</si>
  <si>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</si>
  <si>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</si>
  <si>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</si>
  <si>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</si>
  <si>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</si>
  <si>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</si>
  <si>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</si>
  <si>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</si>
  <si>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</si>
  <si>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</si>
  <si>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</si>
  <si>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</si>
  <si>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</si>
  <si>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</si>
  <si>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</si>
  <si>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</si>
  <si>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EXP GB</t>
  </si>
  <si>
    <t>Bld 1 Pour 1</t>
  </si>
  <si>
    <t>Bld 1 Pour 2</t>
  </si>
  <si>
    <t>Bld 1 Pour 3</t>
  </si>
  <si>
    <t>Bld 1 Pour 4</t>
  </si>
  <si>
    <t>Bld 1 Pour 5</t>
  </si>
  <si>
    <t>Bld 1 Pour 6</t>
  </si>
  <si>
    <t>Bld 1 Pour 7</t>
  </si>
  <si>
    <t>Bld 1 Pour 8</t>
  </si>
  <si>
    <t>Bld 1 Pour 9</t>
  </si>
  <si>
    <t>Bld 1 Pour 10</t>
  </si>
  <si>
    <t>Bld 1 Pour 11</t>
  </si>
  <si>
    <t>Bld 1 Pour 12</t>
  </si>
  <si>
    <t>Bld 1 Pour 13</t>
  </si>
  <si>
    <t>Bld 1 Pour 14</t>
  </si>
  <si>
    <t>Bld 1 Pour 15</t>
  </si>
  <si>
    <t>Bld 1 Pour 16</t>
  </si>
  <si>
    <t>Bld 1 Pour 17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</si>
  <si>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</si>
  <si>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</si>
  <si>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</si>
  <si>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</si>
  <si>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</si>
  <si>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</si>
  <si>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</si>
  <si>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</si>
  <si>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</si>
  <si>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</si>
  <si>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</si>
  <si>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Wall Price Per SF</t>
  </si>
  <si>
    <t>Total Wall Price</t>
  </si>
  <si>
    <t>Footing Price Per SF</t>
  </si>
  <si>
    <t>Total Footing Price</t>
  </si>
  <si>
    <t>Bld 1 Pour 18</t>
  </si>
  <si>
    <t>Bld 1 Pour 19</t>
  </si>
  <si>
    <t>Bld 1 Pour 20</t>
  </si>
  <si>
    <t>Bld 1 Pour 21</t>
  </si>
  <si>
    <t>Bld 1 Pour 22</t>
  </si>
  <si>
    <t>Bld 1 Pour 23</t>
  </si>
  <si>
    <t>Bld 1 Pour 24</t>
  </si>
  <si>
    <t>Bld 1 Leaveouts</t>
  </si>
  <si>
    <t>F12</t>
  </si>
  <si>
    <t>F13</t>
  </si>
  <si>
    <t>F14</t>
  </si>
  <si>
    <t>F15</t>
  </si>
  <si>
    <t>F16</t>
  </si>
  <si>
    <t>Garage Footings</t>
  </si>
  <si>
    <t>Garage Walls</t>
  </si>
  <si>
    <t>Wall Type</t>
  </si>
  <si>
    <t>Superintendent</t>
  </si>
  <si>
    <t>Skid steer</t>
  </si>
  <si>
    <t>Foreman</t>
  </si>
  <si>
    <t>Assistant</t>
  </si>
  <si>
    <t>Private Paving</t>
  </si>
  <si>
    <t>ROW Paving</t>
  </si>
  <si>
    <t>Project management</t>
  </si>
  <si>
    <t>Pump Paving?</t>
  </si>
  <si>
    <t>Gate tracks</t>
  </si>
  <si>
    <t>Project manament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</si>
</sst>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"/>
    <numFmt numFmtId="165" formatCode="0.0000_)"/>
    <numFmt numFmtId="166" formatCode="0.00_)"/>
    <numFmt numFmtId="167" formatCode="0.0_)"/>
    <numFmt numFmtId="168" formatCode="_(* #,##0_);_(* \(#,##0\);_(* &quot;-&quot;??_);_(@_)"/>
    <numFmt numFmtId="169" formatCode="_(&quot;$&quot;* #,##0.0_);_(&quot;$&quot;* \(#,##0.0\);_(&quot;$&quot;* &quot;-&quot;??_);_(@_)"/>
    <numFmt numFmtId="170" formatCode="_(&quot;$&quot;* #,##0_);_(&quot;$&quot;* \(#,##0\);_(&quot;$&quot;* &quot;-&quot;??_);_(@_)"/>
    <numFmt numFmtId="171" formatCode="0.0%"/>
    <numFmt numFmtId="172" formatCode="0.0"/>
    <numFmt numFmtId="173" formatCode="&quot;$&quot;#,##0.00"/>
    <numFmt numFmtId="174" formatCode="&quot;$&quot;#,##0"/>
    <numFmt numFmtId="175" formatCode="_(* #,##0.00_);_(* \(#,##0.00\);_(* &quot;-&quot;_);_(@_)"/>
    <numFmt numFmtId="176" formatCode="m/d/yy"/>
    <numFmt numFmtId="177" formatCode="mm/dd/yy"/>
    <numFmt numFmtId="178" formatCode="0_);\(0\)"/>
    <numFmt numFmtId="179" formatCode="0.000"/>
  </numFmts>
  <fonts count="3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55"/>
      <name val="Arial"/>
      <family val="2"/>
    </font>
    <font>
      <sz val="10"/>
      <color indexed="55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b/>
      <sz val="12"/>
      <color indexed="10"/>
      <name val="Arial"/>
      <family val="2"/>
    </font>
    <font>
      <sz val="8"/>
      <color indexed="81"/>
      <name val="Tahoma"/>
      <family val="2"/>
    </font>
    <font>
      <sz val="12"/>
      <name val="Courier"/>
      <family val="3"/>
    </font>
    <font>
      <sz val="12"/>
      <color indexed="8"/>
      <name val="Times New Roman"/>
      <family val="1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4"/>
      <color indexed="48"/>
      <name val="Arial"/>
      <family val="2"/>
    </font>
    <font>
      <b/>
      <sz val="16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theme="9" tint="0.79998168889431442"/>
      </patternFill>
    </fill>
  </fills>
  <borders count="1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7" fillId="0" borderId="0"/>
    <xf numFmtId="9" fontId="1" fillId="0" borderId="0" applyFont="0" applyFill="0" applyBorder="0" applyAlignment="0" applyProtection="0"/>
    <xf numFmtId="0" fontId="1" fillId="0" borderId="0"/>
  </cellStyleXfs>
  <cellXfs count="3187">
    <xf numFmtId="0" fontId="0" fillId="0" borderId="0" xfId="0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2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4" xfId="0" applyFont="1" applyBorder="1"/>
    <xf numFmtId="0" fontId="3" fillId="0" borderId="2" xfId="0" applyFont="1" applyBorder="1"/>
    <xf numFmtId="0" fontId="8" fillId="2" borderId="4" xfId="0" applyFont="1" applyFill="1" applyBorder="1" applyProtection="1">
      <protection locked="0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71" fontId="8" fillId="2" borderId="4" xfId="4" applyNumberFormat="1" applyFont="1" applyFill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3" fillId="0" borderId="0" xfId="0" quotePrefix="1" applyFont="1"/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170" fontId="5" fillId="0" borderId="2" xfId="2" applyNumberFormat="1" applyFont="1" applyFill="1" applyBorder="1" applyAlignment="1">
      <alignment horizontal="center"/>
    </xf>
    <xf numFmtId="170" fontId="5" fillId="0" borderId="12" xfId="2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4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5" fillId="0" borderId="24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25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44" fontId="5" fillId="0" borderId="0" xfId="2" applyFont="1" applyBorder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170" fontId="3" fillId="0" borderId="27" xfId="2" applyNumberFormat="1" applyFont="1" applyFill="1" applyBorder="1" applyAlignment="1">
      <alignment horizontal="center"/>
    </xf>
    <xf numFmtId="0" fontId="5" fillId="0" borderId="9" xfId="0" applyFont="1" applyBorder="1"/>
    <xf numFmtId="0" fontId="3" fillId="0" borderId="10" xfId="0" applyFont="1" applyBorder="1"/>
    <xf numFmtId="15" fontId="2" fillId="0" borderId="10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3" fillId="0" borderId="21" xfId="0" applyFont="1" applyBorder="1"/>
    <xf numFmtId="0" fontId="2" fillId="0" borderId="0" xfId="0" quotePrefix="1" applyFont="1" applyAlignment="1">
      <alignment horizontal="left"/>
    </xf>
    <xf numFmtId="170" fontId="5" fillId="0" borderId="0" xfId="0" applyNumberFormat="1" applyFont="1"/>
    <xf numFmtId="0" fontId="5" fillId="0" borderId="4" xfId="0" applyFont="1" applyBorder="1"/>
    <xf numFmtId="0" fontId="5" fillId="0" borderId="10" xfId="0" applyFont="1" applyBorder="1"/>
    <xf numFmtId="0" fontId="5" fillId="0" borderId="2" xfId="0" applyFont="1" applyBorder="1"/>
    <xf numFmtId="0" fontId="5" fillId="0" borderId="37" xfId="0" applyFont="1" applyBorder="1"/>
    <xf numFmtId="2" fontId="3" fillId="0" borderId="0" xfId="1" applyNumberFormat="1" applyFont="1" applyProtection="1"/>
    <xf numFmtId="0" fontId="5" fillId="0" borderId="14" xfId="0" applyFont="1" applyBorder="1"/>
    <xf numFmtId="0" fontId="3" fillId="0" borderId="32" xfId="0" applyFont="1" applyBorder="1"/>
    <xf numFmtId="0" fontId="3" fillId="0" borderId="34" xfId="0" applyFont="1" applyBorder="1"/>
    <xf numFmtId="0" fontId="3" fillId="0" borderId="40" xfId="0" applyFont="1" applyBorder="1" applyAlignment="1">
      <alignment horizontal="left"/>
    </xf>
    <xf numFmtId="2" fontId="3" fillId="0" borderId="0" xfId="1" applyNumberFormat="1" applyFont="1" applyAlignment="1" applyProtection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43" xfId="0" applyNumberFormat="1" applyFont="1" applyBorder="1" applyAlignment="1">
      <alignment horizontal="left" textRotation="90" wrapText="1"/>
    </xf>
    <xf numFmtId="0" fontId="3" fillId="0" borderId="43" xfId="0" applyFont="1" applyBorder="1" applyAlignment="1">
      <alignment textRotation="90" wrapText="1"/>
    </xf>
    <xf numFmtId="164" fontId="3" fillId="0" borderId="0" xfId="0" applyNumberFormat="1" applyFont="1"/>
    <xf numFmtId="44" fontId="3" fillId="0" borderId="0" xfId="2" applyFont="1" applyBorder="1" applyProtection="1">
      <protection locked="0"/>
    </xf>
    <xf numFmtId="164" fontId="5" fillId="0" borderId="0" xfId="0" applyNumberFormat="1" applyFont="1"/>
    <xf numFmtId="41" fontId="5" fillId="0" borderId="16" xfId="0" applyNumberFormat="1" applyFont="1" applyBorder="1" applyAlignment="1">
      <alignment horizontal="center"/>
    </xf>
    <xf numFmtId="41" fontId="5" fillId="0" borderId="3" xfId="0" applyNumberFormat="1" applyFont="1" applyBorder="1" applyAlignment="1">
      <alignment horizontal="center"/>
    </xf>
    <xf numFmtId="0" fontId="5" fillId="0" borderId="30" xfId="0" applyFont="1" applyBorder="1"/>
    <xf numFmtId="0" fontId="5" fillId="0" borderId="0" xfId="0" applyFont="1" applyAlignment="1">
      <alignment horizontal="right"/>
    </xf>
    <xf numFmtId="0" fontId="5" fillId="0" borderId="21" xfId="0" applyFont="1" applyBorder="1"/>
    <xf numFmtId="0" fontId="5" fillId="0" borderId="45" xfId="0" applyFont="1" applyBorder="1"/>
    <xf numFmtId="0" fontId="5" fillId="0" borderId="2" xfId="0" applyFont="1" applyBorder="1" applyAlignment="1">
      <alignment horizontal="center"/>
    </xf>
    <xf numFmtId="0" fontId="8" fillId="0" borderId="0" xfId="0" applyFont="1"/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0" xfId="0" applyFont="1" applyBorder="1"/>
    <xf numFmtId="0" fontId="5" fillId="0" borderId="16" xfId="0" applyFont="1" applyBorder="1" applyAlignment="1">
      <alignment horizontal="center"/>
    </xf>
    <xf numFmtId="0" fontId="5" fillId="0" borderId="31" xfId="0" applyFont="1" applyBorder="1"/>
    <xf numFmtId="164" fontId="5" fillId="0" borderId="30" xfId="0" applyNumberFormat="1" applyFont="1" applyBorder="1"/>
    <xf numFmtId="0" fontId="8" fillId="0" borderId="30" xfId="0" applyFont="1" applyBorder="1"/>
    <xf numFmtId="168" fontId="8" fillId="0" borderId="31" xfId="0" applyNumberFormat="1" applyFont="1" applyBorder="1"/>
    <xf numFmtId="0" fontId="8" fillId="0" borderId="1" xfId="0" applyFont="1" applyBorder="1"/>
    <xf numFmtId="0" fontId="5" fillId="0" borderId="45" xfId="0" applyFont="1" applyBorder="1" applyAlignment="1">
      <alignment horizontal="center"/>
    </xf>
    <xf numFmtId="0" fontId="5" fillId="0" borderId="0" xfId="0" quotePrefix="1" applyFont="1"/>
    <xf numFmtId="1" fontId="5" fillId="0" borderId="0" xfId="0" applyNumberFormat="1" applyFont="1"/>
    <xf numFmtId="0" fontId="5" fillId="0" borderId="45" xfId="0" quotePrefix="1" applyFont="1" applyBorder="1"/>
    <xf numFmtId="0" fontId="5" fillId="0" borderId="4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53" xfId="0" applyFont="1" applyBorder="1"/>
    <xf numFmtId="0" fontId="5" fillId="0" borderId="54" xfId="0" applyFont="1" applyBorder="1"/>
    <xf numFmtId="0" fontId="5" fillId="0" borderId="45" xfId="0" applyFont="1" applyBorder="1" applyAlignment="1">
      <alignment horizontal="right"/>
    </xf>
    <xf numFmtId="0" fontId="5" fillId="0" borderId="2" xfId="0" quotePrefix="1" applyFont="1" applyBorder="1"/>
    <xf numFmtId="0" fontId="5" fillId="0" borderId="51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4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1" fontId="5" fillId="0" borderId="10" xfId="0" applyNumberFormat="1" applyFont="1" applyBorder="1" applyProtection="1">
      <protection locked="0"/>
    </xf>
    <xf numFmtId="164" fontId="5" fillId="0" borderId="10" xfId="0" quotePrefix="1" applyNumberFormat="1" applyFont="1" applyBorder="1"/>
    <xf numFmtId="0" fontId="5" fillId="0" borderId="51" xfId="0" applyFont="1" applyBorder="1"/>
    <xf numFmtId="0" fontId="5" fillId="0" borderId="39" xfId="0" quotePrefix="1" applyFont="1" applyBorder="1"/>
    <xf numFmtId="0" fontId="5" fillId="0" borderId="4" xfId="0" applyFont="1" applyBorder="1" applyAlignment="1">
      <alignment horizontal="left"/>
    </xf>
    <xf numFmtId="0" fontId="5" fillId="0" borderId="0" xfId="0" applyFont="1" applyProtection="1">
      <protection locked="0"/>
    </xf>
    <xf numFmtId="1" fontId="5" fillId="0" borderId="45" xfId="0" applyNumberFormat="1" applyFont="1" applyBorder="1"/>
    <xf numFmtId="0" fontId="5" fillId="0" borderId="56" xfId="0" quotePrefix="1" applyFont="1" applyBorder="1"/>
    <xf numFmtId="44" fontId="5" fillId="0" borderId="0" xfId="2" quotePrefix="1" applyFont="1" applyBorder="1"/>
    <xf numFmtId="0" fontId="5" fillId="0" borderId="16" xfId="0" quotePrefix="1" applyFont="1" applyBorder="1"/>
    <xf numFmtId="170" fontId="5" fillId="0" borderId="27" xfId="2" applyNumberFormat="1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166" fontId="5" fillId="0" borderId="0" xfId="0" applyNumberFormat="1" applyFont="1"/>
    <xf numFmtId="164" fontId="5" fillId="0" borderId="0" xfId="0" applyNumberFormat="1" applyFont="1" applyAlignment="1">
      <alignment horizontal="left"/>
    </xf>
    <xf numFmtId="0" fontId="5" fillId="0" borderId="10" xfId="0" quotePrefix="1" applyFont="1" applyBorder="1" applyAlignment="1">
      <alignment horizontal="left"/>
    </xf>
    <xf numFmtId="0" fontId="5" fillId="0" borderId="10" xfId="0" quotePrefix="1" applyFont="1" applyBorder="1"/>
    <xf numFmtId="170" fontId="5" fillId="0" borderId="2" xfId="0" applyNumberFormat="1" applyFont="1" applyBorder="1"/>
    <xf numFmtId="170" fontId="5" fillId="0" borderId="21" xfId="2" applyNumberFormat="1" applyFont="1" applyFill="1" applyBorder="1" applyAlignment="1">
      <alignment horizontal="center"/>
    </xf>
    <xf numFmtId="170" fontId="5" fillId="0" borderId="57" xfId="2" applyNumberFormat="1" applyFont="1" applyFill="1" applyBorder="1" applyAlignment="1">
      <alignment horizontal="center"/>
    </xf>
    <xf numFmtId="170" fontId="5" fillId="6" borderId="58" xfId="0" applyNumberFormat="1" applyFont="1" applyFill="1" applyBorder="1" applyAlignment="1">
      <alignment horizontal="center"/>
    </xf>
    <xf numFmtId="0" fontId="5" fillId="0" borderId="16" xfId="0" applyFont="1" applyBorder="1" applyAlignment="1" applyProtection="1">
      <alignment horizontal="center"/>
      <protection locked="0"/>
    </xf>
    <xf numFmtId="41" fontId="5" fillId="0" borderId="15" xfId="0" applyNumberFormat="1" applyFont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  <protection locked="0"/>
    </xf>
    <xf numFmtId="41" fontId="5" fillId="0" borderId="56" xfId="0" applyNumberFormat="1" applyFont="1" applyBorder="1" applyAlignment="1" applyProtection="1">
      <alignment horizontal="center"/>
      <protection locked="0"/>
    </xf>
    <xf numFmtId="41" fontId="5" fillId="0" borderId="16" xfId="0" applyNumberFormat="1" applyFont="1" applyBorder="1" applyAlignment="1" applyProtection="1">
      <alignment horizontal="center"/>
      <protection locked="0"/>
    </xf>
    <xf numFmtId="0" fontId="5" fillId="0" borderId="60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26" xfId="0" applyFont="1" applyBorder="1" applyAlignment="1" applyProtection="1">
      <alignment horizontal="center"/>
      <protection locked="0"/>
    </xf>
    <xf numFmtId="41" fontId="5" fillId="0" borderId="61" xfId="0" applyNumberFormat="1" applyFont="1" applyBorder="1" applyAlignment="1" applyProtection="1">
      <alignment horizontal="center"/>
      <protection locked="0"/>
    </xf>
    <xf numFmtId="0" fontId="8" fillId="0" borderId="30" xfId="0" applyFont="1" applyBorder="1" applyAlignment="1">
      <alignment horizontal="left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5" fillId="0" borderId="53" xfId="0" applyFont="1" applyBorder="1" applyAlignment="1">
      <alignment horizontal="left"/>
    </xf>
    <xf numFmtId="9" fontId="5" fillId="0" borderId="2" xfId="4" applyFont="1" applyFill="1" applyBorder="1" applyProtection="1">
      <protection locked="0"/>
    </xf>
    <xf numFmtId="168" fontId="5" fillId="0" borderId="2" xfId="1" applyNumberFormat="1" applyFont="1" applyBorder="1" applyAlignment="1">
      <alignment horizontal="center"/>
    </xf>
    <xf numFmtId="0" fontId="5" fillId="0" borderId="14" xfId="0" quotePrefix="1" applyFont="1" applyBorder="1"/>
    <xf numFmtId="0" fontId="3" fillId="0" borderId="14" xfId="0" applyFont="1" applyBorder="1" applyAlignment="1">
      <alignment horizontal="center"/>
    </xf>
    <xf numFmtId="0" fontId="5" fillId="0" borderId="21" xfId="0" applyFont="1" applyBorder="1" applyProtection="1">
      <protection locked="0"/>
    </xf>
    <xf numFmtId="0" fontId="5" fillId="0" borderId="16" xfId="0" applyFont="1" applyBorder="1" applyProtection="1">
      <protection locked="0"/>
    </xf>
    <xf numFmtId="0" fontId="5" fillId="0" borderId="56" xfId="0" applyFont="1" applyBorder="1" applyProtection="1">
      <protection locked="0"/>
    </xf>
    <xf numFmtId="168" fontId="5" fillId="0" borderId="12" xfId="0" applyNumberFormat="1" applyFont="1" applyBorder="1"/>
    <xf numFmtId="0" fontId="5" fillId="0" borderId="43" xfId="0" applyFont="1" applyBorder="1"/>
    <xf numFmtId="1" fontId="3" fillId="0" borderId="10" xfId="0" applyNumberFormat="1" applyFont="1" applyBorder="1" applyProtection="1">
      <protection locked="0"/>
    </xf>
    <xf numFmtId="164" fontId="3" fillId="0" borderId="10" xfId="0" quotePrefix="1" applyNumberFormat="1" applyFont="1" applyBorder="1"/>
    <xf numFmtId="0" fontId="3" fillId="0" borderId="51" xfId="0" applyFont="1" applyBorder="1"/>
    <xf numFmtId="0" fontId="3" fillId="0" borderId="39" xfId="0" quotePrefix="1" applyFont="1" applyBorder="1"/>
    <xf numFmtId="0" fontId="3" fillId="0" borderId="2" xfId="0" quotePrefix="1" applyFont="1" applyBorder="1"/>
    <xf numFmtId="0" fontId="3" fillId="0" borderId="0" xfId="0" applyFont="1" applyProtection="1">
      <protection locked="0"/>
    </xf>
    <xf numFmtId="0" fontId="3" fillId="0" borderId="56" xfId="0" quotePrefix="1" applyFont="1" applyBorder="1"/>
    <xf numFmtId="44" fontId="3" fillId="0" borderId="0" xfId="2" quotePrefix="1" applyFont="1" applyBorder="1"/>
    <xf numFmtId="0" fontId="5" fillId="0" borderId="43" xfId="0" applyFont="1" applyBorder="1" applyAlignment="1">
      <alignment horizontal="center"/>
    </xf>
    <xf numFmtId="44" fontId="5" fillId="0" borderId="1" xfId="0" applyNumberFormat="1" applyFont="1" applyBorder="1"/>
    <xf numFmtId="44" fontId="5" fillId="0" borderId="0" xfId="0" applyNumberFormat="1" applyFont="1"/>
    <xf numFmtId="44" fontId="5" fillId="0" borderId="21" xfId="2" applyFont="1" applyBorder="1"/>
    <xf numFmtId="0" fontId="8" fillId="0" borderId="4" xfId="0" applyFont="1" applyBorder="1"/>
    <xf numFmtId="1" fontId="5" fillId="0" borderId="2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12" xfId="0" applyFont="1" applyBorder="1"/>
    <xf numFmtId="164" fontId="5" fillId="0" borderId="2" xfId="0" applyNumberFormat="1" applyFont="1" applyBorder="1"/>
    <xf numFmtId="167" fontId="5" fillId="0" borderId="2" xfId="0" applyNumberFormat="1" applyFont="1" applyBorder="1"/>
    <xf numFmtId="44" fontId="5" fillId="0" borderId="4" xfId="0" applyNumberFormat="1" applyFont="1" applyBorder="1"/>
    <xf numFmtId="44" fontId="5" fillId="0" borderId="2" xfId="0" applyNumberFormat="1" applyFont="1" applyBorder="1"/>
    <xf numFmtId="0" fontId="8" fillId="0" borderId="43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5" fillId="3" borderId="0" xfId="0" applyFont="1" applyFill="1"/>
    <xf numFmtId="164" fontId="5" fillId="0" borderId="10" xfId="0" applyNumberFormat="1" applyFont="1" applyBorder="1"/>
    <xf numFmtId="0" fontId="5" fillId="0" borderId="39" xfId="0" applyFont="1" applyBorder="1"/>
    <xf numFmtId="0" fontId="5" fillId="0" borderId="67" xfId="0" quotePrefix="1" applyFont="1" applyBorder="1" applyAlignment="1">
      <alignment horizontal="left"/>
    </xf>
    <xf numFmtId="0" fontId="5" fillId="0" borderId="51" xfId="0" quotePrefix="1" applyFont="1" applyBorder="1"/>
    <xf numFmtId="44" fontId="5" fillId="0" borderId="0" xfId="2" applyFont="1" applyFill="1" applyBorder="1" applyAlignment="1" applyProtection="1">
      <alignment horizontal="center"/>
    </xf>
    <xf numFmtId="44" fontId="5" fillId="0" borderId="0" xfId="2" applyFont="1" applyFill="1" applyBorder="1" applyAlignment="1" applyProtection="1">
      <alignment horizontal="left"/>
    </xf>
    <xf numFmtId="0" fontId="5" fillId="0" borderId="5" xfId="0" applyFont="1" applyBorder="1" applyAlignment="1">
      <alignment horizontal="center"/>
    </xf>
    <xf numFmtId="166" fontId="3" fillId="0" borderId="0" xfId="0" applyNumberFormat="1" applyFont="1"/>
    <xf numFmtId="0" fontId="5" fillId="0" borderId="68" xfId="0" applyFont="1" applyBorder="1"/>
    <xf numFmtId="41" fontId="5" fillId="0" borderId="0" xfId="0" applyNumberFormat="1" applyFont="1" applyAlignment="1" applyProtection="1">
      <alignment horizontal="center"/>
      <protection locked="0"/>
    </xf>
    <xf numFmtId="41" fontId="5" fillId="0" borderId="17" xfId="0" applyNumberFormat="1" applyFont="1" applyBorder="1" applyAlignment="1" applyProtection="1">
      <alignment horizontal="center"/>
      <protection locked="0"/>
    </xf>
    <xf numFmtId="41" fontId="5" fillId="0" borderId="25" xfId="0" applyNumberFormat="1" applyFont="1" applyBorder="1" applyAlignment="1" applyProtection="1">
      <alignment horizontal="center"/>
      <protection locked="0"/>
    </xf>
    <xf numFmtId="41" fontId="5" fillId="0" borderId="18" xfId="0" applyNumberFormat="1" applyFont="1" applyBorder="1" applyAlignment="1" applyProtection="1">
      <alignment horizontal="center"/>
      <protection locked="0"/>
    </xf>
    <xf numFmtId="41" fontId="5" fillId="0" borderId="14" xfId="0" applyNumberFormat="1" applyFont="1" applyBorder="1" applyAlignment="1" applyProtection="1">
      <alignment horizontal="center"/>
      <protection locked="0"/>
    </xf>
    <xf numFmtId="41" fontId="5" fillId="0" borderId="3" xfId="0" applyNumberFormat="1" applyFont="1" applyBorder="1" applyAlignment="1" applyProtection="1">
      <alignment horizontal="center"/>
      <protection locked="0"/>
    </xf>
    <xf numFmtId="41" fontId="5" fillId="0" borderId="2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/>
    <xf numFmtId="41" fontId="5" fillId="0" borderId="0" xfId="2" applyNumberFormat="1" applyFont="1" applyBorder="1" applyAlignment="1" applyProtection="1">
      <alignment horizontal="center"/>
      <protection locked="0"/>
    </xf>
    <xf numFmtId="41" fontId="5" fillId="0" borderId="21" xfId="0" applyNumberFormat="1" applyFont="1" applyBorder="1" applyAlignment="1" applyProtection="1">
      <alignment horizontal="center"/>
      <protection locked="0"/>
    </xf>
    <xf numFmtId="43" fontId="5" fillId="0" borderId="0" xfId="0" applyNumberFormat="1" applyFont="1"/>
    <xf numFmtId="0" fontId="5" fillId="0" borderId="61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24" xfId="0" applyFont="1" applyBorder="1"/>
    <xf numFmtId="0" fontId="5" fillId="0" borderId="24" xfId="0" quotePrefix="1" applyFont="1" applyBorder="1"/>
    <xf numFmtId="0" fontId="5" fillId="0" borderId="24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" fontId="5" fillId="0" borderId="0" xfId="0" applyNumberFormat="1" applyFont="1" applyProtection="1">
      <protection locked="0"/>
    </xf>
    <xf numFmtId="44" fontId="5" fillId="0" borderId="0" xfId="2" applyFont="1" applyBorder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41" fontId="5" fillId="0" borderId="0" xfId="0" applyNumberFormat="1" applyFont="1" applyProtection="1">
      <protection locked="0"/>
    </xf>
    <xf numFmtId="0" fontId="5" fillId="0" borderId="53" xfId="0" applyFont="1" applyBorder="1" applyProtection="1">
      <protection locked="0"/>
    </xf>
    <xf numFmtId="0" fontId="5" fillId="0" borderId="45" xfId="0" applyFont="1" applyBorder="1" applyProtection="1">
      <protection locked="0"/>
    </xf>
    <xf numFmtId="1" fontId="5" fillId="0" borderId="45" xfId="0" applyNumberFormat="1" applyFont="1" applyBorder="1" applyProtection="1">
      <protection locked="0"/>
    </xf>
    <xf numFmtId="44" fontId="5" fillId="0" borderId="45" xfId="2" applyFont="1" applyBorder="1" applyProtection="1">
      <protection locked="0"/>
    </xf>
    <xf numFmtId="170" fontId="5" fillId="0" borderId="45" xfId="2" applyNumberFormat="1" applyFont="1" applyBorder="1" applyProtection="1">
      <protection locked="0"/>
    </xf>
    <xf numFmtId="0" fontId="5" fillId="0" borderId="4" xfId="0" applyFont="1" applyBorder="1" applyProtection="1">
      <protection locked="0"/>
    </xf>
    <xf numFmtId="0" fontId="5" fillId="0" borderId="16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71" xfId="0" applyFont="1" applyBorder="1" applyAlignment="1" applyProtection="1">
      <alignment horizontal="center"/>
      <protection locked="0"/>
    </xf>
    <xf numFmtId="41" fontId="5" fillId="0" borderId="72" xfId="0" applyNumberFormat="1" applyFont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left"/>
      <protection locked="0"/>
    </xf>
    <xf numFmtId="0" fontId="5" fillId="0" borderId="14" xfId="0" applyFont="1" applyBorder="1" applyAlignment="1" applyProtection="1">
      <alignment horizontal="left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/>
      <protection locked="0"/>
    </xf>
    <xf numFmtId="41" fontId="5" fillId="0" borderId="48" xfId="0" applyNumberFormat="1" applyFont="1" applyBorder="1" applyAlignment="1" applyProtection="1">
      <alignment horizontal="center"/>
      <protection locked="0"/>
    </xf>
    <xf numFmtId="0" fontId="5" fillId="0" borderId="49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left"/>
      <protection locked="0"/>
    </xf>
    <xf numFmtId="43" fontId="5" fillId="0" borderId="18" xfId="0" applyNumberFormat="1" applyFont="1" applyBorder="1" applyAlignment="1" applyProtection="1">
      <alignment horizontal="center"/>
      <protection locked="0"/>
    </xf>
    <xf numFmtId="43" fontId="5" fillId="0" borderId="16" xfId="0" applyNumberFormat="1" applyFont="1" applyBorder="1" applyAlignment="1" applyProtection="1">
      <alignment horizontal="center"/>
      <protection locked="0"/>
    </xf>
    <xf numFmtId="43" fontId="5" fillId="0" borderId="17" xfId="0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center"/>
      <protection locked="0"/>
    </xf>
    <xf numFmtId="41" fontId="5" fillId="0" borderId="12" xfId="0" applyNumberFormat="1" applyFont="1" applyBorder="1" applyAlignment="1" applyProtection="1">
      <alignment horizontal="center"/>
      <protection locked="0"/>
    </xf>
    <xf numFmtId="41" fontId="5" fillId="0" borderId="74" xfId="0" applyNumberFormat="1" applyFont="1" applyBorder="1" applyAlignment="1" applyProtection="1">
      <alignment horizontal="center"/>
      <protection locked="0"/>
    </xf>
    <xf numFmtId="170" fontId="3" fillId="0" borderId="21" xfId="2" applyNumberFormat="1" applyFont="1" applyFill="1" applyBorder="1" applyAlignment="1">
      <alignment horizontal="center"/>
    </xf>
    <xf numFmtId="0" fontId="3" fillId="0" borderId="14" xfId="0" quotePrefix="1" applyFont="1" applyBorder="1"/>
    <xf numFmtId="170" fontId="3" fillId="0" borderId="57" xfId="2" applyNumberFormat="1" applyFont="1" applyFill="1" applyBorder="1" applyAlignment="1">
      <alignment horizontal="center"/>
    </xf>
    <xf numFmtId="170" fontId="3" fillId="0" borderId="12" xfId="2" applyNumberFormat="1" applyFont="1" applyFill="1" applyBorder="1" applyAlignment="1">
      <alignment horizontal="center"/>
    </xf>
    <xf numFmtId="170" fontId="3" fillId="6" borderId="75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5" fillId="0" borderId="61" xfId="0" applyFont="1" applyBorder="1" applyAlignment="1" applyProtection="1">
      <alignment horizontal="center"/>
      <protection locked="0"/>
    </xf>
    <xf numFmtId="168" fontId="5" fillId="0" borderId="0" xfId="1" applyNumberFormat="1" applyFont="1" applyBorder="1" applyAlignment="1">
      <alignment horizontal="center"/>
    </xf>
    <xf numFmtId="166" fontId="5" fillId="0" borderId="2" xfId="0" applyNumberFormat="1" applyFont="1" applyBorder="1"/>
    <xf numFmtId="41" fontId="5" fillId="0" borderId="1" xfId="0" applyNumberFormat="1" applyFont="1" applyBorder="1" applyAlignment="1" applyProtection="1">
      <alignment horizontal="center"/>
      <protection locked="0"/>
    </xf>
    <xf numFmtId="41" fontId="5" fillId="0" borderId="4" xfId="0" applyNumberFormat="1" applyFont="1" applyBorder="1" applyAlignment="1" applyProtection="1">
      <alignment horizontal="center"/>
      <protection locked="0"/>
    </xf>
    <xf numFmtId="44" fontId="5" fillId="0" borderId="75" xfId="2" applyFont="1" applyBorder="1" applyAlignment="1">
      <alignment horizontal="left"/>
    </xf>
    <xf numFmtId="44" fontId="5" fillId="0" borderId="75" xfId="2" applyFont="1" applyBorder="1"/>
    <xf numFmtId="0" fontId="5" fillId="0" borderId="29" xfId="0" applyFont="1" applyBorder="1"/>
    <xf numFmtId="5" fontId="5" fillId="0" borderId="0" xfId="0" applyNumberFormat="1" applyFont="1"/>
    <xf numFmtId="5" fontId="5" fillId="0" borderId="0" xfId="2" applyNumberFormat="1" applyFont="1" applyBorder="1"/>
    <xf numFmtId="9" fontId="5" fillId="0" borderId="0" xfId="4" applyFont="1"/>
    <xf numFmtId="44" fontId="5" fillId="0" borderId="2" xfId="2" applyFont="1" applyBorder="1"/>
    <xf numFmtId="5" fontId="5" fillId="0" borderId="2" xfId="0" applyNumberFormat="1" applyFont="1" applyBorder="1"/>
    <xf numFmtId="168" fontId="5" fillId="0" borderId="0" xfId="1" applyNumberFormat="1" applyFont="1" applyBorder="1"/>
    <xf numFmtId="168" fontId="5" fillId="0" borderId="21" xfId="0" applyNumberFormat="1" applyFont="1" applyBorder="1"/>
    <xf numFmtId="0" fontId="5" fillId="0" borderId="55" xfId="0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2" xfId="0" applyBorder="1"/>
    <xf numFmtId="44" fontId="5" fillId="0" borderId="2" xfId="2" quotePrefix="1" applyFont="1" applyBorder="1"/>
    <xf numFmtId="0" fontId="5" fillId="0" borderId="9" xfId="0" applyFont="1" applyBorder="1" applyProtection="1">
      <protection locked="0"/>
    </xf>
    <xf numFmtId="0" fontId="5" fillId="0" borderId="55" xfId="0" applyFont="1" applyBorder="1" applyAlignment="1">
      <alignment horizontal="center"/>
    </xf>
    <xf numFmtId="170" fontId="3" fillId="0" borderId="0" xfId="0" applyNumberFormat="1" applyFont="1"/>
    <xf numFmtId="170" fontId="3" fillId="0" borderId="2" xfId="0" applyNumberFormat="1" applyFont="1" applyBorder="1"/>
    <xf numFmtId="170" fontId="5" fillId="0" borderId="3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5" fillId="0" borderId="0" xfId="1" applyNumberFormat="1" applyFont="1" applyFill="1" applyBorder="1"/>
    <xf numFmtId="5" fontId="5" fillId="0" borderId="0" xfId="2" applyNumberFormat="1" applyFont="1" applyFill="1" applyBorder="1"/>
    <xf numFmtId="168" fontId="5" fillId="0" borderId="2" xfId="1" applyNumberFormat="1" applyFont="1" applyFill="1" applyBorder="1"/>
    <xf numFmtId="7" fontId="5" fillId="0" borderId="2" xfId="0" applyNumberFormat="1" applyFont="1" applyBorder="1"/>
    <xf numFmtId="5" fontId="5" fillId="0" borderId="2" xfId="2" applyNumberFormat="1" applyFont="1" applyFill="1" applyBorder="1"/>
    <xf numFmtId="170" fontId="0" fillId="0" borderId="0" xfId="0" applyNumberFormat="1"/>
    <xf numFmtId="0" fontId="0" fillId="0" borderId="45" xfId="0" applyBorder="1"/>
    <xf numFmtId="43" fontId="0" fillId="0" borderId="0" xfId="0" applyNumberFormat="1"/>
    <xf numFmtId="0" fontId="5" fillId="0" borderId="56" xfId="0" applyFont="1" applyBorder="1" applyAlignment="1" applyProtection="1">
      <alignment horizontal="center"/>
      <protection locked="0"/>
    </xf>
    <xf numFmtId="0" fontId="5" fillId="0" borderId="0" xfId="2" applyNumberFormat="1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44" fontId="5" fillId="2" borderId="4" xfId="2" applyFont="1" applyFill="1" applyBorder="1" applyAlignment="1" applyProtection="1">
      <alignment horizontal="center"/>
      <protection locked="0"/>
    </xf>
    <xf numFmtId="44" fontId="5" fillId="2" borderId="2" xfId="2" applyFont="1" applyFill="1" applyBorder="1" applyAlignment="1" applyProtection="1">
      <alignment horizontal="center"/>
      <protection locked="0"/>
    </xf>
    <xf numFmtId="44" fontId="5" fillId="2" borderId="12" xfId="2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center"/>
      <protection locked="0"/>
    </xf>
    <xf numFmtId="0" fontId="8" fillId="2" borderId="11" xfId="0" applyFont="1" applyFill="1" applyBorder="1" applyAlignment="1" applyProtection="1">
      <alignment horizontal="center"/>
      <protection locked="0"/>
    </xf>
    <xf numFmtId="170" fontId="5" fillId="2" borderId="2" xfId="2" applyNumberFormat="1" applyFont="1" applyFill="1" applyBorder="1" applyAlignment="1" applyProtection="1">
      <alignment horizontal="center"/>
    </xf>
    <xf numFmtId="170" fontId="5" fillId="2" borderId="12" xfId="2" applyNumberFormat="1" applyFont="1" applyFill="1" applyBorder="1" applyAlignment="1" applyProtection="1">
      <alignment horizontal="center"/>
    </xf>
    <xf numFmtId="0" fontId="5" fillId="0" borderId="4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164" fontId="2" fillId="5" borderId="10" xfId="0" applyNumberFormat="1" applyFont="1" applyFill="1" applyBorder="1"/>
    <xf numFmtId="41" fontId="5" fillId="0" borderId="21" xfId="0" applyNumberFormat="1" applyFont="1" applyBorder="1" applyAlignment="1" applyProtection="1">
      <alignment horizontal="right"/>
      <protection locked="0"/>
    </xf>
    <xf numFmtId="41" fontId="5" fillId="0" borderId="72" xfId="0" applyNumberFormat="1" applyFont="1" applyBorder="1" applyAlignment="1" applyProtection="1">
      <alignment horizontal="right"/>
      <protection locked="0"/>
    </xf>
    <xf numFmtId="41" fontId="5" fillId="0" borderId="48" xfId="0" applyNumberFormat="1" applyFont="1" applyBorder="1" applyAlignment="1" applyProtection="1">
      <alignment horizontal="right"/>
      <protection locked="0"/>
    </xf>
    <xf numFmtId="41" fontId="5" fillId="0" borderId="12" xfId="0" applyNumberFormat="1" applyFont="1" applyBorder="1" applyAlignment="1" applyProtection="1">
      <alignment horizontal="right"/>
      <protection locked="0"/>
    </xf>
    <xf numFmtId="170" fontId="5" fillId="0" borderId="21" xfId="2" applyNumberFormat="1" applyFont="1" applyBorder="1"/>
    <xf numFmtId="0" fontId="5" fillId="0" borderId="51" xfId="1" applyNumberFormat="1" applyFont="1" applyFill="1" applyBorder="1" applyAlignment="1" applyProtection="1">
      <alignment horizontal="center"/>
      <protection locked="0"/>
    </xf>
    <xf numFmtId="0" fontId="5" fillId="0" borderId="60" xfId="1" applyNumberFormat="1" applyFont="1" applyFill="1" applyBorder="1" applyAlignment="1" applyProtection="1">
      <alignment horizontal="center"/>
      <protection locked="0"/>
    </xf>
    <xf numFmtId="0" fontId="5" fillId="0" borderId="26" xfId="1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>
      <alignment horizontal="right"/>
    </xf>
    <xf numFmtId="1" fontId="5" fillId="0" borderId="20" xfId="0" applyNumberFormat="1" applyFont="1" applyBorder="1"/>
    <xf numFmtId="0" fontId="5" fillId="0" borderId="3" xfId="0" applyFont="1" applyBorder="1"/>
    <xf numFmtId="0" fontId="0" fillId="0" borderId="1" xfId="0" applyBorder="1"/>
    <xf numFmtId="41" fontId="0" fillId="0" borderId="0" xfId="0" applyNumberFormat="1"/>
    <xf numFmtId="0" fontId="5" fillId="0" borderId="70" xfId="0" applyFont="1" applyBorder="1"/>
    <xf numFmtId="0" fontId="0" fillId="0" borderId="14" xfId="0" applyBorder="1"/>
    <xf numFmtId="0" fontId="0" fillId="4" borderId="0" xfId="0" applyFill="1"/>
    <xf numFmtId="44" fontId="0" fillId="4" borderId="0" xfId="0" applyNumberFormat="1" applyFill="1"/>
    <xf numFmtId="43" fontId="0" fillId="4" borderId="0" xfId="0" applyNumberFormat="1" applyFill="1"/>
    <xf numFmtId="170" fontId="0" fillId="4" borderId="0" xfId="0" applyNumberFormat="1" applyFill="1"/>
    <xf numFmtId="170" fontId="5" fillId="2" borderId="0" xfId="2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0" fillId="2" borderId="0" xfId="0" applyFill="1"/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left"/>
    </xf>
    <xf numFmtId="166" fontId="5" fillId="2" borderId="0" xfId="0" applyNumberFormat="1" applyFont="1" applyFill="1"/>
    <xf numFmtId="170" fontId="5" fillId="2" borderId="0" xfId="0" applyNumberFormat="1" applyFont="1" applyFill="1"/>
    <xf numFmtId="168" fontId="5" fillId="2" borderId="0" xfId="0" applyNumberFormat="1" applyFont="1" applyFill="1"/>
    <xf numFmtId="41" fontId="5" fillId="2" borderId="56" xfId="0" applyNumberFormat="1" applyFont="1" applyFill="1" applyBorder="1" applyAlignment="1">
      <alignment horizontal="center"/>
    </xf>
    <xf numFmtId="0" fontId="5" fillId="2" borderId="2" xfId="0" applyFont="1" applyFill="1" applyBorder="1"/>
    <xf numFmtId="0" fontId="5" fillId="0" borderId="2" xfId="0" applyFont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0" xfId="0" applyFont="1" applyFill="1" applyBorder="1"/>
    <xf numFmtId="0" fontId="5" fillId="2" borderId="21" xfId="0" applyFont="1" applyFill="1" applyBorder="1"/>
    <xf numFmtId="0" fontId="5" fillId="2" borderId="30" xfId="0" applyFont="1" applyFill="1" applyBorder="1"/>
    <xf numFmtId="0" fontId="5" fillId="2" borderId="0" xfId="0" applyFont="1" applyFill="1" applyAlignment="1">
      <alignment horizontal="right"/>
    </xf>
    <xf numFmtId="0" fontId="5" fillId="2" borderId="1" xfId="0" applyFont="1" applyFill="1" applyBorder="1"/>
    <xf numFmtId="0" fontId="5" fillId="2" borderId="4" xfId="0" applyFont="1" applyFill="1" applyBorder="1"/>
    <xf numFmtId="0" fontId="5" fillId="2" borderId="2" xfId="0" quotePrefix="1" applyFont="1" applyFill="1" applyBorder="1"/>
    <xf numFmtId="0" fontId="5" fillId="2" borderId="2" xfId="0" applyFont="1" applyFill="1" applyBorder="1" applyAlignment="1">
      <alignment horizontal="center"/>
    </xf>
    <xf numFmtId="9" fontId="5" fillId="2" borderId="2" xfId="4" applyFont="1" applyFill="1" applyBorder="1" applyProtection="1">
      <protection locked="0"/>
    </xf>
    <xf numFmtId="168" fontId="5" fillId="2" borderId="2" xfId="1" applyNumberFormat="1" applyFont="1" applyFill="1" applyBorder="1" applyAlignment="1">
      <alignment horizontal="center"/>
    </xf>
    <xf numFmtId="170" fontId="5" fillId="2" borderId="2" xfId="2" applyNumberFormat="1" applyFont="1" applyFill="1" applyBorder="1" applyAlignment="1">
      <alignment horizontal="center"/>
    </xf>
    <xf numFmtId="170" fontId="5" fillId="2" borderId="12" xfId="2" applyNumberFormat="1" applyFont="1" applyFill="1" applyBorder="1" applyAlignment="1">
      <alignment horizontal="center"/>
    </xf>
    <xf numFmtId="0" fontId="8" fillId="2" borderId="0" xfId="0" applyFont="1" applyFill="1"/>
    <xf numFmtId="1" fontId="5" fillId="2" borderId="10" xfId="0" applyNumberFormat="1" applyFont="1" applyFill="1" applyBorder="1"/>
    <xf numFmtId="1" fontId="5" fillId="2" borderId="85" xfId="0" applyNumberFormat="1" applyFont="1" applyFill="1" applyBorder="1"/>
    <xf numFmtId="166" fontId="5" fillId="2" borderId="2" xfId="0" applyNumberFormat="1" applyFont="1" applyFill="1" applyBorder="1"/>
    <xf numFmtId="0" fontId="5" fillId="2" borderId="12" xfId="0" applyFont="1" applyFill="1" applyBorder="1"/>
    <xf numFmtId="0" fontId="3" fillId="2" borderId="0" xfId="0" applyFont="1" applyFill="1"/>
    <xf numFmtId="1" fontId="5" fillId="2" borderId="11" xfId="0" applyNumberFormat="1" applyFont="1" applyFill="1" applyBorder="1"/>
    <xf numFmtId="0" fontId="5" fillId="2" borderId="0" xfId="0" applyFont="1" applyFill="1" applyProtection="1">
      <protection locked="0"/>
    </xf>
    <xf numFmtId="0" fontId="5" fillId="0" borderId="50" xfId="0" applyFont="1" applyBorder="1" applyAlignment="1">
      <alignment horizontal="right"/>
    </xf>
    <xf numFmtId="0" fontId="0" fillId="2" borderId="2" xfId="0" applyFill="1" applyBorder="1"/>
    <xf numFmtId="167" fontId="5" fillId="2" borderId="2" xfId="0" applyNumberFormat="1" applyFont="1" applyFill="1" applyBorder="1"/>
    <xf numFmtId="0" fontId="5" fillId="2" borderId="54" xfId="0" applyFont="1" applyFill="1" applyBorder="1"/>
    <xf numFmtId="0" fontId="5" fillId="0" borderId="52" xfId="0" applyFont="1" applyBorder="1" applyAlignment="1" applyProtection="1">
      <alignment horizontal="center"/>
      <protection locked="0"/>
    </xf>
    <xf numFmtId="0" fontId="5" fillId="0" borderId="86" xfId="0" applyFont="1" applyBorder="1" applyAlignment="1">
      <alignment horizontal="center"/>
    </xf>
    <xf numFmtId="1" fontId="5" fillId="4" borderId="0" xfId="0" applyNumberFormat="1" applyFont="1" applyFill="1"/>
    <xf numFmtId="167" fontId="5" fillId="2" borderId="0" xfId="0" applyNumberFormat="1" applyFont="1" applyFill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/>
    <xf numFmtId="0" fontId="5" fillId="2" borderId="61" xfId="0" applyFont="1" applyFill="1" applyBorder="1"/>
    <xf numFmtId="0" fontId="5" fillId="2" borderId="56" xfId="0" applyFont="1" applyFill="1" applyBorder="1"/>
    <xf numFmtId="170" fontId="13" fillId="2" borderId="0" xfId="0" applyNumberFormat="1" applyFont="1" applyFill="1" applyAlignment="1">
      <alignment horizontal="center"/>
    </xf>
    <xf numFmtId="43" fontId="5" fillId="2" borderId="0" xfId="0" applyNumberFormat="1" applyFont="1" applyFill="1"/>
    <xf numFmtId="170" fontId="0" fillId="2" borderId="0" xfId="0" applyNumberFormat="1" applyFill="1"/>
    <xf numFmtId="44" fontId="5" fillId="2" borderId="0" xfId="0" applyNumberFormat="1" applyFont="1" applyFill="1"/>
    <xf numFmtId="1" fontId="5" fillId="2" borderId="0" xfId="0" applyNumberFormat="1" applyFont="1" applyFill="1"/>
    <xf numFmtId="0" fontId="2" fillId="2" borderId="0" xfId="0" applyFont="1" applyFill="1"/>
    <xf numFmtId="1" fontId="3" fillId="2" borderId="0" xfId="0" applyNumberFormat="1" applyFont="1" applyFill="1"/>
    <xf numFmtId="0" fontId="3" fillId="2" borderId="0" xfId="0" applyFont="1" applyFill="1" applyAlignment="1">
      <alignment horizontal="left"/>
    </xf>
    <xf numFmtId="170" fontId="3" fillId="2" borderId="0" xfId="2" applyNumberFormat="1" applyFont="1" applyFill="1"/>
    <xf numFmtId="0" fontId="7" fillId="2" borderId="0" xfId="0" applyFont="1" applyFill="1" applyAlignment="1">
      <alignment horizontal="center"/>
    </xf>
    <xf numFmtId="0" fontId="3" fillId="2" borderId="21" xfId="0" applyFont="1" applyFill="1" applyBorder="1"/>
    <xf numFmtId="0" fontId="3" fillId="2" borderId="10" xfId="0" applyFont="1" applyFill="1" applyBorder="1"/>
    <xf numFmtId="0" fontId="7" fillId="2" borderId="2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3" fillId="2" borderId="11" xfId="0" applyFont="1" applyFill="1" applyBorder="1"/>
    <xf numFmtId="0" fontId="2" fillId="2" borderId="0" xfId="0" quotePrefix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3" fillId="0" borderId="81" xfId="0" quotePrefix="1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7" fillId="0" borderId="81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Protection="1">
      <protection locked="0"/>
    </xf>
    <xf numFmtId="0" fontId="19" fillId="0" borderId="0" xfId="0" applyFont="1" applyAlignment="1">
      <alignment horizontal="right"/>
    </xf>
    <xf numFmtId="1" fontId="5" fillId="0" borderId="16" xfId="0" applyNumberFormat="1" applyFont="1" applyBorder="1" applyAlignment="1" applyProtection="1">
      <alignment horizontal="right"/>
      <protection locked="0"/>
    </xf>
    <xf numFmtId="1" fontId="5" fillId="0" borderId="18" xfId="0" applyNumberFormat="1" applyFont="1" applyBorder="1" applyAlignment="1" applyProtection="1">
      <alignment horizontal="right"/>
      <protection locked="0"/>
    </xf>
    <xf numFmtId="1" fontId="5" fillId="0" borderId="17" xfId="0" applyNumberFormat="1" applyFont="1" applyBorder="1" applyAlignment="1" applyProtection="1">
      <alignment horizontal="right"/>
      <protection locked="0"/>
    </xf>
    <xf numFmtId="1" fontId="5" fillId="0" borderId="3" xfId="0" applyNumberFormat="1" applyFont="1" applyBorder="1" applyAlignment="1" applyProtection="1">
      <alignment horizontal="right"/>
      <protection locked="0"/>
    </xf>
    <xf numFmtId="2" fontId="3" fillId="2" borderId="0" xfId="1" applyNumberFormat="1" applyFont="1" applyFill="1" applyProtection="1"/>
    <xf numFmtId="2" fontId="3" fillId="2" borderId="0" xfId="1" applyNumberFormat="1" applyFont="1" applyFill="1" applyAlignment="1" applyProtection="1">
      <alignment horizontal="left"/>
    </xf>
    <xf numFmtId="41" fontId="5" fillId="2" borderId="0" xfId="0" applyNumberFormat="1" applyFont="1" applyFill="1" applyAlignment="1">
      <alignment horizontal="center"/>
    </xf>
    <xf numFmtId="1" fontId="11" fillId="0" borderId="16" xfId="0" applyNumberFormat="1" applyFont="1" applyBorder="1" applyAlignment="1" applyProtection="1">
      <alignment horizontal="right"/>
      <protection locked="0"/>
    </xf>
    <xf numFmtId="0" fontId="3" fillId="0" borderId="57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41" fontId="11" fillId="0" borderId="0" xfId="0" applyNumberFormat="1" applyFont="1" applyAlignment="1" applyProtection="1">
      <alignment horizontal="center"/>
      <protection locked="0"/>
    </xf>
    <xf numFmtId="44" fontId="5" fillId="0" borderId="0" xfId="2" applyFont="1" applyFill="1" applyBorder="1" applyAlignment="1">
      <alignment horizontal="center" vertical="center"/>
    </xf>
    <xf numFmtId="44" fontId="0" fillId="0" borderId="0" xfId="0" applyNumberFormat="1"/>
    <xf numFmtId="0" fontId="0" fillId="0" borderId="0" xfId="0" quotePrefix="1"/>
    <xf numFmtId="0" fontId="0" fillId="0" borderId="25" xfId="0" applyBorder="1"/>
    <xf numFmtId="0" fontId="20" fillId="2" borderId="0" xfId="0" applyFont="1" applyFill="1"/>
    <xf numFmtId="2" fontId="21" fillId="2" borderId="0" xfId="1" applyNumberFormat="1" applyFont="1" applyFill="1" applyProtection="1"/>
    <xf numFmtId="0" fontId="5" fillId="0" borderId="0" xfId="0" applyFont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/>
      <protection locked="0"/>
    </xf>
    <xf numFmtId="0" fontId="5" fillId="0" borderId="67" xfId="0" applyFont="1" applyBorder="1" applyAlignment="1" applyProtection="1">
      <alignment horizontal="left"/>
      <protection locked="0"/>
    </xf>
    <xf numFmtId="0" fontId="8" fillId="0" borderId="51" xfId="0" applyFont="1" applyBorder="1" applyAlignment="1" applyProtection="1">
      <alignment horizontal="center"/>
      <protection locked="0"/>
    </xf>
    <xf numFmtId="168" fontId="5" fillId="0" borderId="20" xfId="1" applyNumberFormat="1" applyFont="1" applyBorder="1" applyProtection="1">
      <protection locked="0"/>
    </xf>
    <xf numFmtId="0" fontId="5" fillId="0" borderId="40" xfId="0" applyFont="1" applyBorder="1" applyProtection="1">
      <protection locked="0"/>
    </xf>
    <xf numFmtId="0" fontId="8" fillId="0" borderId="5" xfId="0" applyFont="1" applyBorder="1" applyAlignment="1" applyProtection="1">
      <alignment horizontal="center"/>
      <protection locked="0"/>
    </xf>
    <xf numFmtId="168" fontId="5" fillId="0" borderId="90" xfId="1" applyNumberFormat="1" applyFont="1" applyBorder="1" applyProtection="1">
      <protection locked="0"/>
    </xf>
    <xf numFmtId="0" fontId="5" fillId="0" borderId="91" xfId="0" applyFont="1" applyBorder="1" applyProtection="1">
      <protection locked="0"/>
    </xf>
    <xf numFmtId="0" fontId="8" fillId="0" borderId="41" xfId="0" applyFont="1" applyBorder="1" applyAlignment="1" applyProtection="1">
      <alignment horizontal="center"/>
      <protection locked="0"/>
    </xf>
    <xf numFmtId="168" fontId="5" fillId="0" borderId="84" xfId="1" applyNumberFormat="1" applyFont="1" applyBorder="1" applyProtection="1">
      <protection locked="0"/>
    </xf>
    <xf numFmtId="0" fontId="5" fillId="0" borderId="0" xfId="0" quotePrefix="1" applyFont="1" applyProtection="1">
      <protection locked="0"/>
    </xf>
    <xf numFmtId="0" fontId="8" fillId="0" borderId="0" xfId="0" applyFont="1" applyProtection="1">
      <protection locked="0"/>
    </xf>
    <xf numFmtId="0" fontId="8" fillId="2" borderId="4" xfId="0" applyFont="1" applyFill="1" applyBorder="1"/>
    <xf numFmtId="0" fontId="5" fillId="3" borderId="26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1" fontId="3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quotePrefix="1" applyFont="1" applyProtection="1">
      <protection locked="0"/>
    </xf>
    <xf numFmtId="0" fontId="3" fillId="0" borderId="53" xfId="0" applyFont="1" applyBorder="1" applyProtection="1">
      <protection locked="0"/>
    </xf>
    <xf numFmtId="0" fontId="3" fillId="0" borderId="45" xfId="0" applyFont="1" applyBorder="1" applyProtection="1">
      <protection locked="0"/>
    </xf>
    <xf numFmtId="44" fontId="3" fillId="0" borderId="45" xfId="2" applyFont="1" applyBorder="1" applyProtection="1">
      <protection locked="0"/>
    </xf>
    <xf numFmtId="168" fontId="3" fillId="0" borderId="0" xfId="0" applyNumberFormat="1" applyFont="1" applyProtection="1">
      <protection locked="0"/>
    </xf>
    <xf numFmtId="41" fontId="3" fillId="0" borderId="0" xfId="0" applyNumberFormat="1" applyFont="1" applyProtection="1">
      <protection locked="0"/>
    </xf>
    <xf numFmtId="170" fontId="3" fillId="0" borderId="45" xfId="2" applyNumberFormat="1" applyFont="1" applyBorder="1" applyProtection="1">
      <protection locked="0"/>
    </xf>
    <xf numFmtId="0" fontId="3" fillId="0" borderId="45" xfId="0" quotePrefix="1" applyFont="1" applyBorder="1" applyProtection="1">
      <protection locked="0"/>
    </xf>
    <xf numFmtId="168" fontId="5" fillId="0" borderId="48" xfId="1" applyNumberFormat="1" applyFont="1" applyBorder="1" applyProtection="1">
      <protection locked="0"/>
    </xf>
    <xf numFmtId="168" fontId="5" fillId="0" borderId="72" xfId="1" applyNumberFormat="1" applyFont="1" applyBorder="1" applyProtection="1">
      <protection locked="0"/>
    </xf>
    <xf numFmtId="168" fontId="5" fillId="0" borderId="12" xfId="1" applyNumberFormat="1" applyFont="1" applyBorder="1" applyProtection="1">
      <protection locked="0"/>
    </xf>
    <xf numFmtId="0" fontId="5" fillId="0" borderId="10" xfId="0" quotePrefix="1" applyFont="1" applyBorder="1" applyProtection="1">
      <protection locked="0"/>
    </xf>
    <xf numFmtId="0" fontId="5" fillId="0" borderId="14" xfId="0" quotePrefix="1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5" fillId="0" borderId="2" xfId="0" quotePrefix="1" applyFont="1" applyBorder="1" applyProtection="1">
      <protection locked="0"/>
    </xf>
    <xf numFmtId="0" fontId="5" fillId="0" borderId="10" xfId="0" quotePrefix="1" applyFont="1" applyBorder="1" applyAlignment="1" applyProtection="1">
      <alignment horizontal="left"/>
      <protection locked="0"/>
    </xf>
    <xf numFmtId="0" fontId="5" fillId="0" borderId="56" xfId="0" quotePrefix="1" applyFont="1" applyBorder="1" applyProtection="1">
      <protection locked="0"/>
    </xf>
    <xf numFmtId="44" fontId="5" fillId="0" borderId="0" xfId="2" quotePrefix="1" applyFont="1" applyBorder="1" applyProtection="1">
      <protection locked="0"/>
    </xf>
    <xf numFmtId="0" fontId="5" fillId="0" borderId="45" xfId="0" quotePrefix="1" applyFont="1" applyBorder="1" applyProtection="1">
      <protection locked="0"/>
    </xf>
    <xf numFmtId="0" fontId="5" fillId="0" borderId="15" xfId="0" applyFont="1" applyBorder="1" applyProtection="1">
      <protection locked="0"/>
    </xf>
    <xf numFmtId="41" fontId="5" fillId="0" borderId="56" xfId="2" applyNumberFormat="1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Protection="1">
      <protection locked="0"/>
    </xf>
    <xf numFmtId="43" fontId="5" fillId="0" borderId="0" xfId="0" applyNumberFormat="1" applyFont="1" applyProtection="1"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10" xfId="0" applyFont="1" applyBorder="1" applyProtection="1">
      <protection locked="0"/>
    </xf>
    <xf numFmtId="0" fontId="3" fillId="0" borderId="10" xfId="0" quotePrefix="1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quotePrefix="1" applyFont="1" applyBorder="1" applyProtection="1">
      <protection locked="0"/>
    </xf>
    <xf numFmtId="0" fontId="3" fillId="0" borderId="10" xfId="0" quotePrefix="1" applyFont="1" applyBorder="1" applyAlignment="1" applyProtection="1">
      <alignment horizontal="left"/>
      <protection locked="0"/>
    </xf>
    <xf numFmtId="0" fontId="3" fillId="0" borderId="56" xfId="0" quotePrefix="1" applyFont="1" applyBorder="1" applyProtection="1">
      <protection locked="0"/>
    </xf>
    <xf numFmtId="44" fontId="3" fillId="0" borderId="0" xfId="2" quotePrefix="1" applyFont="1" applyBorder="1" applyProtection="1"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14" xfId="0" applyFont="1" applyBorder="1" applyProtection="1">
      <protection locked="0"/>
    </xf>
    <xf numFmtId="164" fontId="5" fillId="0" borderId="10" xfId="0" applyNumberFormat="1" applyFont="1" applyBorder="1" applyProtection="1">
      <protection locked="0"/>
    </xf>
    <xf numFmtId="0" fontId="5" fillId="0" borderId="51" xfId="0" applyFont="1" applyBorder="1" applyProtection="1">
      <protection locked="0"/>
    </xf>
    <xf numFmtId="0" fontId="5" fillId="0" borderId="39" xfId="0" applyFont="1" applyBorder="1" applyProtection="1"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5" fillId="0" borderId="67" xfId="0" applyFont="1" applyBorder="1" applyAlignment="1" applyProtection="1">
      <alignment horizontal="center"/>
      <protection locked="0"/>
    </xf>
    <xf numFmtId="0" fontId="5" fillId="0" borderId="67" xfId="0" quotePrefix="1" applyFont="1" applyBorder="1" applyAlignment="1" applyProtection="1">
      <alignment horizontal="left"/>
      <protection locked="0"/>
    </xf>
    <xf numFmtId="0" fontId="5" fillId="0" borderId="51" xfId="0" quotePrefix="1" applyFont="1" applyBorder="1" applyProtection="1">
      <protection locked="0"/>
    </xf>
    <xf numFmtId="44" fontId="5" fillId="0" borderId="0" xfId="2" applyFont="1" applyFill="1" applyBorder="1" applyAlignment="1" applyProtection="1">
      <alignment horizontal="center"/>
      <protection locked="0"/>
    </xf>
    <xf numFmtId="44" fontId="5" fillId="0" borderId="0" xfId="2" applyFont="1" applyFill="1" applyBorder="1" applyAlignment="1" applyProtection="1">
      <alignment horizontal="left"/>
      <protection locked="0"/>
    </xf>
    <xf numFmtId="44" fontId="5" fillId="0" borderId="2" xfId="2" quotePrefix="1" applyFont="1" applyBorder="1" applyProtection="1">
      <protection locked="0"/>
    </xf>
    <xf numFmtId="0" fontId="8" fillId="0" borderId="54" xfId="0" applyFont="1" applyBorder="1" applyAlignment="1" applyProtection="1">
      <alignment horizontal="center"/>
      <protection locked="0"/>
    </xf>
    <xf numFmtId="0" fontId="8" fillId="0" borderId="68" xfId="0" applyFont="1" applyBorder="1" applyAlignment="1" applyProtection="1">
      <alignment horizontal="center"/>
      <protection locked="0"/>
    </xf>
    <xf numFmtId="164" fontId="5" fillId="0" borderId="10" xfId="0" quotePrefix="1" applyNumberFormat="1" applyFont="1" applyBorder="1" applyProtection="1">
      <protection locked="0"/>
    </xf>
    <xf numFmtId="0" fontId="5" fillId="0" borderId="39" xfId="0" quotePrefix="1" applyFont="1" applyBorder="1" applyProtection="1">
      <protection locked="0"/>
    </xf>
    <xf numFmtId="0" fontId="5" fillId="0" borderId="16" xfId="0" quotePrefix="1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5" fillId="0" borderId="56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6" xfId="0" applyFont="1" applyBorder="1"/>
    <xf numFmtId="0" fontId="5" fillId="0" borderId="3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0" borderId="61" xfId="0" applyFont="1" applyBorder="1"/>
    <xf numFmtId="0" fontId="5" fillId="0" borderId="26" xfId="0" applyFont="1" applyBorder="1" applyAlignment="1">
      <alignment horizontal="center"/>
    </xf>
    <xf numFmtId="44" fontId="5" fillId="0" borderId="0" xfId="2" quotePrefix="1" applyFont="1" applyBorder="1" applyProtection="1"/>
    <xf numFmtId="1" fontId="5" fillId="0" borderId="0" xfId="0" applyNumberFormat="1" applyFont="1" applyAlignment="1" applyProtection="1">
      <alignment horizontal="center"/>
      <protection locked="0"/>
    </xf>
    <xf numFmtId="1" fontId="5" fillId="0" borderId="45" xfId="0" applyNumberFormat="1" applyFont="1" applyBorder="1" applyAlignment="1" applyProtection="1">
      <alignment horizontal="center"/>
      <protection locked="0"/>
    </xf>
    <xf numFmtId="44" fontId="5" fillId="0" borderId="2" xfId="2" applyFont="1" applyBorder="1" applyProtection="1">
      <protection locked="0"/>
    </xf>
    <xf numFmtId="5" fontId="5" fillId="0" borderId="3" xfId="0" applyNumberFormat="1" applyFont="1" applyBorder="1" applyProtection="1">
      <protection locked="0"/>
    </xf>
    <xf numFmtId="170" fontId="5" fillId="0" borderId="0" xfId="2" applyNumberFormat="1" applyFont="1" applyBorder="1" applyProtection="1">
      <protection locked="0"/>
    </xf>
    <xf numFmtId="5" fontId="5" fillId="0" borderId="2" xfId="0" applyNumberFormat="1" applyFont="1" applyBorder="1" applyProtection="1">
      <protection locked="0"/>
    </xf>
    <xf numFmtId="5" fontId="5" fillId="0" borderId="16" xfId="0" applyNumberFormat="1" applyFont="1" applyBorder="1" applyProtection="1">
      <protection locked="0"/>
    </xf>
    <xf numFmtId="170" fontId="5" fillId="0" borderId="2" xfId="2" applyNumberFormat="1" applyFont="1" applyBorder="1" applyProtection="1">
      <protection locked="0"/>
    </xf>
    <xf numFmtId="0" fontId="5" fillId="2" borderId="0" xfId="0" applyFont="1" applyFill="1" applyAlignment="1">
      <alignment horizontal="left"/>
    </xf>
    <xf numFmtId="0" fontId="3" fillId="0" borderId="60" xfId="0" applyFont="1" applyBorder="1"/>
    <xf numFmtId="0" fontId="3" fillId="2" borderId="60" xfId="0" applyFont="1" applyFill="1" applyBorder="1" applyAlignment="1">
      <alignment horizontal="left"/>
    </xf>
    <xf numFmtId="0" fontId="3" fillId="0" borderId="60" xfId="0" quotePrefix="1" applyFont="1" applyBorder="1" applyAlignment="1">
      <alignment horizontal="center"/>
    </xf>
    <xf numFmtId="0" fontId="22" fillId="2" borderId="0" xfId="0" applyFont="1" applyFill="1"/>
    <xf numFmtId="0" fontId="18" fillId="2" borderId="0" xfId="0" applyFont="1" applyFill="1"/>
    <xf numFmtId="0" fontId="3" fillId="0" borderId="25" xfId="0" applyFont="1" applyBorder="1"/>
    <xf numFmtId="0" fontId="3" fillId="0" borderId="45" xfId="0" applyFont="1" applyBorder="1"/>
    <xf numFmtId="0" fontId="23" fillId="2" borderId="0" xfId="0" applyFont="1" applyFill="1"/>
    <xf numFmtId="0" fontId="24" fillId="2" borderId="0" xfId="0" applyFont="1" applyFill="1"/>
    <xf numFmtId="0" fontId="8" fillId="2" borderId="0" xfId="0" applyFont="1" applyFill="1" applyAlignment="1">
      <alignment horizontal="left"/>
    </xf>
    <xf numFmtId="3" fontId="5" fillId="2" borderId="0" xfId="0" applyNumberFormat="1" applyFont="1" applyFill="1" applyAlignment="1">
      <alignment horizontal="center"/>
    </xf>
    <xf numFmtId="0" fontId="5" fillId="2" borderId="14" xfId="0" applyFont="1" applyFill="1" applyBorder="1"/>
    <xf numFmtId="173" fontId="5" fillId="2" borderId="0" xfId="0" applyNumberFormat="1" applyFont="1" applyFill="1" applyAlignment="1">
      <alignment horizontal="center"/>
    </xf>
    <xf numFmtId="12" fontId="5" fillId="2" borderId="0" xfId="0" applyNumberFormat="1" applyFont="1" applyFill="1"/>
    <xf numFmtId="0" fontId="5" fillId="2" borderId="0" xfId="0" quotePrefix="1" applyFont="1" applyFill="1" applyAlignment="1">
      <alignment horizontal="center"/>
    </xf>
    <xf numFmtId="173" fontId="5" fillId="2" borderId="25" xfId="0" applyNumberFormat="1" applyFont="1" applyFill="1" applyBorder="1" applyAlignment="1">
      <alignment horizontal="center"/>
    </xf>
    <xf numFmtId="0" fontId="5" fillId="2" borderId="25" xfId="0" applyFont="1" applyFill="1" applyBorder="1"/>
    <xf numFmtId="3" fontId="5" fillId="2" borderId="0" xfId="0" applyNumberFormat="1" applyFont="1" applyFill="1"/>
    <xf numFmtId="0" fontId="9" fillId="2" borderId="0" xfId="0" applyFont="1" applyFill="1"/>
    <xf numFmtId="0" fontId="5" fillId="2" borderId="5" xfId="0" applyFont="1" applyFill="1" applyBorder="1"/>
    <xf numFmtId="0" fontId="0" fillId="2" borderId="5" xfId="0" applyFill="1" applyBorder="1"/>
    <xf numFmtId="0" fontId="5" fillId="2" borderId="97" xfId="0" applyFont="1" applyFill="1" applyBorder="1"/>
    <xf numFmtId="0" fontId="5" fillId="2" borderId="55" xfId="0" applyFont="1" applyFill="1" applyBorder="1"/>
    <xf numFmtId="0" fontId="0" fillId="2" borderId="55" xfId="0" applyFill="1" applyBorder="1"/>
    <xf numFmtId="0" fontId="0" fillId="2" borderId="98" xfId="0" applyFill="1" applyBorder="1"/>
    <xf numFmtId="0" fontId="5" fillId="2" borderId="22" xfId="0" applyFont="1" applyFill="1" applyBorder="1"/>
    <xf numFmtId="0" fontId="5" fillId="2" borderId="99" xfId="0" applyFont="1" applyFill="1" applyBorder="1"/>
    <xf numFmtId="0" fontId="0" fillId="2" borderId="41" xfId="0" applyFill="1" applyBorder="1"/>
    <xf numFmtId="2" fontId="0" fillId="2" borderId="46" xfId="0" applyNumberFormat="1" applyFill="1" applyBorder="1"/>
    <xf numFmtId="2" fontId="0" fillId="2" borderId="93" xfId="0" applyNumberFormat="1" applyFill="1" applyBorder="1"/>
    <xf numFmtId="0" fontId="4" fillId="0" borderId="10" xfId="0" applyFont="1" applyBorder="1" applyAlignment="1">
      <alignment horizontal="center"/>
    </xf>
    <xf numFmtId="168" fontId="0" fillId="2" borderId="0" xfId="0" applyNumberFormat="1" applyFill="1"/>
    <xf numFmtId="44" fontId="0" fillId="2" borderId="0" xfId="0" applyNumberFormat="1" applyFill="1"/>
    <xf numFmtId="170" fontId="5" fillId="0" borderId="84" xfId="2" applyNumberFormat="1" applyFont="1" applyBorder="1"/>
    <xf numFmtId="1" fontId="5" fillId="0" borderId="4" xfId="0" applyNumberFormat="1" applyFont="1" applyBorder="1" applyAlignment="1">
      <alignment horizontal="center"/>
    </xf>
    <xf numFmtId="168" fontId="0" fillId="0" borderId="0" xfId="0" applyNumberFormat="1"/>
    <xf numFmtId="168" fontId="5" fillId="0" borderId="0" xfId="1" applyNumberFormat="1" applyFont="1"/>
    <xf numFmtId="0" fontId="2" fillId="0" borderId="0" xfId="0" applyFont="1" applyAlignment="1">
      <alignment horizontal="center"/>
    </xf>
    <xf numFmtId="9" fontId="5" fillId="0" borderId="1" xfId="4" applyFont="1" applyBorder="1"/>
    <xf numFmtId="0" fontId="11" fillId="0" borderId="2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" fontId="11" fillId="0" borderId="16" xfId="0" applyNumberFormat="1" applyFont="1" applyBorder="1" applyAlignment="1" applyProtection="1">
      <alignment horizontal="center"/>
      <protection locked="0"/>
    </xf>
    <xf numFmtId="0" fontId="11" fillId="0" borderId="17" xfId="0" applyFont="1" applyBorder="1" applyProtection="1">
      <protection locked="0"/>
    </xf>
    <xf numFmtId="168" fontId="11" fillId="0" borderId="16" xfId="0" applyNumberFormat="1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3" fillId="2" borderId="14" xfId="0" applyFont="1" applyFill="1" applyBorder="1"/>
    <xf numFmtId="0" fontId="3" fillId="2" borderId="0" xfId="0" applyFont="1" applyFill="1" applyAlignment="1">
      <alignment horizontal="center"/>
    </xf>
    <xf numFmtId="0" fontId="21" fillId="0" borderId="0" xfId="0" applyFont="1"/>
    <xf numFmtId="44" fontId="0" fillId="0" borderId="0" xfId="0" applyNumberFormat="1" applyProtection="1"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44" fontId="5" fillId="0" borderId="45" xfId="2" applyFont="1" applyBorder="1"/>
    <xf numFmtId="1" fontId="11" fillId="0" borderId="17" xfId="0" applyNumberFormat="1" applyFont="1" applyBorder="1" applyAlignment="1" applyProtection="1">
      <alignment horizontal="right"/>
      <protection locked="0"/>
    </xf>
    <xf numFmtId="5" fontId="0" fillId="0" borderId="0" xfId="0" applyNumberFormat="1"/>
    <xf numFmtId="170" fontId="5" fillId="0" borderId="21" xfId="2" applyNumberFormat="1" applyFont="1" applyFill="1" applyBorder="1" applyAlignment="1" applyProtection="1">
      <alignment horizontal="center"/>
      <protection locked="0"/>
    </xf>
    <xf numFmtId="170" fontId="5" fillId="0" borderId="21" xfId="0" applyNumberFormat="1" applyFont="1" applyBorder="1" applyAlignment="1">
      <alignment horizontal="center"/>
    </xf>
    <xf numFmtId="41" fontId="5" fillId="0" borderId="0" xfId="0" applyNumberFormat="1" applyFont="1"/>
    <xf numFmtId="9" fontId="5" fillId="2" borderId="0" xfId="4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4" fontId="5" fillId="0" borderId="0" xfId="0" applyNumberFormat="1" applyFont="1" applyAlignment="1" applyProtection="1">
      <alignment horizontal="center"/>
      <protection locked="0"/>
    </xf>
    <xf numFmtId="170" fontId="5" fillId="0" borderId="0" xfId="2" applyNumberFormat="1" applyFont="1"/>
    <xf numFmtId="164" fontId="5" fillId="0" borderId="0" xfId="0" quotePrefix="1" applyNumberFormat="1" applyFont="1"/>
    <xf numFmtId="41" fontId="5" fillId="2" borderId="0" xfId="0" applyNumberFormat="1" applyFont="1" applyFill="1"/>
    <xf numFmtId="0" fontId="28" fillId="0" borderId="0" xfId="3" applyNumberFormat="1" applyFont="1" applyProtection="1">
      <protection locked="0"/>
    </xf>
    <xf numFmtId="44" fontId="5" fillId="0" borderId="12" xfId="2" applyFont="1" applyBorder="1"/>
    <xf numFmtId="7" fontId="0" fillId="0" borderId="0" xfId="0" applyNumberFormat="1"/>
    <xf numFmtId="0" fontId="0" fillId="0" borderId="16" xfId="0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97" xfId="0" applyBorder="1"/>
    <xf numFmtId="0" fontId="0" fillId="0" borderId="55" xfId="0" applyBorder="1" applyAlignment="1">
      <alignment horizontal="center"/>
    </xf>
    <xf numFmtId="0" fontId="0" fillId="0" borderId="55" xfId="0" applyBorder="1"/>
    <xf numFmtId="0" fontId="0" fillId="0" borderId="98" xfId="0" applyBorder="1"/>
    <xf numFmtId="0" fontId="0" fillId="0" borderId="5" xfId="0" applyBorder="1"/>
    <xf numFmtId="0" fontId="0" fillId="0" borderId="94" xfId="0" applyBorder="1"/>
    <xf numFmtId="168" fontId="11" fillId="0" borderId="18" xfId="1" applyNumberFormat="1" applyFont="1" applyFill="1" applyBorder="1" applyAlignment="1" applyProtection="1">
      <alignment horizontal="right"/>
      <protection locked="0"/>
    </xf>
    <xf numFmtId="168" fontId="11" fillId="0" borderId="16" xfId="1" applyNumberFormat="1" applyFont="1" applyFill="1" applyBorder="1" applyAlignment="1" applyProtection="1">
      <alignment horizontal="right"/>
      <protection locked="0"/>
    </xf>
    <xf numFmtId="0" fontId="5" fillId="0" borderId="25" xfId="0" applyFont="1" applyBorder="1"/>
    <xf numFmtId="0" fontId="2" fillId="0" borderId="9" xfId="0" applyFont="1" applyBorder="1"/>
    <xf numFmtId="0" fontId="3" fillId="0" borderId="45" xfId="0" applyFont="1" applyBorder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center"/>
    </xf>
    <xf numFmtId="0" fontId="2" fillId="0" borderId="52" xfId="0" applyFont="1" applyBorder="1" applyAlignment="1">
      <alignment horizontal="center"/>
    </xf>
    <xf numFmtId="0" fontId="0" fillId="0" borderId="102" xfId="0" applyBorder="1"/>
    <xf numFmtId="0" fontId="0" fillId="0" borderId="103" xfId="0" applyBorder="1"/>
    <xf numFmtId="0" fontId="3" fillId="0" borderId="7" xfId="0" applyFont="1" applyBorder="1"/>
    <xf numFmtId="44" fontId="0" fillId="0" borderId="5" xfId="2" applyFont="1" applyBorder="1"/>
    <xf numFmtId="44" fontId="0" fillId="0" borderId="16" xfId="0" applyNumberFormat="1" applyBorder="1"/>
    <xf numFmtId="0" fontId="3" fillId="0" borderId="8" xfId="0" applyFont="1" applyBorder="1"/>
    <xf numFmtId="44" fontId="0" fillId="0" borderId="41" xfId="2" applyFont="1" applyBorder="1"/>
    <xf numFmtId="0" fontId="0" fillId="0" borderId="50" xfId="0" applyBorder="1"/>
    <xf numFmtId="0" fontId="3" fillId="0" borderId="62" xfId="0" applyFont="1" applyBorder="1"/>
    <xf numFmtId="44" fontId="0" fillId="0" borderId="62" xfId="2" applyFont="1" applyBorder="1"/>
    <xf numFmtId="0" fontId="0" fillId="0" borderId="43" xfId="0" applyBorder="1"/>
    <xf numFmtId="44" fontId="0" fillId="0" borderId="64" xfId="0" applyNumberFormat="1" applyBorder="1"/>
    <xf numFmtId="8" fontId="0" fillId="0" borderId="5" xfId="2" applyNumberFormat="1" applyFont="1" applyBorder="1"/>
    <xf numFmtId="44" fontId="0" fillId="0" borderId="3" xfId="0" applyNumberFormat="1" applyBorder="1"/>
    <xf numFmtId="0" fontId="3" fillId="0" borderId="81" xfId="0" applyFont="1" applyBorder="1"/>
    <xf numFmtId="44" fontId="0" fillId="0" borderId="81" xfId="2" applyFont="1" applyBorder="1"/>
    <xf numFmtId="44" fontId="0" fillId="0" borderId="50" xfId="0" applyNumberFormat="1" applyBorder="1"/>
    <xf numFmtId="0" fontId="3" fillId="0" borderId="92" xfId="0" applyFont="1" applyBorder="1"/>
    <xf numFmtId="44" fontId="0" fillId="0" borderId="51" xfId="2" applyFont="1" applyBorder="1"/>
    <xf numFmtId="44" fontId="0" fillId="0" borderId="43" xfId="2" applyFont="1" applyBorder="1"/>
    <xf numFmtId="0" fontId="3" fillId="0" borderId="6" xfId="0" applyFont="1" applyBorder="1"/>
    <xf numFmtId="0" fontId="0" fillId="0" borderId="96" xfId="0" applyBorder="1"/>
    <xf numFmtId="0" fontId="5" fillId="2" borderId="75" xfId="0" applyFont="1" applyFill="1" applyBorder="1"/>
    <xf numFmtId="0" fontId="5" fillId="2" borderId="48" xfId="0" applyFont="1" applyFill="1" applyBorder="1"/>
    <xf numFmtId="1" fontId="8" fillId="2" borderId="0" xfId="0" applyNumberFormat="1" applyFont="1" applyFill="1"/>
    <xf numFmtId="0" fontId="5" fillId="5" borderId="45" xfId="0" applyFont="1" applyFill="1" applyBorder="1" applyProtection="1">
      <protection locked="0"/>
    </xf>
    <xf numFmtId="0" fontId="0" fillId="5" borderId="45" xfId="0" applyFill="1" applyBorder="1"/>
    <xf numFmtId="1" fontId="5" fillId="5" borderId="45" xfId="0" applyNumberFormat="1" applyFont="1" applyFill="1" applyBorder="1" applyProtection="1">
      <protection locked="0"/>
    </xf>
    <xf numFmtId="44" fontId="5" fillId="5" borderId="23" xfId="0" applyNumberFormat="1" applyFont="1" applyFill="1" applyBorder="1" applyProtection="1">
      <protection locked="0"/>
    </xf>
    <xf numFmtId="10" fontId="5" fillId="2" borderId="0" xfId="4" applyNumberFormat="1" applyFont="1" applyFill="1"/>
    <xf numFmtId="0" fontId="5" fillId="7" borderId="0" xfId="0" applyFont="1" applyFill="1"/>
    <xf numFmtId="0" fontId="0" fillId="7" borderId="0" xfId="0" applyFill="1"/>
    <xf numFmtId="0" fontId="0" fillId="3" borderId="0" xfId="0" applyFill="1"/>
    <xf numFmtId="0" fontId="29" fillId="3" borderId="0" xfId="0" applyFont="1" applyFill="1"/>
    <xf numFmtId="0" fontId="0" fillId="0" borderId="75" xfId="0" applyBorder="1"/>
    <xf numFmtId="0" fontId="0" fillId="0" borderId="68" xfId="0" applyBorder="1"/>
    <xf numFmtId="0" fontId="0" fillId="0" borderId="58" xfId="0" applyBorder="1"/>
    <xf numFmtId="0" fontId="31" fillId="0" borderId="0" xfId="0" applyFont="1"/>
    <xf numFmtId="0" fontId="3" fillId="7" borderId="0" xfId="0" applyFont="1" applyFill="1"/>
    <xf numFmtId="41" fontId="5" fillId="0" borderId="14" xfId="0" applyNumberFormat="1" applyFont="1" applyBorder="1"/>
    <xf numFmtId="43" fontId="5" fillId="0" borderId="1" xfId="0" applyNumberFormat="1" applyFont="1" applyBorder="1" applyProtection="1">
      <protection locked="0"/>
    </xf>
    <xf numFmtId="1" fontId="0" fillId="0" borderId="0" xfId="0" applyNumberFormat="1"/>
    <xf numFmtId="0" fontId="0" fillId="0" borderId="32" xfId="0" applyBorder="1"/>
    <xf numFmtId="1" fontId="0" fillId="0" borderId="33" xfId="0" applyNumberFormat="1" applyBorder="1"/>
    <xf numFmtId="1" fontId="0" fillId="0" borderId="34" xfId="0" applyNumberFormat="1" applyBorder="1"/>
    <xf numFmtId="0" fontId="0" fillId="0" borderId="34" xfId="0" applyBorder="1"/>
    <xf numFmtId="0" fontId="0" fillId="0" borderId="33" xfId="0" applyBorder="1"/>
    <xf numFmtId="1" fontId="5" fillId="0" borderId="16" xfId="0" applyNumberFormat="1" applyFont="1" applyBorder="1" applyAlignment="1" applyProtection="1">
      <alignment horizontal="center"/>
      <protection locked="0"/>
    </xf>
    <xf numFmtId="0" fontId="11" fillId="0" borderId="56" xfId="0" applyFont="1" applyBorder="1"/>
    <xf numFmtId="1" fontId="11" fillId="0" borderId="56" xfId="0" applyNumberFormat="1" applyFont="1" applyBorder="1"/>
    <xf numFmtId="1" fontId="3" fillId="0" borderId="34" xfId="0" applyNumberFormat="1" applyFont="1" applyBorder="1"/>
    <xf numFmtId="164" fontId="3" fillId="0" borderId="0" xfId="0" applyNumberFormat="1" applyFont="1" applyAlignment="1">
      <alignment horizontal="left" textRotation="90" wrapText="1"/>
    </xf>
    <xf numFmtId="0" fontId="3" fillId="0" borderId="0" xfId="0" applyFont="1" applyAlignment="1">
      <alignment textRotation="90" wrapText="1"/>
    </xf>
    <xf numFmtId="0" fontId="5" fillId="2" borderId="45" xfId="0" applyFont="1" applyFill="1" applyBorder="1"/>
    <xf numFmtId="0" fontId="2" fillId="2" borderId="45" xfId="0" applyFont="1" applyFill="1" applyBorder="1"/>
    <xf numFmtId="41" fontId="11" fillId="0" borderId="16" xfId="0" applyNumberFormat="1" applyFont="1" applyBorder="1" applyAlignment="1">
      <alignment horizontal="center"/>
    </xf>
    <xf numFmtId="164" fontId="1" fillId="0" borderId="43" xfId="0" applyNumberFormat="1" applyFont="1" applyBorder="1" applyAlignment="1">
      <alignment horizontal="left" textRotation="90" wrapText="1"/>
    </xf>
    <xf numFmtId="170" fontId="5" fillId="8" borderId="0" xfId="2" applyNumberFormat="1" applyFont="1" applyFill="1" applyBorder="1" applyAlignment="1" applyProtection="1">
      <alignment horizontal="center"/>
      <protection locked="0"/>
    </xf>
    <xf numFmtId="0" fontId="8" fillId="8" borderId="0" xfId="0" applyFont="1" applyFill="1"/>
    <xf numFmtId="0" fontId="5" fillId="8" borderId="0" xfId="0" applyFont="1" applyFill="1" applyProtection="1">
      <protection locked="0"/>
    </xf>
    <xf numFmtId="1" fontId="5" fillId="8" borderId="0" xfId="0" applyNumberFormat="1" applyFont="1" applyFill="1" applyProtection="1">
      <protection locked="0"/>
    </xf>
    <xf numFmtId="168" fontId="11" fillId="0" borderId="3" xfId="1" applyNumberFormat="1" applyFont="1" applyFill="1" applyBorder="1" applyAlignment="1" applyProtection="1">
      <alignment horizontal="right"/>
      <protection locked="0"/>
    </xf>
    <xf numFmtId="0" fontId="5" fillId="0" borderId="60" xfId="0" applyFont="1" applyBorder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5" fillId="0" borderId="26" xfId="0" applyFont="1" applyBorder="1" applyProtection="1">
      <protection locked="0"/>
    </xf>
    <xf numFmtId="0" fontId="8" fillId="0" borderId="26" xfId="0" applyFont="1" applyBorder="1" applyAlignment="1" applyProtection="1">
      <alignment horizontal="center"/>
      <protection locked="0"/>
    </xf>
    <xf numFmtId="0" fontId="1" fillId="0" borderId="0" xfId="0" applyFont="1"/>
    <xf numFmtId="170" fontId="1" fillId="0" borderId="0" xfId="2" applyNumberFormat="1" applyFont="1"/>
    <xf numFmtId="0" fontId="1" fillId="0" borderId="0" xfId="0" quotePrefix="1" applyFont="1"/>
    <xf numFmtId="2" fontId="5" fillId="0" borderId="21" xfId="2" applyNumberFormat="1" applyFont="1" applyBorder="1"/>
    <xf numFmtId="2" fontId="5" fillId="0" borderId="12" xfId="2" applyNumberFormat="1" applyFont="1" applyBorder="1"/>
    <xf numFmtId="164" fontId="1" fillId="0" borderId="42" xfId="0" applyNumberFormat="1" applyFont="1" applyBorder="1" applyAlignment="1">
      <alignment horizontal="left"/>
    </xf>
    <xf numFmtId="164" fontId="1" fillId="0" borderId="43" xfId="0" applyNumberFormat="1" applyFont="1" applyBorder="1"/>
    <xf numFmtId="0" fontId="1" fillId="0" borderId="43" xfId="0" applyFont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176" fontId="1" fillId="0" borderId="0" xfId="0" applyNumberFormat="1" applyFont="1"/>
    <xf numFmtId="44" fontId="1" fillId="0" borderId="0" xfId="2" applyFont="1" applyBorder="1"/>
    <xf numFmtId="44" fontId="1" fillId="0" borderId="21" xfId="0" applyNumberFormat="1" applyFont="1" applyBorder="1"/>
    <xf numFmtId="44" fontId="1" fillId="0" borderId="0" xfId="2" applyFont="1" applyBorder="1" applyAlignment="1">
      <alignment horizontal="left"/>
    </xf>
    <xf numFmtId="0" fontId="1" fillId="0" borderId="21" xfId="0" applyFont="1" applyBorder="1"/>
    <xf numFmtId="44" fontId="1" fillId="0" borderId="0" xfId="2" applyFont="1" applyBorder="1" applyProtection="1">
      <protection locked="0"/>
    </xf>
    <xf numFmtId="164" fontId="1" fillId="0" borderId="0" xfId="0" applyNumberFormat="1" applyFont="1" applyAlignment="1" applyProtection="1">
      <alignment horizontal="left"/>
      <protection locked="0"/>
    </xf>
    <xf numFmtId="176" fontId="1" fillId="0" borderId="2" xfId="0" applyNumberFormat="1" applyFont="1" applyBorder="1"/>
    <xf numFmtId="44" fontId="1" fillId="0" borderId="2" xfId="2" applyFont="1" applyBorder="1"/>
    <xf numFmtId="44" fontId="1" fillId="0" borderId="2" xfId="2" applyFont="1" applyBorder="1" applyAlignment="1">
      <alignment horizontal="left"/>
    </xf>
    <xf numFmtId="0" fontId="1" fillId="0" borderId="12" xfId="0" applyFont="1" applyBorder="1"/>
    <xf numFmtId="44" fontId="1" fillId="0" borderId="0" xfId="2" applyFont="1" applyAlignment="1">
      <alignment horizontal="left"/>
    </xf>
    <xf numFmtId="164" fontId="1" fillId="0" borderId="0" xfId="0" applyNumberFormat="1" applyFont="1" applyAlignment="1">
      <alignment horizontal="left"/>
    </xf>
    <xf numFmtId="44" fontId="1" fillId="0" borderId="0" xfId="2" applyFont="1" applyFill="1" applyBorder="1"/>
    <xf numFmtId="0" fontId="1" fillId="0" borderId="0" xfId="0" applyFont="1" applyProtection="1">
      <protection locked="0"/>
    </xf>
    <xf numFmtId="44" fontId="1" fillId="0" borderId="0" xfId="2" applyFont="1"/>
    <xf numFmtId="164" fontId="1" fillId="0" borderId="0" xfId="0" quotePrefix="1" applyNumberFormat="1" applyFont="1" applyAlignment="1" applyProtection="1">
      <alignment horizontal="left"/>
      <protection locked="0"/>
    </xf>
    <xf numFmtId="164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0" fontId="1" fillId="0" borderId="0" xfId="4" applyNumberFormat="1" applyFont="1" applyBorder="1" applyProtection="1"/>
    <xf numFmtId="171" fontId="1" fillId="0" borderId="0" xfId="4" applyNumberFormat="1" applyFont="1" applyBorder="1" applyProtection="1"/>
    <xf numFmtId="0" fontId="1" fillId="0" borderId="10" xfId="0" applyFont="1" applyBorder="1"/>
    <xf numFmtId="14" fontId="1" fillId="0" borderId="10" xfId="0" applyNumberFormat="1" applyFont="1" applyBorder="1"/>
    <xf numFmtId="0" fontId="1" fillId="0" borderId="11" xfId="0" applyFont="1" applyBorder="1"/>
    <xf numFmtId="44" fontId="1" fillId="0" borderId="0" xfId="2" applyFont="1" applyFill="1" applyBorder="1" applyProtection="1">
      <protection locked="0"/>
    </xf>
    <xf numFmtId="0" fontId="1" fillId="0" borderId="1" xfId="0" applyFont="1" applyBorder="1"/>
    <xf numFmtId="14" fontId="1" fillId="0" borderId="0" xfId="0" applyNumberFormat="1" applyFont="1"/>
    <xf numFmtId="6" fontId="1" fillId="0" borderId="0" xfId="0" applyNumberFormat="1" applyFont="1"/>
    <xf numFmtId="6" fontId="1" fillId="0" borderId="21" xfId="0" applyNumberFormat="1" applyFont="1" applyBorder="1"/>
    <xf numFmtId="164" fontId="1" fillId="0" borderId="0" xfId="0" applyNumberFormat="1" applyFont="1" applyAlignment="1">
      <alignment horizontal="center"/>
    </xf>
    <xf numFmtId="0" fontId="1" fillId="0" borderId="4" xfId="0" applyFont="1" applyBorder="1"/>
    <xf numFmtId="0" fontId="1" fillId="0" borderId="2" xfId="0" quotePrefix="1" applyFont="1" applyBorder="1"/>
    <xf numFmtId="0" fontId="1" fillId="0" borderId="0" xfId="0" applyFont="1" applyAlignment="1">
      <alignment horizontal="left"/>
    </xf>
    <xf numFmtId="0" fontId="5" fillId="0" borderId="30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39" fontId="5" fillId="2" borderId="0" xfId="0" applyNumberFormat="1" applyFont="1" applyFill="1" applyAlignment="1">
      <alignment horizontal="center"/>
    </xf>
    <xf numFmtId="0" fontId="5" fillId="0" borderId="75" xfId="0" applyFont="1" applyBorder="1"/>
    <xf numFmtId="170" fontId="5" fillId="0" borderId="85" xfId="2" applyNumberFormat="1" applyFont="1" applyFill="1" applyBorder="1" applyAlignment="1">
      <alignment horizontal="center"/>
    </xf>
    <xf numFmtId="170" fontId="5" fillId="0" borderId="20" xfId="2" applyNumberFormat="1" applyFont="1" applyFill="1" applyBorder="1" applyAlignment="1" applyProtection="1">
      <alignment horizontal="center"/>
      <protection locked="0"/>
    </xf>
    <xf numFmtId="170" fontId="5" fillId="0" borderId="20" xfId="2" applyNumberFormat="1" applyFont="1" applyFill="1" applyBorder="1" applyAlignment="1">
      <alignment horizontal="center"/>
    </xf>
    <xf numFmtId="170" fontId="5" fillId="0" borderId="23" xfId="2" applyNumberFormat="1" applyFont="1" applyFill="1" applyBorder="1" applyAlignment="1">
      <alignment horizontal="center"/>
    </xf>
    <xf numFmtId="0" fontId="5" fillId="2" borderId="41" xfId="0" applyFont="1" applyFill="1" applyBorder="1"/>
    <xf numFmtId="0" fontId="5" fillId="0" borderId="9" xfId="0" applyFont="1" applyBorder="1" applyAlignment="1" applyProtection="1">
      <alignment horizontal="center"/>
      <protection locked="0"/>
    </xf>
    <xf numFmtId="1" fontId="5" fillId="2" borderId="21" xfId="0" applyNumberFormat="1" applyFont="1" applyFill="1" applyBorder="1"/>
    <xf numFmtId="0" fontId="8" fillId="8" borderId="0" xfId="0" applyFont="1" applyFill="1" applyAlignment="1">
      <alignment horizontal="center"/>
    </xf>
    <xf numFmtId="170" fontId="5" fillId="8" borderId="0" xfId="0" applyNumberFormat="1" applyFont="1" applyFill="1" applyAlignment="1">
      <alignment horizontal="center"/>
    </xf>
    <xf numFmtId="170" fontId="5" fillId="8" borderId="0" xfId="2" applyNumberFormat="1" applyFont="1" applyFill="1" applyBorder="1" applyAlignment="1">
      <alignment horizontal="center"/>
    </xf>
    <xf numFmtId="170" fontId="5" fillId="8" borderId="0" xfId="2" applyNumberFormat="1" applyFont="1" applyFill="1" applyBorder="1" applyAlignment="1" applyProtection="1">
      <alignment horizontal="center"/>
    </xf>
    <xf numFmtId="0" fontId="5" fillId="8" borderId="0" xfId="0" applyFont="1" applyFill="1"/>
    <xf numFmtId="0" fontId="8" fillId="8" borderId="1" xfId="0" applyFont="1" applyFill="1" applyBorder="1" applyAlignment="1">
      <alignment horizontal="center"/>
    </xf>
    <xf numFmtId="170" fontId="5" fillId="8" borderId="1" xfId="0" applyNumberFormat="1" applyFont="1" applyFill="1" applyBorder="1" applyAlignment="1">
      <alignment horizontal="center"/>
    </xf>
    <xf numFmtId="174" fontId="3" fillId="9" borderId="2" xfId="1" applyNumberFormat="1" applyFont="1" applyFill="1" applyBorder="1" applyProtection="1"/>
    <xf numFmtId="170" fontId="2" fillId="9" borderId="3" xfId="2" applyNumberFormat="1" applyFont="1" applyFill="1" applyBorder="1" applyProtection="1"/>
    <xf numFmtId="44" fontId="3" fillId="10" borderId="32" xfId="2" applyFont="1" applyFill="1" applyBorder="1" applyProtection="1"/>
    <xf numFmtId="170" fontId="6" fillId="10" borderId="5" xfId="2" quotePrefix="1" applyNumberFormat="1" applyFont="1" applyFill="1" applyBorder="1" applyAlignment="1" applyProtection="1">
      <alignment horizontal="center"/>
    </xf>
    <xf numFmtId="44" fontId="6" fillId="10" borderId="5" xfId="2" quotePrefix="1" applyFont="1" applyFill="1" applyBorder="1" applyAlignment="1" applyProtection="1">
      <alignment horizontal="center"/>
    </xf>
    <xf numFmtId="44" fontId="3" fillId="10" borderId="5" xfId="2" applyFont="1" applyFill="1" applyBorder="1" applyProtection="1"/>
    <xf numFmtId="44" fontId="6" fillId="10" borderId="5" xfId="0" quotePrefix="1" applyNumberFormat="1" applyFont="1" applyFill="1" applyBorder="1" applyAlignment="1">
      <alignment horizontal="center"/>
    </xf>
    <xf numFmtId="0" fontId="3" fillId="9" borderId="5" xfId="0" applyFont="1" applyFill="1" applyBorder="1"/>
    <xf numFmtId="0" fontId="1" fillId="9" borderId="5" xfId="0" applyFont="1" applyFill="1" applyBorder="1"/>
    <xf numFmtId="0" fontId="3" fillId="13" borderId="0" xfId="0" applyFont="1" applyFill="1"/>
    <xf numFmtId="0" fontId="5" fillId="13" borderId="0" xfId="0" applyFont="1" applyFill="1"/>
    <xf numFmtId="2" fontId="3" fillId="13" borderId="0" xfId="1" applyNumberFormat="1" applyFont="1" applyFill="1" applyProtection="1"/>
    <xf numFmtId="170" fontId="5" fillId="13" borderId="0" xfId="0" applyNumberFormat="1" applyFont="1" applyFill="1"/>
    <xf numFmtId="0" fontId="5" fillId="13" borderId="0" xfId="0" applyFont="1" applyFill="1" applyAlignment="1">
      <alignment horizontal="left"/>
    </xf>
    <xf numFmtId="0" fontId="5" fillId="13" borderId="0" xfId="0" applyFont="1" applyFill="1" applyAlignment="1">
      <alignment horizontal="center"/>
    </xf>
    <xf numFmtId="0" fontId="3" fillId="12" borderId="2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left"/>
    </xf>
    <xf numFmtId="44" fontId="6" fillId="12" borderId="32" xfId="2" quotePrefix="1" applyFont="1" applyFill="1" applyBorder="1" applyAlignment="1" applyProtection="1">
      <alignment horizontal="center"/>
    </xf>
    <xf numFmtId="44" fontId="6" fillId="12" borderId="33" xfId="2" quotePrefix="1" applyFont="1" applyFill="1" applyBorder="1" applyAlignment="1" applyProtection="1">
      <alignment horizontal="center"/>
    </xf>
    <xf numFmtId="44" fontId="6" fillId="12" borderId="34" xfId="2" quotePrefix="1" applyFont="1" applyFill="1" applyBorder="1" applyAlignment="1" applyProtection="1">
      <alignment horizontal="right"/>
    </xf>
    <xf numFmtId="44" fontId="6" fillId="12" borderId="32" xfId="2" quotePrefix="1" applyFont="1" applyFill="1" applyBorder="1" applyAlignment="1" applyProtection="1">
      <alignment horizontal="right"/>
    </xf>
    <xf numFmtId="44" fontId="6" fillId="12" borderId="33" xfId="2" quotePrefix="1" applyFont="1" applyFill="1" applyBorder="1" applyAlignment="1" applyProtection="1">
      <alignment horizontal="right"/>
    </xf>
    <xf numFmtId="170" fontId="6" fillId="12" borderId="33" xfId="2" quotePrefix="1" applyNumberFormat="1" applyFont="1" applyFill="1" applyBorder="1" applyAlignment="1" applyProtection="1">
      <alignment horizontal="right"/>
    </xf>
    <xf numFmtId="170" fontId="6" fillId="12" borderId="34" xfId="2" quotePrefix="1" applyNumberFormat="1" applyFont="1" applyFill="1" applyBorder="1" applyAlignment="1" applyProtection="1">
      <alignment horizontal="right"/>
    </xf>
    <xf numFmtId="44" fontId="6" fillId="12" borderId="34" xfId="2" applyFont="1" applyFill="1" applyBorder="1" applyAlignment="1" applyProtection="1">
      <alignment horizontal="right"/>
    </xf>
    <xf numFmtId="168" fontId="3" fillId="12" borderId="32" xfId="1" applyNumberFormat="1" applyFont="1" applyFill="1" applyBorder="1" applyProtection="1"/>
    <xf numFmtId="168" fontId="3" fillId="12" borderId="33" xfId="1" applyNumberFormat="1" applyFont="1" applyFill="1" applyBorder="1" applyProtection="1"/>
    <xf numFmtId="168" fontId="3" fillId="12" borderId="33" xfId="1" applyNumberFormat="1" applyFont="1" applyFill="1" applyBorder="1" applyAlignment="1" applyProtection="1">
      <alignment horizontal="center"/>
    </xf>
    <xf numFmtId="168" fontId="7" fillId="12" borderId="33" xfId="1" applyNumberFormat="1" applyFont="1" applyFill="1" applyBorder="1" applyAlignment="1" applyProtection="1">
      <alignment horizontal="right"/>
    </xf>
    <xf numFmtId="170" fontId="3" fillId="12" borderId="34" xfId="2" applyNumberFormat="1" applyFont="1" applyFill="1" applyBorder="1" applyProtection="1"/>
    <xf numFmtId="0" fontId="5" fillId="0" borderId="48" xfId="0" applyFont="1" applyBorder="1" applyAlignment="1" applyProtection="1">
      <alignment horizontal="center"/>
      <protection locked="0"/>
    </xf>
    <xf numFmtId="0" fontId="5" fillId="0" borderId="72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0" fontId="5" fillId="12" borderId="4" xfId="4" applyNumberFormat="1" applyFont="1" applyFill="1" applyBorder="1" applyAlignment="1" applyProtection="1">
      <alignment horizontal="center"/>
      <protection locked="0"/>
    </xf>
    <xf numFmtId="10" fontId="5" fillId="12" borderId="2" xfId="4" applyNumberFormat="1" applyFont="1" applyFill="1" applyBorder="1" applyAlignment="1" applyProtection="1">
      <alignment horizontal="center"/>
      <protection locked="0"/>
    </xf>
    <xf numFmtId="10" fontId="5" fillId="12" borderId="12" xfId="4" applyNumberFormat="1" applyFont="1" applyFill="1" applyBorder="1" applyAlignment="1" applyProtection="1">
      <alignment horizontal="center"/>
      <protection locked="0"/>
    </xf>
    <xf numFmtId="0" fontId="5" fillId="12" borderId="5" xfId="0" applyFont="1" applyFill="1" applyBorder="1" applyAlignment="1">
      <alignment horizontal="center"/>
    </xf>
    <xf numFmtId="9" fontId="5" fillId="12" borderId="5" xfId="4" applyFont="1" applyFill="1" applyBorder="1"/>
    <xf numFmtId="0" fontId="5" fillId="9" borderId="66" xfId="0" applyFont="1" applyFill="1" applyBorder="1"/>
    <xf numFmtId="0" fontId="8" fillId="9" borderId="30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5" fillId="9" borderId="45" xfId="0" applyFont="1" applyFill="1" applyBorder="1" applyProtection="1">
      <protection locked="0"/>
    </xf>
    <xf numFmtId="0" fontId="0" fillId="9" borderId="45" xfId="0" applyFill="1" applyBorder="1"/>
    <xf numFmtId="1" fontId="5" fillId="9" borderId="45" xfId="0" applyNumberFormat="1" applyFont="1" applyFill="1" applyBorder="1" applyProtection="1">
      <protection locked="0"/>
    </xf>
    <xf numFmtId="44" fontId="5" fillId="9" borderId="23" xfId="0" applyNumberFormat="1" applyFont="1" applyFill="1" applyBorder="1" applyProtection="1">
      <protection locked="0"/>
    </xf>
    <xf numFmtId="0" fontId="8" fillId="9" borderId="9" xfId="0" applyFont="1" applyFill="1" applyBorder="1" applyAlignment="1">
      <alignment horizontal="left"/>
    </xf>
    <xf numFmtId="0" fontId="25" fillId="12" borderId="56" xfId="0" applyFont="1" applyFill="1" applyBorder="1" applyProtection="1">
      <protection locked="0"/>
    </xf>
    <xf numFmtId="0" fontId="5" fillId="12" borderId="0" xfId="0" applyFont="1" applyFill="1" applyProtection="1">
      <protection locked="0"/>
    </xf>
    <xf numFmtId="0" fontId="5" fillId="12" borderId="16" xfId="0" applyFont="1" applyFill="1" applyBorder="1" applyProtection="1">
      <protection locked="0"/>
    </xf>
    <xf numFmtId="0" fontId="5" fillId="12" borderId="56" xfId="0" applyFont="1" applyFill="1" applyBorder="1" applyProtection="1">
      <protection locked="0"/>
    </xf>
    <xf numFmtId="0" fontId="5" fillId="12" borderId="61" xfId="0" applyFont="1" applyFill="1" applyBorder="1" applyProtection="1">
      <protection locked="0"/>
    </xf>
    <xf numFmtId="0" fontId="5" fillId="12" borderId="3" xfId="0" applyFont="1" applyFill="1" applyBorder="1" applyProtection="1">
      <protection locked="0"/>
    </xf>
    <xf numFmtId="0" fontId="5" fillId="12" borderId="92" xfId="0" applyFont="1" applyFill="1" applyBorder="1" applyAlignment="1" applyProtection="1">
      <alignment horizontal="center"/>
      <protection locked="0"/>
    </xf>
    <xf numFmtId="0" fontId="5" fillId="12" borderId="7" xfId="0" applyFont="1" applyFill="1" applyBorder="1" applyAlignment="1" applyProtection="1">
      <alignment horizontal="center"/>
      <protection locked="0"/>
    </xf>
    <xf numFmtId="0" fontId="5" fillId="12" borderId="86" xfId="0" applyFont="1" applyFill="1" applyBorder="1" applyAlignment="1" applyProtection="1">
      <alignment horizontal="center"/>
      <protection locked="0"/>
    </xf>
    <xf numFmtId="9" fontId="5" fillId="12" borderId="51" xfId="4" applyFont="1" applyFill="1" applyBorder="1" applyProtection="1">
      <protection locked="0"/>
    </xf>
    <xf numFmtId="9" fontId="5" fillId="12" borderId="49" xfId="4" applyFont="1" applyFill="1" applyBorder="1" applyProtection="1">
      <protection locked="0"/>
    </xf>
    <xf numFmtId="9" fontId="5" fillId="12" borderId="52" xfId="4" applyFont="1" applyFill="1" applyBorder="1" applyProtection="1">
      <protection locked="0"/>
    </xf>
    <xf numFmtId="9" fontId="5" fillId="12" borderId="2" xfId="4" applyFont="1" applyFill="1" applyBorder="1" applyAlignment="1" applyProtection="1">
      <alignment horizontal="center"/>
      <protection locked="0"/>
    </xf>
    <xf numFmtId="0" fontId="5" fillId="12" borderId="51" xfId="0" applyFont="1" applyFill="1" applyBorder="1" applyAlignment="1">
      <alignment horizontal="center"/>
    </xf>
    <xf numFmtId="1" fontId="5" fillId="12" borderId="55" xfId="0" applyNumberFormat="1" applyFont="1" applyFill="1" applyBorder="1" applyProtection="1">
      <protection locked="0"/>
    </xf>
    <xf numFmtId="1" fontId="5" fillId="12" borderId="5" xfId="0" applyNumberFormat="1" applyFont="1" applyFill="1" applyBorder="1" applyProtection="1">
      <protection locked="0"/>
    </xf>
    <xf numFmtId="1" fontId="5" fillId="12" borderId="41" xfId="0" applyNumberFormat="1" applyFont="1" applyFill="1" applyBorder="1" applyProtection="1">
      <protection locked="0"/>
    </xf>
    <xf numFmtId="1" fontId="5" fillId="12" borderId="51" xfId="0" applyNumberFormat="1" applyFont="1" applyFill="1" applyBorder="1" applyProtection="1">
      <protection locked="0"/>
    </xf>
    <xf numFmtId="44" fontId="5" fillId="12" borderId="55" xfId="2" applyFont="1" applyFill="1" applyBorder="1" applyAlignment="1" applyProtection="1">
      <alignment horizontal="left"/>
      <protection locked="0"/>
    </xf>
    <xf numFmtId="44" fontId="5" fillId="12" borderId="5" xfId="2" applyFont="1" applyFill="1" applyBorder="1" applyProtection="1">
      <protection locked="0"/>
    </xf>
    <xf numFmtId="44" fontId="5" fillId="12" borderId="49" xfId="2" applyFont="1" applyFill="1" applyBorder="1" applyProtection="1">
      <protection locked="0"/>
    </xf>
    <xf numFmtId="44" fontId="5" fillId="12" borderId="51" xfId="2" applyFont="1" applyFill="1" applyBorder="1" applyProtection="1">
      <protection locked="0"/>
    </xf>
    <xf numFmtId="1" fontId="5" fillId="12" borderId="5" xfId="2" applyNumberFormat="1" applyFont="1" applyFill="1" applyBorder="1" applyProtection="1">
      <protection locked="0"/>
    </xf>
    <xf numFmtId="44" fontId="5" fillId="10" borderId="69" xfId="2" applyFont="1" applyFill="1" applyBorder="1" applyAlignment="1" applyProtection="1">
      <alignment horizontal="center"/>
      <protection locked="0"/>
    </xf>
    <xf numFmtId="44" fontId="5" fillId="10" borderId="5" xfId="2" applyFont="1" applyFill="1" applyBorder="1" applyAlignment="1" applyProtection="1">
      <alignment horizontal="center"/>
      <protection locked="0"/>
    </xf>
    <xf numFmtId="44" fontId="5" fillId="10" borderId="52" xfId="2" applyFont="1" applyFill="1" applyBorder="1" applyAlignment="1" applyProtection="1">
      <alignment horizontal="center"/>
      <protection locked="0"/>
    </xf>
    <xf numFmtId="44" fontId="5" fillId="10" borderId="51" xfId="2" applyFont="1" applyFill="1" applyBorder="1" applyAlignment="1" applyProtection="1">
      <alignment horizontal="center"/>
      <protection locked="0"/>
    </xf>
    <xf numFmtId="44" fontId="5" fillId="10" borderId="52" xfId="0" applyNumberFormat="1" applyFont="1" applyFill="1" applyBorder="1" applyProtection="1">
      <protection locked="0"/>
    </xf>
    <xf numFmtId="44" fontId="5" fillId="10" borderId="51" xfId="2" applyFont="1" applyFill="1" applyBorder="1" applyProtection="1">
      <protection locked="0"/>
    </xf>
    <xf numFmtId="44" fontId="5" fillId="10" borderId="5" xfId="2" applyFont="1" applyFill="1" applyBorder="1" applyProtection="1">
      <protection locked="0"/>
    </xf>
    <xf numFmtId="0" fontId="5" fillId="10" borderId="41" xfId="0" applyFont="1" applyFill="1" applyBorder="1" applyProtection="1">
      <protection locked="0"/>
    </xf>
    <xf numFmtId="0" fontId="0" fillId="13" borderId="0" xfId="0" applyFill="1"/>
    <xf numFmtId="0" fontId="5" fillId="12" borderId="0" xfId="0" applyFont="1" applyFill="1"/>
    <xf numFmtId="0" fontId="5" fillId="12" borderId="81" xfId="0" applyFont="1" applyFill="1" applyBorder="1" applyAlignment="1">
      <alignment horizontal="center" wrapText="1"/>
    </xf>
    <xf numFmtId="0" fontId="5" fillId="12" borderId="50" xfId="0" applyFont="1" applyFill="1" applyBorder="1" applyAlignment="1">
      <alignment horizontal="center" wrapText="1"/>
    </xf>
    <xf numFmtId="0" fontId="5" fillId="12" borderId="45" xfId="0" applyFont="1" applyFill="1" applyBorder="1" applyAlignment="1">
      <alignment horizontal="center"/>
    </xf>
    <xf numFmtId="0" fontId="5" fillId="12" borderId="57" xfId="0" applyFont="1" applyFill="1" applyBorder="1"/>
    <xf numFmtId="0" fontId="5" fillId="12" borderId="28" xfId="0" applyFont="1" applyFill="1" applyBorder="1" applyProtection="1">
      <protection locked="0"/>
    </xf>
    <xf numFmtId="0" fontId="5" fillId="12" borderId="41" xfId="0" applyFont="1" applyFill="1" applyBorder="1" applyProtection="1">
      <protection locked="0"/>
    </xf>
    <xf numFmtId="0" fontId="5" fillId="12" borderId="5" xfId="0" applyFont="1" applyFill="1" applyBorder="1" applyAlignment="1" applyProtection="1">
      <alignment horizontal="center"/>
      <protection locked="0"/>
    </xf>
    <xf numFmtId="0" fontId="5" fillId="12" borderId="41" xfId="0" applyFont="1" applyFill="1" applyBorder="1" applyAlignment="1" applyProtection="1">
      <alignment horizontal="center"/>
      <protection locked="0"/>
    </xf>
    <xf numFmtId="0" fontId="5" fillId="12" borderId="51" xfId="0" applyFont="1" applyFill="1" applyBorder="1" applyAlignment="1" applyProtection="1">
      <alignment horizontal="center"/>
      <protection locked="0"/>
    </xf>
    <xf numFmtId="0" fontId="5" fillId="12" borderId="26" xfId="0" applyFont="1" applyFill="1" applyBorder="1" applyAlignment="1" applyProtection="1">
      <alignment horizontal="center"/>
      <protection locked="0"/>
    </xf>
    <xf numFmtId="41" fontId="5" fillId="12" borderId="5" xfId="0" applyNumberFormat="1" applyFont="1" applyFill="1" applyBorder="1" applyAlignment="1" applyProtection="1">
      <alignment horizontal="center"/>
      <protection locked="0"/>
    </xf>
    <xf numFmtId="41" fontId="5" fillId="12" borderId="3" xfId="0" applyNumberFormat="1" applyFont="1" applyFill="1" applyBorder="1" applyAlignment="1" applyProtection="1">
      <alignment horizontal="center"/>
      <protection locked="0"/>
    </xf>
    <xf numFmtId="0" fontId="5" fillId="12" borderId="80" xfId="0" applyFont="1" applyFill="1" applyBorder="1" applyAlignment="1">
      <alignment horizontal="center" wrapText="1"/>
    </xf>
    <xf numFmtId="0" fontId="5" fillId="12" borderId="45" xfId="0" applyFont="1" applyFill="1" applyBorder="1" applyAlignment="1">
      <alignment horizontal="center" wrapText="1"/>
    </xf>
    <xf numFmtId="0" fontId="5" fillId="12" borderId="57" xfId="0" applyFont="1" applyFill="1" applyBorder="1" applyAlignment="1">
      <alignment horizontal="center" wrapText="1"/>
    </xf>
    <xf numFmtId="0" fontId="5" fillId="12" borderId="73" xfId="0" applyFont="1" applyFill="1" applyBorder="1" applyProtection="1">
      <protection locked="0"/>
    </xf>
    <xf numFmtId="0" fontId="5" fillId="12" borderId="1" xfId="0" applyFont="1" applyFill="1" applyBorder="1" applyProtection="1">
      <protection locked="0"/>
    </xf>
    <xf numFmtId="0" fontId="5" fillId="9" borderId="11" xfId="0" applyFont="1" applyFill="1" applyBorder="1"/>
    <xf numFmtId="43" fontId="5" fillId="9" borderId="9" xfId="0" applyNumberFormat="1" applyFont="1" applyFill="1" applyBorder="1"/>
    <xf numFmtId="0" fontId="5" fillId="12" borderId="1" xfId="0" applyFont="1" applyFill="1" applyBorder="1"/>
    <xf numFmtId="0" fontId="5" fillId="12" borderId="4" xfId="0" applyFont="1" applyFill="1" applyBorder="1"/>
    <xf numFmtId="0" fontId="5" fillId="12" borderId="9" xfId="0" applyFont="1" applyFill="1" applyBorder="1"/>
    <xf numFmtId="0" fontId="5" fillId="12" borderId="10" xfId="0" applyFont="1" applyFill="1" applyBorder="1"/>
    <xf numFmtId="44" fontId="8" fillId="10" borderId="5" xfId="2" applyFont="1" applyFill="1" applyBorder="1"/>
    <xf numFmtId="44" fontId="8" fillId="10" borderId="41" xfId="2" applyFont="1" applyFill="1" applyBorder="1"/>
    <xf numFmtId="0" fontId="5" fillId="11" borderId="29" xfId="0" applyFont="1" applyFill="1" applyBorder="1"/>
    <xf numFmtId="0" fontId="5" fillId="11" borderId="0" xfId="0" applyFont="1" applyFill="1"/>
    <xf numFmtId="0" fontId="5" fillId="11" borderId="9" xfId="0" applyFont="1" applyFill="1" applyBorder="1"/>
    <xf numFmtId="0" fontId="5" fillId="11" borderId="10" xfId="0" applyFont="1" applyFill="1" applyBorder="1"/>
    <xf numFmtId="0" fontId="8" fillId="11" borderId="0" xfId="0" applyFont="1" applyFill="1" applyAlignment="1">
      <alignment horizontal="center"/>
    </xf>
    <xf numFmtId="0" fontId="5" fillId="11" borderId="1" xfId="0" applyFont="1" applyFill="1" applyBorder="1"/>
    <xf numFmtId="0" fontId="4" fillId="8" borderId="0" xfId="0" applyFont="1" applyFill="1" applyAlignment="1">
      <alignment horizontal="center"/>
    </xf>
    <xf numFmtId="1" fontId="5" fillId="10" borderId="5" xfId="0" applyNumberFormat="1" applyFont="1" applyFill="1" applyBorder="1" applyAlignment="1" applyProtection="1">
      <alignment horizontal="center"/>
      <protection locked="0"/>
    </xf>
    <xf numFmtId="10" fontId="5" fillId="10" borderId="5" xfId="4" applyNumberFormat="1" applyFont="1" applyFill="1" applyBorder="1"/>
    <xf numFmtId="9" fontId="5" fillId="10" borderId="51" xfId="4" applyFont="1" applyFill="1" applyBorder="1"/>
    <xf numFmtId="0" fontId="5" fillId="10" borderId="0" xfId="0" applyFont="1" applyFill="1" applyProtection="1">
      <protection locked="0"/>
    </xf>
    <xf numFmtId="170" fontId="5" fillId="10" borderId="55" xfId="2" applyNumberFormat="1" applyFont="1" applyFill="1" applyBorder="1" applyProtection="1">
      <protection locked="0"/>
    </xf>
    <xf numFmtId="170" fontId="5" fillId="10" borderId="5" xfId="2" applyNumberFormat="1" applyFont="1" applyFill="1" applyBorder="1" applyProtection="1">
      <protection locked="0"/>
    </xf>
    <xf numFmtId="170" fontId="5" fillId="10" borderId="41" xfId="2" applyNumberFormat="1" applyFont="1" applyFill="1" applyBorder="1" applyProtection="1">
      <protection locked="0"/>
    </xf>
    <xf numFmtId="0" fontId="5" fillId="0" borderId="39" xfId="0" applyFont="1" applyBorder="1" applyAlignment="1" applyProtection="1">
      <alignment horizontal="center"/>
      <protection locked="0"/>
    </xf>
    <xf numFmtId="170" fontId="5" fillId="14" borderId="84" xfId="0" applyNumberFormat="1" applyFont="1" applyFill="1" applyBorder="1" applyAlignment="1">
      <alignment horizontal="center"/>
    </xf>
    <xf numFmtId="170" fontId="5" fillId="0" borderId="84" xfId="2" applyNumberFormat="1" applyFont="1" applyFill="1" applyBorder="1" applyAlignment="1">
      <alignment horizontal="center"/>
    </xf>
    <xf numFmtId="0" fontId="5" fillId="12" borderId="55" xfId="0" applyFont="1" applyFill="1" applyBorder="1" applyAlignment="1">
      <alignment horizontal="center"/>
    </xf>
    <xf numFmtId="9" fontId="5" fillId="12" borderId="98" xfId="4" applyFont="1" applyFill="1" applyBorder="1"/>
    <xf numFmtId="0" fontId="0" fillId="12" borderId="0" xfId="0" applyFill="1"/>
    <xf numFmtId="0" fontId="5" fillId="12" borderId="76" xfId="0" applyFont="1" applyFill="1" applyBorder="1" applyProtection="1">
      <protection locked="0"/>
    </xf>
    <xf numFmtId="0" fontId="5" fillId="12" borderId="77" xfId="0" applyFont="1" applyFill="1" applyBorder="1" applyProtection="1">
      <protection locked="0"/>
    </xf>
    <xf numFmtId="14" fontId="5" fillId="12" borderId="41" xfId="0" applyNumberFormat="1" applyFont="1" applyFill="1" applyBorder="1" applyAlignment="1">
      <alignment horizontal="center"/>
    </xf>
    <xf numFmtId="0" fontId="8" fillId="12" borderId="10" xfId="0" applyFont="1" applyFill="1" applyBorder="1"/>
    <xf numFmtId="0" fontId="8" fillId="12" borderId="75" xfId="0" applyFont="1" applyFill="1" applyBorder="1" applyAlignment="1" applyProtection="1">
      <alignment horizontal="center"/>
      <protection locked="0"/>
    </xf>
    <xf numFmtId="0" fontId="5" fillId="12" borderId="53" xfId="0" applyFont="1" applyFill="1" applyBorder="1" applyAlignment="1">
      <alignment horizontal="center" wrapText="1"/>
    </xf>
    <xf numFmtId="1" fontId="5" fillId="12" borderId="5" xfId="0" applyNumberFormat="1" applyFont="1" applyFill="1" applyBorder="1" applyAlignment="1">
      <alignment horizontal="center"/>
    </xf>
    <xf numFmtId="10" fontId="5" fillId="12" borderId="5" xfId="4" applyNumberFormat="1" applyFont="1" applyFill="1" applyBorder="1"/>
    <xf numFmtId="0" fontId="25" fillId="12" borderId="0" xfId="0" applyFont="1" applyFill="1" applyProtection="1">
      <protection locked="0"/>
    </xf>
    <xf numFmtId="170" fontId="25" fillId="12" borderId="0" xfId="2" applyNumberFormat="1" applyFont="1" applyFill="1" applyProtection="1">
      <protection locked="0"/>
    </xf>
    <xf numFmtId="9" fontId="5" fillId="12" borderId="5" xfId="4" applyFont="1" applyFill="1" applyBorder="1" applyProtection="1">
      <protection locked="0"/>
    </xf>
    <xf numFmtId="9" fontId="5" fillId="12" borderId="69" xfId="4" applyFont="1" applyFill="1" applyBorder="1" applyProtection="1">
      <protection locked="0"/>
    </xf>
    <xf numFmtId="9" fontId="5" fillId="12" borderId="26" xfId="4" applyFont="1" applyFill="1" applyBorder="1" applyProtection="1">
      <protection locked="0"/>
    </xf>
    <xf numFmtId="1" fontId="5" fillId="12" borderId="26" xfId="0" applyNumberFormat="1" applyFont="1" applyFill="1" applyBorder="1" applyProtection="1">
      <protection locked="0"/>
    </xf>
    <xf numFmtId="44" fontId="5" fillId="12" borderId="5" xfId="0" applyNumberFormat="1" applyFont="1" applyFill="1" applyBorder="1" applyProtection="1">
      <protection locked="0"/>
    </xf>
    <xf numFmtId="178" fontId="5" fillId="12" borderId="5" xfId="2" applyNumberFormat="1" applyFont="1" applyFill="1" applyBorder="1" applyAlignment="1" applyProtection="1">
      <alignment horizontal="center"/>
      <protection locked="0"/>
    </xf>
    <xf numFmtId="1" fontId="5" fillId="12" borderId="49" xfId="2" applyNumberFormat="1" applyFont="1" applyFill="1" applyBorder="1" applyProtection="1">
      <protection locked="0"/>
    </xf>
    <xf numFmtId="1" fontId="5" fillId="12" borderId="26" xfId="2" applyNumberFormat="1" applyFont="1" applyFill="1" applyBorder="1" applyProtection="1">
      <protection locked="0"/>
    </xf>
    <xf numFmtId="0" fontId="8" fillId="11" borderId="30" xfId="0" applyFont="1" applyFill="1" applyBorder="1" applyAlignment="1">
      <alignment horizontal="center"/>
    </xf>
    <xf numFmtId="0" fontId="8" fillId="11" borderId="29" xfId="0" applyFont="1" applyFill="1" applyBorder="1" applyAlignment="1">
      <alignment horizontal="left"/>
    </xf>
    <xf numFmtId="0" fontId="8" fillId="11" borderId="30" xfId="0" applyFont="1" applyFill="1" applyBorder="1" applyAlignment="1" applyProtection="1">
      <alignment horizontal="center"/>
      <protection locked="0"/>
    </xf>
    <xf numFmtId="0" fontId="5" fillId="11" borderId="4" xfId="0" applyFont="1" applyFill="1" applyBorder="1"/>
    <xf numFmtId="44" fontId="5" fillId="10" borderId="60" xfId="0" applyNumberFormat="1" applyFont="1" applyFill="1" applyBorder="1" applyProtection="1">
      <protection locked="0"/>
    </xf>
    <xf numFmtId="44" fontId="5" fillId="10" borderId="81" xfId="2" applyFont="1" applyFill="1" applyBorder="1" applyProtection="1">
      <protection locked="0"/>
    </xf>
    <xf numFmtId="44" fontId="5" fillId="10" borderId="51" xfId="0" applyNumberFormat="1" applyFont="1" applyFill="1" applyBorder="1" applyProtection="1">
      <protection locked="0"/>
    </xf>
    <xf numFmtId="44" fontId="5" fillId="10" borderId="26" xfId="0" applyNumberFormat="1" applyFont="1" applyFill="1" applyBorder="1" applyProtection="1">
      <protection locked="0"/>
    </xf>
    <xf numFmtId="0" fontId="5" fillId="10" borderId="5" xfId="0" applyFont="1" applyFill="1" applyBorder="1" applyAlignment="1" applyProtection="1">
      <alignment horizontal="center"/>
      <protection locked="0"/>
    </xf>
    <xf numFmtId="0" fontId="8" fillId="10" borderId="30" xfId="0" applyFont="1" applyFill="1" applyBorder="1" applyAlignment="1">
      <alignment horizontal="center"/>
    </xf>
    <xf numFmtId="170" fontId="5" fillId="10" borderId="5" xfId="0" applyNumberFormat="1" applyFont="1" applyFill="1" applyBorder="1" applyProtection="1">
      <protection locked="0"/>
    </xf>
    <xf numFmtId="170" fontId="5" fillId="10" borderId="41" xfId="0" applyNumberFormat="1" applyFont="1" applyFill="1" applyBorder="1" applyProtection="1">
      <protection locked="0"/>
    </xf>
    <xf numFmtId="168" fontId="5" fillId="10" borderId="5" xfId="1" applyNumberFormat="1" applyFont="1" applyFill="1" applyBorder="1" applyProtection="1">
      <protection locked="0"/>
    </xf>
    <xf numFmtId="170" fontId="5" fillId="10" borderId="5" xfId="1" applyNumberFormat="1" applyFont="1" applyFill="1" applyBorder="1" applyProtection="1">
      <protection locked="0"/>
    </xf>
    <xf numFmtId="168" fontId="5" fillId="10" borderId="49" xfId="1" applyNumberFormat="1" applyFont="1" applyFill="1" applyBorder="1" applyProtection="1">
      <protection locked="0"/>
    </xf>
    <xf numFmtId="170" fontId="5" fillId="10" borderId="26" xfId="1" applyNumberFormat="1" applyFont="1" applyFill="1" applyBorder="1" applyProtection="1">
      <protection locked="0"/>
    </xf>
    <xf numFmtId="44" fontId="5" fillId="11" borderId="23" xfId="0" applyNumberFormat="1" applyFont="1" applyFill="1" applyBorder="1" applyProtection="1">
      <protection locked="0"/>
    </xf>
    <xf numFmtId="0" fontId="0" fillId="11" borderId="45" xfId="0" applyFill="1" applyBorder="1"/>
    <xf numFmtId="0" fontId="5" fillId="11" borderId="45" xfId="0" applyFont="1" applyFill="1" applyBorder="1" applyProtection="1">
      <protection locked="0"/>
    </xf>
    <xf numFmtId="1" fontId="5" fillId="11" borderId="45" xfId="0" applyNumberFormat="1" applyFont="1" applyFill="1" applyBorder="1" applyProtection="1">
      <protection locked="0"/>
    </xf>
    <xf numFmtId="0" fontId="5" fillId="0" borderId="58" xfId="0" applyFont="1" applyBorder="1"/>
    <xf numFmtId="0" fontId="5" fillId="11" borderId="58" xfId="0" applyFont="1" applyFill="1" applyBorder="1"/>
    <xf numFmtId="0" fontId="5" fillId="11" borderId="54" xfId="0" applyFont="1" applyFill="1" applyBorder="1"/>
    <xf numFmtId="0" fontId="5" fillId="11" borderId="68" xfId="0" applyFont="1" applyFill="1" applyBorder="1"/>
    <xf numFmtId="170" fontId="5" fillId="10" borderId="51" xfId="0" applyNumberFormat="1" applyFont="1" applyFill="1" applyBorder="1" applyProtection="1">
      <protection locked="0"/>
    </xf>
    <xf numFmtId="44" fontId="5" fillId="12" borderId="51" xfId="2" applyFont="1" applyFill="1" applyBorder="1" applyAlignment="1" applyProtection="1">
      <alignment horizontal="left"/>
      <protection locked="0"/>
    </xf>
    <xf numFmtId="0" fontId="5" fillId="0" borderId="16" xfId="0" quotePrefix="1" applyFont="1" applyBorder="1" applyAlignment="1" applyProtection="1">
      <alignment horizontal="left"/>
      <protection locked="0"/>
    </xf>
    <xf numFmtId="168" fontId="5" fillId="10" borderId="51" xfId="1" applyNumberFormat="1" applyFont="1" applyFill="1" applyBorder="1" applyProtection="1">
      <protection locked="0"/>
    </xf>
    <xf numFmtId="0" fontId="5" fillId="11" borderId="75" xfId="0" applyFont="1" applyFill="1" applyBorder="1"/>
    <xf numFmtId="168" fontId="5" fillId="10" borderId="0" xfId="0" applyNumberFormat="1" applyFont="1" applyFill="1"/>
    <xf numFmtId="43" fontId="5" fillId="10" borderId="21" xfId="0" applyNumberFormat="1" applyFont="1" applyFill="1" applyBorder="1"/>
    <xf numFmtId="41" fontId="5" fillId="10" borderId="21" xfId="0" applyNumberFormat="1" applyFont="1" applyFill="1" applyBorder="1"/>
    <xf numFmtId="0" fontId="5" fillId="10" borderId="30" xfId="0" applyFont="1" applyFill="1" applyBorder="1"/>
    <xf numFmtId="0" fontId="5" fillId="10" borderId="31" xfId="0" applyFont="1" applyFill="1" applyBorder="1"/>
    <xf numFmtId="0" fontId="5" fillId="0" borderId="16" xfId="0" applyFont="1" applyBorder="1"/>
    <xf numFmtId="0" fontId="5" fillId="10" borderId="41" xfId="0" applyFont="1" applyFill="1" applyBorder="1" applyAlignment="1" applyProtection="1">
      <alignment horizontal="center"/>
      <protection locked="0"/>
    </xf>
    <xf numFmtId="44" fontId="5" fillId="10" borderId="41" xfId="2" applyFont="1" applyFill="1" applyBorder="1" applyProtection="1">
      <protection locked="0"/>
    </xf>
    <xf numFmtId="0" fontId="5" fillId="11" borderId="3" xfId="0" applyFont="1" applyFill="1" applyBorder="1"/>
    <xf numFmtId="43" fontId="11" fillId="10" borderId="16" xfId="0" applyNumberFormat="1" applyFont="1" applyFill="1" applyBorder="1" applyProtection="1">
      <protection locked="0"/>
    </xf>
    <xf numFmtId="0" fontId="5" fillId="10" borderId="3" xfId="0" applyFont="1" applyFill="1" applyBorder="1" applyProtection="1">
      <protection locked="0"/>
    </xf>
    <xf numFmtId="41" fontId="5" fillId="10" borderId="16" xfId="0" applyNumberFormat="1" applyFont="1" applyFill="1" applyBorder="1" applyAlignment="1" applyProtection="1">
      <alignment horizontal="center"/>
      <protection locked="0"/>
    </xf>
    <xf numFmtId="41" fontId="5" fillId="10" borderId="3" xfId="0" applyNumberFormat="1" applyFont="1" applyFill="1" applyBorder="1" applyAlignment="1" applyProtection="1">
      <alignment horizontal="center"/>
      <protection locked="0"/>
    </xf>
    <xf numFmtId="0" fontId="5" fillId="12" borderId="21" xfId="0" applyFont="1" applyFill="1" applyBorder="1"/>
    <xf numFmtId="0" fontId="5" fillId="15" borderId="9" xfId="0" applyFont="1" applyFill="1" applyBorder="1"/>
    <xf numFmtId="0" fontId="5" fillId="15" borderId="10" xfId="0" applyFont="1" applyFill="1" applyBorder="1" applyAlignment="1">
      <alignment horizontal="right"/>
    </xf>
    <xf numFmtId="0" fontId="5" fillId="15" borderId="10" xfId="0" applyFont="1" applyFill="1" applyBorder="1"/>
    <xf numFmtId="0" fontId="8" fillId="15" borderId="10" xfId="0" applyFont="1" applyFill="1" applyBorder="1" applyAlignment="1">
      <alignment horizontal="center"/>
    </xf>
    <xf numFmtId="0" fontId="5" fillId="11" borderId="0" xfId="0" applyFont="1" applyFill="1" applyAlignment="1">
      <alignment horizontal="right"/>
    </xf>
    <xf numFmtId="0" fontId="5" fillId="11" borderId="2" xfId="0" applyFont="1" applyFill="1" applyBorder="1" applyAlignment="1">
      <alignment horizontal="right"/>
    </xf>
    <xf numFmtId="0" fontId="8" fillId="15" borderId="9" xfId="0" applyFont="1" applyFill="1" applyBorder="1"/>
    <xf numFmtId="0" fontId="8" fillId="15" borderId="11" xfId="0" applyFont="1" applyFill="1" applyBorder="1" applyAlignment="1">
      <alignment horizontal="center"/>
    </xf>
    <xf numFmtId="14" fontId="5" fillId="12" borderId="55" xfId="0" applyNumberFormat="1" applyFont="1" applyFill="1" applyBorder="1" applyAlignment="1">
      <alignment horizontal="center"/>
    </xf>
    <xf numFmtId="0" fontId="5" fillId="12" borderId="98" xfId="0" applyFont="1" applyFill="1" applyBorder="1" applyAlignment="1">
      <alignment horizontal="center"/>
    </xf>
    <xf numFmtId="14" fontId="5" fillId="12" borderId="5" xfId="0" applyNumberFormat="1" applyFont="1" applyFill="1" applyBorder="1" applyAlignment="1">
      <alignment horizontal="center"/>
    </xf>
    <xf numFmtId="0" fontId="5" fillId="12" borderId="46" xfId="0" applyFont="1" applyFill="1" applyBorder="1" applyAlignment="1">
      <alignment horizontal="center"/>
    </xf>
    <xf numFmtId="0" fontId="5" fillId="15" borderId="4" xfId="0" applyFont="1" applyFill="1" applyBorder="1"/>
    <xf numFmtId="0" fontId="5" fillId="15" borderId="2" xfId="0" applyFont="1" applyFill="1" applyBorder="1"/>
    <xf numFmtId="0" fontId="5" fillId="15" borderId="30" xfId="0" applyFont="1" applyFill="1" applyBorder="1"/>
    <xf numFmtId="0" fontId="5" fillId="15" borderId="31" xfId="0" applyFont="1" applyFill="1" applyBorder="1"/>
    <xf numFmtId="0" fontId="5" fillId="15" borderId="29" xfId="0" applyFont="1" applyFill="1" applyBorder="1"/>
    <xf numFmtId="170" fontId="5" fillId="15" borderId="2" xfId="2" applyNumberFormat="1" applyFont="1" applyFill="1" applyBorder="1" applyAlignment="1" applyProtection="1">
      <alignment horizontal="center"/>
      <protection locked="0"/>
    </xf>
    <xf numFmtId="0" fontId="8" fillId="15" borderId="2" xfId="0" applyFont="1" applyFill="1" applyBorder="1"/>
    <xf numFmtId="0" fontId="5" fillId="15" borderId="12" xfId="0" applyFont="1" applyFill="1" applyBorder="1"/>
    <xf numFmtId="0" fontId="5" fillId="15" borderId="0" xfId="0" applyFont="1" applyFill="1"/>
    <xf numFmtId="0" fontId="5" fillId="15" borderId="9" xfId="0" applyFont="1" applyFill="1" applyBorder="1" applyProtection="1">
      <protection locked="0"/>
    </xf>
    <xf numFmtId="0" fontId="5" fillId="15" borderId="10" xfId="0" applyFont="1" applyFill="1" applyBorder="1" applyProtection="1">
      <protection locked="0"/>
    </xf>
    <xf numFmtId="0" fontId="5" fillId="15" borderId="10" xfId="0" applyFont="1" applyFill="1" applyBorder="1" applyAlignment="1" applyProtection="1">
      <alignment horizontal="center"/>
      <protection locked="0"/>
    </xf>
    <xf numFmtId="0" fontId="5" fillId="15" borderId="11" xfId="0" applyFont="1" applyFill="1" applyBorder="1" applyProtection="1">
      <protection locked="0"/>
    </xf>
    <xf numFmtId="170" fontId="5" fillId="15" borderId="0" xfId="2" applyNumberFormat="1" applyFont="1" applyFill="1" applyBorder="1" applyAlignment="1" applyProtection="1">
      <alignment horizontal="center"/>
      <protection locked="0"/>
    </xf>
    <xf numFmtId="0" fontId="5" fillId="12" borderId="49" xfId="0" applyFont="1" applyFill="1" applyBorder="1" applyProtection="1">
      <protection locked="0"/>
    </xf>
    <xf numFmtId="0" fontId="5" fillId="12" borderId="41" xfId="0" applyFont="1" applyFill="1" applyBorder="1" applyAlignment="1">
      <alignment horizontal="center"/>
    </xf>
    <xf numFmtId="10" fontId="5" fillId="12" borderId="46" xfId="4" applyNumberFormat="1" applyFont="1" applyFill="1" applyBorder="1" applyProtection="1"/>
    <xf numFmtId="164" fontId="5" fillId="12" borderId="0" xfId="0" applyNumberFormat="1" applyFont="1" applyFill="1" applyProtection="1">
      <protection locked="0"/>
    </xf>
    <xf numFmtId="168" fontId="5" fillId="12" borderId="0" xfId="1" quotePrefix="1" applyNumberFormat="1" applyFont="1" applyFill="1" applyProtection="1"/>
    <xf numFmtId="170" fontId="5" fillId="12" borderId="0" xfId="0" applyNumberFormat="1" applyFont="1" applyFill="1"/>
    <xf numFmtId="6" fontId="5" fillId="12" borderId="0" xfId="0" quotePrefix="1" applyNumberFormat="1" applyFont="1" applyFill="1"/>
    <xf numFmtId="3" fontId="5" fillId="12" borderId="0" xfId="0" quotePrefix="1" applyNumberFormat="1" applyFont="1" applyFill="1"/>
    <xf numFmtId="164" fontId="5" fillId="12" borderId="0" xfId="0" applyNumberFormat="1" applyFont="1" applyFill="1"/>
    <xf numFmtId="166" fontId="5" fillId="12" borderId="0" xfId="0" applyNumberFormat="1" applyFont="1" applyFill="1"/>
    <xf numFmtId="9" fontId="5" fillId="12" borderId="5" xfId="4" applyFont="1" applyFill="1" applyBorder="1" applyProtection="1"/>
    <xf numFmtId="9" fontId="5" fillId="12" borderId="49" xfId="4" applyFont="1" applyFill="1" applyBorder="1" applyProtection="1"/>
    <xf numFmtId="9" fontId="5" fillId="12" borderId="26" xfId="4" applyFont="1" applyFill="1" applyBorder="1" applyProtection="1"/>
    <xf numFmtId="1" fontId="5" fillId="12" borderId="55" xfId="0" applyNumberFormat="1" applyFont="1" applyFill="1" applyBorder="1"/>
    <xf numFmtId="1" fontId="5" fillId="12" borderId="5" xfId="0" applyNumberFormat="1" applyFont="1" applyFill="1" applyBorder="1"/>
    <xf numFmtId="1" fontId="5" fillId="12" borderId="41" xfId="0" applyNumberFormat="1" applyFont="1" applyFill="1" applyBorder="1"/>
    <xf numFmtId="1" fontId="5" fillId="12" borderId="51" xfId="0" applyNumberFormat="1" applyFont="1" applyFill="1" applyBorder="1"/>
    <xf numFmtId="44" fontId="5" fillId="12" borderId="55" xfId="2" applyFont="1" applyFill="1" applyBorder="1" applyAlignment="1" applyProtection="1">
      <alignment horizontal="left"/>
    </xf>
    <xf numFmtId="44" fontId="5" fillId="12" borderId="5" xfId="2" applyFont="1" applyFill="1" applyBorder="1" applyProtection="1"/>
    <xf numFmtId="44" fontId="5" fillId="12" borderId="49" xfId="2" applyFont="1" applyFill="1" applyBorder="1" applyProtection="1"/>
    <xf numFmtId="44" fontId="5" fillId="12" borderId="51" xfId="2" applyFont="1" applyFill="1" applyBorder="1" applyProtection="1"/>
    <xf numFmtId="1" fontId="5" fillId="12" borderId="41" xfId="2" applyNumberFormat="1" applyFont="1" applyFill="1" applyBorder="1" applyProtection="1"/>
    <xf numFmtId="9" fontId="5" fillId="12" borderId="46" xfId="4" applyFont="1" applyFill="1" applyBorder="1"/>
    <xf numFmtId="0" fontId="5" fillId="11" borderId="66" xfId="0" applyFont="1" applyFill="1" applyBorder="1"/>
    <xf numFmtId="0" fontId="5" fillId="11" borderId="43" xfId="0" applyFont="1" applyFill="1" applyBorder="1" applyAlignment="1">
      <alignment horizontal="center"/>
    </xf>
    <xf numFmtId="41" fontId="5" fillId="10" borderId="56" xfId="0" applyNumberFormat="1" applyFont="1" applyFill="1" applyBorder="1" applyAlignment="1">
      <alignment horizontal="center"/>
    </xf>
    <xf numFmtId="41" fontId="5" fillId="10" borderId="56" xfId="0" applyNumberFormat="1" applyFont="1" applyFill="1" applyBorder="1" applyAlignment="1" applyProtection="1">
      <alignment horizontal="center"/>
      <protection locked="0"/>
    </xf>
    <xf numFmtId="168" fontId="5" fillId="10" borderId="0" xfId="1" applyNumberFormat="1" applyFont="1" applyFill="1" applyBorder="1" applyProtection="1">
      <protection locked="0"/>
    </xf>
    <xf numFmtId="164" fontId="5" fillId="10" borderId="0" xfId="0" applyNumberFormat="1" applyFont="1" applyFill="1" applyProtection="1">
      <protection locked="0"/>
    </xf>
    <xf numFmtId="41" fontId="5" fillId="10" borderId="26" xfId="0" applyNumberFormat="1" applyFont="1" applyFill="1" applyBorder="1" applyAlignment="1">
      <alignment horizontal="center"/>
    </xf>
    <xf numFmtId="41" fontId="5" fillId="10" borderId="61" xfId="0" applyNumberFormat="1" applyFont="1" applyFill="1" applyBorder="1" applyAlignment="1" applyProtection="1">
      <alignment horizontal="center"/>
      <protection locked="0"/>
    </xf>
    <xf numFmtId="168" fontId="5" fillId="10" borderId="2" xfId="1" applyNumberFormat="1" applyFont="1" applyFill="1" applyBorder="1" applyProtection="1">
      <protection locked="0"/>
    </xf>
    <xf numFmtId="44" fontId="5" fillId="12" borderId="16" xfId="2" applyFont="1" applyFill="1" applyBorder="1"/>
    <xf numFmtId="44" fontId="5" fillId="12" borderId="3" xfId="2" applyFont="1" applyFill="1" applyBorder="1"/>
    <xf numFmtId="0" fontId="8" fillId="15" borderId="0" xfId="0" applyFont="1" applyFill="1"/>
    <xf numFmtId="0" fontId="5" fillId="15" borderId="1" xfId="0" applyFont="1" applyFill="1" applyBorder="1"/>
    <xf numFmtId="0" fontId="5" fillId="15" borderId="0" xfId="0" applyFont="1" applyFill="1" applyAlignment="1">
      <alignment horizontal="right"/>
    </xf>
    <xf numFmtId="0" fontId="5" fillId="15" borderId="2" xfId="0" applyFont="1" applyFill="1" applyBorder="1" applyAlignment="1">
      <alignment horizontal="right"/>
    </xf>
    <xf numFmtId="0" fontId="8" fillId="15" borderId="2" xfId="0" applyFont="1" applyFill="1" applyBorder="1" applyAlignment="1">
      <alignment horizontal="right"/>
    </xf>
    <xf numFmtId="0" fontId="5" fillId="12" borderId="10" xfId="0" applyFont="1" applyFill="1" applyBorder="1" applyAlignment="1">
      <alignment horizontal="center"/>
    </xf>
    <xf numFmtId="0" fontId="5" fillId="12" borderId="37" xfId="0" applyFont="1" applyFill="1" applyBorder="1" applyAlignment="1">
      <alignment horizontal="center"/>
    </xf>
    <xf numFmtId="0" fontId="5" fillId="12" borderId="47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5" fillId="12" borderId="48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0" fillId="10" borderId="45" xfId="0" applyFill="1" applyBorder="1"/>
    <xf numFmtId="0" fontId="5" fillId="10" borderId="45" xfId="0" applyFont="1" applyFill="1" applyBorder="1" applyProtection="1">
      <protection locked="0"/>
    </xf>
    <xf numFmtId="1" fontId="5" fillId="10" borderId="45" xfId="0" applyNumberFormat="1" applyFont="1" applyFill="1" applyBorder="1" applyProtection="1">
      <protection locked="0"/>
    </xf>
    <xf numFmtId="44" fontId="5" fillId="10" borderId="23" xfId="0" applyNumberFormat="1" applyFont="1" applyFill="1" applyBorder="1" applyProtection="1">
      <protection locked="0"/>
    </xf>
    <xf numFmtId="170" fontId="5" fillId="10" borderId="58" xfId="0" applyNumberFormat="1" applyFont="1" applyFill="1" applyBorder="1" applyAlignment="1">
      <alignment horizontal="center"/>
    </xf>
    <xf numFmtId="44" fontId="5" fillId="10" borderId="52" xfId="2" applyFont="1" applyFill="1" applyBorder="1" applyAlignment="1" applyProtection="1">
      <alignment horizontal="center"/>
    </xf>
    <xf numFmtId="44" fontId="5" fillId="10" borderId="5" xfId="2" applyFont="1" applyFill="1" applyBorder="1" applyAlignment="1" applyProtection="1">
      <alignment horizontal="center"/>
    </xf>
    <xf numFmtId="44" fontId="5" fillId="10" borderId="60" xfId="0" applyNumberFormat="1" applyFont="1" applyFill="1" applyBorder="1"/>
    <xf numFmtId="44" fontId="5" fillId="10" borderId="81" xfId="2" applyFont="1" applyFill="1" applyBorder="1" applyProtection="1"/>
    <xf numFmtId="44" fontId="5" fillId="10" borderId="26" xfId="0" applyNumberFormat="1" applyFont="1" applyFill="1" applyBorder="1"/>
    <xf numFmtId="170" fontId="5" fillId="10" borderId="55" xfId="2" applyNumberFormat="1" applyFont="1" applyFill="1" applyBorder="1" applyProtection="1"/>
    <xf numFmtId="170" fontId="5" fillId="10" borderId="5" xfId="2" applyNumberFormat="1" applyFont="1" applyFill="1" applyBorder="1" applyProtection="1"/>
    <xf numFmtId="170" fontId="5" fillId="10" borderId="41" xfId="2" applyNumberFormat="1" applyFont="1" applyFill="1" applyBorder="1" applyProtection="1"/>
    <xf numFmtId="0" fontId="8" fillId="15" borderId="10" xfId="0" applyFont="1" applyFill="1" applyBorder="1" applyAlignment="1">
      <alignment horizontal="right"/>
    </xf>
    <xf numFmtId="0" fontId="8" fillId="15" borderId="0" xfId="0" applyFont="1" applyFill="1" applyAlignment="1">
      <alignment horizontal="right"/>
    </xf>
    <xf numFmtId="0" fontId="3" fillId="15" borderId="29" xfId="0" applyFont="1" applyFill="1" applyBorder="1"/>
    <xf numFmtId="0" fontId="3" fillId="15" borderId="30" xfId="0" applyFont="1" applyFill="1" applyBorder="1" applyAlignment="1">
      <alignment horizontal="right"/>
    </xf>
    <xf numFmtId="0" fontId="3" fillId="15" borderId="1" xfId="0" applyFont="1" applyFill="1" applyBorder="1"/>
    <xf numFmtId="0" fontId="3" fillId="15" borderId="0" xfId="0" applyFont="1" applyFill="1" applyAlignment="1">
      <alignment horizontal="right"/>
    </xf>
    <xf numFmtId="0" fontId="3" fillId="15" borderId="4" xfId="0" applyFont="1" applyFill="1" applyBorder="1"/>
    <xf numFmtId="0" fontId="3" fillId="15" borderId="2" xfId="0" applyFont="1" applyFill="1" applyBorder="1" applyAlignment="1">
      <alignment horizontal="right"/>
    </xf>
    <xf numFmtId="0" fontId="3" fillId="15" borderId="30" xfId="0" applyFont="1" applyFill="1" applyBorder="1"/>
    <xf numFmtId="0" fontId="2" fillId="15" borderId="30" xfId="0" applyFont="1" applyFill="1" applyBorder="1" applyAlignment="1">
      <alignment horizontal="center"/>
    </xf>
    <xf numFmtId="0" fontId="2" fillId="15" borderId="31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left"/>
    </xf>
    <xf numFmtId="0" fontId="2" fillId="12" borderId="10" xfId="0" quotePrefix="1" applyFont="1" applyFill="1" applyBorder="1" applyAlignment="1">
      <alignment horizontal="left"/>
    </xf>
    <xf numFmtId="0" fontId="3" fillId="12" borderId="10" xfId="0" applyFont="1" applyFill="1" applyBorder="1"/>
    <xf numFmtId="0" fontId="3" fillId="12" borderId="11" xfId="0" applyFont="1" applyFill="1" applyBorder="1"/>
    <xf numFmtId="1" fontId="2" fillId="12" borderId="1" xfId="0" applyNumberFormat="1" applyFont="1" applyFill="1" applyBorder="1" applyAlignment="1">
      <alignment horizontal="left"/>
    </xf>
    <xf numFmtId="0" fontId="2" fillId="12" borderId="0" xfId="0" quotePrefix="1" applyFont="1" applyFill="1" applyAlignment="1">
      <alignment horizontal="left"/>
    </xf>
    <xf numFmtId="0" fontId="3" fillId="12" borderId="0" xfId="0" applyFont="1" applyFill="1"/>
    <xf numFmtId="0" fontId="3" fillId="12" borderId="21" xfId="0" applyFont="1" applyFill="1" applyBorder="1"/>
    <xf numFmtId="0" fontId="3" fillId="12" borderId="4" xfId="0" applyFont="1" applyFill="1" applyBorder="1" applyAlignment="1">
      <alignment horizontal="left"/>
    </xf>
    <xf numFmtId="0" fontId="3" fillId="12" borderId="12" xfId="0" quotePrefix="1" applyFont="1" applyFill="1" applyBorder="1" applyAlignment="1">
      <alignment horizontal="left"/>
    </xf>
    <xf numFmtId="14" fontId="3" fillId="12" borderId="117" xfId="0" applyNumberFormat="1" applyFont="1" applyFill="1" applyBorder="1" applyAlignment="1" applyProtection="1">
      <alignment horizontal="center"/>
      <protection locked="0"/>
    </xf>
    <xf numFmtId="14" fontId="3" fillId="12" borderId="6" xfId="0" applyNumberFormat="1" applyFont="1" applyFill="1" applyBorder="1" applyProtection="1">
      <protection locked="0"/>
    </xf>
    <xf numFmtId="14" fontId="3" fillId="12" borderId="87" xfId="0" applyNumberFormat="1" applyFont="1" applyFill="1" applyBorder="1" applyAlignment="1" applyProtection="1">
      <alignment horizontal="center"/>
      <protection locked="0"/>
    </xf>
    <xf numFmtId="14" fontId="3" fillId="12" borderId="7" xfId="0" applyNumberFormat="1" applyFont="1" applyFill="1" applyBorder="1" applyProtection="1">
      <protection locked="0"/>
    </xf>
    <xf numFmtId="14" fontId="3" fillId="12" borderId="88" xfId="0" applyNumberFormat="1" applyFont="1" applyFill="1" applyBorder="1" applyAlignment="1" applyProtection="1">
      <alignment horizontal="center"/>
      <protection locked="0"/>
    </xf>
    <xf numFmtId="14" fontId="3" fillId="12" borderId="8" xfId="0" applyNumberFormat="1" applyFont="1" applyFill="1" applyBorder="1" applyProtection="1">
      <protection locked="0"/>
    </xf>
    <xf numFmtId="0" fontId="3" fillId="12" borderId="0" xfId="0" applyFont="1" applyFill="1" applyProtection="1">
      <protection locked="0"/>
    </xf>
    <xf numFmtId="0" fontId="3" fillId="12" borderId="2" xfId="0" applyFont="1" applyFill="1" applyBorder="1" applyProtection="1">
      <protection locked="0"/>
    </xf>
    <xf numFmtId="0" fontId="3" fillId="12" borderId="28" xfId="0" applyFont="1" applyFill="1" applyBorder="1" applyProtection="1">
      <protection locked="0"/>
    </xf>
    <xf numFmtId="0" fontId="3" fillId="12" borderId="49" xfId="0" applyFont="1" applyFill="1" applyBorder="1" applyProtection="1">
      <protection locked="0"/>
    </xf>
    <xf numFmtId="14" fontId="3" fillId="12" borderId="28" xfId="0" applyNumberFormat="1" applyFont="1" applyFill="1" applyBorder="1" applyProtection="1">
      <protection locked="0"/>
    </xf>
    <xf numFmtId="14" fontId="3" fillId="12" borderId="49" xfId="0" applyNumberFormat="1" applyFont="1" applyFill="1" applyBorder="1" applyProtection="1">
      <protection locked="0"/>
    </xf>
    <xf numFmtId="0" fontId="10" fillId="12" borderId="33" xfId="0" applyFont="1" applyFill="1" applyBorder="1" applyAlignment="1">
      <alignment horizontal="center"/>
    </xf>
    <xf numFmtId="0" fontId="2" fillId="12" borderId="33" xfId="0" applyFont="1" applyFill="1" applyBorder="1"/>
    <xf numFmtId="0" fontId="5" fillId="16" borderId="10" xfId="0" applyFont="1" applyFill="1" applyBorder="1"/>
    <xf numFmtId="0" fontId="2" fillId="16" borderId="0" xfId="0" applyFont="1" applyFill="1"/>
    <xf numFmtId="170" fontId="2" fillId="16" borderId="0" xfId="2" applyNumberFormat="1" applyFont="1" applyFill="1" applyBorder="1" applyAlignment="1" applyProtection="1">
      <alignment horizontal="center"/>
    </xf>
    <xf numFmtId="9" fontId="3" fillId="16" borderId="0" xfId="0" applyNumberFormat="1" applyFont="1" applyFill="1"/>
    <xf numFmtId="9" fontId="3" fillId="16" borderId="0" xfId="0" applyNumberFormat="1" applyFont="1" applyFill="1" applyAlignment="1">
      <alignment horizontal="right"/>
    </xf>
    <xf numFmtId="171" fontId="3" fillId="16" borderId="0" xfId="0" applyNumberFormat="1" applyFont="1" applyFill="1" applyAlignment="1">
      <alignment horizontal="right"/>
    </xf>
    <xf numFmtId="0" fontId="7" fillId="16" borderId="0" xfId="0" applyFont="1" applyFill="1" applyAlignment="1">
      <alignment horizontal="center"/>
    </xf>
    <xf numFmtId="0" fontId="5" fillId="16" borderId="21" xfId="0" applyFont="1" applyFill="1" applyBorder="1"/>
    <xf numFmtId="1" fontId="3" fillId="16" borderId="0" xfId="0" applyNumberFormat="1" applyFont="1" applyFill="1"/>
    <xf numFmtId="0" fontId="5" fillId="16" borderId="1" xfId="0" applyFont="1" applyFill="1" applyBorder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left"/>
    </xf>
    <xf numFmtId="9" fontId="3" fillId="16" borderId="0" xfId="0" applyNumberFormat="1" applyFont="1" applyFill="1" applyAlignment="1">
      <alignment horizontal="center"/>
    </xf>
    <xf numFmtId="9" fontId="3" fillId="16" borderId="5" xfId="0" applyNumberFormat="1" applyFont="1" applyFill="1" applyBorder="1" applyAlignment="1">
      <alignment horizontal="center"/>
    </xf>
    <xf numFmtId="0" fontId="8" fillId="16" borderId="0" xfId="0" applyFont="1" applyFill="1"/>
    <xf numFmtId="0" fontId="5" fillId="16" borderId="0" xfId="0" applyFont="1" applyFill="1"/>
    <xf numFmtId="170" fontId="8" fillId="16" borderId="0" xfId="2" applyNumberFormat="1" applyFont="1" applyFill="1"/>
    <xf numFmtId="43" fontId="3" fillId="16" borderId="0" xfId="1" applyFont="1" applyFill="1" applyBorder="1" applyAlignment="1" applyProtection="1">
      <alignment horizontal="right"/>
    </xf>
    <xf numFmtId="9" fontId="2" fillId="16" borderId="0" xfId="0" applyNumberFormat="1" applyFont="1" applyFill="1" applyAlignment="1">
      <alignment horizontal="left"/>
    </xf>
    <xf numFmtId="170" fontId="2" fillId="16" borderId="0" xfId="2" applyNumberFormat="1" applyFont="1" applyFill="1" applyBorder="1" applyAlignment="1" applyProtection="1">
      <alignment horizontal="right"/>
    </xf>
    <xf numFmtId="10" fontId="3" fillId="16" borderId="0" xfId="4" applyNumberFormat="1" applyFont="1" applyFill="1" applyBorder="1" applyProtection="1"/>
    <xf numFmtId="170" fontId="5" fillId="16" borderId="0" xfId="0" applyNumberFormat="1" applyFont="1" applyFill="1"/>
    <xf numFmtId="1" fontId="3" fillId="16" borderId="0" xfId="0" applyNumberFormat="1" applyFont="1" applyFill="1" applyAlignment="1">
      <alignment horizontal="center"/>
    </xf>
    <xf numFmtId="1" fontId="3" fillId="16" borderId="49" xfId="0" applyNumberFormat="1" applyFont="1" applyFill="1" applyBorder="1"/>
    <xf numFmtId="9" fontId="3" fillId="16" borderId="0" xfId="4" applyFont="1" applyFill="1" applyBorder="1" applyProtection="1"/>
    <xf numFmtId="1" fontId="3" fillId="16" borderId="51" xfId="0" applyNumberFormat="1" applyFont="1" applyFill="1" applyBorder="1"/>
    <xf numFmtId="1" fontId="3" fillId="16" borderId="5" xfId="0" applyNumberFormat="1" applyFont="1" applyFill="1" applyBorder="1"/>
    <xf numFmtId="1" fontId="3" fillId="16" borderId="5" xfId="0" applyNumberFormat="1" applyFont="1" applyFill="1" applyBorder="1" applyAlignment="1">
      <alignment horizontal="center"/>
    </xf>
    <xf numFmtId="10" fontId="3" fillId="16" borderId="5" xfId="4" applyNumberFormat="1" applyFont="1" applyFill="1" applyBorder="1" applyProtection="1"/>
    <xf numFmtId="0" fontId="5" fillId="16" borderId="4" xfId="0" applyFont="1" applyFill="1" applyBorder="1"/>
    <xf numFmtId="0" fontId="3" fillId="16" borderId="2" xfId="0" applyFont="1" applyFill="1" applyBorder="1"/>
    <xf numFmtId="0" fontId="3" fillId="16" borderId="2" xfId="0" applyFont="1" applyFill="1" applyBorder="1" applyAlignment="1">
      <alignment horizontal="left"/>
    </xf>
    <xf numFmtId="1" fontId="3" fillId="16" borderId="2" xfId="0" applyNumberFormat="1" applyFont="1" applyFill="1" applyBorder="1"/>
    <xf numFmtId="0" fontId="7" fillId="16" borderId="2" xfId="0" applyFont="1" applyFill="1" applyBorder="1" applyAlignment="1">
      <alignment horizontal="center"/>
    </xf>
    <xf numFmtId="0" fontId="5" fillId="16" borderId="12" xfId="0" applyFont="1" applyFill="1" applyBorder="1"/>
    <xf numFmtId="1" fontId="3" fillId="16" borderId="55" xfId="0" applyNumberFormat="1" applyFont="1" applyFill="1" applyBorder="1"/>
    <xf numFmtId="9" fontId="3" fillId="16" borderId="98" xfId="0" applyNumberFormat="1" applyFont="1" applyFill="1" applyBorder="1"/>
    <xf numFmtId="9" fontId="3" fillId="16" borderId="46" xfId="0" applyNumberFormat="1" applyFont="1" applyFill="1" applyBorder="1"/>
    <xf numFmtId="174" fontId="2" fillId="16" borderId="41" xfId="1" applyNumberFormat="1" applyFont="1" applyFill="1" applyBorder="1" applyProtection="1"/>
    <xf numFmtId="171" fontId="0" fillId="16" borderId="93" xfId="4" applyNumberFormat="1" applyFont="1" applyFill="1" applyBorder="1"/>
    <xf numFmtId="1" fontId="3" fillId="12" borderId="111" xfId="0" applyNumberFormat="1" applyFont="1" applyFill="1" applyBorder="1"/>
    <xf numFmtId="1" fontId="3" fillId="12" borderId="37" xfId="0" applyNumberFormat="1" applyFont="1" applyFill="1" applyBorder="1"/>
    <xf numFmtId="1" fontId="3" fillId="12" borderId="38" xfId="0" applyNumberFormat="1" applyFont="1" applyFill="1" applyBorder="1"/>
    <xf numFmtId="1" fontId="3" fillId="12" borderId="94" xfId="0" applyNumberFormat="1" applyFont="1" applyFill="1" applyBorder="1"/>
    <xf numFmtId="1" fontId="3" fillId="12" borderId="33" xfId="0" applyNumberFormat="1" applyFont="1" applyFill="1" applyBorder="1"/>
    <xf numFmtId="1" fontId="3" fillId="12" borderId="34" xfId="0" applyNumberFormat="1" applyFont="1" applyFill="1" applyBorder="1"/>
    <xf numFmtId="1" fontId="2" fillId="16" borderId="96" xfId="0" applyNumberFormat="1" applyFont="1" applyFill="1" applyBorder="1"/>
    <xf numFmtId="1" fontId="3" fillId="16" borderId="101" xfId="0" applyNumberFormat="1" applyFont="1" applyFill="1" applyBorder="1"/>
    <xf numFmtId="1" fontId="3" fillId="16" borderId="100" xfId="0" applyNumberFormat="1" applyFont="1" applyFill="1" applyBorder="1"/>
    <xf numFmtId="0" fontId="8" fillId="16" borderId="10" xfId="0" applyFont="1" applyFill="1" applyBorder="1" applyAlignment="1">
      <alignment horizontal="right"/>
    </xf>
    <xf numFmtId="173" fontId="2" fillId="16" borderId="10" xfId="0" applyNumberFormat="1" applyFont="1" applyFill="1" applyBorder="1" applyAlignment="1">
      <alignment horizontal="right"/>
    </xf>
    <xf numFmtId="0" fontId="2" fillId="16" borderId="10" xfId="0" applyFont="1" applyFill="1" applyBorder="1"/>
    <xf numFmtId="0" fontId="5" fillId="16" borderId="11" xfId="0" applyFont="1" applyFill="1" applyBorder="1"/>
    <xf numFmtId="173" fontId="2" fillId="16" borderId="0" xfId="0" applyNumberFormat="1" applyFont="1" applyFill="1" applyAlignment="1">
      <alignment horizontal="right"/>
    </xf>
    <xf numFmtId="0" fontId="3" fillId="16" borderId="0" xfId="0" applyFont="1" applyFill="1"/>
    <xf numFmtId="44" fontId="3" fillId="12" borderId="22" xfId="0" applyNumberFormat="1" applyFont="1" applyFill="1" applyBorder="1"/>
    <xf numFmtId="0" fontId="5" fillId="11" borderId="10" xfId="0" applyFont="1" applyFill="1" applyBorder="1" applyAlignment="1">
      <alignment horizontal="center" wrapText="1"/>
    </xf>
    <xf numFmtId="0" fontId="5" fillId="11" borderId="80" xfId="0" applyFont="1" applyFill="1" applyBorder="1" applyAlignment="1">
      <alignment horizontal="center"/>
    </xf>
    <xf numFmtId="0" fontId="5" fillId="11" borderId="50" xfId="0" applyFont="1" applyFill="1" applyBorder="1"/>
    <xf numFmtId="0" fontId="5" fillId="11" borderId="0" xfId="0" applyFont="1" applyFill="1" applyAlignment="1">
      <alignment horizontal="center"/>
    </xf>
    <xf numFmtId="44" fontId="5" fillId="10" borderId="51" xfId="2" applyFont="1" applyFill="1" applyBorder="1"/>
    <xf numFmtId="0" fontId="5" fillId="13" borderId="35" xfId="0" applyFont="1" applyFill="1" applyBorder="1"/>
    <xf numFmtId="0" fontId="5" fillId="13" borderId="25" xfId="0" applyFont="1" applyFill="1" applyBorder="1"/>
    <xf numFmtId="0" fontId="5" fillId="13" borderId="17" xfId="0" applyFont="1" applyFill="1" applyBorder="1"/>
    <xf numFmtId="0" fontId="5" fillId="13" borderId="56" xfId="0" applyFont="1" applyFill="1" applyBorder="1"/>
    <xf numFmtId="0" fontId="5" fillId="13" borderId="16" xfId="0" applyFont="1" applyFill="1" applyBorder="1"/>
    <xf numFmtId="43" fontId="5" fillId="13" borderId="0" xfId="0" applyNumberFormat="1" applyFont="1" applyFill="1"/>
    <xf numFmtId="168" fontId="5" fillId="13" borderId="0" xfId="0" applyNumberFormat="1" applyFont="1" applyFill="1"/>
    <xf numFmtId="168" fontId="5" fillId="13" borderId="0" xfId="1" applyNumberFormat="1" applyFont="1" applyFill="1"/>
    <xf numFmtId="170" fontId="5" fillId="13" borderId="0" xfId="2" applyNumberFormat="1" applyFont="1" applyFill="1"/>
    <xf numFmtId="44" fontId="5" fillId="13" borderId="0" xfId="0" applyNumberFormat="1" applyFont="1" applyFill="1"/>
    <xf numFmtId="168" fontId="5" fillId="13" borderId="16" xfId="0" applyNumberFormat="1" applyFont="1" applyFill="1" applyBorder="1"/>
    <xf numFmtId="1" fontId="5" fillId="13" borderId="0" xfId="0" applyNumberFormat="1" applyFont="1" applyFill="1"/>
    <xf numFmtId="44" fontId="5" fillId="12" borderId="0" xfId="2" applyFont="1" applyFill="1" applyBorder="1" applyAlignment="1" applyProtection="1">
      <alignment horizontal="center"/>
      <protection locked="0"/>
    </xf>
    <xf numFmtId="0" fontId="5" fillId="11" borderId="81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/>
    </xf>
    <xf numFmtId="0" fontId="5" fillId="11" borderId="50" xfId="0" applyFont="1" applyFill="1" applyBorder="1" applyAlignment="1">
      <alignment horizontal="center" wrapText="1"/>
    </xf>
    <xf numFmtId="0" fontId="8" fillId="11" borderId="31" xfId="0" applyFont="1" applyFill="1" applyBorder="1" applyAlignment="1">
      <alignment horizontal="center"/>
    </xf>
    <xf numFmtId="0" fontId="5" fillId="15" borderId="30" xfId="0" applyFont="1" applyFill="1" applyBorder="1" applyAlignment="1" applyProtection="1">
      <alignment horizontal="center"/>
      <protection locked="0"/>
    </xf>
    <xf numFmtId="0" fontId="5" fillId="11" borderId="45" xfId="0" applyFont="1" applyFill="1" applyBorder="1" applyAlignment="1">
      <alignment horizontal="center" wrapText="1"/>
    </xf>
    <xf numFmtId="0" fontId="5" fillId="11" borderId="57" xfId="0" applyFont="1" applyFill="1" applyBorder="1" applyAlignment="1">
      <alignment horizontal="center" wrapText="1"/>
    </xf>
    <xf numFmtId="0" fontId="5" fillId="11" borderId="80" xfId="0" applyFont="1" applyFill="1" applyBorder="1" applyAlignment="1">
      <alignment horizontal="center" wrapText="1"/>
    </xf>
    <xf numFmtId="0" fontId="5" fillId="11" borderId="60" xfId="0" applyFont="1" applyFill="1" applyBorder="1" applyAlignment="1">
      <alignment horizontal="center" wrapText="1"/>
    </xf>
    <xf numFmtId="0" fontId="0" fillId="12" borderId="16" xfId="0" applyFill="1" applyBorder="1"/>
    <xf numFmtId="0" fontId="5" fillId="11" borderId="29" xfId="0" applyFont="1" applyFill="1" applyBorder="1" applyAlignment="1">
      <alignment horizontal="center"/>
    </xf>
    <xf numFmtId="0" fontId="5" fillId="11" borderId="30" xfId="0" applyFont="1" applyFill="1" applyBorder="1" applyAlignment="1">
      <alignment horizontal="center"/>
    </xf>
    <xf numFmtId="0" fontId="5" fillId="11" borderId="31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left"/>
    </xf>
    <xf numFmtId="0" fontId="5" fillId="12" borderId="0" xfId="0" applyFont="1" applyFill="1" applyAlignment="1">
      <alignment horizontal="left"/>
    </xf>
    <xf numFmtId="0" fontId="8" fillId="15" borderId="0" xfId="0" applyFont="1" applyFill="1" applyAlignment="1">
      <alignment horizontal="center"/>
    </xf>
    <xf numFmtId="0" fontId="5" fillId="12" borderId="5" xfId="0" applyFont="1" applyFill="1" applyBorder="1" applyProtection="1">
      <protection locked="0"/>
    </xf>
    <xf numFmtId="0" fontId="5" fillId="11" borderId="62" xfId="0" applyFont="1" applyFill="1" applyBorder="1" applyAlignment="1">
      <alignment horizontal="center" wrapText="1"/>
    </xf>
    <xf numFmtId="0" fontId="5" fillId="11" borderId="63" xfId="0" applyFont="1" applyFill="1" applyBorder="1" applyAlignment="1">
      <alignment horizontal="center" wrapText="1"/>
    </xf>
    <xf numFmtId="0" fontId="5" fillId="11" borderId="66" xfId="0" applyFont="1" applyFill="1" applyBorder="1" applyAlignment="1">
      <alignment horizontal="center" wrapText="1"/>
    </xf>
    <xf numFmtId="0" fontId="5" fillId="11" borderId="64" xfId="0" applyFont="1" applyFill="1" applyBorder="1" applyAlignment="1">
      <alignment horizontal="center" wrapText="1"/>
    </xf>
    <xf numFmtId="0" fontId="5" fillId="11" borderId="44" xfId="0" applyFont="1" applyFill="1" applyBorder="1" applyAlignment="1">
      <alignment horizontal="center" wrapText="1"/>
    </xf>
    <xf numFmtId="0" fontId="5" fillId="11" borderId="43" xfId="0" applyFont="1" applyFill="1" applyBorder="1" applyAlignment="1">
      <alignment horizontal="center" wrapText="1"/>
    </xf>
    <xf numFmtId="0" fontId="5" fillId="11" borderId="44" xfId="0" applyFont="1" applyFill="1" applyBorder="1" applyAlignment="1">
      <alignment wrapText="1"/>
    </xf>
    <xf numFmtId="0" fontId="5" fillId="11" borderId="65" xfId="0" applyFont="1" applyFill="1" applyBorder="1" applyAlignment="1">
      <alignment horizontal="center" wrapText="1"/>
    </xf>
    <xf numFmtId="0" fontId="28" fillId="12" borderId="5" xfId="3" applyNumberFormat="1" applyFont="1" applyFill="1" applyBorder="1" applyProtection="1">
      <protection locked="0"/>
    </xf>
    <xf numFmtId="1" fontId="5" fillId="12" borderId="0" xfId="0" applyNumberFormat="1" applyFont="1" applyFill="1"/>
    <xf numFmtId="1" fontId="5" fillId="12" borderId="5" xfId="0" applyNumberFormat="1" applyFont="1" applyFill="1" applyBorder="1" applyAlignment="1" applyProtection="1">
      <alignment horizontal="center"/>
      <protection locked="0"/>
    </xf>
    <xf numFmtId="9" fontId="5" fillId="12" borderId="68" xfId="4" applyFont="1" applyFill="1" applyBorder="1" applyAlignment="1">
      <alignment horizontal="center"/>
    </xf>
    <xf numFmtId="170" fontId="5" fillId="12" borderId="0" xfId="0" applyNumberFormat="1" applyFont="1" applyFill="1" applyAlignment="1">
      <alignment horizontal="center"/>
    </xf>
    <xf numFmtId="170" fontId="5" fillId="12" borderId="21" xfId="0" applyNumberFormat="1" applyFont="1" applyFill="1" applyBorder="1" applyAlignment="1">
      <alignment horizontal="center"/>
    </xf>
    <xf numFmtId="170" fontId="5" fillId="12" borderId="45" xfId="0" applyNumberFormat="1" applyFont="1" applyFill="1" applyBorder="1" applyAlignment="1">
      <alignment horizontal="center"/>
    </xf>
    <xf numFmtId="170" fontId="5" fillId="12" borderId="57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41" fontId="5" fillId="10" borderId="54" xfId="0" applyNumberFormat="1" applyFont="1" applyFill="1" applyBorder="1"/>
    <xf numFmtId="41" fontId="5" fillId="10" borderId="68" xfId="0" applyNumberFormat="1" applyFont="1" applyFill="1" applyBorder="1"/>
    <xf numFmtId="41" fontId="5" fillId="10" borderId="0" xfId="1" applyNumberFormat="1" applyFont="1" applyFill="1" applyBorder="1" applyProtection="1"/>
    <xf numFmtId="170" fontId="5" fillId="10" borderId="0" xfId="2" applyNumberFormat="1" applyFont="1" applyFill="1" applyBorder="1" applyProtection="1"/>
    <xf numFmtId="41" fontId="5" fillId="10" borderId="2" xfId="1" applyNumberFormat="1" applyFont="1" applyFill="1" applyBorder="1" applyProtection="1"/>
    <xf numFmtId="170" fontId="5" fillId="10" borderId="12" xfId="2" applyNumberFormat="1" applyFont="1" applyFill="1" applyBorder="1" applyProtection="1"/>
    <xf numFmtId="0" fontId="5" fillId="15" borderId="21" xfId="0" applyFont="1" applyFill="1" applyBorder="1"/>
    <xf numFmtId="5" fontId="5" fillId="15" borderId="10" xfId="0" applyNumberFormat="1" applyFont="1" applyFill="1" applyBorder="1"/>
    <xf numFmtId="170" fontId="5" fillId="15" borderId="11" xfId="2" applyNumberFormat="1" applyFont="1" applyFill="1" applyBorder="1" applyAlignment="1">
      <alignment horizontal="center"/>
    </xf>
    <xf numFmtId="0" fontId="0" fillId="15" borderId="0" xfId="0" applyFill="1"/>
    <xf numFmtId="170" fontId="5" fillId="15" borderId="0" xfId="2" applyNumberFormat="1" applyFont="1" applyFill="1" applyBorder="1" applyAlignment="1" applyProtection="1">
      <alignment horizontal="center"/>
    </xf>
    <xf numFmtId="10" fontId="5" fillId="10" borderId="4" xfId="4" applyNumberFormat="1" applyFont="1" applyFill="1" applyBorder="1" applyAlignment="1" applyProtection="1">
      <alignment horizontal="center"/>
    </xf>
    <xf numFmtId="10" fontId="5" fillId="10" borderId="2" xfId="4" applyNumberFormat="1" applyFont="1" applyFill="1" applyBorder="1" applyAlignment="1" applyProtection="1">
      <alignment horizontal="center"/>
    </xf>
    <xf numFmtId="10" fontId="5" fillId="10" borderId="12" xfId="4" applyNumberFormat="1" applyFont="1" applyFill="1" applyBorder="1" applyAlignment="1" applyProtection="1">
      <alignment horizontal="center"/>
    </xf>
    <xf numFmtId="0" fontId="5" fillId="10" borderId="5" xfId="0" applyFont="1" applyFill="1" applyBorder="1" applyAlignment="1">
      <alignment horizontal="center"/>
    </xf>
    <xf numFmtId="9" fontId="5" fillId="10" borderId="46" xfId="4" applyFont="1" applyFill="1" applyBorder="1"/>
    <xf numFmtId="0" fontId="5" fillId="11" borderId="43" xfId="0" applyFont="1" applyFill="1" applyBorder="1"/>
    <xf numFmtId="0" fontId="8" fillId="11" borderId="43" xfId="0" applyFont="1" applyFill="1" applyBorder="1" applyAlignment="1">
      <alignment horizontal="center"/>
    </xf>
    <xf numFmtId="0" fontId="8" fillId="11" borderId="44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5" fillId="11" borderId="53" xfId="0" applyFont="1" applyFill="1" applyBorder="1" applyProtection="1">
      <protection locked="0"/>
    </xf>
    <xf numFmtId="0" fontId="8" fillId="15" borderId="4" xfId="0" applyFont="1" applyFill="1" applyBorder="1"/>
    <xf numFmtId="0" fontId="8" fillId="15" borderId="30" xfId="0" applyFont="1" applyFill="1" applyBorder="1" applyAlignment="1">
      <alignment horizontal="right"/>
    </xf>
    <xf numFmtId="170" fontId="5" fillId="12" borderId="58" xfId="0" applyNumberFormat="1" applyFont="1" applyFill="1" applyBorder="1" applyAlignment="1">
      <alignment horizontal="center"/>
    </xf>
    <xf numFmtId="0" fontId="5" fillId="11" borderId="83" xfId="0" applyFont="1" applyFill="1" applyBorder="1"/>
    <xf numFmtId="0" fontId="8" fillId="11" borderId="75" xfId="0" applyFont="1" applyFill="1" applyBorder="1" applyAlignment="1" applyProtection="1">
      <alignment horizontal="center"/>
      <protection locked="0"/>
    </xf>
    <xf numFmtId="0" fontId="5" fillId="11" borderId="81" xfId="0" applyFont="1" applyFill="1" applyBorder="1"/>
    <xf numFmtId="0" fontId="5" fillId="11" borderId="45" xfId="0" applyFont="1" applyFill="1" applyBorder="1" applyAlignment="1">
      <alignment horizontal="center"/>
    </xf>
    <xf numFmtId="168" fontId="5" fillId="16" borderId="0" xfId="0" applyNumberFormat="1" applyFont="1" applyFill="1"/>
    <xf numFmtId="43" fontId="5" fillId="16" borderId="21" xfId="0" applyNumberFormat="1" applyFont="1" applyFill="1" applyBorder="1"/>
    <xf numFmtId="41" fontId="5" fillId="12" borderId="16" xfId="0" applyNumberFormat="1" applyFont="1" applyFill="1" applyBorder="1" applyAlignment="1" applyProtection="1">
      <alignment horizontal="center"/>
      <protection locked="0"/>
    </xf>
    <xf numFmtId="43" fontId="11" fillId="12" borderId="16" xfId="0" applyNumberFormat="1" applyFont="1" applyFill="1" applyBorder="1" applyProtection="1">
      <protection locked="0"/>
    </xf>
    <xf numFmtId="44" fontId="5" fillId="12" borderId="5" xfId="2" applyFont="1" applyFill="1" applyBorder="1" applyAlignment="1" applyProtection="1">
      <alignment horizontal="center"/>
      <protection locked="0"/>
    </xf>
    <xf numFmtId="44" fontId="5" fillId="12" borderId="52" xfId="2" applyFont="1" applyFill="1" applyBorder="1" applyAlignment="1" applyProtection="1">
      <alignment horizontal="center"/>
      <protection locked="0"/>
    </xf>
    <xf numFmtId="44" fontId="5" fillId="12" borderId="60" xfId="0" applyNumberFormat="1" applyFont="1" applyFill="1" applyBorder="1" applyProtection="1">
      <protection locked="0"/>
    </xf>
    <xf numFmtId="44" fontId="5" fillId="12" borderId="81" xfId="2" applyFont="1" applyFill="1" applyBorder="1" applyProtection="1">
      <protection locked="0"/>
    </xf>
    <xf numFmtId="44" fontId="5" fillId="12" borderId="51" xfId="0" applyNumberFormat="1" applyFont="1" applyFill="1" applyBorder="1" applyProtection="1">
      <protection locked="0"/>
    </xf>
    <xf numFmtId="44" fontId="5" fillId="12" borderId="52" xfId="2" applyFont="1" applyFill="1" applyBorder="1" applyProtection="1">
      <protection locked="0"/>
    </xf>
    <xf numFmtId="44" fontId="5" fillId="12" borderId="26" xfId="0" applyNumberFormat="1" applyFont="1" applyFill="1" applyBorder="1" applyProtection="1">
      <protection locked="0"/>
    </xf>
    <xf numFmtId="168" fontId="5" fillId="10" borderId="55" xfId="1" applyNumberFormat="1" applyFont="1" applyFill="1" applyBorder="1" applyProtection="1">
      <protection locked="0"/>
    </xf>
    <xf numFmtId="0" fontId="5" fillId="12" borderId="52" xfId="0" applyFont="1" applyFill="1" applyBorder="1" applyAlignment="1" applyProtection="1">
      <alignment horizontal="center"/>
      <protection locked="0"/>
    </xf>
    <xf numFmtId="44" fontId="5" fillId="10" borderId="52" xfId="2" applyFont="1" applyFill="1" applyBorder="1" applyProtection="1">
      <protection locked="0"/>
    </xf>
    <xf numFmtId="1" fontId="5" fillId="10" borderId="55" xfId="0" applyNumberFormat="1" applyFont="1" applyFill="1" applyBorder="1" applyProtection="1">
      <protection locked="0"/>
    </xf>
    <xf numFmtId="1" fontId="5" fillId="10" borderId="5" xfId="0" applyNumberFormat="1" applyFont="1" applyFill="1" applyBorder="1" applyProtection="1">
      <protection locked="0"/>
    </xf>
    <xf numFmtId="1" fontId="5" fillId="10" borderId="41" xfId="0" applyNumberFormat="1" applyFont="1" applyFill="1" applyBorder="1" applyProtection="1">
      <protection locked="0"/>
    </xf>
    <xf numFmtId="1" fontId="5" fillId="10" borderId="51" xfId="0" applyNumberFormat="1" applyFont="1" applyFill="1" applyBorder="1" applyProtection="1">
      <protection locked="0"/>
    </xf>
    <xf numFmtId="1" fontId="5" fillId="10" borderId="26" xfId="0" applyNumberFormat="1" applyFont="1" applyFill="1" applyBorder="1" applyProtection="1">
      <protection locked="0"/>
    </xf>
    <xf numFmtId="44" fontId="5" fillId="10" borderId="55" xfId="2" applyFont="1" applyFill="1" applyBorder="1" applyAlignment="1" applyProtection="1">
      <alignment horizontal="left"/>
      <protection locked="0"/>
    </xf>
    <xf numFmtId="44" fontId="5" fillId="10" borderId="5" xfId="0" applyNumberFormat="1" applyFont="1" applyFill="1" applyBorder="1" applyProtection="1">
      <protection locked="0"/>
    </xf>
    <xf numFmtId="178" fontId="5" fillId="10" borderId="5" xfId="2" applyNumberFormat="1" applyFont="1" applyFill="1" applyBorder="1" applyAlignment="1" applyProtection="1">
      <alignment horizontal="center"/>
      <protection locked="0"/>
    </xf>
    <xf numFmtId="1" fontId="5" fillId="10" borderId="49" xfId="2" applyNumberFormat="1" applyFont="1" applyFill="1" applyBorder="1" applyProtection="1">
      <protection locked="0"/>
    </xf>
    <xf numFmtId="1" fontId="5" fillId="10" borderId="26" xfId="2" applyNumberFormat="1" applyFont="1" applyFill="1" applyBorder="1" applyProtection="1">
      <protection locked="0"/>
    </xf>
    <xf numFmtId="170" fontId="5" fillId="12" borderId="55" xfId="0" applyNumberFormat="1" applyFont="1" applyFill="1" applyBorder="1" applyProtection="1">
      <protection locked="0"/>
    </xf>
    <xf numFmtId="170" fontId="5" fillId="12" borderId="5" xfId="0" applyNumberFormat="1" applyFont="1" applyFill="1" applyBorder="1" applyProtection="1">
      <protection locked="0"/>
    </xf>
    <xf numFmtId="170" fontId="5" fillId="12" borderId="41" xfId="0" applyNumberFormat="1" applyFont="1" applyFill="1" applyBorder="1" applyProtection="1">
      <protection locked="0"/>
    </xf>
    <xf numFmtId="168" fontId="5" fillId="12" borderId="55" xfId="1" applyNumberFormat="1" applyFont="1" applyFill="1" applyBorder="1" applyProtection="1">
      <protection locked="0"/>
    </xf>
    <xf numFmtId="168" fontId="5" fillId="12" borderId="5" xfId="1" applyNumberFormat="1" applyFont="1" applyFill="1" applyBorder="1" applyProtection="1">
      <protection locked="0"/>
    </xf>
    <xf numFmtId="170" fontId="5" fillId="12" borderId="5" xfId="1" applyNumberFormat="1" applyFont="1" applyFill="1" applyBorder="1" applyProtection="1">
      <protection locked="0"/>
    </xf>
    <xf numFmtId="168" fontId="5" fillId="12" borderId="49" xfId="1" applyNumberFormat="1" applyFont="1" applyFill="1" applyBorder="1" applyProtection="1">
      <protection locked="0"/>
    </xf>
    <xf numFmtId="170" fontId="5" fillId="12" borderId="26" xfId="1" applyNumberFormat="1" applyFont="1" applyFill="1" applyBorder="1" applyProtection="1">
      <protection locked="0"/>
    </xf>
    <xf numFmtId="0" fontId="5" fillId="10" borderId="52" xfId="0" applyFont="1" applyFill="1" applyBorder="1" applyAlignment="1" applyProtection="1">
      <alignment horizontal="center"/>
      <protection locked="0"/>
    </xf>
    <xf numFmtId="10" fontId="5" fillId="15" borderId="0" xfId="4" applyNumberFormat="1" applyFont="1" applyFill="1" applyBorder="1" applyAlignment="1" applyProtection="1">
      <alignment horizontal="center"/>
      <protection locked="0"/>
    </xf>
    <xf numFmtId="0" fontId="0" fillId="15" borderId="10" xfId="0" applyFill="1" applyBorder="1"/>
    <xf numFmtId="170" fontId="5" fillId="15" borderId="11" xfId="2" applyNumberFormat="1" applyFont="1" applyFill="1" applyBorder="1" applyAlignment="1">
      <alignment horizontal="left"/>
    </xf>
    <xf numFmtId="0" fontId="5" fillId="15" borderId="67" xfId="0" applyFont="1" applyFill="1" applyBorder="1"/>
    <xf numFmtId="0" fontId="8" fillId="11" borderId="107" xfId="0" applyFont="1" applyFill="1" applyBorder="1"/>
    <xf numFmtId="0" fontId="8" fillId="11" borderId="67" xfId="0" applyFont="1" applyFill="1" applyBorder="1"/>
    <xf numFmtId="0" fontId="5" fillId="12" borderId="88" xfId="0" applyFont="1" applyFill="1" applyBorder="1" applyAlignment="1">
      <alignment horizontal="center" wrapText="1"/>
    </xf>
    <xf numFmtId="0" fontId="5" fillId="12" borderId="41" xfId="0" applyFont="1" applyFill="1" applyBorder="1" applyAlignment="1">
      <alignment horizontal="center" wrapText="1"/>
    </xf>
    <xf numFmtId="0" fontId="5" fillId="12" borderId="41" xfId="0" applyFont="1" applyFill="1" applyBorder="1" applyAlignment="1">
      <alignment horizontal="left" wrapText="1"/>
    </xf>
    <xf numFmtId="0" fontId="5" fillId="12" borderId="101" xfId="0" applyFont="1" applyFill="1" applyBorder="1" applyAlignment="1">
      <alignment horizontal="center" wrapText="1"/>
    </xf>
    <xf numFmtId="0" fontId="5" fillId="12" borderId="109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5" fillId="10" borderId="9" xfId="0" applyFont="1" applyFill="1" applyBorder="1"/>
    <xf numFmtId="0" fontId="5" fillId="10" borderId="37" xfId="0" applyFont="1" applyFill="1" applyBorder="1" applyAlignment="1">
      <alignment horizontal="center"/>
    </xf>
    <xf numFmtId="0" fontId="5" fillId="10" borderId="47" xfId="0" applyFont="1" applyFill="1" applyBorder="1" applyAlignment="1">
      <alignment horizontal="center"/>
    </xf>
    <xf numFmtId="0" fontId="5" fillId="10" borderId="1" xfId="0" applyFont="1" applyFill="1" applyBorder="1"/>
    <xf numFmtId="0" fontId="5" fillId="10" borderId="0" xfId="0" applyFont="1" applyFill="1"/>
    <xf numFmtId="0" fontId="5" fillId="10" borderId="21" xfId="0" applyFont="1" applyFill="1" applyBorder="1"/>
    <xf numFmtId="0" fontId="5" fillId="10" borderId="14" xfId="0" applyFont="1" applyFill="1" applyBorder="1" applyAlignment="1">
      <alignment horizontal="center"/>
    </xf>
    <xf numFmtId="0" fontId="5" fillId="10" borderId="48" xfId="0" applyFont="1" applyFill="1" applyBorder="1" applyAlignment="1">
      <alignment horizontal="center"/>
    </xf>
    <xf numFmtId="0" fontId="5" fillId="10" borderId="4" xfId="0" applyFont="1" applyFill="1" applyBorder="1"/>
    <xf numFmtId="41" fontId="5" fillId="10" borderId="0" xfId="0" applyNumberFormat="1" applyFont="1" applyFill="1"/>
    <xf numFmtId="41" fontId="5" fillId="10" borderId="12" xfId="0" applyNumberFormat="1" applyFont="1" applyFill="1" applyBorder="1"/>
    <xf numFmtId="0" fontId="5" fillId="15" borderId="9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0" fontId="8" fillId="15" borderId="30" xfId="0" applyFont="1" applyFill="1" applyBorder="1" applyAlignment="1">
      <alignment horizontal="center"/>
    </xf>
    <xf numFmtId="0" fontId="5" fillId="11" borderId="76" xfId="0" applyFont="1" applyFill="1" applyBorder="1" applyProtection="1">
      <protection locked="0"/>
    </xf>
    <xf numFmtId="0" fontId="5" fillId="11" borderId="77" xfId="0" applyFont="1" applyFill="1" applyBorder="1" applyProtection="1">
      <protection locked="0"/>
    </xf>
    <xf numFmtId="0" fontId="5" fillId="11" borderId="45" xfId="0" applyFont="1" applyFill="1" applyBorder="1"/>
    <xf numFmtId="0" fontId="5" fillId="11" borderId="50" xfId="0" applyFont="1" applyFill="1" applyBorder="1" applyAlignment="1">
      <alignment horizontal="center"/>
    </xf>
    <xf numFmtId="0" fontId="5" fillId="10" borderId="5" xfId="0" applyFont="1" applyFill="1" applyBorder="1" applyProtection="1">
      <protection locked="0"/>
    </xf>
    <xf numFmtId="168" fontId="5" fillId="10" borderId="26" xfId="1" applyNumberFormat="1" applyFont="1" applyFill="1" applyBorder="1" applyProtection="1">
      <protection locked="0"/>
    </xf>
    <xf numFmtId="44" fontId="5" fillId="12" borderId="51" xfId="2" applyFont="1" applyFill="1" applyBorder="1" applyAlignment="1" applyProtection="1">
      <alignment horizontal="center"/>
      <protection locked="0"/>
    </xf>
    <xf numFmtId="0" fontId="5" fillId="12" borderId="51" xfId="0" applyFont="1" applyFill="1" applyBorder="1" applyProtection="1">
      <protection locked="0"/>
    </xf>
    <xf numFmtId="0" fontId="5" fillId="12" borderId="26" xfId="0" applyFont="1" applyFill="1" applyBorder="1" applyProtection="1">
      <protection locked="0"/>
    </xf>
    <xf numFmtId="169" fontId="5" fillId="12" borderId="5" xfId="2" applyNumberFormat="1" applyFont="1" applyFill="1" applyBorder="1" applyAlignment="1" applyProtection="1">
      <alignment horizontal="center"/>
      <protection locked="0"/>
    </xf>
    <xf numFmtId="170" fontId="5" fillId="12" borderId="26" xfId="2" applyNumberFormat="1" applyFont="1" applyFill="1" applyBorder="1" applyProtection="1">
      <protection locked="0"/>
    </xf>
    <xf numFmtId="9" fontId="5" fillId="10" borderId="5" xfId="4" applyFont="1" applyFill="1" applyBorder="1" applyProtection="1">
      <protection locked="0"/>
    </xf>
    <xf numFmtId="9" fontId="5" fillId="10" borderId="49" xfId="4" applyFont="1" applyFill="1" applyBorder="1" applyProtection="1">
      <protection locked="0"/>
    </xf>
    <xf numFmtId="9" fontId="5" fillId="10" borderId="60" xfId="4" applyFont="1" applyFill="1" applyBorder="1" applyAlignment="1" applyProtection="1">
      <alignment horizontal="center" vertical="center"/>
      <protection locked="0"/>
    </xf>
    <xf numFmtId="9" fontId="5" fillId="10" borderId="81" xfId="4" applyFont="1" applyFill="1" applyBorder="1" applyAlignment="1" applyProtection="1">
      <alignment horizontal="center" vertical="center"/>
      <protection locked="0"/>
    </xf>
    <xf numFmtId="9" fontId="5" fillId="10" borderId="26" xfId="4" applyFont="1" applyFill="1" applyBorder="1" applyProtection="1">
      <protection locked="0"/>
    </xf>
    <xf numFmtId="9" fontId="5" fillId="10" borderId="5" xfId="4" applyFont="1" applyFill="1" applyBorder="1"/>
    <xf numFmtId="10" fontId="5" fillId="10" borderId="5" xfId="4" applyNumberFormat="1" applyFont="1" applyFill="1" applyBorder="1" applyProtection="1">
      <protection locked="0"/>
    </xf>
    <xf numFmtId="0" fontId="5" fillId="12" borderId="60" xfId="0" applyFont="1" applyFill="1" applyBorder="1" applyProtection="1">
      <protection locked="0"/>
    </xf>
    <xf numFmtId="41" fontId="5" fillId="12" borderId="26" xfId="0" applyNumberFormat="1" applyFont="1" applyFill="1" applyBorder="1" applyAlignment="1" applyProtection="1">
      <alignment horizontal="center"/>
      <protection locked="0"/>
    </xf>
    <xf numFmtId="0" fontId="5" fillId="12" borderId="30" xfId="0" applyFont="1" applyFill="1" applyBorder="1"/>
    <xf numFmtId="0" fontId="5" fillId="12" borderId="31" xfId="0" applyFont="1" applyFill="1" applyBorder="1"/>
    <xf numFmtId="41" fontId="5" fillId="0" borderId="35" xfId="0" applyNumberFormat="1" applyFont="1" applyBorder="1" applyAlignment="1" applyProtection="1">
      <alignment horizontal="center"/>
      <protection locked="0"/>
    </xf>
    <xf numFmtId="41" fontId="5" fillId="0" borderId="25" xfId="2" applyNumberFormat="1" applyFont="1" applyBorder="1" applyAlignment="1" applyProtection="1">
      <alignment horizontal="center"/>
      <protection locked="0"/>
    </xf>
    <xf numFmtId="41" fontId="5" fillId="0" borderId="39" xfId="0" applyNumberFormat="1" applyFont="1" applyBorder="1" applyAlignment="1" applyProtection="1">
      <alignment horizontal="center"/>
      <protection locked="0"/>
    </xf>
    <xf numFmtId="41" fontId="5" fillId="0" borderId="14" xfId="2" applyNumberFormat="1" applyFont="1" applyBorder="1" applyAlignment="1" applyProtection="1">
      <alignment horizontal="center"/>
      <protection locked="0"/>
    </xf>
    <xf numFmtId="0" fontId="5" fillId="0" borderId="25" xfId="0" applyFont="1" applyBorder="1" applyProtection="1">
      <protection locked="0"/>
    </xf>
    <xf numFmtId="1" fontId="11" fillId="12" borderId="5" xfId="0" applyNumberFormat="1" applyFont="1" applyFill="1" applyBorder="1" applyProtection="1">
      <protection locked="0"/>
    </xf>
    <xf numFmtId="41" fontId="5" fillId="12" borderId="51" xfId="0" applyNumberFormat="1" applyFont="1" applyFill="1" applyBorder="1" applyAlignment="1" applyProtection="1">
      <alignment horizontal="center"/>
      <protection locked="0"/>
    </xf>
    <xf numFmtId="0" fontId="5" fillId="0" borderId="35" xfId="0" applyFont="1" applyBorder="1" applyProtection="1">
      <protection locked="0"/>
    </xf>
    <xf numFmtId="0" fontId="5" fillId="0" borderId="17" xfId="0" applyFont="1" applyBorder="1" applyProtection="1">
      <protection locked="0"/>
    </xf>
    <xf numFmtId="0" fontId="5" fillId="0" borderId="18" xfId="0" applyFont="1" applyBorder="1" applyProtection="1">
      <protection locked="0"/>
    </xf>
    <xf numFmtId="0" fontId="8" fillId="0" borderId="49" xfId="0" applyFont="1" applyBorder="1" applyAlignment="1" applyProtection="1">
      <alignment horizontal="center"/>
      <protection locked="0"/>
    </xf>
    <xf numFmtId="0" fontId="5" fillId="11" borderId="0" xfId="0" applyFont="1" applyFill="1" applyAlignment="1">
      <alignment horizontal="center" wrapText="1"/>
    </xf>
    <xf numFmtId="0" fontId="5" fillId="11" borderId="56" xfId="0" applyFont="1" applyFill="1" applyBorder="1" applyAlignment="1">
      <alignment horizontal="center" wrapText="1"/>
    </xf>
    <xf numFmtId="0" fontId="5" fillId="11" borderId="16" xfId="0" applyFont="1" applyFill="1" applyBorder="1" applyAlignment="1">
      <alignment horizontal="center"/>
    </xf>
    <xf numFmtId="0" fontId="5" fillId="11" borderId="56" xfId="0" applyFont="1" applyFill="1" applyBorder="1" applyAlignment="1">
      <alignment horizontal="center"/>
    </xf>
    <xf numFmtId="0" fontId="8" fillId="0" borderId="83" xfId="0" applyFont="1" applyBorder="1" applyAlignment="1" applyProtection="1">
      <alignment horizontal="center"/>
      <protection locked="0"/>
    </xf>
    <xf numFmtId="1" fontId="11" fillId="12" borderId="55" xfId="0" applyNumberFormat="1" applyFont="1" applyFill="1" applyBorder="1" applyProtection="1">
      <protection locked="0"/>
    </xf>
    <xf numFmtId="41" fontId="5" fillId="0" borderId="107" xfId="0" applyNumberFormat="1" applyFont="1" applyBorder="1" applyAlignment="1" applyProtection="1">
      <alignment horizontal="center"/>
      <protection locked="0"/>
    </xf>
    <xf numFmtId="41" fontId="5" fillId="0" borderId="67" xfId="0" applyNumberFormat="1" applyFont="1" applyBorder="1" applyAlignment="1" applyProtection="1">
      <alignment horizontal="center"/>
      <protection locked="0"/>
    </xf>
    <xf numFmtId="41" fontId="5" fillId="0" borderId="10" xfId="2" applyNumberFormat="1" applyFont="1" applyBorder="1" applyAlignment="1" applyProtection="1">
      <alignment horizontal="center"/>
      <protection locked="0"/>
    </xf>
    <xf numFmtId="41" fontId="5" fillId="12" borderId="55" xfId="0" applyNumberFormat="1" applyFont="1" applyFill="1" applyBorder="1" applyAlignment="1" applyProtection="1">
      <alignment horizontal="center"/>
      <protection locked="0"/>
    </xf>
    <xf numFmtId="0" fontId="5" fillId="0" borderId="107" xfId="0" applyFont="1" applyBorder="1" applyProtection="1">
      <protection locked="0"/>
    </xf>
    <xf numFmtId="0" fontId="5" fillId="0" borderId="67" xfId="0" applyFont="1" applyBorder="1" applyProtection="1">
      <protection locked="0"/>
    </xf>
    <xf numFmtId="41" fontId="5" fillId="10" borderId="10" xfId="0" applyNumberFormat="1" applyFont="1" applyFill="1" applyBorder="1"/>
    <xf numFmtId="41" fontId="5" fillId="10" borderId="11" xfId="0" applyNumberFormat="1" applyFont="1" applyFill="1" applyBorder="1"/>
    <xf numFmtId="1" fontId="5" fillId="2" borderId="20" xfId="0" applyNumberFormat="1" applyFont="1" applyFill="1" applyBorder="1"/>
    <xf numFmtId="1" fontId="11" fillId="12" borderId="41" xfId="0" applyNumberFormat="1" applyFont="1" applyFill="1" applyBorder="1" applyProtection="1">
      <protection locked="0"/>
    </xf>
    <xf numFmtId="41" fontId="5" fillId="0" borderId="2" xfId="2" applyNumberFormat="1" applyFont="1" applyBorder="1" applyAlignment="1" applyProtection="1">
      <alignment horizontal="center"/>
      <protection locked="0"/>
    </xf>
    <xf numFmtId="41" fontId="5" fillId="10" borderId="2" xfId="0" applyNumberFormat="1" applyFont="1" applyFill="1" applyBorder="1"/>
    <xf numFmtId="41" fontId="5" fillId="0" borderId="83" xfId="0" applyNumberFormat="1" applyFont="1" applyBorder="1" applyAlignment="1" applyProtection="1">
      <alignment horizontal="center"/>
      <protection locked="0"/>
    </xf>
    <xf numFmtId="41" fontId="5" fillId="0" borderId="51" xfId="0" applyNumberFormat="1" applyFont="1" applyBorder="1" applyAlignment="1" applyProtection="1">
      <alignment horizontal="center"/>
      <protection locked="0"/>
    </xf>
    <xf numFmtId="41" fontId="5" fillId="0" borderId="49" xfId="0" applyNumberFormat="1" applyFont="1" applyBorder="1" applyAlignment="1" applyProtection="1">
      <alignment horizontal="center"/>
      <protection locked="0"/>
    </xf>
    <xf numFmtId="41" fontId="5" fillId="0" borderId="26" xfId="0" applyNumberFormat="1" applyFont="1" applyBorder="1" applyAlignment="1" applyProtection="1">
      <alignment horizontal="center"/>
      <protection locked="0"/>
    </xf>
    <xf numFmtId="0" fontId="5" fillId="10" borderId="76" xfId="0" applyFont="1" applyFill="1" applyBorder="1" applyProtection="1">
      <protection locked="0"/>
    </xf>
    <xf numFmtId="0" fontId="5" fillId="10" borderId="77" xfId="0" applyFont="1" applyFill="1" applyBorder="1" applyProtection="1">
      <protection locked="0"/>
    </xf>
    <xf numFmtId="0" fontId="5" fillId="11" borderId="29" xfId="0" applyFont="1" applyFill="1" applyBorder="1" applyAlignment="1">
      <alignment horizontal="center" wrapText="1"/>
    </xf>
    <xf numFmtId="0" fontId="5" fillId="11" borderId="30" xfId="0" applyFont="1" applyFill="1" applyBorder="1" applyAlignment="1">
      <alignment horizontal="center" wrapText="1"/>
    </xf>
    <xf numFmtId="0" fontId="5" fillId="11" borderId="30" xfId="0" applyFont="1" applyFill="1" applyBorder="1"/>
    <xf numFmtId="0" fontId="5" fillId="16" borderId="26" xfId="0" applyFont="1" applyFill="1" applyBorder="1" applyProtection="1">
      <protection locked="0"/>
    </xf>
    <xf numFmtId="175" fontId="5" fillId="0" borderId="25" xfId="0" applyNumberFormat="1" applyFont="1" applyBorder="1" applyAlignment="1" applyProtection="1">
      <alignment horizontal="center"/>
      <protection locked="0"/>
    </xf>
    <xf numFmtId="0" fontId="5" fillId="0" borderId="72" xfId="0" applyFont="1" applyBorder="1" applyProtection="1">
      <protection locked="0"/>
    </xf>
    <xf numFmtId="41" fontId="5" fillId="0" borderId="72" xfId="2" applyNumberFormat="1" applyFont="1" applyBorder="1" applyAlignment="1" applyProtection="1">
      <alignment horizontal="center"/>
      <protection locked="0"/>
    </xf>
    <xf numFmtId="175" fontId="5" fillId="0" borderId="14" xfId="0" applyNumberFormat="1" applyFont="1" applyBorder="1" applyAlignment="1" applyProtection="1">
      <alignment horizontal="center"/>
      <protection locked="0"/>
    </xf>
    <xf numFmtId="0" fontId="5" fillId="0" borderId="48" xfId="0" applyFont="1" applyBorder="1" applyProtection="1">
      <protection locked="0"/>
    </xf>
    <xf numFmtId="41" fontId="5" fillId="0" borderId="48" xfId="2" applyNumberFormat="1" applyFont="1" applyBorder="1" applyAlignment="1" applyProtection="1">
      <alignment horizontal="center"/>
      <protection locked="0"/>
    </xf>
    <xf numFmtId="0" fontId="0" fillId="11" borderId="83" xfId="0" applyFill="1" applyBorder="1"/>
    <xf numFmtId="0" fontId="0" fillId="11" borderId="67" xfId="0" applyFill="1" applyBorder="1"/>
    <xf numFmtId="0" fontId="0" fillId="11" borderId="11" xfId="0" applyFill="1" applyBorder="1"/>
    <xf numFmtId="1" fontId="5" fillId="10" borderId="25" xfId="0" applyNumberFormat="1" applyFont="1" applyFill="1" applyBorder="1"/>
    <xf numFmtId="41" fontId="5" fillId="10" borderId="17" xfId="0" applyNumberFormat="1" applyFont="1" applyFill="1" applyBorder="1"/>
    <xf numFmtId="41" fontId="5" fillId="10" borderId="35" xfId="0" applyNumberFormat="1" applyFont="1" applyFill="1" applyBorder="1" applyAlignment="1">
      <alignment horizontal="center"/>
    </xf>
    <xf numFmtId="1" fontId="5" fillId="10" borderId="14" xfId="0" applyNumberFormat="1" applyFont="1" applyFill="1" applyBorder="1"/>
    <xf numFmtId="41" fontId="5" fillId="10" borderId="18" xfId="0" applyNumberFormat="1" applyFont="1" applyFill="1" applyBorder="1"/>
    <xf numFmtId="41" fontId="5" fillId="10" borderId="39" xfId="0" applyNumberFormat="1" applyFont="1" applyFill="1" applyBorder="1" applyAlignment="1">
      <alignment horizontal="center"/>
    </xf>
    <xf numFmtId="2" fontId="5" fillId="12" borderId="5" xfId="0" applyNumberFormat="1" applyFont="1" applyFill="1" applyBorder="1" applyAlignment="1" applyProtection="1">
      <alignment horizontal="right"/>
      <protection locked="0"/>
    </xf>
    <xf numFmtId="2" fontId="5" fillId="12" borderId="55" xfId="0" applyNumberFormat="1" applyFont="1" applyFill="1" applyBorder="1" applyAlignment="1" applyProtection="1">
      <alignment horizontal="right"/>
      <protection locked="0"/>
    </xf>
    <xf numFmtId="175" fontId="5" fillId="0" borderId="10" xfId="0" applyNumberFormat="1" applyFont="1" applyBorder="1" applyAlignment="1" applyProtection="1">
      <alignment horizontal="center"/>
      <protection locked="0"/>
    </xf>
    <xf numFmtId="0" fontId="5" fillId="12" borderId="55" xfId="0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>
      <protection locked="0"/>
    </xf>
    <xf numFmtId="41" fontId="5" fillId="0" borderId="10" xfId="0" applyNumberFormat="1" applyFont="1" applyBorder="1" applyAlignment="1" applyProtection="1">
      <alignment horizontal="center"/>
      <protection locked="0"/>
    </xf>
    <xf numFmtId="41" fontId="5" fillId="0" borderId="11" xfId="2" applyNumberFormat="1" applyFont="1" applyBorder="1" applyAlignment="1" applyProtection="1">
      <alignment horizontal="center"/>
      <protection locked="0"/>
    </xf>
    <xf numFmtId="1" fontId="5" fillId="10" borderId="10" xfId="0" applyNumberFormat="1" applyFont="1" applyFill="1" applyBorder="1"/>
    <xf numFmtId="41" fontId="5" fillId="10" borderId="67" xfId="0" applyNumberFormat="1" applyFont="1" applyFill="1" applyBorder="1"/>
    <xf numFmtId="41" fontId="5" fillId="10" borderId="107" xfId="0" applyNumberFormat="1" applyFont="1" applyFill="1" applyBorder="1" applyAlignment="1">
      <alignment horizontal="center"/>
    </xf>
    <xf numFmtId="170" fontId="5" fillId="10" borderId="11" xfId="2" applyNumberFormat="1" applyFont="1" applyFill="1" applyBorder="1" applyProtection="1"/>
    <xf numFmtId="170" fontId="5" fillId="10" borderId="48" xfId="2" applyNumberFormat="1" applyFont="1" applyFill="1" applyBorder="1" applyProtection="1"/>
    <xf numFmtId="170" fontId="5" fillId="10" borderId="72" xfId="2" applyNumberFormat="1" applyFont="1" applyFill="1" applyBorder="1" applyProtection="1"/>
    <xf numFmtId="2" fontId="5" fillId="12" borderId="41" xfId="0" applyNumberFormat="1" applyFont="1" applyFill="1" applyBorder="1" applyAlignment="1" applyProtection="1">
      <alignment horizontal="right"/>
      <protection locked="0"/>
    </xf>
    <xf numFmtId="175" fontId="5" fillId="0" borderId="2" xfId="0" applyNumberFormat="1" applyFont="1" applyBorder="1" applyAlignment="1" applyProtection="1">
      <alignment horizontal="center"/>
      <protection locked="0"/>
    </xf>
    <xf numFmtId="41" fontId="5" fillId="0" borderId="12" xfId="2" applyNumberFormat="1" applyFont="1" applyBorder="1" applyAlignment="1" applyProtection="1">
      <alignment horizontal="center"/>
      <protection locked="0"/>
    </xf>
    <xf numFmtId="1" fontId="5" fillId="10" borderId="2" xfId="0" applyNumberFormat="1" applyFont="1" applyFill="1" applyBorder="1"/>
    <xf numFmtId="41" fontId="5" fillId="10" borderId="3" xfId="0" applyNumberFormat="1" applyFont="1" applyFill="1" applyBorder="1"/>
    <xf numFmtId="41" fontId="5" fillId="10" borderId="61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5" fillId="11" borderId="79" xfId="0" applyFont="1" applyFill="1" applyBorder="1" applyAlignment="1">
      <alignment horizontal="center" wrapText="1"/>
    </xf>
    <xf numFmtId="0" fontId="5" fillId="11" borderId="61" xfId="0" applyFont="1" applyFill="1" applyBorder="1" applyAlignment="1">
      <alignment horizontal="center" wrapText="1"/>
    </xf>
    <xf numFmtId="0" fontId="5" fillId="11" borderId="3" xfId="0" applyFont="1" applyFill="1" applyBorder="1" applyAlignment="1">
      <alignment horizontal="center" wrapText="1"/>
    </xf>
    <xf numFmtId="0" fontId="5" fillId="11" borderId="26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 wrapText="1"/>
    </xf>
    <xf numFmtId="0" fontId="5" fillId="11" borderId="26" xfId="0" applyFont="1" applyFill="1" applyBorder="1" applyAlignment="1">
      <alignment horizontal="center" wrapText="1"/>
    </xf>
    <xf numFmtId="0" fontId="5" fillId="11" borderId="66" xfId="0" applyFont="1" applyFill="1" applyBorder="1" applyAlignment="1">
      <alignment horizontal="left"/>
    </xf>
    <xf numFmtId="0" fontId="5" fillId="11" borderId="43" xfId="0" applyFont="1" applyFill="1" applyBorder="1" applyAlignment="1">
      <alignment horizontal="left"/>
    </xf>
    <xf numFmtId="0" fontId="5" fillId="11" borderId="44" xfId="0" applyFont="1" applyFill="1" applyBorder="1" applyAlignment="1">
      <alignment horizontal="left"/>
    </xf>
    <xf numFmtId="0" fontId="8" fillId="11" borderId="30" xfId="0" applyFont="1" applyFill="1" applyBorder="1" applyAlignment="1">
      <alignment horizontal="left"/>
    </xf>
    <xf numFmtId="0" fontId="8" fillId="11" borderId="31" xfId="0" applyFont="1" applyFill="1" applyBorder="1" applyAlignment="1">
      <alignment horizontal="left"/>
    </xf>
    <xf numFmtId="0" fontId="8" fillId="11" borderId="43" xfId="0" applyFont="1" applyFill="1" applyBorder="1" applyAlignment="1">
      <alignment horizontal="left"/>
    </xf>
    <xf numFmtId="0" fontId="8" fillId="11" borderId="44" xfId="0" applyFont="1" applyFill="1" applyBorder="1" applyAlignment="1">
      <alignment horizontal="left"/>
    </xf>
    <xf numFmtId="10" fontId="5" fillId="12" borderId="5" xfId="4" applyNumberFormat="1" applyFont="1" applyFill="1" applyBorder="1" applyProtection="1">
      <protection locked="0"/>
    </xf>
    <xf numFmtId="44" fontId="5" fillId="12" borderId="69" xfId="2" applyFont="1" applyFill="1" applyBorder="1" applyAlignment="1" applyProtection="1">
      <alignment horizontal="center"/>
      <protection locked="0"/>
    </xf>
    <xf numFmtId="9" fontId="5" fillId="10" borderId="34" xfId="4" applyFont="1" applyFill="1" applyBorder="1" applyAlignment="1" applyProtection="1">
      <alignment horizontal="center"/>
      <protection locked="0"/>
    </xf>
    <xf numFmtId="9" fontId="5" fillId="10" borderId="49" xfId="4" applyFont="1" applyFill="1" applyBorder="1" applyAlignment="1" applyProtection="1">
      <alignment horizontal="center"/>
      <protection locked="0"/>
    </xf>
    <xf numFmtId="9" fontId="5" fillId="10" borderId="26" xfId="4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left"/>
      <protection locked="0"/>
    </xf>
    <xf numFmtId="0" fontId="5" fillId="12" borderId="22" xfId="0" applyFont="1" applyFill="1" applyBorder="1" applyProtection="1">
      <protection locked="0"/>
    </xf>
    <xf numFmtId="0" fontId="5" fillId="11" borderId="11" xfId="0" applyFont="1" applyFill="1" applyBorder="1"/>
    <xf numFmtId="0" fontId="5" fillId="12" borderId="60" xfId="0" applyFont="1" applyFill="1" applyBorder="1" applyAlignment="1" applyProtection="1">
      <alignment horizontal="center"/>
      <protection locked="0"/>
    </xf>
    <xf numFmtId="41" fontId="5" fillId="12" borderId="0" xfId="0" applyNumberFormat="1" applyFont="1" applyFill="1"/>
    <xf numFmtId="41" fontId="5" fillId="12" borderId="21" xfId="0" applyNumberFormat="1" applyFont="1" applyFill="1" applyBorder="1"/>
    <xf numFmtId="41" fontId="5" fillId="12" borderId="2" xfId="0" applyNumberFormat="1" applyFont="1" applyFill="1" applyBorder="1"/>
    <xf numFmtId="41" fontId="5" fillId="12" borderId="12" xfId="0" applyNumberFormat="1" applyFont="1" applyFill="1" applyBorder="1"/>
    <xf numFmtId="0" fontId="5" fillId="12" borderId="11" xfId="0" applyFont="1" applyFill="1" applyBorder="1" applyAlignment="1">
      <alignment horizontal="center"/>
    </xf>
    <xf numFmtId="0" fontId="5" fillId="12" borderId="71" xfId="0" applyFont="1" applyFill="1" applyBorder="1"/>
    <xf numFmtId="0" fontId="5" fillId="12" borderId="72" xfId="0" applyFont="1" applyFill="1" applyBorder="1"/>
    <xf numFmtId="0" fontId="5" fillId="12" borderId="40" xfId="0" applyFont="1" applyFill="1" applyBorder="1"/>
    <xf numFmtId="0" fontId="5" fillId="12" borderId="25" xfId="0" applyFont="1" applyFill="1" applyBorder="1"/>
    <xf numFmtId="0" fontId="5" fillId="12" borderId="14" xfId="0" applyFont="1" applyFill="1" applyBorder="1"/>
    <xf numFmtId="170" fontId="5" fillId="10" borderId="73" xfId="2" applyNumberFormat="1" applyFont="1" applyFill="1" applyBorder="1" applyAlignment="1" applyProtection="1">
      <alignment horizontal="center"/>
      <protection locked="0"/>
    </xf>
    <xf numFmtId="170" fontId="5" fillId="10" borderId="79" xfId="2" applyNumberFormat="1" applyFont="1" applyFill="1" applyBorder="1" applyAlignment="1" applyProtection="1">
      <alignment horizontal="center"/>
      <protection locked="0"/>
    </xf>
    <xf numFmtId="43" fontId="5" fillId="12" borderId="5" xfId="1" applyFont="1" applyFill="1" applyBorder="1" applyAlignment="1" applyProtection="1">
      <alignment horizontal="center"/>
      <protection locked="0"/>
    </xf>
    <xf numFmtId="0" fontId="5" fillId="10" borderId="51" xfId="0" applyFont="1" applyFill="1" applyBorder="1" applyProtection="1">
      <protection locked="0"/>
    </xf>
    <xf numFmtId="44" fontId="5" fillId="10" borderId="26" xfId="2" applyFont="1" applyFill="1" applyBorder="1" applyProtection="1">
      <protection locked="0"/>
    </xf>
    <xf numFmtId="0" fontId="5" fillId="11" borderId="2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5" borderId="11" xfId="0" applyFont="1" applyFill="1" applyBorder="1"/>
    <xf numFmtId="0" fontId="8" fillId="15" borderId="29" xfId="0" applyFont="1" applyFill="1" applyBorder="1" applyAlignment="1">
      <alignment horizontal="right"/>
    </xf>
    <xf numFmtId="0" fontId="1" fillId="11" borderId="1" xfId="0" applyFont="1" applyFill="1" applyBorder="1"/>
    <xf numFmtId="0" fontId="1" fillId="11" borderId="0" xfId="0" applyFont="1" applyFill="1"/>
    <xf numFmtId="164" fontId="1" fillId="11" borderId="0" xfId="0" applyNumberFormat="1" applyFont="1" applyFill="1"/>
    <xf numFmtId="44" fontId="1" fillId="11" borderId="0" xfId="2" applyFont="1" applyFill="1" applyBorder="1"/>
    <xf numFmtId="0" fontId="2" fillId="11" borderId="0" xfId="0" applyFont="1" applyFill="1"/>
    <xf numFmtId="164" fontId="2" fillId="11" borderId="10" xfId="0" applyNumberFormat="1" applyFont="1" applyFill="1" applyBorder="1"/>
    <xf numFmtId="164" fontId="2" fillId="11" borderId="10" xfId="0" applyNumberFormat="1" applyFont="1" applyFill="1" applyBorder="1" applyAlignment="1">
      <alignment horizontal="center"/>
    </xf>
    <xf numFmtId="7" fontId="11" fillId="11" borderId="83" xfId="0" applyNumberFormat="1" applyFont="1" applyFill="1" applyBorder="1" applyProtection="1">
      <protection locked="0"/>
    </xf>
    <xf numFmtId="0" fontId="1" fillId="11" borderId="10" xfId="0" applyFont="1" applyFill="1" applyBorder="1"/>
    <xf numFmtId="0" fontId="1" fillId="11" borderId="11" xfId="0" applyFont="1" applyFill="1" applyBorder="1"/>
    <xf numFmtId="7" fontId="11" fillId="10" borderId="79" xfId="0" applyNumberFormat="1" applyFont="1" applyFill="1" applyBorder="1" applyProtection="1">
      <protection locked="0"/>
    </xf>
    <xf numFmtId="7" fontId="11" fillId="10" borderId="26" xfId="0" applyNumberFormat="1" applyFont="1" applyFill="1" applyBorder="1" applyProtection="1">
      <protection locked="0"/>
    </xf>
    <xf numFmtId="44" fontId="1" fillId="10" borderId="0" xfId="2" applyFont="1" applyFill="1" applyBorder="1"/>
    <xf numFmtId="7" fontId="11" fillId="10" borderId="84" xfId="0" applyNumberFormat="1" applyFont="1" applyFill="1" applyBorder="1" applyProtection="1">
      <protection locked="0"/>
    </xf>
    <xf numFmtId="7" fontId="11" fillId="10" borderId="73" xfId="0" applyNumberFormat="1" applyFont="1" applyFill="1" applyBorder="1" applyProtection="1">
      <protection locked="0"/>
    </xf>
    <xf numFmtId="7" fontId="11" fillId="10" borderId="60" xfId="0" applyNumberFormat="1" applyFont="1" applyFill="1" applyBorder="1" applyProtection="1">
      <protection locked="0"/>
    </xf>
    <xf numFmtId="44" fontId="1" fillId="10" borderId="60" xfId="2" applyFont="1" applyFill="1" applyBorder="1"/>
    <xf numFmtId="7" fontId="11" fillId="10" borderId="20" xfId="0" applyNumberFormat="1" applyFont="1" applyFill="1" applyBorder="1" applyProtection="1">
      <protection locked="0"/>
    </xf>
    <xf numFmtId="7" fontId="1" fillId="10" borderId="79" xfId="0" applyNumberFormat="1" applyFont="1" applyFill="1" applyBorder="1"/>
    <xf numFmtId="7" fontId="1" fillId="10" borderId="26" xfId="0" applyNumberFormat="1" applyFont="1" applyFill="1" applyBorder="1"/>
    <xf numFmtId="7" fontId="1" fillId="10" borderId="84" xfId="0" applyNumberFormat="1" applyFont="1" applyFill="1" applyBorder="1"/>
    <xf numFmtId="0" fontId="11" fillId="12" borderId="51" xfId="0" applyFont="1" applyFill="1" applyBorder="1" applyAlignment="1">
      <alignment horizontal="center"/>
    </xf>
    <xf numFmtId="0" fontId="11" fillId="12" borderId="91" xfId="0" applyFont="1" applyFill="1" applyBorder="1" applyAlignment="1">
      <alignment horizontal="center"/>
    </xf>
    <xf numFmtId="0" fontId="11" fillId="12" borderId="90" xfId="0" applyFont="1" applyFill="1" applyBorder="1" applyAlignment="1">
      <alignment horizontal="center"/>
    </xf>
    <xf numFmtId="9" fontId="5" fillId="10" borderId="51" xfId="4" applyFont="1" applyFill="1" applyBorder="1" applyProtection="1"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locked="0"/>
    </xf>
    <xf numFmtId="0" fontId="8" fillId="0" borderId="25" xfId="0" applyFont="1" applyBorder="1" applyAlignment="1" applyProtection="1">
      <alignment horizontal="center"/>
      <protection locked="0"/>
    </xf>
    <xf numFmtId="0" fontId="8" fillId="15" borderId="29" xfId="0" applyFont="1" applyFill="1" applyBorder="1"/>
    <xf numFmtId="0" fontId="5" fillId="15" borderId="11" xfId="0" applyFont="1" applyFill="1" applyBorder="1" applyAlignment="1">
      <alignment horizontal="right"/>
    </xf>
    <xf numFmtId="0" fontId="5" fillId="15" borderId="21" xfId="0" applyFont="1" applyFill="1" applyBorder="1" applyAlignment="1">
      <alignment horizontal="right"/>
    </xf>
    <xf numFmtId="0" fontId="5" fillId="15" borderId="12" xfId="0" applyFont="1" applyFill="1" applyBorder="1" applyAlignment="1">
      <alignment horizontal="right"/>
    </xf>
    <xf numFmtId="170" fontId="5" fillId="15" borderId="30" xfId="2" applyNumberFormat="1" applyFont="1" applyFill="1" applyBorder="1" applyAlignment="1" applyProtection="1">
      <alignment horizontal="center"/>
      <protection locked="0"/>
    </xf>
    <xf numFmtId="0" fontId="8" fillId="15" borderId="30" xfId="0" applyFont="1" applyFill="1" applyBorder="1"/>
    <xf numFmtId="0" fontId="5" fillId="2" borderId="0" xfId="0" quotePrefix="1" applyFont="1" applyFill="1"/>
    <xf numFmtId="9" fontId="5" fillId="2" borderId="0" xfId="4" applyFont="1" applyFill="1" applyBorder="1" applyProtection="1">
      <protection locked="0"/>
    </xf>
    <xf numFmtId="168" fontId="5" fillId="2" borderId="0" xfId="1" applyNumberFormat="1" applyFont="1" applyFill="1" applyBorder="1" applyAlignment="1">
      <alignment horizontal="center"/>
    </xf>
    <xf numFmtId="170" fontId="5" fillId="2" borderId="0" xfId="2" applyNumberFormat="1" applyFont="1" applyFill="1" applyBorder="1" applyAlignment="1">
      <alignment horizontal="center"/>
    </xf>
    <xf numFmtId="170" fontId="5" fillId="2" borderId="21" xfId="2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6" xfId="0" applyFont="1" applyBorder="1" applyAlignment="1">
      <alignment horizontal="center"/>
    </xf>
    <xf numFmtId="0" fontId="5" fillId="0" borderId="0" xfId="0" quotePrefix="1" applyFont="1" applyAlignment="1" applyProtection="1">
      <alignment horizontal="left"/>
      <protection locked="0"/>
    </xf>
    <xf numFmtId="0" fontId="5" fillId="10" borderId="118" xfId="0" applyFont="1" applyFill="1" applyBorder="1"/>
    <xf numFmtId="0" fontId="5" fillId="10" borderId="8" xfId="0" applyFont="1" applyFill="1" applyBorder="1"/>
    <xf numFmtId="0" fontId="5" fillId="12" borderId="69" xfId="0" applyFont="1" applyFill="1" applyBorder="1" applyAlignment="1" applyProtection="1">
      <alignment horizontal="center"/>
      <protection locked="0"/>
    </xf>
    <xf numFmtId="168" fontId="5" fillId="12" borderId="0" xfId="1" applyNumberFormat="1" applyFont="1" applyFill="1" applyBorder="1" applyProtection="1">
      <protection locked="0"/>
    </xf>
    <xf numFmtId="168" fontId="5" fillId="12" borderId="40" xfId="1" applyNumberFormat="1" applyFont="1" applyFill="1" applyBorder="1" applyProtection="1">
      <protection locked="0"/>
    </xf>
    <xf numFmtId="164" fontId="5" fillId="12" borderId="14" xfId="0" applyNumberFormat="1" applyFont="1" applyFill="1" applyBorder="1" applyProtection="1">
      <protection locked="0"/>
    </xf>
    <xf numFmtId="164" fontId="5" fillId="12" borderId="2" xfId="0" applyNumberFormat="1" applyFont="1" applyFill="1" applyBorder="1" applyProtection="1">
      <protection locked="0"/>
    </xf>
    <xf numFmtId="0" fontId="5" fillId="12" borderId="81" xfId="0" applyFont="1" applyFill="1" applyBorder="1" applyAlignment="1">
      <alignment horizontal="left" wrapText="1"/>
    </xf>
    <xf numFmtId="172" fontId="8" fillId="12" borderId="5" xfId="0" applyNumberFormat="1" applyFont="1" applyFill="1" applyBorder="1"/>
    <xf numFmtId="2" fontId="8" fillId="12" borderId="5" xfId="0" applyNumberFormat="1" applyFont="1" applyFill="1" applyBorder="1"/>
    <xf numFmtId="44" fontId="8" fillId="10" borderId="16" xfId="2" applyFont="1" applyFill="1" applyBorder="1"/>
    <xf numFmtId="44" fontId="8" fillId="10" borderId="18" xfId="2" applyFont="1" applyFill="1" applyBorder="1"/>
    <xf numFmtId="44" fontId="8" fillId="10" borderId="3" xfId="2" applyFont="1" applyFill="1" applyBorder="1"/>
    <xf numFmtId="0" fontId="5" fillId="0" borderId="83" xfId="0" applyFont="1" applyBorder="1" applyAlignment="1" applyProtection="1">
      <alignment horizontal="center"/>
      <protection locked="0"/>
    </xf>
    <xf numFmtId="168" fontId="5" fillId="0" borderId="10" xfId="1" applyNumberFormat="1" applyFont="1" applyBorder="1" applyProtection="1">
      <protection locked="0"/>
    </xf>
    <xf numFmtId="41" fontId="11" fillId="0" borderId="67" xfId="0" applyNumberFormat="1" applyFont="1" applyBorder="1" applyAlignment="1" applyProtection="1">
      <alignment horizontal="center"/>
      <protection locked="0"/>
    </xf>
    <xf numFmtId="41" fontId="5" fillId="0" borderId="11" xfId="0" applyNumberFormat="1" applyFont="1" applyBorder="1" applyAlignment="1" applyProtection="1">
      <alignment horizontal="center"/>
      <protection locked="0"/>
    </xf>
    <xf numFmtId="168" fontId="5" fillId="12" borderId="10" xfId="1" applyNumberFormat="1" applyFont="1" applyFill="1" applyBorder="1" applyProtection="1">
      <protection locked="0"/>
    </xf>
    <xf numFmtId="164" fontId="5" fillId="12" borderId="10" xfId="0" applyNumberFormat="1" applyFont="1" applyFill="1" applyBorder="1" applyProtection="1">
      <protection locked="0"/>
    </xf>
    <xf numFmtId="44" fontId="8" fillId="10" borderId="67" xfId="2" applyFont="1" applyFill="1" applyBorder="1"/>
    <xf numFmtId="168" fontId="5" fillId="0" borderId="0" xfId="1" applyNumberFormat="1" applyFont="1" applyBorder="1" applyProtection="1">
      <protection locked="0"/>
    </xf>
    <xf numFmtId="0" fontId="5" fillId="11" borderId="61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5" fillId="2" borderId="34" xfId="0" applyFont="1" applyFill="1" applyBorder="1"/>
    <xf numFmtId="0" fontId="8" fillId="11" borderId="58" xfId="0" applyFont="1" applyFill="1" applyBorder="1" applyAlignment="1">
      <alignment horizontal="left"/>
    </xf>
    <xf numFmtId="0" fontId="5" fillId="11" borderId="68" xfId="0" applyFont="1" applyFill="1" applyBorder="1" applyAlignment="1">
      <alignment horizontal="center" wrapText="1"/>
    </xf>
    <xf numFmtId="164" fontId="5" fillId="12" borderId="0" xfId="0" applyNumberFormat="1" applyFont="1" applyFill="1" applyAlignment="1">
      <alignment horizontal="left"/>
    </xf>
    <xf numFmtId="0" fontId="5" fillId="12" borderId="6" xfId="0" applyFont="1" applyFill="1" applyBorder="1" applyAlignment="1" applyProtection="1">
      <alignment horizontal="center"/>
      <protection locked="0"/>
    </xf>
    <xf numFmtId="1" fontId="5" fillId="12" borderId="49" xfId="0" applyNumberFormat="1" applyFont="1" applyFill="1" applyBorder="1" applyProtection="1">
      <protection locked="0"/>
    </xf>
    <xf numFmtId="1" fontId="5" fillId="12" borderId="60" xfId="0" applyNumberFormat="1" applyFont="1" applyFill="1" applyBorder="1" applyProtection="1">
      <protection locked="0"/>
    </xf>
    <xf numFmtId="170" fontId="5" fillId="12" borderId="49" xfId="2" applyNumberFormat="1" applyFont="1" applyFill="1" applyBorder="1" applyProtection="1">
      <protection locked="0"/>
    </xf>
    <xf numFmtId="170" fontId="5" fillId="12" borderId="5" xfId="2" applyNumberFormat="1" applyFont="1" applyFill="1" applyBorder="1" applyProtection="1">
      <protection locked="0"/>
    </xf>
    <xf numFmtId="2" fontId="5" fillId="10" borderId="5" xfId="0" applyNumberFormat="1" applyFont="1" applyFill="1" applyBorder="1" applyProtection="1">
      <protection locked="0"/>
    </xf>
    <xf numFmtId="170" fontId="5" fillId="10" borderId="51" xfId="2" applyNumberFormat="1" applyFont="1" applyFill="1" applyBorder="1" applyProtection="1">
      <protection locked="0"/>
    </xf>
    <xf numFmtId="170" fontId="5" fillId="10" borderId="49" xfId="2" applyNumberFormat="1" applyFont="1" applyFill="1" applyBorder="1" applyProtection="1">
      <protection locked="0"/>
    </xf>
    <xf numFmtId="0" fontId="3" fillId="12" borderId="12" xfId="0" applyFont="1" applyFill="1" applyBorder="1" applyProtection="1">
      <protection locked="0"/>
    </xf>
    <xf numFmtId="0" fontId="3" fillId="12" borderId="119" xfId="0" applyFont="1" applyFill="1" applyBorder="1" applyProtection="1">
      <protection locked="0"/>
    </xf>
    <xf numFmtId="0" fontId="3" fillId="12" borderId="9" xfId="0" applyFont="1" applyFill="1" applyBorder="1"/>
    <xf numFmtId="0" fontId="5" fillId="15" borderId="58" xfId="0" applyFont="1" applyFill="1" applyBorder="1"/>
    <xf numFmtId="0" fontId="5" fillId="15" borderId="54" xfId="0" applyFont="1" applyFill="1" applyBorder="1"/>
    <xf numFmtId="0" fontId="8" fillId="2" borderId="1" xfId="0" applyFont="1" applyFill="1" applyBorder="1" applyProtection="1">
      <protection locked="0"/>
    </xf>
    <xf numFmtId="171" fontId="8" fillId="2" borderId="1" xfId="4" applyNumberFormat="1" applyFont="1" applyFill="1" applyBorder="1" applyAlignment="1" applyProtection="1">
      <alignment horizontal="center"/>
    </xf>
    <xf numFmtId="170" fontId="3" fillId="6" borderId="58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/>
    </xf>
    <xf numFmtId="0" fontId="5" fillId="15" borderId="29" xfId="0" applyFont="1" applyFill="1" applyBorder="1" applyProtection="1">
      <protection locked="0"/>
    </xf>
    <xf numFmtId="0" fontId="5" fillId="15" borderId="30" xfId="0" applyFont="1" applyFill="1" applyBorder="1" applyProtection="1">
      <protection locked="0"/>
    </xf>
    <xf numFmtId="0" fontId="3" fillId="15" borderId="29" xfId="0" applyFont="1" applyFill="1" applyBorder="1" applyProtection="1">
      <protection locked="0"/>
    </xf>
    <xf numFmtId="0" fontId="3" fillId="15" borderId="30" xfId="0" applyFont="1" applyFill="1" applyBorder="1" applyProtection="1">
      <protection locked="0"/>
    </xf>
    <xf numFmtId="0" fontId="3" fillId="15" borderId="30" xfId="0" applyFont="1" applyFill="1" applyBorder="1" applyAlignment="1" applyProtection="1">
      <alignment horizontal="center"/>
      <protection locked="0"/>
    </xf>
    <xf numFmtId="0" fontId="3" fillId="15" borderId="10" xfId="0" applyFont="1" applyFill="1" applyBorder="1" applyProtection="1">
      <protection locked="0"/>
    </xf>
    <xf numFmtId="0" fontId="3" fillId="15" borderId="54" xfId="0" applyFont="1" applyFill="1" applyBorder="1"/>
    <xf numFmtId="170" fontId="3" fillId="15" borderId="54" xfId="2" applyNumberFormat="1" applyFont="1" applyFill="1" applyBorder="1" applyAlignment="1" applyProtection="1">
      <alignment horizontal="center"/>
      <protection locked="0"/>
    </xf>
    <xf numFmtId="0" fontId="3" fillId="15" borderId="2" xfId="0" applyFont="1" applyFill="1" applyBorder="1"/>
    <xf numFmtId="0" fontId="3" fillId="15" borderId="12" xfId="0" applyFont="1" applyFill="1" applyBorder="1"/>
    <xf numFmtId="0" fontId="3" fillId="11" borderId="0" xfId="0" applyFont="1" applyFill="1"/>
    <xf numFmtId="0" fontId="3" fillId="0" borderId="0" xfId="0" quotePrefix="1" applyFont="1" applyAlignment="1">
      <alignment horizontal="left"/>
    </xf>
    <xf numFmtId="164" fontId="3" fillId="0" borderId="0" xfId="0" quotePrefix="1" applyNumberFormat="1" applyFont="1"/>
    <xf numFmtId="44" fontId="5" fillId="10" borderId="59" xfId="2" applyFont="1" applyFill="1" applyBorder="1"/>
    <xf numFmtId="44" fontId="5" fillId="10" borderId="60" xfId="2" applyFont="1" applyFill="1" applyBorder="1"/>
    <xf numFmtId="44" fontId="5" fillId="10" borderId="26" xfId="2" applyFont="1" applyFill="1" applyBorder="1"/>
    <xf numFmtId="41" fontId="5" fillId="12" borderId="56" xfId="0" applyNumberFormat="1" applyFont="1" applyFill="1" applyBorder="1" applyAlignment="1">
      <alignment horizontal="center"/>
    </xf>
    <xf numFmtId="41" fontId="5" fillId="12" borderId="56" xfId="0" applyNumberFormat="1" applyFont="1" applyFill="1" applyBorder="1" applyAlignment="1" applyProtection="1">
      <alignment horizontal="center"/>
      <protection locked="0"/>
    </xf>
    <xf numFmtId="41" fontId="5" fillId="12" borderId="26" xfId="0" applyNumberFormat="1" applyFont="1" applyFill="1" applyBorder="1" applyAlignment="1">
      <alignment horizontal="center"/>
    </xf>
    <xf numFmtId="41" fontId="5" fillId="12" borderId="61" xfId="0" applyNumberFormat="1" applyFont="1" applyFill="1" applyBorder="1" applyAlignment="1" applyProtection="1">
      <alignment horizontal="center"/>
      <protection locked="0"/>
    </xf>
    <xf numFmtId="168" fontId="5" fillId="12" borderId="2" xfId="1" applyNumberFormat="1" applyFont="1" applyFill="1" applyBorder="1" applyProtection="1">
      <protection locked="0"/>
    </xf>
    <xf numFmtId="0" fontId="0" fillId="12" borderId="16" xfId="0" applyFill="1" applyBorder="1" applyProtection="1">
      <protection locked="0"/>
    </xf>
    <xf numFmtId="0" fontId="5" fillId="12" borderId="59" xfId="0" applyFont="1" applyFill="1" applyBorder="1" applyAlignment="1" applyProtection="1">
      <alignment horizontal="center"/>
      <protection locked="0"/>
    </xf>
    <xf numFmtId="1" fontId="5" fillId="12" borderId="51" xfId="0" applyNumberFormat="1" applyFont="1" applyFill="1" applyBorder="1" applyAlignment="1" applyProtection="1">
      <alignment horizontal="center"/>
      <protection locked="0"/>
    </xf>
    <xf numFmtId="10" fontId="5" fillId="12" borderId="39" xfId="4" applyNumberFormat="1" applyFont="1" applyFill="1" applyBorder="1" applyProtection="1">
      <protection locked="0"/>
    </xf>
    <xf numFmtId="0" fontId="3" fillId="12" borderId="0" xfId="0" applyFont="1" applyFill="1" applyAlignment="1" applyProtection="1">
      <alignment horizontal="center"/>
      <protection locked="0"/>
    </xf>
    <xf numFmtId="0" fontId="4" fillId="12" borderId="0" xfId="0" applyFont="1" applyFill="1" applyAlignment="1" applyProtection="1">
      <alignment horizontal="center"/>
      <protection locked="0"/>
    </xf>
    <xf numFmtId="164" fontId="3" fillId="12" borderId="0" xfId="0" applyNumberFormat="1" applyFont="1" applyFill="1" applyProtection="1">
      <protection locked="0"/>
    </xf>
    <xf numFmtId="166" fontId="3" fillId="12" borderId="0" xfId="0" applyNumberFormat="1" applyFont="1" applyFill="1" applyProtection="1">
      <protection locked="0"/>
    </xf>
    <xf numFmtId="164" fontId="3" fillId="12" borderId="0" xfId="0" applyNumberFormat="1" applyFont="1" applyFill="1" applyAlignment="1" applyProtection="1">
      <alignment horizontal="left"/>
      <protection locked="0"/>
    </xf>
    <xf numFmtId="42" fontId="5" fillId="12" borderId="51" xfId="2" applyNumberFormat="1" applyFont="1" applyFill="1" applyBorder="1" applyAlignment="1" applyProtection="1">
      <alignment horizontal="center"/>
      <protection locked="0"/>
    </xf>
    <xf numFmtId="42" fontId="5" fillId="12" borderId="5" xfId="2" applyNumberFormat="1" applyFont="1" applyFill="1" applyBorder="1" applyAlignment="1" applyProtection="1">
      <alignment horizontal="center"/>
      <protection locked="0"/>
    </xf>
    <xf numFmtId="42" fontId="5" fillId="12" borderId="52" xfId="2" applyNumberFormat="1" applyFont="1" applyFill="1" applyBorder="1" applyAlignment="1" applyProtection="1">
      <alignment horizontal="center"/>
      <protection locked="0"/>
    </xf>
    <xf numFmtId="1" fontId="3" fillId="12" borderId="51" xfId="0" applyNumberFormat="1" applyFont="1" applyFill="1" applyBorder="1" applyProtection="1">
      <protection locked="0"/>
    </xf>
    <xf numFmtId="1" fontId="3" fillId="12" borderId="5" xfId="0" applyNumberFormat="1" applyFont="1" applyFill="1" applyBorder="1" applyProtection="1">
      <protection locked="0"/>
    </xf>
    <xf numFmtId="1" fontId="3" fillId="12" borderId="49" xfId="0" applyNumberFormat="1" applyFont="1" applyFill="1" applyBorder="1" applyProtection="1">
      <protection locked="0"/>
    </xf>
    <xf numFmtId="44" fontId="3" fillId="12" borderId="51" xfId="2" applyFont="1" applyFill="1" applyBorder="1" applyAlignment="1" applyProtection="1">
      <alignment horizontal="left"/>
      <protection locked="0"/>
    </xf>
    <xf numFmtId="44" fontId="3" fillId="12" borderId="5" xfId="2" applyFont="1" applyFill="1" applyBorder="1" applyProtection="1">
      <protection locked="0"/>
    </xf>
    <xf numFmtId="170" fontId="3" fillId="12" borderId="49" xfId="2" applyNumberFormat="1" applyFont="1" applyFill="1" applyBorder="1" applyProtection="1">
      <protection locked="0"/>
    </xf>
    <xf numFmtId="44" fontId="3" fillId="12" borderId="49" xfId="2" applyFont="1" applyFill="1" applyBorder="1" applyProtection="1">
      <protection locked="0"/>
    </xf>
    <xf numFmtId="44" fontId="3" fillId="12" borderId="51" xfId="2" applyFont="1" applyFill="1" applyBorder="1" applyProtection="1">
      <protection locked="0"/>
    </xf>
    <xf numFmtId="170" fontId="3" fillId="12" borderId="5" xfId="2" applyNumberFormat="1" applyFont="1" applyFill="1" applyBorder="1" applyProtection="1">
      <protection locked="0"/>
    </xf>
    <xf numFmtId="0" fontId="3" fillId="12" borderId="41" xfId="0" applyFont="1" applyFill="1" applyBorder="1" applyProtection="1">
      <protection locked="0"/>
    </xf>
    <xf numFmtId="170" fontId="3" fillId="10" borderId="51" xfId="2" applyNumberFormat="1" applyFont="1" applyFill="1" applyBorder="1" applyProtection="1">
      <protection locked="0"/>
    </xf>
    <xf numFmtId="170" fontId="3" fillId="10" borderId="5" xfId="2" applyNumberFormat="1" applyFont="1" applyFill="1" applyBorder="1" applyProtection="1">
      <protection locked="0"/>
    </xf>
    <xf numFmtId="170" fontId="3" fillId="10" borderId="49" xfId="2" applyNumberFormat="1" applyFont="1" applyFill="1" applyBorder="1" applyProtection="1">
      <protection locked="0"/>
    </xf>
    <xf numFmtId="10" fontId="5" fillId="10" borderId="1" xfId="4" applyNumberFormat="1" applyFont="1" applyFill="1" applyBorder="1" applyAlignment="1" applyProtection="1">
      <alignment horizontal="center"/>
      <protection locked="0"/>
    </xf>
    <xf numFmtId="10" fontId="5" fillId="10" borderId="0" xfId="4" applyNumberFormat="1" applyFont="1" applyFill="1" applyBorder="1" applyAlignment="1" applyProtection="1">
      <alignment horizontal="center"/>
      <protection locked="0"/>
    </xf>
    <xf numFmtId="0" fontId="5" fillId="10" borderId="51" xfId="0" applyFont="1" applyFill="1" applyBorder="1" applyAlignment="1">
      <alignment horizontal="center"/>
    </xf>
    <xf numFmtId="9" fontId="5" fillId="10" borderId="39" xfId="4" applyFont="1" applyFill="1" applyBorder="1"/>
    <xf numFmtId="0" fontId="3" fillId="10" borderId="0" xfId="0" applyFont="1" applyFill="1"/>
    <xf numFmtId="0" fontId="5" fillId="10" borderId="28" xfId="0" applyFont="1" applyFill="1" applyBorder="1" applyProtection="1">
      <protection locked="0"/>
    </xf>
    <xf numFmtId="0" fontId="5" fillId="10" borderId="49" xfId="0" applyFont="1" applyFill="1" applyBorder="1" applyProtection="1">
      <protection locked="0"/>
    </xf>
    <xf numFmtId="14" fontId="5" fillId="10" borderId="16" xfId="0" applyNumberFormat="1" applyFont="1" applyFill="1" applyBorder="1" applyAlignment="1" applyProtection="1">
      <alignment horizontal="center"/>
      <protection locked="0"/>
    </xf>
    <xf numFmtId="164" fontId="5" fillId="12" borderId="16" xfId="0" applyNumberFormat="1" applyFont="1" applyFill="1" applyBorder="1" applyProtection="1">
      <protection locked="0"/>
    </xf>
    <xf numFmtId="164" fontId="5" fillId="12" borderId="3" xfId="0" applyNumberFormat="1" applyFont="1" applyFill="1" applyBorder="1" applyProtection="1">
      <protection locked="0"/>
    </xf>
    <xf numFmtId="44" fontId="5" fillId="10" borderId="16" xfId="2" applyFont="1" applyFill="1" applyBorder="1"/>
    <xf numFmtId="44" fontId="5" fillId="10" borderId="3" xfId="2" applyFont="1" applyFill="1" applyBorder="1"/>
    <xf numFmtId="10" fontId="5" fillId="12" borderId="46" xfId="4" applyNumberFormat="1" applyFont="1" applyFill="1" applyBorder="1" applyProtection="1">
      <protection locked="0"/>
    </xf>
    <xf numFmtId="166" fontId="5" fillId="12" borderId="0" xfId="0" applyNumberFormat="1" applyFont="1" applyFill="1" applyProtection="1">
      <protection locked="0"/>
    </xf>
    <xf numFmtId="164" fontId="5" fillId="12" borderId="0" xfId="0" applyNumberFormat="1" applyFont="1" applyFill="1" applyAlignment="1" applyProtection="1">
      <alignment horizontal="left"/>
      <protection locked="0"/>
    </xf>
    <xf numFmtId="170" fontId="5" fillId="12" borderId="0" xfId="2" applyNumberFormat="1" applyFont="1" applyFill="1" applyBorder="1" applyProtection="1">
      <protection locked="0"/>
    </xf>
    <xf numFmtId="43" fontId="5" fillId="12" borderId="5" xfId="2" applyNumberFormat="1" applyFont="1" applyFill="1" applyBorder="1" applyProtection="1">
      <protection locked="0"/>
    </xf>
    <xf numFmtId="43" fontId="5" fillId="12" borderId="41" xfId="0" applyNumberFormat="1" applyFont="1" applyFill="1" applyBorder="1" applyProtection="1">
      <protection locked="0"/>
    </xf>
    <xf numFmtId="0" fontId="5" fillId="10" borderId="30" xfId="0" applyFont="1" applyFill="1" applyBorder="1" applyAlignment="1">
      <alignment horizontal="center"/>
    </xf>
    <xf numFmtId="0" fontId="5" fillId="15" borderId="29" xfId="0" applyFont="1" applyFill="1" applyBorder="1" applyAlignment="1">
      <alignment horizontal="left"/>
    </xf>
    <xf numFmtId="0" fontId="5" fillId="15" borderId="30" xfId="0" applyFont="1" applyFill="1" applyBorder="1" applyAlignment="1">
      <alignment horizontal="left"/>
    </xf>
    <xf numFmtId="0" fontId="11" fillId="15" borderId="30" xfId="0" applyFont="1" applyFill="1" applyBorder="1" applyAlignment="1">
      <alignment horizontal="center"/>
    </xf>
    <xf numFmtId="5" fontId="5" fillId="15" borderId="30" xfId="0" applyNumberFormat="1" applyFont="1" applyFill="1" applyBorder="1" applyProtection="1">
      <protection locked="0"/>
    </xf>
    <xf numFmtId="44" fontId="5" fillId="15" borderId="30" xfId="2" applyFont="1" applyFill="1" applyBorder="1"/>
    <xf numFmtId="5" fontId="5" fillId="15" borderId="30" xfId="0" applyNumberFormat="1" applyFont="1" applyFill="1" applyBorder="1"/>
    <xf numFmtId="0" fontId="5" fillId="15" borderId="30" xfId="0" applyFont="1" applyFill="1" applyBorder="1" applyAlignment="1">
      <alignment horizontal="center"/>
    </xf>
    <xf numFmtId="5" fontId="5" fillId="15" borderId="30" xfId="2" applyNumberFormat="1" applyFont="1" applyFill="1" applyBorder="1"/>
    <xf numFmtId="170" fontId="8" fillId="15" borderId="30" xfId="2" applyNumberFormat="1" applyFont="1" applyFill="1" applyBorder="1" applyAlignment="1">
      <alignment horizontal="right"/>
    </xf>
    <xf numFmtId="170" fontId="8" fillId="15" borderId="31" xfId="2" applyNumberFormat="1" applyFont="1" applyFill="1" applyBorder="1" applyAlignment="1">
      <alignment horizontal="right"/>
    </xf>
    <xf numFmtId="7" fontId="5" fillId="15" borderId="30" xfId="0" applyNumberFormat="1" applyFont="1" applyFill="1" applyBorder="1" applyProtection="1">
      <protection locked="0"/>
    </xf>
    <xf numFmtId="44" fontId="5" fillId="15" borderId="30" xfId="0" applyNumberFormat="1" applyFont="1" applyFill="1" applyBorder="1"/>
    <xf numFmtId="170" fontId="5" fillId="15" borderId="30" xfId="0" applyNumberFormat="1" applyFont="1" applyFill="1" applyBorder="1"/>
    <xf numFmtId="170" fontId="8" fillId="15" borderId="30" xfId="2" applyNumberFormat="1" applyFont="1" applyFill="1" applyBorder="1" applyAlignment="1">
      <alignment horizontal="center"/>
    </xf>
    <xf numFmtId="170" fontId="8" fillId="15" borderId="31" xfId="2" applyNumberFormat="1" applyFont="1" applyFill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7" fontId="5" fillId="0" borderId="0" xfId="0" applyNumberFormat="1" applyFont="1"/>
    <xf numFmtId="0" fontId="11" fillId="0" borderId="0" xfId="0" applyFont="1" applyAlignment="1" applyProtection="1">
      <alignment horizontal="center"/>
      <protection locked="0"/>
    </xf>
    <xf numFmtId="168" fontId="5" fillId="0" borderId="2" xfId="1" applyNumberFormat="1" applyFont="1" applyBorder="1"/>
    <xf numFmtId="5" fontId="5" fillId="0" borderId="0" xfId="0" applyNumberFormat="1" applyFont="1" applyProtection="1">
      <protection locked="0"/>
    </xf>
    <xf numFmtId="5" fontId="5" fillId="12" borderId="0" xfId="0" applyNumberFormat="1" applyFont="1" applyFill="1" applyProtection="1">
      <protection locked="0"/>
    </xf>
    <xf numFmtId="5" fontId="5" fillId="12" borderId="2" xfId="0" applyNumberFormat="1" applyFont="1" applyFill="1" applyBorder="1" applyProtection="1">
      <protection locked="0"/>
    </xf>
    <xf numFmtId="7" fontId="5" fillId="12" borderId="0" xfId="0" applyNumberFormat="1" applyFont="1" applyFill="1" applyProtection="1">
      <protection locked="0"/>
    </xf>
    <xf numFmtId="44" fontId="5" fillId="12" borderId="0" xfId="2" applyFont="1" applyFill="1" applyBorder="1" applyProtection="1">
      <protection locked="0"/>
    </xf>
    <xf numFmtId="44" fontId="5" fillId="12" borderId="2" xfId="2" applyFont="1" applyFill="1" applyBorder="1" applyProtection="1">
      <protection locked="0"/>
    </xf>
    <xf numFmtId="0" fontId="5" fillId="10" borderId="51" xfId="0" applyFont="1" applyFill="1" applyBorder="1" applyAlignment="1" applyProtection="1">
      <alignment horizontal="center"/>
      <protection locked="0"/>
    </xf>
    <xf numFmtId="0" fontId="5" fillId="10" borderId="90" xfId="0" applyFont="1" applyFill="1" applyBorder="1" applyProtection="1">
      <protection locked="0"/>
    </xf>
    <xf numFmtId="0" fontId="5" fillId="10" borderId="46" xfId="0" applyFont="1" applyFill="1" applyBorder="1" applyProtection="1">
      <protection locked="0"/>
    </xf>
    <xf numFmtId="0" fontId="5" fillId="10" borderId="93" xfId="0" applyFont="1" applyFill="1" applyBorder="1" applyProtection="1">
      <protection locked="0"/>
    </xf>
    <xf numFmtId="0" fontId="5" fillId="10" borderId="90" xfId="0" applyFont="1" applyFill="1" applyBorder="1" applyAlignment="1" applyProtection="1">
      <alignment horizontal="center"/>
      <protection locked="0"/>
    </xf>
    <xf numFmtId="0" fontId="5" fillId="10" borderId="46" xfId="0" applyFont="1" applyFill="1" applyBorder="1" applyAlignment="1" applyProtection="1">
      <alignment horizontal="center"/>
      <protection locked="0"/>
    </xf>
    <xf numFmtId="0" fontId="5" fillId="10" borderId="93" xfId="0" applyFont="1" applyFill="1" applyBorder="1" applyAlignment="1" applyProtection="1">
      <alignment horizontal="center"/>
      <protection locked="0"/>
    </xf>
    <xf numFmtId="14" fontId="5" fillId="10" borderId="34" xfId="0" applyNumberFormat="1" applyFont="1" applyFill="1" applyBorder="1" applyAlignment="1" applyProtection="1">
      <alignment horizontal="center"/>
      <protection locked="0"/>
    </xf>
    <xf numFmtId="0" fontId="5" fillId="10" borderId="82" xfId="0" applyFont="1" applyFill="1" applyBorder="1" applyAlignment="1">
      <alignment horizontal="center"/>
    </xf>
    <xf numFmtId="0" fontId="5" fillId="10" borderId="110" xfId="0" applyFont="1" applyFill="1" applyBorder="1" applyAlignment="1">
      <alignment horizontal="center"/>
    </xf>
    <xf numFmtId="0" fontId="0" fillId="11" borderId="29" xfId="0" applyFill="1" applyBorder="1"/>
    <xf numFmtId="0" fontId="0" fillId="11" borderId="30" xfId="0" applyFill="1" applyBorder="1"/>
    <xf numFmtId="0" fontId="0" fillId="11" borderId="30" xfId="0" applyFill="1" applyBorder="1" applyAlignment="1">
      <alignment horizontal="center" wrapText="1"/>
    </xf>
    <xf numFmtId="0" fontId="5" fillId="11" borderId="110" xfId="0" applyFont="1" applyFill="1" applyBorder="1" applyAlignment="1">
      <alignment horizontal="center"/>
    </xf>
    <xf numFmtId="0" fontId="5" fillId="11" borderId="116" xfId="0" applyFont="1" applyFill="1" applyBorder="1" applyAlignment="1">
      <alignment wrapText="1"/>
    </xf>
    <xf numFmtId="0" fontId="5" fillId="11" borderId="110" xfId="0" applyFont="1" applyFill="1" applyBorder="1" applyAlignment="1">
      <alignment horizontal="center" wrapText="1"/>
    </xf>
    <xf numFmtId="0" fontId="5" fillId="11" borderId="105" xfId="0" applyFont="1" applyFill="1" applyBorder="1" applyAlignment="1">
      <alignment horizontal="center" wrapText="1"/>
    </xf>
    <xf numFmtId="0" fontId="5" fillId="11" borderId="31" xfId="0" applyFont="1" applyFill="1" applyBorder="1"/>
    <xf numFmtId="0" fontId="12" fillId="11" borderId="30" xfId="0" applyFont="1" applyFill="1" applyBorder="1" applyAlignment="1">
      <alignment horizontal="center"/>
    </xf>
    <xf numFmtId="0" fontId="5" fillId="11" borderId="30" xfId="0" applyFont="1" applyFill="1" applyBorder="1" applyAlignment="1" applyProtection="1">
      <alignment horizontal="center"/>
      <protection locked="0"/>
    </xf>
    <xf numFmtId="5" fontId="5" fillId="11" borderId="30" xfId="0" applyNumberFormat="1" applyFont="1" applyFill="1" applyBorder="1" applyProtection="1">
      <protection locked="0"/>
    </xf>
    <xf numFmtId="44" fontId="5" fillId="11" borderId="30" xfId="2" applyFont="1" applyFill="1" applyBorder="1" applyAlignment="1">
      <alignment wrapText="1"/>
    </xf>
    <xf numFmtId="5" fontId="5" fillId="11" borderId="31" xfId="0" applyNumberFormat="1" applyFont="1" applyFill="1" applyBorder="1"/>
    <xf numFmtId="0" fontId="5" fillId="11" borderId="31" xfId="0" applyFont="1" applyFill="1" applyBorder="1" applyAlignment="1">
      <alignment horizontal="center" wrapText="1"/>
    </xf>
    <xf numFmtId="0" fontId="5" fillId="11" borderId="30" xfId="0" applyFont="1" applyFill="1" applyBorder="1" applyAlignment="1">
      <alignment horizontal="center" wrapText="1" shrinkToFit="1"/>
    </xf>
    <xf numFmtId="5" fontId="5" fillId="11" borderId="30" xfId="0" applyNumberFormat="1" applyFont="1" applyFill="1" applyBorder="1"/>
    <xf numFmtId="7" fontId="5" fillId="11" borderId="30" xfId="0" applyNumberFormat="1" applyFont="1" applyFill="1" applyBorder="1" applyProtection="1">
      <protection locked="0"/>
    </xf>
    <xf numFmtId="44" fontId="5" fillId="11" borderId="30" xfId="2" applyFont="1" applyFill="1" applyBorder="1" applyAlignment="1">
      <alignment horizontal="center" wrapText="1"/>
    </xf>
    <xf numFmtId="5" fontId="5" fillId="11" borderId="30" xfId="0" applyNumberFormat="1" applyFont="1" applyFill="1" applyBorder="1" applyAlignment="1">
      <alignment horizontal="center" wrapText="1"/>
    </xf>
    <xf numFmtId="0" fontId="5" fillId="11" borderId="116" xfId="0" applyFont="1" applyFill="1" applyBorder="1" applyAlignment="1">
      <alignment horizontal="center"/>
    </xf>
    <xf numFmtId="0" fontId="5" fillId="11" borderId="116" xfId="0" applyFont="1" applyFill="1" applyBorder="1"/>
    <xf numFmtId="44" fontId="5" fillId="11" borderId="30" xfId="0" applyNumberFormat="1" applyFont="1" applyFill="1" applyBorder="1"/>
    <xf numFmtId="0" fontId="5" fillId="11" borderId="29" xfId="0" applyFont="1" applyFill="1" applyBorder="1" applyAlignment="1">
      <alignment horizontal="left"/>
    </xf>
    <xf numFmtId="0" fontId="5" fillId="11" borderId="30" xfId="0" applyFont="1" applyFill="1" applyBorder="1" applyAlignment="1">
      <alignment horizontal="left"/>
    </xf>
    <xf numFmtId="9" fontId="3" fillId="12" borderId="17" xfId="4" applyFont="1" applyFill="1" applyBorder="1" applyProtection="1">
      <protection locked="0"/>
    </xf>
    <xf numFmtId="9" fontId="3" fillId="12" borderId="18" xfId="4" applyFont="1" applyFill="1" applyBorder="1" applyProtection="1">
      <protection locked="0"/>
    </xf>
    <xf numFmtId="0" fontId="3" fillId="12" borderId="9" xfId="0" applyFont="1" applyFill="1" applyBorder="1" applyProtection="1">
      <protection locked="0"/>
    </xf>
    <xf numFmtId="0" fontId="0" fillId="12" borderId="10" xfId="0" applyFill="1" applyBorder="1" applyProtection="1">
      <protection locked="0"/>
    </xf>
    <xf numFmtId="0" fontId="0" fillId="12" borderId="11" xfId="0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0" fillId="12" borderId="0" xfId="0" applyFill="1" applyProtection="1">
      <protection locked="0"/>
    </xf>
    <xf numFmtId="0" fontId="0" fillId="12" borderId="21" xfId="0" applyFill="1" applyBorder="1" applyProtection="1">
      <protection locked="0"/>
    </xf>
    <xf numFmtId="0" fontId="3" fillId="12" borderId="1" xfId="0" applyFont="1" applyFill="1" applyBorder="1" applyProtection="1">
      <protection locked="0"/>
    </xf>
    <xf numFmtId="0" fontId="0" fillId="12" borderId="1" xfId="0" applyFill="1" applyBorder="1" applyAlignment="1" applyProtection="1">
      <alignment horizontal="left"/>
      <protection locked="0"/>
    </xf>
    <xf numFmtId="177" fontId="0" fillId="12" borderId="1" xfId="0" applyNumberFormat="1" applyFill="1" applyBorder="1" applyProtection="1">
      <protection locked="0"/>
    </xf>
    <xf numFmtId="0" fontId="3" fillId="12" borderId="4" xfId="0" applyFont="1" applyFill="1" applyBorder="1" applyProtection="1">
      <protection locked="0"/>
    </xf>
    <xf numFmtId="0" fontId="0" fillId="12" borderId="2" xfId="0" applyFill="1" applyBorder="1" applyProtection="1">
      <protection locked="0"/>
    </xf>
    <xf numFmtId="0" fontId="0" fillId="12" borderId="12" xfId="0" applyFill="1" applyBorder="1" applyProtection="1">
      <protection locked="0"/>
    </xf>
    <xf numFmtId="0" fontId="3" fillId="12" borderId="35" xfId="0" applyFont="1" applyFill="1" applyBorder="1" applyProtection="1">
      <protection locked="0"/>
    </xf>
    <xf numFmtId="0" fontId="0" fillId="12" borderId="25" xfId="0" applyFill="1" applyBorder="1" applyProtection="1">
      <protection locked="0"/>
    </xf>
    <xf numFmtId="0" fontId="0" fillId="12" borderId="17" xfId="0" applyFill="1" applyBorder="1" applyProtection="1">
      <protection locked="0"/>
    </xf>
    <xf numFmtId="0" fontId="0" fillId="12" borderId="56" xfId="0" applyFill="1" applyBorder="1" applyProtection="1">
      <protection locked="0"/>
    </xf>
    <xf numFmtId="0" fontId="0" fillId="12" borderId="39" xfId="0" applyFill="1" applyBorder="1" applyProtection="1">
      <protection locked="0"/>
    </xf>
    <xf numFmtId="0" fontId="0" fillId="12" borderId="14" xfId="0" applyFill="1" applyBorder="1" applyProtection="1">
      <protection locked="0"/>
    </xf>
    <xf numFmtId="0" fontId="0" fillId="12" borderId="18" xfId="0" applyFill="1" applyBorder="1" applyProtection="1">
      <protection locked="0"/>
    </xf>
    <xf numFmtId="0" fontId="0" fillId="12" borderId="35" xfId="0" applyFill="1" applyBorder="1" applyProtection="1">
      <protection locked="0"/>
    </xf>
    <xf numFmtId="177" fontId="0" fillId="12" borderId="28" xfId="0" applyNumberFormat="1" applyFill="1" applyBorder="1" applyProtection="1">
      <protection locked="0"/>
    </xf>
    <xf numFmtId="177" fontId="0" fillId="12" borderId="5" xfId="0" applyNumberFormat="1" applyFill="1" applyBorder="1" applyProtection="1">
      <protection locked="0"/>
    </xf>
    <xf numFmtId="0" fontId="0" fillId="12" borderId="56" xfId="0" applyFill="1" applyBorder="1"/>
    <xf numFmtId="0" fontId="0" fillId="12" borderId="39" xfId="0" applyFill="1" applyBorder="1"/>
    <xf numFmtId="0" fontId="0" fillId="12" borderId="14" xfId="0" applyFill="1" applyBorder="1"/>
    <xf numFmtId="0" fontId="0" fillId="12" borderId="18" xfId="0" applyFill="1" applyBorder="1"/>
    <xf numFmtId="0" fontId="0" fillId="12" borderId="28" xfId="0" applyFill="1" applyBorder="1" applyAlignment="1" applyProtection="1">
      <alignment horizontal="center"/>
      <protection locked="0"/>
    </xf>
    <xf numFmtId="177" fontId="0" fillId="12" borderId="28" xfId="0" applyNumberFormat="1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164" fontId="2" fillId="11" borderId="0" xfId="0" applyNumberFormat="1" applyFont="1" applyFill="1" applyAlignment="1">
      <alignment horizontal="left"/>
    </xf>
    <xf numFmtId="44" fontId="1" fillId="11" borderId="0" xfId="2" applyFont="1" applyFill="1" applyAlignment="1">
      <alignment horizontal="left"/>
    </xf>
    <xf numFmtId="0" fontId="1" fillId="11" borderId="0" xfId="0" applyFont="1" applyFill="1" applyAlignment="1">
      <alignment horizontal="center"/>
    </xf>
    <xf numFmtId="44" fontId="1" fillId="11" borderId="0" xfId="2" applyFont="1" applyFill="1" applyAlignment="1">
      <alignment horizontal="center"/>
    </xf>
    <xf numFmtId="44" fontId="1" fillId="11" borderId="0" xfId="2" applyFont="1" applyFill="1"/>
    <xf numFmtId="44" fontId="1" fillId="11" borderId="0" xfId="2" quotePrefix="1" applyFont="1" applyFill="1" applyAlignment="1">
      <alignment horizontal="left"/>
    </xf>
    <xf numFmtId="164" fontId="1" fillId="11" borderId="0" xfId="0" applyNumberFormat="1" applyFont="1" applyFill="1" applyProtection="1">
      <protection locked="0"/>
    </xf>
    <xf numFmtId="166" fontId="1" fillId="11" borderId="0" xfId="0" applyNumberFormat="1" applyFont="1" applyFill="1" applyProtection="1">
      <protection locked="0"/>
    </xf>
    <xf numFmtId="44" fontId="2" fillId="11" borderId="0" xfId="2" applyFont="1" applyFill="1" applyBorder="1"/>
    <xf numFmtId="173" fontId="0" fillId="2" borderId="106" xfId="0" applyNumberFormat="1" applyFill="1" applyBorder="1"/>
    <xf numFmtId="173" fontId="0" fillId="2" borderId="85" xfId="0" applyNumberFormat="1" applyFill="1" applyBorder="1"/>
    <xf numFmtId="173" fontId="0" fillId="2" borderId="73" xfId="0" applyNumberFormat="1" applyFill="1" applyBorder="1"/>
    <xf numFmtId="173" fontId="0" fillId="2" borderId="20" xfId="0" applyNumberFormat="1" applyFill="1" applyBorder="1"/>
    <xf numFmtId="173" fontId="0" fillId="2" borderId="79" xfId="0" applyNumberFormat="1" applyFill="1" applyBorder="1"/>
    <xf numFmtId="173" fontId="0" fillId="2" borderId="84" xfId="0" applyNumberFormat="1" applyFill="1" applyBorder="1"/>
    <xf numFmtId="0" fontId="5" fillId="12" borderId="118" xfId="0" applyFont="1" applyFill="1" applyBorder="1" applyProtection="1">
      <protection locked="0"/>
    </xf>
    <xf numFmtId="0" fontId="5" fillId="12" borderId="8" xfId="0" applyFont="1" applyFill="1" applyBorder="1" applyProtection="1">
      <protection locked="0"/>
    </xf>
    <xf numFmtId="0" fontId="5" fillId="0" borderId="67" xfId="0" applyFont="1" applyBorder="1" applyAlignment="1">
      <alignment horizontal="center"/>
    </xf>
    <xf numFmtId="0" fontId="3" fillId="15" borderId="0" xfId="0" applyFont="1" applyFill="1" applyProtection="1">
      <protection locked="0"/>
    </xf>
    <xf numFmtId="170" fontId="5" fillId="15" borderId="0" xfId="2" applyNumberFormat="1" applyFont="1" applyFill="1" applyBorder="1" applyAlignment="1">
      <alignment horizontal="center"/>
    </xf>
    <xf numFmtId="0" fontId="3" fillId="15" borderId="1" xfId="0" applyFont="1" applyFill="1" applyBorder="1" applyProtection="1">
      <protection locked="0"/>
    </xf>
    <xf numFmtId="0" fontId="3" fillId="15" borderId="0" xfId="0" applyFont="1" applyFill="1" applyAlignment="1" applyProtection="1">
      <alignment horizontal="center"/>
      <protection locked="0"/>
    </xf>
    <xf numFmtId="0" fontId="3" fillId="15" borderId="0" xfId="0" applyFont="1" applyFill="1"/>
    <xf numFmtId="170" fontId="3" fillId="15" borderId="0" xfId="2" applyNumberFormat="1" applyFont="1" applyFill="1" applyBorder="1" applyAlignment="1" applyProtection="1">
      <alignment horizontal="center"/>
      <protection locked="0"/>
    </xf>
    <xf numFmtId="44" fontId="5" fillId="10" borderId="15" xfId="2" applyFont="1" applyFill="1" applyBorder="1"/>
    <xf numFmtId="164" fontId="5" fillId="10" borderId="2" xfId="0" applyNumberFormat="1" applyFont="1" applyFill="1" applyBorder="1" applyProtection="1">
      <protection locked="0"/>
    </xf>
    <xf numFmtId="0" fontId="3" fillId="10" borderId="0" xfId="0" applyFont="1" applyFill="1" applyProtection="1">
      <protection locked="0"/>
    </xf>
    <xf numFmtId="0" fontId="3" fillId="10" borderId="0" xfId="0" applyFont="1" applyFill="1" applyAlignment="1" applyProtection="1">
      <alignment horizontal="center"/>
      <protection locked="0"/>
    </xf>
    <xf numFmtId="0" fontId="4" fillId="10" borderId="0" xfId="0" applyFont="1" applyFill="1" applyAlignment="1" applyProtection="1">
      <alignment horizontal="center"/>
      <protection locked="0"/>
    </xf>
    <xf numFmtId="164" fontId="3" fillId="10" borderId="0" xfId="0" applyNumberFormat="1" applyFont="1" applyFill="1" applyProtection="1">
      <protection locked="0"/>
    </xf>
    <xf numFmtId="166" fontId="3" fillId="10" borderId="0" xfId="0" applyNumberFormat="1" applyFont="1" applyFill="1" applyProtection="1">
      <protection locked="0"/>
    </xf>
    <xf numFmtId="164" fontId="3" fillId="10" borderId="0" xfId="0" applyNumberFormat="1" applyFont="1" applyFill="1" applyAlignment="1" applyProtection="1">
      <alignment horizontal="left"/>
      <protection locked="0"/>
    </xf>
    <xf numFmtId="1" fontId="3" fillId="12" borderId="55" xfId="0" applyNumberFormat="1" applyFont="1" applyFill="1" applyBorder="1" applyProtection="1">
      <protection locked="0"/>
    </xf>
    <xf numFmtId="1" fontId="3" fillId="12" borderId="41" xfId="0" applyNumberFormat="1" applyFont="1" applyFill="1" applyBorder="1" applyProtection="1">
      <protection locked="0"/>
    </xf>
    <xf numFmtId="44" fontId="3" fillId="12" borderId="55" xfId="2" applyFont="1" applyFill="1" applyBorder="1" applyAlignment="1" applyProtection="1">
      <alignment horizontal="left"/>
      <protection locked="0"/>
    </xf>
    <xf numFmtId="170" fontId="3" fillId="10" borderId="55" xfId="2" applyNumberFormat="1" applyFont="1" applyFill="1" applyBorder="1" applyProtection="1">
      <protection locked="0"/>
    </xf>
    <xf numFmtId="170" fontId="3" fillId="10" borderId="41" xfId="2" applyNumberFormat="1" applyFont="1" applyFill="1" applyBorder="1" applyProtection="1">
      <protection locked="0"/>
    </xf>
    <xf numFmtId="0" fontId="0" fillId="12" borderId="45" xfId="0" applyFill="1" applyBorder="1"/>
    <xf numFmtId="0" fontId="5" fillId="12" borderId="45" xfId="0" applyFont="1" applyFill="1" applyBorder="1" applyProtection="1">
      <protection locked="0"/>
    </xf>
    <xf numFmtId="1" fontId="5" fillId="12" borderId="45" xfId="0" applyNumberFormat="1" applyFont="1" applyFill="1" applyBorder="1" applyProtection="1">
      <protection locked="0"/>
    </xf>
    <xf numFmtId="44" fontId="5" fillId="16" borderId="51" xfId="2" applyFont="1" applyFill="1" applyBorder="1" applyAlignment="1" applyProtection="1">
      <alignment horizontal="center"/>
      <protection locked="0"/>
    </xf>
    <xf numFmtId="44" fontId="5" fillId="16" borderId="5" xfId="2" applyFont="1" applyFill="1" applyBorder="1" applyAlignment="1" applyProtection="1">
      <alignment horizontal="center"/>
      <protection locked="0"/>
    </xf>
    <xf numFmtId="44" fontId="5" fillId="16" borderId="52" xfId="2" applyFont="1" applyFill="1" applyBorder="1" applyAlignment="1" applyProtection="1">
      <alignment horizontal="center"/>
      <protection locked="0"/>
    </xf>
    <xf numFmtId="44" fontId="5" fillId="16" borderId="60" xfId="0" applyNumberFormat="1" applyFont="1" applyFill="1" applyBorder="1" applyProtection="1">
      <protection locked="0"/>
    </xf>
    <xf numFmtId="44" fontId="5" fillId="16" borderId="81" xfId="2" applyFont="1" applyFill="1" applyBorder="1" applyProtection="1">
      <protection locked="0"/>
    </xf>
    <xf numFmtId="0" fontId="5" fillId="16" borderId="31" xfId="0" applyFont="1" applyFill="1" applyBorder="1"/>
    <xf numFmtId="0" fontId="5" fillId="16" borderId="30" xfId="0" applyFont="1" applyFill="1" applyBorder="1"/>
    <xf numFmtId="2" fontId="0" fillId="0" borderId="33" xfId="0" applyNumberFormat="1" applyBorder="1"/>
    <xf numFmtId="0" fontId="5" fillId="2" borderId="0" xfId="0" applyFont="1" applyFill="1" applyAlignment="1">
      <alignment wrapText="1"/>
    </xf>
    <xf numFmtId="170" fontId="5" fillId="10" borderId="46" xfId="0" applyNumberFormat="1" applyFont="1" applyFill="1" applyBorder="1"/>
    <xf numFmtId="42" fontId="5" fillId="10" borderId="46" xfId="0" applyNumberFormat="1" applyFont="1" applyFill="1" applyBorder="1"/>
    <xf numFmtId="44" fontId="8" fillId="10" borderId="51" xfId="2" applyFont="1" applyFill="1" applyBorder="1"/>
    <xf numFmtId="0" fontId="5" fillId="11" borderId="84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horizontal="center"/>
    </xf>
    <xf numFmtId="0" fontId="5" fillId="11" borderId="12" xfId="0" applyFont="1" applyFill="1" applyBorder="1"/>
    <xf numFmtId="42" fontId="5" fillId="12" borderId="51" xfId="2" applyNumberFormat="1" applyFont="1" applyFill="1" applyBorder="1" applyProtection="1">
      <protection locked="0"/>
    </xf>
    <xf numFmtId="0" fontId="5" fillId="11" borderId="6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43" fontId="5" fillId="12" borderId="16" xfId="0" applyNumberFormat="1" applyFont="1" applyFill="1" applyBorder="1" applyProtection="1">
      <protection locked="0"/>
    </xf>
    <xf numFmtId="41" fontId="11" fillId="0" borderId="3" xfId="0" applyNumberFormat="1" applyFont="1" applyBorder="1" applyAlignment="1">
      <alignment horizontal="center"/>
    </xf>
    <xf numFmtId="0" fontId="5" fillId="11" borderId="16" xfId="0" applyFont="1" applyFill="1" applyBorder="1"/>
    <xf numFmtId="0" fontId="5" fillId="0" borderId="107" xfId="0" applyFont="1" applyBorder="1" applyAlignment="1">
      <alignment horizontal="center"/>
    </xf>
    <xf numFmtId="1" fontId="11" fillId="0" borderId="107" xfId="0" applyNumberFormat="1" applyFont="1" applyBorder="1"/>
    <xf numFmtId="41" fontId="11" fillId="0" borderId="67" xfId="0" applyNumberFormat="1" applyFont="1" applyBorder="1" applyAlignment="1">
      <alignment horizontal="center"/>
    </xf>
    <xf numFmtId="41" fontId="5" fillId="0" borderId="67" xfId="0" applyNumberFormat="1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41" fontId="5" fillId="10" borderId="107" xfId="0" applyNumberFormat="1" applyFont="1" applyFill="1" applyBorder="1" applyAlignment="1" applyProtection="1">
      <alignment horizontal="center"/>
      <protection locked="0"/>
    </xf>
    <xf numFmtId="168" fontId="5" fillId="10" borderId="10" xfId="1" applyNumberFormat="1" applyFont="1" applyFill="1" applyBorder="1" applyProtection="1">
      <protection locked="0"/>
    </xf>
    <xf numFmtId="164" fontId="5" fillId="10" borderId="10" xfId="0" applyNumberFormat="1" applyFont="1" applyFill="1" applyBorder="1" applyProtection="1">
      <protection locked="0"/>
    </xf>
    <xf numFmtId="44" fontId="5" fillId="12" borderId="67" xfId="2" applyFont="1" applyFill="1" applyBorder="1"/>
    <xf numFmtId="0" fontId="5" fillId="16" borderId="1" xfId="0" applyFont="1" applyFill="1" applyBorder="1" applyProtection="1">
      <protection locked="0"/>
    </xf>
    <xf numFmtId="0" fontId="3" fillId="16" borderId="0" xfId="0" applyFont="1" applyFill="1" applyProtection="1">
      <protection locked="0"/>
    </xf>
    <xf numFmtId="0" fontId="3" fillId="16" borderId="14" xfId="0" applyFont="1" applyFill="1" applyBorder="1" applyAlignment="1">
      <alignment horizontal="left"/>
    </xf>
    <xf numFmtId="0" fontId="3" fillId="16" borderId="14" xfId="0" applyFont="1" applyFill="1" applyBorder="1"/>
    <xf numFmtId="42" fontId="3" fillId="16" borderId="0" xfId="0" applyNumberFormat="1" applyFont="1" applyFill="1"/>
    <xf numFmtId="0" fontId="2" fillId="16" borderId="21" xfId="0" applyFont="1" applyFill="1" applyBorder="1" applyAlignment="1">
      <alignment horizontal="center"/>
    </xf>
    <xf numFmtId="1" fontId="3" fillId="16" borderId="0" xfId="1" applyNumberFormat="1" applyFont="1" applyFill="1" applyBorder="1" applyProtection="1"/>
    <xf numFmtId="170" fontId="3" fillId="16" borderId="0" xfId="2" applyNumberFormat="1" applyFont="1" applyFill="1" applyBorder="1" applyAlignment="1" applyProtection="1">
      <alignment horizontal="right"/>
    </xf>
    <xf numFmtId="168" fontId="3" fillId="16" borderId="0" xfId="1" applyNumberFormat="1" applyFont="1" applyFill="1" applyBorder="1" applyProtection="1"/>
    <xf numFmtId="170" fontId="3" fillId="16" borderId="0" xfId="2" applyNumberFormat="1" applyFont="1" applyFill="1" applyBorder="1" applyProtection="1"/>
    <xf numFmtId="9" fontId="2" fillId="16" borderId="21" xfId="4" applyFont="1" applyFill="1" applyBorder="1" applyAlignment="1" applyProtection="1">
      <alignment horizontal="center"/>
    </xf>
    <xf numFmtId="44" fontId="6" fillId="16" borderId="25" xfId="2" quotePrefix="1" applyFont="1" applyFill="1" applyBorder="1" applyAlignment="1" applyProtection="1">
      <alignment horizontal="center"/>
    </xf>
    <xf numFmtId="7" fontId="6" fillId="16" borderId="14" xfId="0" quotePrefix="1" applyNumberFormat="1" applyFont="1" applyFill="1" applyBorder="1" applyAlignment="1">
      <alignment horizontal="center"/>
    </xf>
    <xf numFmtId="1" fontId="3" fillId="16" borderId="0" xfId="1" quotePrefix="1" applyNumberFormat="1" applyFont="1" applyFill="1" applyBorder="1" applyAlignment="1" applyProtection="1">
      <alignment horizontal="right"/>
    </xf>
    <xf numFmtId="1" fontId="3" fillId="16" borderId="0" xfId="1" applyNumberFormat="1" applyFont="1" applyFill="1" applyBorder="1" applyAlignment="1" applyProtection="1">
      <alignment horizontal="right"/>
    </xf>
    <xf numFmtId="0" fontId="2" fillId="16" borderId="2" xfId="0" applyFont="1" applyFill="1" applyBorder="1"/>
    <xf numFmtId="168" fontId="2" fillId="16" borderId="2" xfId="1" applyNumberFormat="1" applyFont="1" applyFill="1" applyBorder="1" applyProtection="1"/>
    <xf numFmtId="170" fontId="3" fillId="16" borderId="0" xfId="2" applyNumberFormat="1" applyFont="1" applyFill="1" applyBorder="1" applyAlignment="1" applyProtection="1">
      <alignment horizontal="right"/>
      <protection locked="0"/>
    </xf>
    <xf numFmtId="170" fontId="3" fillId="16" borderId="0" xfId="2" applyNumberFormat="1" applyFont="1" applyFill="1" applyBorder="1" applyAlignment="1" applyProtection="1">
      <alignment horizontal="center" vertical="center"/>
    </xf>
    <xf numFmtId="44" fontId="3" fillId="16" borderId="0" xfId="2" applyFont="1" applyFill="1" applyBorder="1" applyAlignment="1" applyProtection="1">
      <alignment horizontal="right"/>
    </xf>
    <xf numFmtId="174" fontId="2" fillId="16" borderId="2" xfId="1" applyNumberFormat="1" applyFont="1" applyFill="1" applyBorder="1" applyAlignment="1" applyProtection="1">
      <alignment horizontal="right"/>
    </xf>
    <xf numFmtId="168" fontId="2" fillId="16" borderId="2" xfId="1" applyNumberFormat="1" applyFont="1" applyFill="1" applyBorder="1" applyAlignment="1" applyProtection="1">
      <alignment horizontal="left"/>
    </xf>
    <xf numFmtId="7" fontId="6" fillId="16" borderId="0" xfId="0" quotePrefix="1" applyNumberFormat="1" applyFont="1" applyFill="1" applyAlignment="1">
      <alignment horizontal="center"/>
    </xf>
    <xf numFmtId="44" fontId="3" fillId="16" borderId="0" xfId="2" applyFont="1" applyFill="1" applyBorder="1" applyProtection="1"/>
    <xf numFmtId="44" fontId="6" fillId="16" borderId="33" xfId="2" quotePrefix="1" applyFont="1" applyFill="1" applyBorder="1" applyAlignment="1" applyProtection="1">
      <alignment horizontal="center"/>
    </xf>
    <xf numFmtId="44" fontId="6" fillId="16" borderId="14" xfId="2" quotePrefix="1" applyFont="1" applyFill="1" applyBorder="1" applyAlignment="1" applyProtection="1">
      <alignment horizontal="center"/>
    </xf>
    <xf numFmtId="168" fontId="6" fillId="16" borderId="0" xfId="1" applyNumberFormat="1" applyFont="1" applyFill="1" applyBorder="1" applyAlignment="1" applyProtection="1">
      <alignment horizontal="right"/>
    </xf>
    <xf numFmtId="44" fontId="6" fillId="16" borderId="0" xfId="2" applyFont="1" applyFill="1" applyBorder="1" applyAlignment="1" applyProtection="1">
      <alignment horizontal="right"/>
    </xf>
    <xf numFmtId="170" fontId="6" fillId="16" borderId="0" xfId="2" applyNumberFormat="1" applyFont="1" applyFill="1" applyBorder="1" applyAlignment="1" applyProtection="1">
      <alignment horizontal="right"/>
    </xf>
    <xf numFmtId="168" fontId="6" fillId="16" borderId="0" xfId="1" applyNumberFormat="1" applyFont="1" applyFill="1" applyBorder="1" applyProtection="1"/>
    <xf numFmtId="168" fontId="3" fillId="16" borderId="0" xfId="1" applyNumberFormat="1" applyFont="1" applyFill="1" applyBorder="1" applyAlignment="1" applyProtection="1">
      <alignment horizontal="right"/>
    </xf>
    <xf numFmtId="1" fontId="3" fillId="16" borderId="0" xfId="1" applyNumberFormat="1" applyFont="1" applyFill="1" applyBorder="1" applyAlignment="1" applyProtection="1">
      <alignment horizontal="center"/>
    </xf>
    <xf numFmtId="168" fontId="3" fillId="16" borderId="0" xfId="1" applyNumberFormat="1" applyFont="1" applyFill="1" applyBorder="1" applyAlignment="1" applyProtection="1">
      <alignment horizontal="center"/>
    </xf>
    <xf numFmtId="170" fontId="3" fillId="16" borderId="16" xfId="2" applyNumberFormat="1" applyFont="1" applyFill="1" applyBorder="1" applyProtection="1"/>
    <xf numFmtId="0" fontId="3" fillId="16" borderId="54" xfId="0" applyFont="1" applyFill="1" applyBorder="1"/>
    <xf numFmtId="1" fontId="3" fillId="16" borderId="54" xfId="0" applyNumberFormat="1" applyFont="1" applyFill="1" applyBorder="1"/>
    <xf numFmtId="43" fontId="3" fillId="16" borderId="54" xfId="0" applyNumberFormat="1" applyFont="1" applyFill="1" applyBorder="1"/>
    <xf numFmtId="1" fontId="3" fillId="16" borderId="68" xfId="0" applyNumberFormat="1" applyFont="1" applyFill="1" applyBorder="1"/>
    <xf numFmtId="0" fontId="7" fillId="16" borderId="12" xfId="0" applyFont="1" applyFill="1" applyBorder="1" applyAlignment="1">
      <alignment horizontal="center"/>
    </xf>
    <xf numFmtId="0" fontId="3" fillId="16" borderId="106" xfId="0" applyFont="1" applyFill="1" applyBorder="1"/>
    <xf numFmtId="0" fontId="5" fillId="16" borderId="85" xfId="0" applyFont="1" applyFill="1" applyBorder="1"/>
    <xf numFmtId="0" fontId="1" fillId="16" borderId="73" xfId="0" applyFont="1" applyFill="1" applyBorder="1"/>
    <xf numFmtId="170" fontId="5" fillId="16" borderId="20" xfId="0" applyNumberFormat="1" applyFont="1" applyFill="1" applyBorder="1"/>
    <xf numFmtId="0" fontId="3" fillId="16" borderId="73" xfId="0" applyFont="1" applyFill="1" applyBorder="1"/>
    <xf numFmtId="0" fontId="5" fillId="16" borderId="20" xfId="0" applyFont="1" applyFill="1" applyBorder="1"/>
    <xf numFmtId="42" fontId="5" fillId="16" borderId="20" xfId="0" applyNumberFormat="1" applyFont="1" applyFill="1" applyBorder="1"/>
    <xf numFmtId="0" fontId="3" fillId="16" borderId="79" xfId="0" applyFont="1" applyFill="1" applyBorder="1"/>
    <xf numFmtId="0" fontId="5" fillId="16" borderId="84" xfId="0" applyFont="1" applyFill="1" applyBorder="1"/>
    <xf numFmtId="1" fontId="3" fillId="8" borderId="0" xfId="0" applyNumberFormat="1" applyFont="1" applyFill="1"/>
    <xf numFmtId="0" fontId="7" fillId="16" borderId="5" xfId="0" applyFont="1" applyFill="1" applyBorder="1" applyAlignment="1">
      <alignment horizontal="right"/>
    </xf>
    <xf numFmtId="0" fontId="3" fillId="16" borderId="32" xfId="0" applyFont="1" applyFill="1" applyBorder="1" applyAlignment="1">
      <alignment horizontal="left"/>
    </xf>
    <xf numFmtId="0" fontId="3" fillId="16" borderId="33" xfId="0" applyFont="1" applyFill="1" applyBorder="1"/>
    <xf numFmtId="0" fontId="5" fillId="16" borderId="33" xfId="0" applyFont="1" applyFill="1" applyBorder="1"/>
    <xf numFmtId="0" fontId="3" fillId="16" borderId="34" xfId="0" applyFont="1" applyFill="1" applyBorder="1" applyAlignment="1">
      <alignment horizontal="left"/>
    </xf>
    <xf numFmtId="0" fontId="7" fillId="16" borderId="41" xfId="0" applyFont="1" applyFill="1" applyBorder="1" applyAlignment="1">
      <alignment horizontal="right"/>
    </xf>
    <xf numFmtId="0" fontId="3" fillId="16" borderId="35" xfId="0" applyFont="1" applyFill="1" applyBorder="1" applyAlignment="1">
      <alignment horizontal="left"/>
    </xf>
    <xf numFmtId="0" fontId="3" fillId="16" borderId="17" xfId="0" applyFont="1" applyFill="1" applyBorder="1" applyAlignment="1">
      <alignment horizontal="left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1" fontId="3" fillId="16" borderId="9" xfId="0" applyNumberFormat="1" applyFont="1" applyFill="1" applyBorder="1"/>
    <xf numFmtId="1" fontId="3" fillId="16" borderId="11" xfId="0" applyNumberFormat="1" applyFont="1" applyFill="1" applyBorder="1"/>
    <xf numFmtId="0" fontId="4" fillId="16" borderId="4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left"/>
    </xf>
    <xf numFmtId="0" fontId="5" fillId="16" borderId="2" xfId="0" applyFont="1" applyFill="1" applyBorder="1"/>
    <xf numFmtId="0" fontId="9" fillId="16" borderId="2" xfId="0" applyFont="1" applyFill="1" applyBorder="1" applyAlignment="1">
      <alignment horizontal="center"/>
    </xf>
    <xf numFmtId="1" fontId="3" fillId="16" borderId="4" xfId="0" applyNumberFormat="1" applyFont="1" applyFill="1" applyBorder="1"/>
    <xf numFmtId="1" fontId="3" fillId="16" borderId="12" xfId="0" applyNumberFormat="1" applyFont="1" applyFill="1" applyBorder="1"/>
    <xf numFmtId="0" fontId="3" fillId="16" borderId="97" xfId="0" applyFont="1" applyFill="1" applyBorder="1" applyAlignment="1">
      <alignment horizontal="center"/>
    </xf>
    <xf numFmtId="0" fontId="5" fillId="16" borderId="55" xfId="0" applyFont="1" applyFill="1" applyBorder="1" applyAlignment="1">
      <alignment horizontal="left"/>
    </xf>
    <xf numFmtId="0" fontId="3" fillId="16" borderId="36" xfId="0" applyFont="1" applyFill="1" applyBorder="1"/>
    <xf numFmtId="0" fontId="5" fillId="16" borderId="37" xfId="0" applyFont="1" applyFill="1" applyBorder="1"/>
    <xf numFmtId="0" fontId="5" fillId="16" borderId="38" xfId="0" applyFont="1" applyFill="1" applyBorder="1"/>
    <xf numFmtId="0" fontId="3" fillId="16" borderId="22" xfId="0" applyFont="1" applyFill="1" applyBorder="1" applyAlignment="1">
      <alignment horizontal="center"/>
    </xf>
    <xf numFmtId="0" fontId="5" fillId="16" borderId="5" xfId="0" applyFont="1" applyFill="1" applyBorder="1" applyAlignment="1">
      <alignment horizontal="left"/>
    </xf>
    <xf numFmtId="0" fontId="3" fillId="16" borderId="39" xfId="0" applyFont="1" applyFill="1" applyBorder="1"/>
    <xf numFmtId="0" fontId="5" fillId="16" borderId="14" xfId="0" applyFont="1" applyFill="1" applyBorder="1"/>
    <xf numFmtId="0" fontId="5" fillId="16" borderId="18" xfId="0" applyFont="1" applyFill="1" applyBorder="1"/>
    <xf numFmtId="0" fontId="3" fillId="16" borderId="32" xfId="0" applyFont="1" applyFill="1" applyBorder="1"/>
    <xf numFmtId="0" fontId="5" fillId="16" borderId="34" xfId="0" applyFont="1" applyFill="1" applyBorder="1"/>
    <xf numFmtId="0" fontId="3" fillId="16" borderId="99" xfId="0" applyFont="1" applyFill="1" applyBorder="1" applyAlignment="1">
      <alignment horizontal="center"/>
    </xf>
    <xf numFmtId="0" fontId="5" fillId="16" borderId="100" xfId="0" applyFont="1" applyFill="1" applyBorder="1" applyAlignment="1">
      <alignment horizontal="left"/>
    </xf>
    <xf numFmtId="0" fontId="3" fillId="16" borderId="101" xfId="0" applyFont="1" applyFill="1" applyBorder="1"/>
    <xf numFmtId="0" fontId="5" fillId="16" borderId="38" xfId="0" applyFont="1" applyFill="1" applyBorder="1" applyAlignment="1">
      <alignment horizontal="left"/>
    </xf>
    <xf numFmtId="0" fontId="3" fillId="16" borderId="37" xfId="0" applyFont="1" applyFill="1" applyBorder="1"/>
    <xf numFmtId="0" fontId="3" fillId="16" borderId="38" xfId="0" applyFont="1" applyFill="1" applyBorder="1"/>
    <xf numFmtId="0" fontId="3" fillId="16" borderId="91" xfId="0" applyFont="1" applyFill="1" applyBorder="1" applyAlignment="1">
      <alignment horizontal="center"/>
    </xf>
    <xf numFmtId="0" fontId="3" fillId="16" borderId="33" xfId="0" applyFont="1" applyFill="1" applyBorder="1" applyAlignment="1">
      <alignment horizontal="left"/>
    </xf>
    <xf numFmtId="0" fontId="3" fillId="16" borderId="34" xfId="0" applyFont="1" applyFill="1" applyBorder="1"/>
    <xf numFmtId="0" fontId="5" fillId="16" borderId="34" xfId="0" applyFont="1" applyFill="1" applyBorder="1" applyAlignment="1">
      <alignment horizontal="left"/>
    </xf>
    <xf numFmtId="0" fontId="3" fillId="16" borderId="18" xfId="0" applyFont="1" applyFill="1" applyBorder="1"/>
    <xf numFmtId="0" fontId="5" fillId="16" borderId="0" xfId="0" applyFont="1" applyFill="1" applyAlignment="1">
      <alignment horizontal="left"/>
    </xf>
    <xf numFmtId="0" fontId="3" fillId="16" borderId="73" xfId="0" applyFont="1" applyFill="1" applyBorder="1" applyAlignment="1">
      <alignment horizontal="center"/>
    </xf>
    <xf numFmtId="1" fontId="3" fillId="16" borderId="79" xfId="0" applyNumberFormat="1" applyFont="1" applyFill="1" applyBorder="1"/>
    <xf numFmtId="170" fontId="3" fillId="16" borderId="0" xfId="2" applyNumberFormat="1" applyFont="1" applyFill="1" applyBorder="1" applyAlignment="1">
      <alignment horizontal="center"/>
    </xf>
    <xf numFmtId="170" fontId="3" fillId="16" borderId="21" xfId="2" applyNumberFormat="1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" fillId="12" borderId="32" xfId="0" applyFont="1" applyFill="1" applyBorder="1"/>
    <xf numFmtId="1" fontId="5" fillId="13" borderId="5" xfId="0" applyNumberFormat="1" applyFont="1" applyFill="1" applyBorder="1"/>
    <xf numFmtId="44" fontId="5" fillId="0" borderId="4" xfId="0" applyNumberFormat="1" applyFont="1" applyBorder="1" applyProtection="1">
      <protection locked="0"/>
    </xf>
    <xf numFmtId="44" fontId="0" fillId="13" borderId="0" xfId="0" applyNumberFormat="1" applyFill="1"/>
    <xf numFmtId="170" fontId="0" fillId="13" borderId="0" xfId="0" applyNumberFormat="1" applyFill="1"/>
    <xf numFmtId="44" fontId="5" fillId="2" borderId="0" xfId="0" applyNumberFormat="1" applyFont="1" applyFill="1" applyAlignment="1">
      <alignment horizontal="center"/>
    </xf>
    <xf numFmtId="0" fontId="0" fillId="13" borderId="58" xfId="0" applyFill="1" applyBorder="1"/>
    <xf numFmtId="44" fontId="0" fillId="13" borderId="54" xfId="0" applyNumberFormat="1" applyFill="1" applyBorder="1"/>
    <xf numFmtId="44" fontId="0" fillId="13" borderId="68" xfId="0" applyNumberFormat="1" applyFill="1" applyBorder="1"/>
    <xf numFmtId="0" fontId="0" fillId="13" borderId="68" xfId="0" applyFill="1" applyBorder="1"/>
    <xf numFmtId="44" fontId="5" fillId="13" borderId="0" xfId="2" applyFont="1" applyFill="1"/>
    <xf numFmtId="0" fontId="1" fillId="12" borderId="1" xfId="0" applyFont="1" applyFill="1" applyBorder="1"/>
    <xf numFmtId="0" fontId="1" fillId="12" borderId="4" xfId="0" applyFont="1" applyFill="1" applyBorder="1"/>
    <xf numFmtId="0" fontId="8" fillId="0" borderId="0" xfId="0" applyFont="1" applyAlignment="1">
      <alignment horizontal="left"/>
    </xf>
    <xf numFmtId="0" fontId="5" fillId="12" borderId="37" xfId="0" applyFont="1" applyFill="1" applyBorder="1" applyAlignment="1">
      <alignment horizontal="left" vertical="center"/>
    </xf>
    <xf numFmtId="0" fontId="5" fillId="12" borderId="14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47" xfId="0" applyFont="1" applyFill="1" applyBorder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" fillId="12" borderId="21" xfId="0" applyFont="1" applyFill="1" applyBorder="1" applyAlignment="1">
      <alignment horizontal="left" vertical="center"/>
    </xf>
    <xf numFmtId="0" fontId="5" fillId="12" borderId="48" xfId="0" applyFont="1" applyFill="1" applyBorder="1" applyAlignment="1">
      <alignment horizontal="left" vertical="center"/>
    </xf>
    <xf numFmtId="0" fontId="5" fillId="12" borderId="12" xfId="0" applyFont="1" applyFill="1" applyBorder="1" applyAlignment="1">
      <alignment horizontal="left" vertical="center"/>
    </xf>
    <xf numFmtId="0" fontId="5" fillId="0" borderId="21" xfId="0" applyFont="1" applyBorder="1" applyAlignment="1" applyProtection="1">
      <alignment horizontal="right"/>
      <protection locked="0"/>
    </xf>
    <xf numFmtId="0" fontId="5" fillId="11" borderId="83" xfId="0" applyFont="1" applyFill="1" applyBorder="1" applyAlignment="1">
      <alignment horizontal="center" wrapText="1"/>
    </xf>
    <xf numFmtId="41" fontId="11" fillId="0" borderId="16" xfId="0" applyNumberFormat="1" applyFont="1" applyBorder="1" applyProtection="1">
      <protection locked="0"/>
    </xf>
    <xf numFmtId="0" fontId="28" fillId="0" borderId="10" xfId="3" applyNumberFormat="1" applyFont="1" applyBorder="1" applyProtection="1">
      <protection locked="0"/>
    </xf>
    <xf numFmtId="0" fontId="28" fillId="12" borderId="55" xfId="3" applyNumberFormat="1" applyFont="1" applyFill="1" applyBorder="1" applyProtection="1">
      <protection locked="0"/>
    </xf>
    <xf numFmtId="0" fontId="8" fillId="11" borderId="16" xfId="0" applyFont="1" applyFill="1" applyBorder="1" applyAlignment="1">
      <alignment horizontal="center"/>
    </xf>
    <xf numFmtId="0" fontId="8" fillId="11" borderId="5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1" fontId="5" fillId="0" borderId="21" xfId="0" applyNumberFormat="1" applyFont="1" applyBorder="1" applyAlignment="1" applyProtection="1">
      <alignment horizontal="center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18" xfId="0" applyFont="1" applyBorder="1"/>
    <xf numFmtId="0" fontId="5" fillId="0" borderId="17" xfId="0" applyFont="1" applyBorder="1"/>
    <xf numFmtId="0" fontId="8" fillId="0" borderId="39" xfId="0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center"/>
      <protection locked="0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5" fillId="0" borderId="56" xfId="0" applyNumberFormat="1" applyFont="1" applyBorder="1" applyAlignment="1" applyProtection="1">
      <alignment horizontal="center"/>
      <protection locked="0"/>
    </xf>
    <xf numFmtId="1" fontId="5" fillId="0" borderId="40" xfId="0" applyNumberFormat="1" applyFont="1" applyBorder="1" applyAlignment="1" applyProtection="1">
      <alignment horizontal="center"/>
      <protection locked="0"/>
    </xf>
    <xf numFmtId="1" fontId="5" fillId="0" borderId="14" xfId="0" applyNumberFormat="1" applyFont="1" applyBorder="1" applyAlignment="1" applyProtection="1">
      <alignment horizontal="center"/>
      <protection locked="0"/>
    </xf>
    <xf numFmtId="1" fontId="5" fillId="0" borderId="39" xfId="0" applyNumberFormat="1" applyFont="1" applyBorder="1" applyAlignment="1" applyProtection="1">
      <alignment horizontal="center"/>
      <protection locked="0"/>
    </xf>
    <xf numFmtId="1" fontId="5" fillId="0" borderId="48" xfId="0" applyNumberFormat="1" applyFont="1" applyBorder="1" applyAlignment="1" applyProtection="1">
      <alignment horizontal="center"/>
      <protection locked="0"/>
    </xf>
    <xf numFmtId="0" fontId="0" fillId="8" borderId="0" xfId="0" applyFill="1"/>
    <xf numFmtId="44" fontId="5" fillId="10" borderId="0" xfId="0" applyNumberFormat="1" applyFont="1" applyFill="1"/>
    <xf numFmtId="44" fontId="5" fillId="10" borderId="21" xfId="0" applyNumberFormat="1" applyFont="1" applyFill="1" applyBorder="1"/>
    <xf numFmtId="44" fontId="5" fillId="10" borderId="4" xfId="0" applyNumberFormat="1" applyFont="1" applyFill="1" applyBorder="1"/>
    <xf numFmtId="44" fontId="5" fillId="10" borderId="12" xfId="0" applyNumberFormat="1" applyFont="1" applyFill="1" applyBorder="1"/>
    <xf numFmtId="44" fontId="5" fillId="10" borderId="2" xfId="0" applyNumberFormat="1" applyFont="1" applyFill="1" applyBorder="1"/>
    <xf numFmtId="0" fontId="3" fillId="16" borderId="0" xfId="0" applyFont="1" applyFill="1" applyAlignment="1" applyProtection="1">
      <alignment horizontal="left"/>
      <protection locked="0"/>
    </xf>
    <xf numFmtId="0" fontId="3" fillId="16" borderId="1" xfId="0" applyFont="1" applyFill="1" applyBorder="1" applyAlignment="1" applyProtection="1">
      <alignment horizontal="left"/>
      <protection locked="0"/>
    </xf>
    <xf numFmtId="0" fontId="5" fillId="16" borderId="32" xfId="0" applyFont="1" applyFill="1" applyBorder="1" applyAlignment="1">
      <alignment horizontal="left"/>
    </xf>
    <xf numFmtId="0" fontId="5" fillId="16" borderId="32" xfId="0" applyFont="1" applyFill="1" applyBorder="1"/>
    <xf numFmtId="170" fontId="5" fillId="9" borderId="0" xfId="2" applyNumberFormat="1" applyFont="1" applyFill="1" applyBorder="1" applyAlignment="1">
      <alignment horizontal="center"/>
    </xf>
    <xf numFmtId="170" fontId="5" fillId="9" borderId="21" xfId="2" applyNumberFormat="1" applyFont="1" applyFill="1" applyBorder="1" applyAlignment="1">
      <alignment horizontal="center"/>
    </xf>
    <xf numFmtId="168" fontId="5" fillId="12" borderId="35" xfId="1" applyNumberFormat="1" applyFont="1" applyFill="1" applyBorder="1" applyAlignment="1" applyProtection="1">
      <alignment horizontal="center"/>
      <protection locked="0"/>
    </xf>
    <xf numFmtId="168" fontId="5" fillId="12" borderId="17" xfId="1" applyNumberFormat="1" applyFont="1" applyFill="1" applyBorder="1" applyAlignment="1" applyProtection="1">
      <alignment horizontal="center"/>
      <protection locked="0"/>
    </xf>
    <xf numFmtId="168" fontId="5" fillId="12" borderId="39" xfId="1" applyNumberFormat="1" applyFont="1" applyFill="1" applyBorder="1" applyAlignment="1" applyProtection="1">
      <alignment horizontal="center"/>
      <protection locked="0"/>
    </xf>
    <xf numFmtId="168" fontId="5" fillId="12" borderId="18" xfId="1" applyNumberFormat="1" applyFont="1" applyFill="1" applyBorder="1" applyAlignment="1" applyProtection="1">
      <alignment horizontal="center"/>
      <protection locked="0"/>
    </xf>
    <xf numFmtId="168" fontId="5" fillId="12" borderId="35" xfId="0" applyNumberFormat="1" applyFont="1" applyFill="1" applyBorder="1" applyAlignment="1">
      <alignment horizontal="right"/>
    </xf>
    <xf numFmtId="168" fontId="5" fillId="12" borderId="17" xfId="0" applyNumberFormat="1" applyFont="1" applyFill="1" applyBorder="1" applyAlignment="1">
      <alignment horizontal="right"/>
    </xf>
    <xf numFmtId="168" fontId="5" fillId="17" borderId="39" xfId="0" applyNumberFormat="1" applyFont="1" applyFill="1" applyBorder="1" applyAlignment="1">
      <alignment horizontal="right"/>
    </xf>
    <xf numFmtId="168" fontId="5" fillId="17" borderId="18" xfId="0" applyNumberFormat="1" applyFont="1" applyFill="1" applyBorder="1" applyAlignment="1">
      <alignment horizontal="right"/>
    </xf>
    <xf numFmtId="170" fontId="5" fillId="0" borderId="0" xfId="0" applyNumberFormat="1" applyFont="1" applyAlignment="1">
      <alignment horizontal="center"/>
    </xf>
    <xf numFmtId="0" fontId="5" fillId="12" borderId="5" xfId="0" applyFont="1" applyFill="1" applyBorder="1" applyAlignment="1">
      <alignment horizontal="center" vertical="center"/>
    </xf>
    <xf numFmtId="170" fontId="0" fillId="8" borderId="0" xfId="0" applyNumberFormat="1" applyFill="1"/>
    <xf numFmtId="1" fontId="5" fillId="12" borderId="49" xfId="0" applyNumberFormat="1" applyFont="1" applyFill="1" applyBorder="1"/>
    <xf numFmtId="44" fontId="5" fillId="0" borderId="0" xfId="0" applyNumberFormat="1" applyFont="1" applyAlignment="1">
      <alignment horizontal="center"/>
    </xf>
    <xf numFmtId="0" fontId="5" fillId="10" borderId="55" xfId="0" applyFont="1" applyFill="1" applyBorder="1" applyAlignment="1" applyProtection="1">
      <alignment horizontal="center"/>
      <protection locked="0"/>
    </xf>
    <xf numFmtId="174" fontId="5" fillId="0" borderId="26" xfId="2" applyNumberFormat="1" applyFont="1" applyBorder="1" applyProtection="1">
      <protection locked="0"/>
    </xf>
    <xf numFmtId="0" fontId="5" fillId="0" borderId="26" xfId="5" applyFont="1" applyBorder="1" applyAlignment="1" applyProtection="1">
      <alignment horizontal="center"/>
      <protection locked="0"/>
    </xf>
    <xf numFmtId="0" fontId="11" fillId="0" borderId="26" xfId="5" applyFont="1" applyBorder="1" applyAlignment="1" applyProtection="1">
      <alignment horizontal="center"/>
      <protection locked="0"/>
    </xf>
    <xf numFmtId="5" fontId="5" fillId="12" borderId="61" xfId="5" applyNumberFormat="1" applyFont="1" applyFill="1" applyBorder="1" applyProtection="1">
      <protection locked="0"/>
    </xf>
    <xf numFmtId="0" fontId="5" fillId="10" borderId="97" xfId="0" applyFont="1" applyFill="1" applyBorder="1" applyAlignment="1" applyProtection="1">
      <alignment horizontal="center"/>
      <protection locked="0"/>
    </xf>
    <xf numFmtId="0" fontId="5" fillId="10" borderId="98" xfId="0" applyFont="1" applyFill="1" applyBorder="1" applyAlignment="1" applyProtection="1">
      <alignment horizontal="center"/>
      <protection locked="0"/>
    </xf>
    <xf numFmtId="0" fontId="5" fillId="10" borderId="22" xfId="0" applyFont="1" applyFill="1" applyBorder="1" applyAlignment="1" applyProtection="1">
      <alignment horizontal="center"/>
      <protection locked="0"/>
    </xf>
    <xf numFmtId="0" fontId="5" fillId="10" borderId="99" xfId="0" applyFont="1" applyFill="1" applyBorder="1" applyAlignment="1" applyProtection="1">
      <alignment horizontal="center"/>
      <protection locked="0"/>
    </xf>
    <xf numFmtId="170" fontId="5" fillId="9" borderId="10" xfId="2" applyNumberFormat="1" applyFont="1" applyFill="1" applyBorder="1" applyAlignment="1">
      <alignment horizontal="center"/>
    </xf>
    <xf numFmtId="170" fontId="5" fillId="9" borderId="11" xfId="2" applyNumberFormat="1" applyFont="1" applyFill="1" applyBorder="1" applyAlignment="1">
      <alignment horizontal="center"/>
    </xf>
    <xf numFmtId="170" fontId="5" fillId="0" borderId="39" xfId="0" applyNumberFormat="1" applyFont="1" applyBorder="1" applyAlignment="1">
      <alignment horizontal="center"/>
    </xf>
    <xf numFmtId="170" fontId="5" fillId="0" borderId="14" xfId="0" applyNumberFormat="1" applyFont="1" applyBorder="1" applyAlignment="1">
      <alignment horizontal="center"/>
    </xf>
    <xf numFmtId="170" fontId="5" fillId="9" borderId="2" xfId="2" applyNumberFormat="1" applyFont="1" applyFill="1" applyBorder="1" applyAlignment="1">
      <alignment horizontal="center"/>
    </xf>
    <xf numFmtId="170" fontId="5" fillId="9" borderId="12" xfId="2" applyNumberFormat="1" applyFont="1" applyFill="1" applyBorder="1" applyAlignment="1">
      <alignment horizontal="center"/>
    </xf>
    <xf numFmtId="9" fontId="5" fillId="12" borderId="107" xfId="4" applyFont="1" applyFill="1" applyBorder="1" applyAlignment="1">
      <alignment horizontal="center"/>
    </xf>
    <xf numFmtId="9" fontId="5" fillId="12" borderId="10" xfId="4" applyFont="1" applyFill="1" applyBorder="1" applyAlignment="1">
      <alignment horizontal="center"/>
    </xf>
    <xf numFmtId="170" fontId="5" fillId="0" borderId="40" xfId="0" applyNumberFormat="1" applyFont="1" applyBorder="1" applyProtection="1">
      <protection locked="0"/>
    </xf>
    <xf numFmtId="164" fontId="5" fillId="0" borderId="1" xfId="0" applyNumberFormat="1" applyFont="1" applyBorder="1" applyProtection="1">
      <protection locked="0"/>
    </xf>
    <xf numFmtId="168" fontId="5" fillId="0" borderId="1" xfId="0" applyNumberFormat="1" applyFont="1" applyBorder="1" applyProtection="1">
      <protection locked="0"/>
    </xf>
    <xf numFmtId="0" fontId="5" fillId="13" borderId="0" xfId="0" applyFont="1" applyFill="1" applyAlignment="1">
      <alignment horizontal="center"/>
    </xf>
    <xf numFmtId="170" fontId="8" fillId="0" borderId="11" xfId="2" applyNumberFormat="1" applyFont="1" applyBorder="1" applyAlignment="1">
      <alignment horizontal="center" wrapText="1"/>
    </xf>
    <xf numFmtId="170" fontId="8" fillId="0" borderId="12" xfId="2" applyNumberFormat="1" applyFont="1" applyBorder="1" applyAlignment="1">
      <alignment horizontal="center" wrapText="1"/>
    </xf>
    <xf numFmtId="44" fontId="5" fillId="12" borderId="39" xfId="2" applyFont="1" applyFill="1" applyBorder="1" applyAlignment="1" applyProtection="1">
      <alignment horizontal="center"/>
      <protection locked="0"/>
    </xf>
    <xf numFmtId="44" fontId="5" fillId="12" borderId="14" xfId="2" applyFont="1" applyFill="1" applyBorder="1" applyAlignment="1" applyProtection="1">
      <alignment horizontal="center"/>
      <protection locked="0"/>
    </xf>
    <xf numFmtId="44" fontId="5" fillId="12" borderId="56" xfId="2" applyFont="1" applyFill="1" applyBorder="1" applyAlignment="1" applyProtection="1">
      <alignment horizontal="center"/>
      <protection locked="0"/>
    </xf>
    <xf numFmtId="44" fontId="5" fillId="12" borderId="0" xfId="2" applyFont="1" applyFill="1" applyBorder="1" applyAlignment="1" applyProtection="1">
      <alignment horizontal="center"/>
      <protection locked="0"/>
    </xf>
    <xf numFmtId="1" fontId="5" fillId="0" borderId="33" xfId="1" applyNumberFormat="1" applyFont="1" applyFill="1" applyBorder="1" applyAlignment="1">
      <alignment horizontal="center"/>
    </xf>
    <xf numFmtId="1" fontId="5" fillId="9" borderId="107" xfId="1" applyNumberFormat="1" applyFont="1" applyFill="1" applyBorder="1" applyAlignment="1">
      <alignment horizontal="center" vertical="center"/>
    </xf>
    <xf numFmtId="1" fontId="5" fillId="9" borderId="67" xfId="1" applyNumberFormat="1" applyFont="1" applyFill="1" applyBorder="1" applyAlignment="1">
      <alignment horizontal="center" vertical="center"/>
    </xf>
    <xf numFmtId="1" fontId="5" fillId="9" borderId="56" xfId="1" applyNumberFormat="1" applyFont="1" applyFill="1" applyBorder="1" applyAlignment="1">
      <alignment horizontal="center" vertical="center"/>
    </xf>
    <xf numFmtId="1" fontId="5" fillId="9" borderId="16" xfId="1" applyNumberFormat="1" applyFont="1" applyFill="1" applyBorder="1" applyAlignment="1">
      <alignment horizontal="center" vertical="center"/>
    </xf>
    <xf numFmtId="1" fontId="5" fillId="9" borderId="39" xfId="1" applyNumberFormat="1" applyFont="1" applyFill="1" applyBorder="1" applyAlignment="1">
      <alignment horizontal="center" vertical="center"/>
    </xf>
    <xf numFmtId="1" fontId="5" fillId="9" borderId="18" xfId="1" applyNumberFormat="1" applyFont="1" applyFill="1" applyBorder="1" applyAlignment="1">
      <alignment horizontal="center" vertical="center"/>
    </xf>
    <xf numFmtId="44" fontId="5" fillId="0" borderId="10" xfId="2" applyFont="1" applyBorder="1" applyAlignment="1">
      <alignment horizontal="center"/>
    </xf>
    <xf numFmtId="44" fontId="5" fillId="9" borderId="61" xfId="2" applyFont="1" applyFill="1" applyBorder="1" applyAlignment="1" applyProtection="1">
      <alignment horizontal="center"/>
      <protection locked="0"/>
    </xf>
    <xf numFmtId="44" fontId="5" fillId="9" borderId="2" xfId="2" applyFont="1" applyFill="1" applyBorder="1" applyAlignment="1" applyProtection="1">
      <alignment horizontal="center"/>
      <protection locked="0"/>
    </xf>
    <xf numFmtId="175" fontId="5" fillId="0" borderId="0" xfId="0" applyNumberFormat="1" applyFont="1" applyAlignment="1">
      <alignment horizontal="center"/>
    </xf>
    <xf numFmtId="175" fontId="5" fillId="0" borderId="16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5" fillId="11" borderId="85" xfId="0" applyFont="1" applyFill="1" applyBorder="1" applyAlignment="1">
      <alignment horizontal="center" wrapText="1"/>
    </xf>
    <xf numFmtId="0" fontId="5" fillId="11" borderId="84" xfId="0" applyFont="1" applyFill="1" applyBorder="1" applyAlignment="1">
      <alignment horizontal="center" wrapText="1"/>
    </xf>
    <xf numFmtId="168" fontId="5" fillId="17" borderId="39" xfId="0" applyNumberFormat="1" applyFont="1" applyFill="1" applyBorder="1" applyAlignment="1">
      <alignment horizontal="right"/>
    </xf>
    <xf numFmtId="168" fontId="5" fillId="17" borderId="18" xfId="0" applyNumberFormat="1" applyFont="1" applyFill="1" applyBorder="1" applyAlignment="1">
      <alignment horizontal="right"/>
    </xf>
    <xf numFmtId="168" fontId="5" fillId="12" borderId="35" xfId="0" applyNumberFormat="1" applyFont="1" applyFill="1" applyBorder="1" applyAlignment="1">
      <alignment horizontal="right"/>
    </xf>
    <xf numFmtId="168" fontId="5" fillId="12" borderId="17" xfId="0" applyNumberFormat="1" applyFont="1" applyFill="1" applyBorder="1" applyAlignment="1">
      <alignment horizontal="right"/>
    </xf>
    <xf numFmtId="0" fontId="5" fillId="11" borderId="83" xfId="0" applyFont="1" applyFill="1" applyBorder="1" applyAlignment="1">
      <alignment horizontal="center" wrapText="1"/>
    </xf>
    <xf numFmtId="0" fontId="5" fillId="11" borderId="26" xfId="0" applyFont="1" applyFill="1" applyBorder="1" applyAlignment="1">
      <alignment horizontal="center" wrapText="1"/>
    </xf>
    <xf numFmtId="175" fontId="5" fillId="0" borderId="56" xfId="0" applyNumberFormat="1" applyFont="1" applyBorder="1" applyAlignment="1">
      <alignment horizontal="center"/>
    </xf>
    <xf numFmtId="175" fontId="5" fillId="0" borderId="21" xfId="0" applyNumberFormat="1" applyFont="1" applyBorder="1" applyAlignment="1">
      <alignment horizontal="center"/>
    </xf>
    <xf numFmtId="164" fontId="8" fillId="11" borderId="107" xfId="0" applyNumberFormat="1" applyFont="1" applyFill="1" applyBorder="1" applyAlignment="1">
      <alignment horizontal="center" wrapText="1"/>
    </xf>
    <xf numFmtId="164" fontId="8" fillId="11" borderId="67" xfId="0" applyNumberFormat="1" applyFont="1" applyFill="1" applyBorder="1" applyAlignment="1">
      <alignment horizontal="center" wrapText="1"/>
    </xf>
    <xf numFmtId="164" fontId="8" fillId="11" borderId="56" xfId="0" applyNumberFormat="1" applyFont="1" applyFill="1" applyBorder="1" applyAlignment="1">
      <alignment horizontal="center" wrapText="1"/>
    </xf>
    <xf numFmtId="164" fontId="8" fillId="11" borderId="16" xfId="0" applyNumberFormat="1" applyFont="1" applyFill="1" applyBorder="1" applyAlignment="1">
      <alignment horizontal="center" wrapText="1"/>
    </xf>
    <xf numFmtId="1" fontId="5" fillId="0" borderId="0" xfId="1" applyNumberFormat="1" applyFont="1" applyBorder="1" applyAlignment="1">
      <alignment horizontal="center"/>
    </xf>
    <xf numFmtId="39" fontId="4" fillId="0" borderId="1" xfId="0" applyNumberFormat="1" applyFont="1" applyBorder="1" applyAlignment="1">
      <alignment horizontal="center"/>
    </xf>
    <xf numFmtId="39" fontId="4" fillId="0" borderId="0" xfId="0" applyNumberFormat="1" applyFont="1" applyAlignment="1">
      <alignment horizontal="center"/>
    </xf>
    <xf numFmtId="39" fontId="4" fillId="0" borderId="4" xfId="0" applyNumberFormat="1" applyFont="1" applyBorder="1" applyAlignment="1">
      <alignment horizontal="center"/>
    </xf>
    <xf numFmtId="39" fontId="4" fillId="0" borderId="2" xfId="0" applyNumberFormat="1" applyFont="1" applyBorder="1" applyAlignment="1">
      <alignment horizontal="center"/>
    </xf>
    <xf numFmtId="10" fontId="5" fillId="12" borderId="4" xfId="4" applyNumberFormat="1" applyFont="1" applyFill="1" applyBorder="1" applyAlignment="1" applyProtection="1">
      <alignment horizontal="center"/>
      <protection locked="0"/>
    </xf>
    <xf numFmtId="10" fontId="5" fillId="12" borderId="2" xfId="4" applyNumberFormat="1" applyFont="1" applyFill="1" applyBorder="1" applyAlignment="1" applyProtection="1">
      <alignment horizontal="center"/>
      <protection locked="0"/>
    </xf>
    <xf numFmtId="10" fontId="5" fillId="12" borderId="12" xfId="4" applyNumberFormat="1" applyFont="1" applyFill="1" applyBorder="1" applyAlignment="1" applyProtection="1">
      <alignment horizontal="center"/>
      <protection locked="0"/>
    </xf>
    <xf numFmtId="44" fontId="5" fillId="10" borderId="108" xfId="2" applyFont="1" applyFill="1" applyBorder="1" applyAlignment="1" applyProtection="1">
      <alignment horizontal="center"/>
      <protection locked="0"/>
    </xf>
    <xf numFmtId="44" fontId="5" fillId="10" borderId="102" xfId="2" applyFont="1" applyFill="1" applyBorder="1" applyAlignment="1" applyProtection="1">
      <alignment horizontal="center"/>
      <protection locked="0"/>
    </xf>
    <xf numFmtId="0" fontId="5" fillId="9" borderId="53" xfId="0" applyFont="1" applyFill="1" applyBorder="1" applyAlignment="1" applyProtection="1">
      <alignment horizontal="center"/>
      <protection locked="0"/>
    </xf>
    <xf numFmtId="0" fontId="5" fillId="9" borderId="45" xfId="0" applyFont="1" applyFill="1" applyBorder="1" applyAlignment="1" applyProtection="1">
      <alignment horizontal="center"/>
      <protection locked="0"/>
    </xf>
    <xf numFmtId="44" fontId="5" fillId="0" borderId="0" xfId="2" applyFont="1" applyBorder="1" applyAlignment="1">
      <alignment horizontal="center"/>
    </xf>
    <xf numFmtId="170" fontId="5" fillId="9" borderId="0" xfId="0" applyNumberFormat="1" applyFont="1" applyFill="1" applyAlignment="1">
      <alignment horizontal="center"/>
    </xf>
    <xf numFmtId="170" fontId="5" fillId="9" borderId="21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168" fontId="5" fillId="0" borderId="56" xfId="1" applyNumberFormat="1" applyFont="1" applyFill="1" applyBorder="1" applyAlignment="1">
      <alignment horizontal="center"/>
    </xf>
    <xf numFmtId="168" fontId="5" fillId="0" borderId="0" xfId="1" applyNumberFormat="1" applyFont="1" applyFill="1" applyBorder="1" applyAlignment="1">
      <alignment horizontal="center"/>
    </xf>
    <xf numFmtId="170" fontId="5" fillId="9" borderId="14" xfId="2" applyNumberFormat="1" applyFont="1" applyFill="1" applyBorder="1" applyAlignment="1">
      <alignment horizontal="center"/>
    </xf>
    <xf numFmtId="170" fontId="5" fillId="9" borderId="48" xfId="2" applyNumberFormat="1" applyFont="1" applyFill="1" applyBorder="1" applyAlignment="1">
      <alignment horizontal="center"/>
    </xf>
    <xf numFmtId="170" fontId="5" fillId="9" borderId="0" xfId="2" applyNumberFormat="1" applyFont="1" applyFill="1" applyBorder="1" applyAlignment="1">
      <alignment horizontal="center"/>
    </xf>
    <xf numFmtId="170" fontId="5" fillId="9" borderId="21" xfId="2" applyNumberFormat="1" applyFont="1" applyFill="1" applyBorder="1" applyAlignment="1">
      <alignment horizontal="center"/>
    </xf>
    <xf numFmtId="170" fontId="5" fillId="9" borderId="10" xfId="2" applyNumberFormat="1" applyFont="1" applyFill="1" applyBorder="1" applyAlignment="1">
      <alignment horizontal="center"/>
    </xf>
    <xf numFmtId="170" fontId="5" fillId="9" borderId="11" xfId="2" applyNumberFormat="1" applyFont="1" applyFill="1" applyBorder="1" applyAlignment="1">
      <alignment horizontal="center"/>
    </xf>
    <xf numFmtId="168" fontId="5" fillId="15" borderId="30" xfId="0" applyNumberFormat="1" applyFont="1" applyFill="1" applyBorder="1" applyAlignment="1">
      <alignment horizontal="center"/>
    </xf>
    <xf numFmtId="168" fontId="5" fillId="15" borderId="110" xfId="0" applyNumberFormat="1" applyFont="1" applyFill="1" applyBorder="1" applyAlignment="1">
      <alignment horizontal="center"/>
    </xf>
    <xf numFmtId="170" fontId="8" fillId="15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179" fontId="5" fillId="2" borderId="9" xfId="0" applyNumberFormat="1" applyFont="1" applyFill="1" applyBorder="1" applyAlignment="1">
      <alignment horizontal="center"/>
    </xf>
    <xf numFmtId="179" fontId="5" fillId="2" borderId="11" xfId="0" applyNumberFormat="1" applyFont="1" applyFill="1" applyBorder="1" applyAlignment="1">
      <alignment horizontal="center"/>
    </xf>
    <xf numFmtId="179" fontId="5" fillId="2" borderId="4" xfId="0" applyNumberFormat="1" applyFont="1" applyFill="1" applyBorder="1" applyAlignment="1">
      <alignment horizontal="center"/>
    </xf>
    <xf numFmtId="179" fontId="5" fillId="2" borderId="12" xfId="0" applyNumberFormat="1" applyFont="1" applyFill="1" applyBorder="1" applyAlignment="1">
      <alignment horizontal="center"/>
    </xf>
    <xf numFmtId="0" fontId="5" fillId="8" borderId="0" xfId="0" applyFont="1" applyFill="1" applyAlignment="1" applyProtection="1">
      <alignment horizontal="center"/>
      <protection locked="0"/>
    </xf>
    <xf numFmtId="168" fontId="5" fillId="0" borderId="56" xfId="1" applyNumberFormat="1" applyFont="1" applyBorder="1" applyAlignment="1">
      <alignment horizontal="center"/>
    </xf>
    <xf numFmtId="168" fontId="5" fillId="0" borderId="0" xfId="1" applyNumberFormat="1" applyFont="1" applyBorder="1" applyAlignment="1">
      <alignment horizontal="center"/>
    </xf>
    <xf numFmtId="0" fontId="5" fillId="8" borderId="0" xfId="0" applyFont="1" applyFill="1" applyAlignment="1">
      <alignment horizontal="center" wrapText="1"/>
    </xf>
    <xf numFmtId="15" fontId="8" fillId="15" borderId="0" xfId="0" applyNumberFormat="1" applyFont="1" applyFill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8" fillId="15" borderId="2" xfId="0" applyFont="1" applyFill="1" applyBorder="1" applyAlignment="1">
      <alignment horizontal="right"/>
    </xf>
    <xf numFmtId="0" fontId="8" fillId="11" borderId="10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168" fontId="5" fillId="9" borderId="40" xfId="0" applyNumberFormat="1" applyFont="1" applyFill="1" applyBorder="1" applyAlignment="1">
      <alignment horizontal="center"/>
    </xf>
    <xf numFmtId="168" fontId="5" fillId="9" borderId="48" xfId="0" applyNumberFormat="1" applyFont="1" applyFill="1" applyBorder="1" applyAlignment="1">
      <alignment horizontal="center"/>
    </xf>
    <xf numFmtId="1" fontId="5" fillId="2" borderId="96" xfId="0" applyNumberFormat="1" applyFont="1" applyFill="1" applyBorder="1" applyAlignment="1">
      <alignment horizontal="center"/>
    </xf>
    <xf numFmtId="1" fontId="5" fillId="2" borderId="109" xfId="0" applyNumberFormat="1" applyFont="1" applyFill="1" applyBorder="1" applyAlignment="1">
      <alignment horizontal="center"/>
    </xf>
    <xf numFmtId="43" fontId="5" fillId="9" borderId="111" xfId="0" applyNumberFormat="1" applyFont="1" applyFill="1" applyBorder="1" applyAlignment="1">
      <alignment horizontal="center" wrapText="1"/>
    </xf>
    <xf numFmtId="43" fontId="5" fillId="9" borderId="37" xfId="0" applyNumberFormat="1" applyFont="1" applyFill="1" applyBorder="1" applyAlignment="1">
      <alignment horizontal="center" wrapText="1"/>
    </xf>
    <xf numFmtId="14" fontId="5" fillId="12" borderId="5" xfId="0" applyNumberFormat="1" applyFont="1" applyFill="1" applyBorder="1" applyAlignment="1">
      <alignment horizontal="center"/>
    </xf>
    <xf numFmtId="0" fontId="5" fillId="12" borderId="46" xfId="0" applyFont="1" applyFill="1" applyBorder="1" applyAlignment="1">
      <alignment horizontal="center"/>
    </xf>
    <xf numFmtId="0" fontId="5" fillId="12" borderId="1" xfId="0" applyFont="1" applyFill="1" applyBorder="1"/>
    <xf numFmtId="0" fontId="5" fillId="12" borderId="0" xfId="0" applyFont="1" applyFill="1"/>
    <xf numFmtId="0" fontId="8" fillId="11" borderId="107" xfId="0" applyFont="1" applyFill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164" fontId="5" fillId="11" borderId="107" xfId="0" applyNumberFormat="1" applyFont="1" applyFill="1" applyBorder="1" applyAlignment="1">
      <alignment horizontal="center" wrapText="1" shrinkToFit="1"/>
    </xf>
    <xf numFmtId="164" fontId="5" fillId="11" borderId="67" xfId="0" applyNumberFormat="1" applyFont="1" applyFill="1" applyBorder="1" applyAlignment="1">
      <alignment horizontal="center" wrapText="1" shrinkToFi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39" fontId="5" fillId="2" borderId="1" xfId="0" applyNumberFormat="1" applyFont="1" applyFill="1" applyBorder="1" applyAlignment="1">
      <alignment horizontal="center"/>
    </xf>
    <xf numFmtId="39" fontId="5" fillId="2" borderId="21" xfId="0" applyNumberFormat="1" applyFont="1" applyFill="1" applyBorder="1" applyAlignment="1">
      <alignment horizontal="center"/>
    </xf>
    <xf numFmtId="39" fontId="5" fillId="2" borderId="40" xfId="0" applyNumberFormat="1" applyFont="1" applyFill="1" applyBorder="1" applyAlignment="1">
      <alignment horizontal="center"/>
    </xf>
    <xf numFmtId="39" fontId="5" fillId="2" borderId="48" xfId="0" applyNumberFormat="1" applyFont="1" applyFill="1" applyBorder="1" applyAlignment="1">
      <alignment horizontal="center"/>
    </xf>
    <xf numFmtId="168" fontId="5" fillId="9" borderId="1" xfId="0" applyNumberFormat="1" applyFont="1" applyFill="1" applyBorder="1" applyAlignment="1">
      <alignment horizontal="center"/>
    </xf>
    <xf numFmtId="168" fontId="5" fillId="9" borderId="21" xfId="0" applyNumberFormat="1" applyFont="1" applyFill="1" applyBorder="1" applyAlignment="1">
      <alignment horizontal="center"/>
    </xf>
    <xf numFmtId="0" fontId="8" fillId="11" borderId="106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8" fillId="11" borderId="85" xfId="0" applyFont="1" applyFill="1" applyBorder="1" applyAlignment="1">
      <alignment horizontal="center"/>
    </xf>
    <xf numFmtId="0" fontId="5" fillId="12" borderId="97" xfId="0" applyFont="1" applyFill="1" applyBorder="1" applyAlignment="1">
      <alignment horizontal="left"/>
    </xf>
    <xf numFmtId="0" fontId="5" fillId="12" borderId="55" xfId="0" applyFont="1" applyFill="1" applyBorder="1" applyAlignment="1">
      <alignment horizontal="left"/>
    </xf>
    <xf numFmtId="0" fontId="5" fillId="12" borderId="98" xfId="0" applyFont="1" applyFill="1" applyBorder="1" applyAlignment="1">
      <alignment horizontal="left"/>
    </xf>
    <xf numFmtId="0" fontId="8" fillId="15" borderId="10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left"/>
    </xf>
    <xf numFmtId="0" fontId="5" fillId="12" borderId="5" xfId="0" applyFont="1" applyFill="1" applyBorder="1" applyAlignment="1">
      <alignment horizontal="left"/>
    </xf>
    <xf numFmtId="0" fontId="5" fillId="12" borderId="46" xfId="0" applyFont="1" applyFill="1" applyBorder="1" applyAlignment="1">
      <alignment horizontal="left"/>
    </xf>
    <xf numFmtId="0" fontId="0" fillId="11" borderId="9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7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14" fontId="5" fillId="12" borderId="88" xfId="0" applyNumberFormat="1" applyFont="1" applyFill="1" applyBorder="1" applyAlignment="1" applyProtection="1">
      <alignment horizontal="center"/>
      <protection locked="0"/>
    </xf>
    <xf numFmtId="14" fontId="5" fillId="12" borderId="100" xfId="0" applyNumberFormat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14" fontId="5" fillId="12" borderId="55" xfId="0" applyNumberFormat="1" applyFont="1" applyFill="1" applyBorder="1" applyAlignment="1">
      <alignment horizontal="center"/>
    </xf>
    <xf numFmtId="0" fontId="5" fillId="12" borderId="98" xfId="0" applyFont="1" applyFill="1" applyBorder="1" applyAlignment="1">
      <alignment horizontal="center"/>
    </xf>
    <xf numFmtId="0" fontId="5" fillId="12" borderId="99" xfId="0" applyFont="1" applyFill="1" applyBorder="1" applyAlignment="1">
      <alignment horizontal="left"/>
    </xf>
    <xf numFmtId="0" fontId="5" fillId="12" borderId="41" xfId="0" applyFont="1" applyFill="1" applyBorder="1" applyAlignment="1">
      <alignment horizontal="left"/>
    </xf>
    <xf numFmtId="0" fontId="5" fillId="12" borderId="93" xfId="0" applyFont="1" applyFill="1" applyBorder="1" applyAlignment="1">
      <alignment horizontal="left"/>
    </xf>
    <xf numFmtId="14" fontId="5" fillId="12" borderId="5" xfId="0" applyNumberFormat="1" applyFont="1" applyFill="1" applyBorder="1" applyAlignment="1" applyProtection="1">
      <alignment horizontal="center"/>
      <protection locked="0"/>
    </xf>
    <xf numFmtId="14" fontId="5" fillId="12" borderId="41" xfId="0" applyNumberFormat="1" applyFont="1" applyFill="1" applyBorder="1" applyAlignment="1">
      <alignment horizontal="center"/>
    </xf>
    <xf numFmtId="0" fontId="5" fillId="12" borderId="93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11" borderId="106" xfId="0" applyFont="1" applyFill="1" applyBorder="1" applyAlignment="1">
      <alignment horizontal="center" wrapText="1"/>
    </xf>
    <xf numFmtId="0" fontId="5" fillId="11" borderId="79" xfId="0" applyFont="1" applyFill="1" applyBorder="1" applyAlignment="1">
      <alignment horizontal="center" wrapText="1"/>
    </xf>
    <xf numFmtId="0" fontId="5" fillId="11" borderId="67" xfId="0" applyFont="1" applyFill="1" applyBorder="1" applyAlignment="1">
      <alignment horizontal="center" wrapText="1"/>
    </xf>
    <xf numFmtId="0" fontId="5" fillId="11" borderId="3" xfId="0" applyFont="1" applyFill="1" applyBorder="1" applyAlignment="1">
      <alignment horizontal="center" wrapText="1"/>
    </xf>
    <xf numFmtId="168" fontId="5" fillId="12" borderId="35" xfId="1" applyNumberFormat="1" applyFont="1" applyFill="1" applyBorder="1" applyAlignment="1" applyProtection="1">
      <alignment horizontal="right"/>
      <protection locked="0"/>
    </xf>
    <xf numFmtId="168" fontId="5" fillId="12" borderId="17" xfId="1" applyNumberFormat="1" applyFont="1" applyFill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/>
      <protection locked="0"/>
    </xf>
    <xf numFmtId="0" fontId="8" fillId="11" borderId="67" xfId="0" applyFont="1" applyFill="1" applyBorder="1" applyAlignment="1">
      <alignment horizontal="center"/>
    </xf>
    <xf numFmtId="168" fontId="5" fillId="9" borderId="56" xfId="1" applyNumberFormat="1" applyFont="1" applyFill="1" applyBorder="1" applyAlignment="1" applyProtection="1">
      <alignment horizontal="center"/>
      <protection locked="0"/>
    </xf>
    <xf numFmtId="168" fontId="5" fillId="9" borderId="16" xfId="1" applyNumberFormat="1" applyFont="1" applyFill="1" applyBorder="1" applyAlignment="1" applyProtection="1">
      <alignment horizontal="center"/>
      <protection locked="0"/>
    </xf>
    <xf numFmtId="168" fontId="5" fillId="12" borderId="35" xfId="1" applyNumberFormat="1" applyFont="1" applyFill="1" applyBorder="1" applyAlignment="1" applyProtection="1">
      <alignment horizontal="center"/>
      <protection locked="0"/>
    </xf>
    <xf numFmtId="168" fontId="5" fillId="12" borderId="17" xfId="1" applyNumberFormat="1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/>
      <protection locked="0"/>
    </xf>
    <xf numFmtId="0" fontId="8" fillId="2" borderId="11" xfId="0" applyFont="1" applyFill="1" applyBorder="1" applyAlignment="1" applyProtection="1">
      <alignment horizontal="center"/>
      <protection locked="0"/>
    </xf>
    <xf numFmtId="170" fontId="5" fillId="15" borderId="10" xfId="0" applyNumberFormat="1" applyFont="1" applyFill="1" applyBorder="1" applyAlignment="1">
      <alignment horizontal="center"/>
    </xf>
    <xf numFmtId="0" fontId="5" fillId="15" borderId="10" xfId="0" applyFont="1" applyFill="1" applyBorder="1" applyAlignment="1">
      <alignment horizontal="center"/>
    </xf>
    <xf numFmtId="168" fontId="5" fillId="12" borderId="39" xfId="1" applyNumberFormat="1" applyFont="1" applyFill="1" applyBorder="1" applyAlignment="1" applyProtection="1">
      <alignment horizontal="center"/>
      <protection locked="0"/>
    </xf>
    <xf numFmtId="168" fontId="5" fillId="12" borderId="18" xfId="1" applyNumberFormat="1" applyFont="1" applyFill="1" applyBorder="1" applyAlignment="1" applyProtection="1">
      <alignment horizontal="center"/>
      <protection locked="0"/>
    </xf>
    <xf numFmtId="168" fontId="5" fillId="12" borderId="2" xfId="1" applyNumberFormat="1" applyFont="1" applyFill="1" applyBorder="1" applyAlignment="1" applyProtection="1">
      <alignment horizontal="center"/>
      <protection locked="0"/>
    </xf>
    <xf numFmtId="168" fontId="5" fillId="12" borderId="3" xfId="1" applyNumberFormat="1" applyFont="1" applyFill="1" applyBorder="1" applyAlignment="1" applyProtection="1">
      <alignment horizontal="center"/>
      <protection locked="0"/>
    </xf>
    <xf numFmtId="170" fontId="5" fillId="12" borderId="0" xfId="0" applyNumberFormat="1" applyFont="1" applyFill="1" applyAlignment="1" applyProtection="1">
      <alignment horizontal="center"/>
      <protection locked="0"/>
    </xf>
    <xf numFmtId="0" fontId="5" fillId="12" borderId="0" xfId="0" applyFont="1" applyFill="1" applyAlignment="1" applyProtection="1">
      <alignment horizontal="center"/>
      <protection locked="0"/>
    </xf>
    <xf numFmtId="0" fontId="8" fillId="9" borderId="43" xfId="0" applyFont="1" applyFill="1" applyBorder="1" applyAlignment="1">
      <alignment horizontal="center"/>
    </xf>
    <xf numFmtId="0" fontId="8" fillId="9" borderId="44" xfId="0" applyFont="1" applyFill="1" applyBorder="1" applyAlignment="1">
      <alignment horizontal="center"/>
    </xf>
    <xf numFmtId="44" fontId="5" fillId="0" borderId="2" xfId="2" applyFont="1" applyFill="1" applyBorder="1" applyAlignment="1" applyProtection="1">
      <alignment horizontal="center"/>
      <protection locked="0"/>
    </xf>
    <xf numFmtId="44" fontId="5" fillId="0" borderId="12" xfId="2" applyFont="1" applyFill="1" applyBorder="1" applyAlignment="1" applyProtection="1">
      <alignment horizontal="center"/>
      <protection locked="0"/>
    </xf>
    <xf numFmtId="168" fontId="5" fillId="12" borderId="0" xfId="1" applyNumberFormat="1" applyFont="1" applyFill="1" applyBorder="1" applyAlignment="1" applyProtection="1">
      <alignment horizontal="center"/>
      <protection locked="0"/>
    </xf>
    <xf numFmtId="168" fontId="5" fillId="12" borderId="16" xfId="1" applyNumberFormat="1" applyFont="1" applyFill="1" applyBorder="1" applyAlignment="1" applyProtection="1">
      <alignment horizontal="center"/>
      <protection locked="0"/>
    </xf>
    <xf numFmtId="170" fontId="5" fillId="2" borderId="4" xfId="2" applyNumberFormat="1" applyFont="1" applyFill="1" applyBorder="1" applyAlignment="1" applyProtection="1">
      <alignment horizontal="center"/>
      <protection locked="0"/>
    </xf>
    <xf numFmtId="170" fontId="5" fillId="2" borderId="12" xfId="2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16" xfId="0" applyFont="1" applyBorder="1" applyAlignment="1">
      <alignment horizontal="right"/>
    </xf>
    <xf numFmtId="44" fontId="20" fillId="12" borderId="56" xfId="2" applyFont="1" applyFill="1" applyBorder="1" applyAlignment="1" applyProtection="1">
      <alignment horizontal="center"/>
      <protection locked="0"/>
    </xf>
    <xf numFmtId="44" fontId="20" fillId="12" borderId="0" xfId="2" applyFont="1" applyFill="1" applyBorder="1" applyAlignment="1" applyProtection="1">
      <alignment horizontal="center"/>
      <protection locked="0"/>
    </xf>
    <xf numFmtId="1" fontId="5" fillId="0" borderId="34" xfId="1" applyNumberFormat="1" applyFont="1" applyFill="1" applyBorder="1" applyAlignment="1">
      <alignment horizontal="center"/>
    </xf>
    <xf numFmtId="1" fontId="5" fillId="0" borderId="32" xfId="1" applyNumberFormat="1" applyFont="1" applyFill="1" applyBorder="1" applyAlignment="1">
      <alignment horizontal="center"/>
    </xf>
    <xf numFmtId="9" fontId="5" fillId="12" borderId="5" xfId="4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8" fillId="0" borderId="101" xfId="0" applyFont="1" applyBorder="1" applyAlignment="1">
      <alignment horizontal="center"/>
    </xf>
    <xf numFmtId="0" fontId="8" fillId="9" borderId="29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31" xfId="0" applyFont="1" applyFill="1" applyBorder="1" applyAlignment="1">
      <alignment horizontal="center"/>
    </xf>
    <xf numFmtId="41" fontId="5" fillId="0" borderId="0" xfId="0" applyNumberFormat="1" applyFont="1" applyAlignment="1">
      <alignment horizontal="center"/>
    </xf>
    <xf numFmtId="0" fontId="4" fillId="0" borderId="6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44" fontId="5" fillId="9" borderId="83" xfId="0" applyNumberFormat="1" applyFont="1" applyFill="1" applyBorder="1" applyAlignment="1">
      <alignment horizontal="center" vertical="center"/>
    </xf>
    <xf numFmtId="0" fontId="5" fillId="9" borderId="60" xfId="0" applyFont="1" applyFill="1" applyBorder="1" applyAlignment="1">
      <alignment horizontal="center" vertical="center"/>
    </xf>
    <xf numFmtId="0" fontId="5" fillId="9" borderId="51" xfId="0" applyFont="1" applyFill="1" applyBorder="1" applyAlignment="1">
      <alignment horizontal="center" vertical="center"/>
    </xf>
    <xf numFmtId="44" fontId="5" fillId="12" borderId="107" xfId="2" applyFont="1" applyFill="1" applyBorder="1" applyAlignment="1" applyProtection="1">
      <alignment horizontal="center"/>
      <protection locked="0"/>
    </xf>
    <xf numFmtId="44" fontId="5" fillId="12" borderId="10" xfId="2" applyFont="1" applyFill="1" applyBorder="1" applyAlignment="1" applyProtection="1">
      <alignment horizontal="center"/>
      <protection locked="0"/>
    </xf>
    <xf numFmtId="168" fontId="5" fillId="0" borderId="2" xfId="1" applyNumberFormat="1" applyFont="1" applyBorder="1" applyAlignment="1">
      <alignment horizontal="center"/>
    </xf>
    <xf numFmtId="9" fontId="5" fillId="0" borderId="24" xfId="4" applyFont="1" applyFill="1" applyBorder="1" applyAlignment="1" applyProtection="1">
      <alignment horizontal="center" vertical="center" wrapText="1"/>
      <protection locked="0"/>
    </xf>
    <xf numFmtId="9" fontId="5" fillId="0" borderId="15" xfId="4" applyFont="1" applyFill="1" applyBorder="1" applyAlignment="1" applyProtection="1">
      <alignment horizontal="center" vertical="center" wrapText="1"/>
      <protection locked="0"/>
    </xf>
    <xf numFmtId="9" fontId="5" fillId="0" borderId="0" xfId="4" applyFont="1" applyFill="1" applyBorder="1" applyAlignment="1" applyProtection="1">
      <alignment horizontal="center" vertical="center" wrapText="1"/>
      <protection locked="0"/>
    </xf>
    <xf numFmtId="9" fontId="5" fillId="0" borderId="16" xfId="4" applyFont="1" applyFill="1" applyBorder="1" applyAlignment="1" applyProtection="1">
      <alignment horizontal="center" vertical="center" wrapText="1"/>
      <protection locked="0"/>
    </xf>
    <xf numFmtId="9" fontId="5" fillId="0" borderId="45" xfId="4" applyFont="1" applyFill="1" applyBorder="1" applyAlignment="1" applyProtection="1">
      <alignment horizontal="center" vertical="center" wrapText="1"/>
      <protection locked="0"/>
    </xf>
    <xf numFmtId="9" fontId="5" fillId="0" borderId="50" xfId="4" applyFont="1" applyFill="1" applyBorder="1" applyAlignment="1" applyProtection="1">
      <alignment horizontal="center" vertical="center" wrapText="1"/>
      <protection locked="0"/>
    </xf>
    <xf numFmtId="0" fontId="5" fillId="15" borderId="29" xfId="0" applyFont="1" applyFill="1" applyBorder="1" applyAlignment="1">
      <alignment horizontal="center"/>
    </xf>
    <xf numFmtId="0" fontId="5" fillId="15" borderId="31" xfId="0" applyFont="1" applyFill="1" applyBorder="1" applyAlignment="1">
      <alignment horizontal="center"/>
    </xf>
    <xf numFmtId="9" fontId="5" fillId="12" borderId="59" xfId="4" quotePrefix="1" applyFont="1" applyFill="1" applyBorder="1" applyAlignment="1" applyProtection="1">
      <alignment horizontal="center" vertical="center"/>
      <protection locked="0"/>
    </xf>
    <xf numFmtId="9" fontId="5" fillId="12" borderId="60" xfId="4" quotePrefix="1" applyFont="1" applyFill="1" applyBorder="1" applyAlignment="1" applyProtection="1">
      <alignment horizontal="center" vertical="center"/>
      <protection locked="0"/>
    </xf>
    <xf numFmtId="9" fontId="5" fillId="12" borderId="81" xfId="4" quotePrefix="1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/>
      <protection locked="0"/>
    </xf>
    <xf numFmtId="170" fontId="5" fillId="2" borderId="2" xfId="2" applyNumberFormat="1" applyFont="1" applyFill="1" applyBorder="1" applyAlignment="1" applyProtection="1">
      <alignment horizontal="center"/>
    </xf>
    <xf numFmtId="170" fontId="5" fillId="2" borderId="12" xfId="2" applyNumberFormat="1" applyFont="1" applyFill="1" applyBorder="1" applyAlignment="1" applyProtection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170" fontId="5" fillId="9" borderId="24" xfId="0" applyNumberFormat="1" applyFont="1" applyFill="1" applyBorder="1" applyAlignment="1">
      <alignment horizontal="center"/>
    </xf>
    <xf numFmtId="170" fontId="5" fillId="9" borderId="27" xfId="0" applyNumberFormat="1" applyFont="1" applyFill="1" applyBorder="1" applyAlignment="1">
      <alignment horizontal="center"/>
    </xf>
    <xf numFmtId="1" fontId="5" fillId="10" borderId="107" xfId="1" applyNumberFormat="1" applyFont="1" applyFill="1" applyBorder="1" applyAlignment="1" applyProtection="1">
      <alignment horizontal="center"/>
      <protection locked="0"/>
    </xf>
    <xf numFmtId="1" fontId="5" fillId="10" borderId="67" xfId="1" applyNumberFormat="1" applyFont="1" applyFill="1" applyBorder="1" applyAlignment="1" applyProtection="1">
      <alignment horizontal="center"/>
      <protection locked="0"/>
    </xf>
    <xf numFmtId="170" fontId="5" fillId="9" borderId="10" xfId="2" applyNumberFormat="1" applyFont="1" applyFill="1" applyBorder="1" applyAlignment="1" applyProtection="1">
      <alignment horizontal="center"/>
    </xf>
    <xf numFmtId="170" fontId="5" fillId="9" borderId="11" xfId="2" applyNumberFormat="1" applyFont="1" applyFill="1" applyBorder="1" applyAlignment="1" applyProtection="1">
      <alignment horizontal="center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/>
      <protection locked="0"/>
    </xf>
    <xf numFmtId="0" fontId="5" fillId="0" borderId="67" xfId="0" applyFont="1" applyBorder="1" applyAlignment="1" applyProtection="1">
      <alignment horizontal="left"/>
      <protection locked="0"/>
    </xf>
    <xf numFmtId="0" fontId="4" fillId="2" borderId="0" xfId="0" applyFont="1" applyFill="1" applyAlignment="1">
      <alignment horizontal="center"/>
    </xf>
    <xf numFmtId="0" fontId="5" fillId="0" borderId="29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170" fontId="5" fillId="9" borderId="45" xfId="0" applyNumberFormat="1" applyFont="1" applyFill="1" applyBorder="1" applyAlignment="1">
      <alignment horizontal="center"/>
    </xf>
    <xf numFmtId="170" fontId="5" fillId="9" borderId="57" xfId="0" applyNumberFormat="1" applyFont="1" applyFill="1" applyBorder="1" applyAlignment="1">
      <alignment horizontal="center"/>
    </xf>
    <xf numFmtId="168" fontId="5" fillId="0" borderId="80" xfId="1" applyNumberFormat="1" applyFont="1" applyBorder="1" applyAlignment="1">
      <alignment horizontal="center"/>
    </xf>
    <xf numFmtId="168" fontId="5" fillId="0" borderId="45" xfId="1" applyNumberFormat="1" applyFont="1" applyBorder="1" applyAlignment="1">
      <alignment horizontal="center"/>
    </xf>
    <xf numFmtId="168" fontId="5" fillId="0" borderId="74" xfId="1" applyNumberFormat="1" applyFont="1" applyBorder="1" applyAlignment="1">
      <alignment horizontal="center"/>
    </xf>
    <xf numFmtId="168" fontId="5" fillId="0" borderId="24" xfId="1" applyNumberFormat="1" applyFont="1" applyBorder="1" applyAlignment="1">
      <alignment horizontal="center"/>
    </xf>
    <xf numFmtId="44" fontId="5" fillId="2" borderId="4" xfId="2" applyFont="1" applyFill="1" applyBorder="1" applyAlignment="1" applyProtection="1">
      <alignment horizontal="center"/>
      <protection locked="0"/>
    </xf>
    <xf numFmtId="44" fontId="5" fillId="2" borderId="2" xfId="2" applyFont="1" applyFill="1" applyBorder="1" applyAlignment="1" applyProtection="1">
      <alignment horizontal="center"/>
      <protection locked="0"/>
    </xf>
    <xf numFmtId="44" fontId="5" fillId="2" borderId="12" xfId="2" applyFont="1" applyFill="1" applyBorder="1" applyAlignment="1" applyProtection="1">
      <alignment horizontal="center"/>
      <protection locked="0"/>
    </xf>
    <xf numFmtId="0" fontId="5" fillId="0" borderId="102" xfId="0" applyFont="1" applyBorder="1" applyAlignment="1">
      <alignment horizontal="right"/>
    </xf>
    <xf numFmtId="0" fontId="5" fillId="0" borderId="103" xfId="0" applyFont="1" applyBorder="1" applyAlignment="1">
      <alignment horizontal="right"/>
    </xf>
    <xf numFmtId="0" fontId="5" fillId="0" borderId="4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170" fontId="5" fillId="9" borderId="2" xfId="2" applyNumberFormat="1" applyFont="1" applyFill="1" applyBorder="1" applyAlignment="1">
      <alignment horizontal="center"/>
    </xf>
    <xf numFmtId="170" fontId="5" fillId="9" borderId="12" xfId="2" applyNumberFormat="1" applyFont="1" applyFill="1" applyBorder="1" applyAlignment="1">
      <alignment horizontal="center"/>
    </xf>
    <xf numFmtId="9" fontId="5" fillId="12" borderId="35" xfId="4" applyFont="1" applyFill="1" applyBorder="1" applyAlignment="1">
      <alignment horizontal="center"/>
    </xf>
    <xf numFmtId="9" fontId="5" fillId="12" borderId="17" xfId="4" applyFont="1" applyFill="1" applyBorder="1" applyAlignment="1">
      <alignment horizontal="center"/>
    </xf>
    <xf numFmtId="170" fontId="5" fillId="0" borderId="39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170" fontId="5" fillId="9" borderId="56" xfId="2" applyNumberFormat="1" applyFont="1" applyFill="1" applyBorder="1" applyAlignment="1">
      <alignment horizontal="center"/>
    </xf>
    <xf numFmtId="9" fontId="5" fillId="10" borderId="74" xfId="4" applyFont="1" applyFill="1" applyBorder="1" applyAlignment="1">
      <alignment horizontal="center"/>
    </xf>
    <xf numFmtId="9" fontId="5" fillId="10" borderId="15" xfId="4" applyFont="1" applyFill="1" applyBorder="1" applyAlignment="1">
      <alignment horizontal="center"/>
    </xf>
    <xf numFmtId="9" fontId="5" fillId="10" borderId="39" xfId="4" applyFont="1" applyFill="1" applyBorder="1" applyAlignment="1">
      <alignment horizontal="center"/>
    </xf>
    <xf numFmtId="9" fontId="5" fillId="10" borderId="18" xfId="4" applyFont="1" applyFill="1" applyBorder="1" applyAlignment="1">
      <alignment horizontal="center"/>
    </xf>
    <xf numFmtId="0" fontId="8" fillId="0" borderId="108" xfId="0" applyFont="1" applyBorder="1" applyAlignment="1">
      <alignment horizontal="center"/>
    </xf>
    <xf numFmtId="0" fontId="8" fillId="0" borderId="103" xfId="0" applyFont="1" applyBorder="1" applyAlignment="1">
      <alignment horizontal="center"/>
    </xf>
    <xf numFmtId="1" fontId="5" fillId="10" borderId="56" xfId="1" applyNumberFormat="1" applyFont="1" applyFill="1" applyBorder="1" applyAlignment="1" applyProtection="1">
      <alignment horizontal="right"/>
      <protection locked="0"/>
    </xf>
    <xf numFmtId="1" fontId="5" fillId="10" borderId="16" xfId="1" applyNumberFormat="1" applyFont="1" applyFill="1" applyBorder="1" applyAlignment="1" applyProtection="1">
      <alignment horizontal="right"/>
      <protection locked="0"/>
    </xf>
    <xf numFmtId="170" fontId="5" fillId="9" borderId="0" xfId="2" applyNumberFormat="1" applyFont="1" applyFill="1" applyBorder="1" applyAlignment="1" applyProtection="1">
      <alignment horizontal="center"/>
    </xf>
    <xf numFmtId="170" fontId="5" fillId="9" borderId="21" xfId="2" applyNumberFormat="1" applyFont="1" applyFill="1" applyBorder="1" applyAlignment="1" applyProtection="1">
      <alignment horizontal="center"/>
    </xf>
    <xf numFmtId="1" fontId="5" fillId="10" borderId="56" xfId="1" applyNumberFormat="1" applyFont="1" applyFill="1" applyBorder="1" applyAlignment="1" applyProtection="1">
      <alignment horizontal="center"/>
      <protection locked="0"/>
    </xf>
    <xf numFmtId="1" fontId="5" fillId="10" borderId="16" xfId="1" applyNumberFormat="1" applyFont="1" applyFill="1" applyBorder="1" applyAlignment="1" applyProtection="1">
      <alignment horizont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170" fontId="5" fillId="12" borderId="5" xfId="2" applyNumberFormat="1" applyFont="1" applyFill="1" applyBorder="1" applyAlignment="1" applyProtection="1">
      <alignment horizontal="center"/>
      <protection locked="0"/>
    </xf>
    <xf numFmtId="170" fontId="8" fillId="0" borderId="2" xfId="0" applyNumberFormat="1" applyFont="1" applyBorder="1" applyAlignment="1">
      <alignment horizontal="center"/>
    </xf>
    <xf numFmtId="0" fontId="8" fillId="0" borderId="1" xfId="0" applyFont="1" applyBorder="1" applyAlignment="1" applyProtection="1">
      <alignment horizontal="right"/>
      <protection locked="0"/>
    </xf>
    <xf numFmtId="0" fontId="8" fillId="0" borderId="0" xfId="0" applyFont="1" applyAlignment="1" applyProtection="1">
      <alignment horizontal="right"/>
      <protection locked="0"/>
    </xf>
    <xf numFmtId="44" fontId="5" fillId="0" borderId="2" xfId="0" applyNumberFormat="1" applyFont="1" applyBorder="1" applyAlignment="1" applyProtection="1">
      <alignment horizontal="center"/>
      <protection locked="0"/>
    </xf>
    <xf numFmtId="44" fontId="5" fillId="10" borderId="56" xfId="2" applyFont="1" applyFill="1" applyBorder="1" applyAlignment="1" applyProtection="1">
      <alignment horizontal="center"/>
      <protection locked="0"/>
    </xf>
    <xf numFmtId="44" fontId="5" fillId="10" borderId="16" xfId="2" applyFont="1" applyFill="1" applyBorder="1" applyAlignment="1" applyProtection="1">
      <alignment horizontal="center"/>
      <protection locked="0"/>
    </xf>
    <xf numFmtId="1" fontId="5" fillId="10" borderId="56" xfId="0" applyNumberFormat="1" applyFont="1" applyFill="1" applyBorder="1" applyAlignment="1" applyProtection="1">
      <alignment horizontal="center"/>
      <protection locked="0"/>
    </xf>
    <xf numFmtId="1" fontId="5" fillId="10" borderId="16" xfId="0" applyNumberFormat="1" applyFont="1" applyFill="1" applyBorder="1" applyAlignment="1" applyProtection="1">
      <alignment horizontal="center"/>
      <protection locked="0"/>
    </xf>
    <xf numFmtId="44" fontId="5" fillId="10" borderId="61" xfId="2" applyFont="1" applyFill="1" applyBorder="1" applyAlignment="1" applyProtection="1">
      <alignment horizontal="center"/>
      <protection locked="0"/>
    </xf>
    <xf numFmtId="44" fontId="5" fillId="10" borderId="3" xfId="2" applyFont="1" applyFill="1" applyBorder="1" applyAlignment="1" applyProtection="1">
      <alignment horizontal="center"/>
      <protection locked="0"/>
    </xf>
    <xf numFmtId="170" fontId="5" fillId="9" borderId="2" xfId="2" applyNumberFormat="1" applyFont="1" applyFill="1" applyBorder="1" applyAlignment="1" applyProtection="1">
      <alignment horizontal="center"/>
    </xf>
    <xf numFmtId="170" fontId="5" fillId="9" borderId="12" xfId="2" applyNumberFormat="1" applyFont="1" applyFill="1" applyBorder="1" applyAlignment="1" applyProtection="1">
      <alignment horizontal="center"/>
    </xf>
    <xf numFmtId="0" fontId="8" fillId="8" borderId="0" xfId="0" applyFont="1" applyFill="1" applyAlignment="1" applyProtection="1">
      <alignment horizontal="right"/>
      <protection locked="0"/>
    </xf>
    <xf numFmtId="170" fontId="5" fillId="0" borderId="14" xfId="0" applyNumberFormat="1" applyFont="1" applyBorder="1" applyAlignment="1">
      <alignment horizontal="center"/>
    </xf>
    <xf numFmtId="1" fontId="5" fillId="13" borderId="32" xfId="0" applyNumberFormat="1" applyFont="1" applyFill="1" applyBorder="1" applyAlignment="1">
      <alignment horizontal="center"/>
    </xf>
    <xf numFmtId="1" fontId="5" fillId="13" borderId="33" xfId="0" applyNumberFormat="1" applyFont="1" applyFill="1" applyBorder="1" applyAlignment="1">
      <alignment horizontal="center"/>
    </xf>
    <xf numFmtId="1" fontId="5" fillId="13" borderId="34" xfId="0" applyNumberFormat="1" applyFont="1" applyFill="1" applyBorder="1" applyAlignment="1">
      <alignment horizontal="center"/>
    </xf>
    <xf numFmtId="0" fontId="5" fillId="0" borderId="1" xfId="0" applyFont="1" applyBorder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11" borderId="9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44" fontId="5" fillId="0" borderId="14" xfId="2" applyFont="1" applyBorder="1" applyAlignment="1">
      <alignment horizontal="center"/>
    </xf>
    <xf numFmtId="0" fontId="5" fillId="0" borderId="53" xfId="0" applyFont="1" applyBorder="1" applyAlignment="1" applyProtection="1">
      <alignment horizontal="left"/>
      <protection locked="0"/>
    </xf>
    <xf numFmtId="0" fontId="5" fillId="0" borderId="45" xfId="0" applyFont="1" applyBorder="1" applyAlignment="1" applyProtection="1">
      <alignment horizontal="left"/>
      <protection locked="0"/>
    </xf>
    <xf numFmtId="168" fontId="5" fillId="0" borderId="45" xfId="1" applyNumberFormat="1" applyFont="1" applyFill="1" applyBorder="1" applyAlignment="1">
      <alignment horizontal="center"/>
    </xf>
    <xf numFmtId="170" fontId="5" fillId="9" borderId="101" xfId="2" applyNumberFormat="1" applyFont="1" applyFill="1" applyBorder="1" applyAlignment="1">
      <alignment horizontal="center"/>
    </xf>
    <xf numFmtId="170" fontId="5" fillId="9" borderId="109" xfId="2" applyNumberFormat="1" applyFont="1" applyFill="1" applyBorder="1" applyAlignment="1">
      <alignment horizontal="center"/>
    </xf>
    <xf numFmtId="44" fontId="8" fillId="0" borderId="2" xfId="2" applyFont="1" applyBorder="1" applyAlignment="1" applyProtection="1">
      <alignment horizontal="center"/>
    </xf>
    <xf numFmtId="44" fontId="3" fillId="16" borderId="2" xfId="2" applyFont="1" applyFill="1" applyBorder="1" applyAlignment="1" applyProtection="1">
      <alignment horizontal="center"/>
    </xf>
    <xf numFmtId="0" fontId="5" fillId="16" borderId="0" xfId="0" applyFont="1" applyFill="1" applyAlignment="1">
      <alignment horizontal="center"/>
    </xf>
    <xf numFmtId="1" fontId="3" fillId="16" borderId="0" xfId="0" applyNumberFormat="1" applyFont="1" applyFill="1" applyAlignment="1">
      <alignment horizontal="right"/>
    </xf>
    <xf numFmtId="44" fontId="3" fillId="16" borderId="35" xfId="2" applyFont="1" applyFill="1" applyBorder="1" applyAlignment="1" applyProtection="1">
      <alignment horizontal="center"/>
    </xf>
    <xf numFmtId="44" fontId="3" fillId="16" borderId="17" xfId="2" applyFont="1" applyFill="1" applyBorder="1" applyAlignment="1" applyProtection="1">
      <alignment horizontal="center"/>
    </xf>
    <xf numFmtId="44" fontId="3" fillId="16" borderId="39" xfId="2" applyFont="1" applyFill="1" applyBorder="1" applyAlignment="1" applyProtection="1">
      <alignment horizontal="center"/>
    </xf>
    <xf numFmtId="44" fontId="3" fillId="16" borderId="18" xfId="2" applyFont="1" applyFill="1" applyBorder="1" applyAlignment="1" applyProtection="1">
      <alignment horizontal="center"/>
    </xf>
    <xf numFmtId="0" fontId="5" fillId="16" borderId="1" xfId="0" applyFont="1" applyFill="1" applyBorder="1" applyAlignment="1" applyProtection="1">
      <alignment horizontal="center"/>
      <protection locked="0"/>
    </xf>
    <xf numFmtId="0" fontId="5" fillId="16" borderId="0" xfId="0" applyFont="1" applyFill="1" applyAlignment="1" applyProtection="1">
      <alignment horizontal="center"/>
      <protection locked="0"/>
    </xf>
    <xf numFmtId="0" fontId="3" fillId="16" borderId="1" xfId="0" applyFont="1" applyFill="1" applyBorder="1" applyAlignment="1" applyProtection="1">
      <alignment horizontal="left"/>
      <protection locked="0"/>
    </xf>
    <xf numFmtId="0" fontId="3" fillId="16" borderId="0" xfId="0" applyFont="1" applyFill="1" applyAlignment="1" applyProtection="1">
      <alignment horizontal="left"/>
      <protection locked="0"/>
    </xf>
    <xf numFmtId="0" fontId="8" fillId="16" borderId="1" xfId="0" applyFont="1" applyFill="1" applyBorder="1" applyAlignment="1">
      <alignment horizontal="right"/>
    </xf>
    <xf numFmtId="0" fontId="8" fillId="16" borderId="0" xfId="0" applyFont="1" applyFill="1" applyAlignment="1">
      <alignment horizontal="right"/>
    </xf>
    <xf numFmtId="0" fontId="3" fillId="16" borderId="1" xfId="0" applyFont="1" applyFill="1" applyBorder="1" applyAlignment="1" applyProtection="1">
      <alignment horizontal="right"/>
      <protection locked="0"/>
    </xf>
    <xf numFmtId="0" fontId="3" fillId="16" borderId="0" xfId="0" applyFont="1" applyFill="1" applyAlignment="1" applyProtection="1">
      <alignment horizontal="right"/>
      <protection locked="0"/>
    </xf>
    <xf numFmtId="0" fontId="1" fillId="16" borderId="1" xfId="0" applyFont="1" applyFill="1" applyBorder="1" applyAlignment="1" applyProtection="1">
      <alignment horizontal="left"/>
      <protection locked="0"/>
    </xf>
    <xf numFmtId="170" fontId="4" fillId="16" borderId="9" xfId="2" applyNumberFormat="1" applyFont="1" applyFill="1" applyBorder="1" applyAlignment="1">
      <alignment horizontal="center"/>
    </xf>
    <xf numFmtId="170" fontId="4" fillId="16" borderId="11" xfId="2" applyNumberFormat="1" applyFont="1" applyFill="1" applyBorder="1" applyAlignment="1">
      <alignment horizontal="center"/>
    </xf>
    <xf numFmtId="170" fontId="4" fillId="16" borderId="4" xfId="2" applyNumberFormat="1" applyFont="1" applyFill="1" applyBorder="1" applyAlignment="1">
      <alignment horizontal="center"/>
    </xf>
    <xf numFmtId="170" fontId="4" fillId="16" borderId="12" xfId="2" applyNumberFormat="1" applyFont="1" applyFill="1" applyBorder="1" applyAlignment="1">
      <alignment horizontal="center"/>
    </xf>
    <xf numFmtId="170" fontId="3" fillId="12" borderId="51" xfId="2" applyNumberFormat="1" applyFont="1" applyFill="1" applyBorder="1" applyAlignment="1">
      <alignment horizontal="center"/>
    </xf>
    <xf numFmtId="170" fontId="3" fillId="12" borderId="39" xfId="2" applyNumberFormat="1" applyFont="1" applyFill="1" applyBorder="1" applyAlignment="1">
      <alignment horizontal="center"/>
    </xf>
    <xf numFmtId="170" fontId="3" fillId="12" borderId="32" xfId="2" applyNumberFormat="1" applyFont="1" applyFill="1" applyBorder="1" applyAlignment="1">
      <alignment horizontal="center"/>
    </xf>
    <xf numFmtId="170" fontId="3" fillId="12" borderId="95" xfId="2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170" fontId="3" fillId="12" borderId="36" xfId="2" applyNumberFormat="1" applyFont="1" applyFill="1" applyBorder="1" applyAlignment="1">
      <alignment horizontal="center"/>
    </xf>
    <xf numFmtId="170" fontId="3" fillId="12" borderId="47" xfId="2" applyNumberFormat="1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wrapText="1"/>
    </xf>
    <xf numFmtId="0" fontId="3" fillId="9" borderId="0" xfId="0" quotePrefix="1" applyFont="1" applyFill="1" applyAlignment="1">
      <alignment horizontal="center" wrapText="1"/>
    </xf>
    <xf numFmtId="0" fontId="3" fillId="9" borderId="45" xfId="0" quotePrefix="1" applyFont="1" applyFill="1" applyBorder="1" applyAlignment="1">
      <alignment horizontal="center" wrapText="1"/>
    </xf>
    <xf numFmtId="0" fontId="3" fillId="9" borderId="10" xfId="0" quotePrefix="1" applyFont="1" applyFill="1" applyBorder="1" applyAlignment="1">
      <alignment horizontal="center" wrapText="1"/>
    </xf>
    <xf numFmtId="170" fontId="2" fillId="16" borderId="0" xfId="0" applyNumberFormat="1" applyFont="1" applyFill="1" applyAlignment="1">
      <alignment horizontal="center"/>
    </xf>
    <xf numFmtId="170" fontId="3" fillId="16" borderId="0" xfId="2" applyNumberFormat="1" applyFont="1" applyFill="1" applyBorder="1" applyAlignment="1" applyProtection="1">
      <alignment horizontal="center" vertical="center"/>
    </xf>
    <xf numFmtId="170" fontId="2" fillId="16" borderId="10" xfId="2" applyNumberFormat="1" applyFont="1" applyFill="1" applyBorder="1" applyAlignment="1" applyProtection="1">
      <alignment horizontal="center"/>
    </xf>
    <xf numFmtId="0" fontId="3" fillId="12" borderId="120" xfId="0" applyFont="1" applyFill="1" applyBorder="1" applyAlignment="1" applyProtection="1">
      <alignment horizontal="center"/>
      <protection locked="0"/>
    </xf>
    <xf numFmtId="0" fontId="3" fillId="12" borderId="121" xfId="0" applyFont="1" applyFill="1" applyBorder="1" applyAlignment="1" applyProtection="1">
      <alignment horizontal="center"/>
      <protection locked="0"/>
    </xf>
    <xf numFmtId="0" fontId="2" fillId="16" borderId="1" xfId="0" applyFont="1" applyFill="1" applyBorder="1" applyAlignment="1" applyProtection="1">
      <alignment horizontal="center"/>
      <protection locked="0"/>
    </xf>
    <xf numFmtId="0" fontId="2" fillId="16" borderId="0" xfId="0" applyFont="1" applyFill="1" applyAlignment="1" applyProtection="1">
      <alignment horizontal="center"/>
      <protection locked="0"/>
    </xf>
    <xf numFmtId="0" fontId="6" fillId="9" borderId="10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45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2" fillId="9" borderId="21" xfId="0" applyFont="1" applyFill="1" applyBorder="1" applyAlignment="1">
      <alignment horizontal="center" wrapText="1"/>
    </xf>
    <xf numFmtId="0" fontId="2" fillId="9" borderId="57" xfId="0" applyFont="1" applyFill="1" applyBorder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3" fillId="9" borderId="45" xfId="0" applyFont="1" applyFill="1" applyBorder="1" applyAlignment="1">
      <alignment horizontal="center" wrapText="1"/>
    </xf>
    <xf numFmtId="0" fontId="3" fillId="0" borderId="53" xfId="0" quotePrefix="1" applyFont="1" applyBorder="1" applyAlignment="1">
      <alignment horizontal="center"/>
    </xf>
    <xf numFmtId="0" fontId="3" fillId="0" borderId="45" xfId="0" quotePrefix="1" applyFont="1" applyBorder="1" applyAlignment="1">
      <alignment horizontal="center"/>
    </xf>
    <xf numFmtId="0" fontId="3" fillId="9" borderId="9" xfId="0" quotePrefix="1" applyFont="1" applyFill="1" applyBorder="1" applyAlignment="1">
      <alignment horizontal="center"/>
    </xf>
    <xf numFmtId="0" fontId="3" fillId="9" borderId="1" xfId="0" quotePrefix="1" applyFont="1" applyFill="1" applyBorder="1" applyAlignment="1">
      <alignment horizontal="center"/>
    </xf>
    <xf numFmtId="0" fontId="3" fillId="9" borderId="53" xfId="0" quotePrefix="1" applyFont="1" applyFill="1" applyBorder="1" applyAlignment="1">
      <alignment horizontal="center"/>
    </xf>
    <xf numFmtId="0" fontId="10" fillId="12" borderId="33" xfId="0" applyFont="1" applyFill="1" applyBorder="1" applyAlignment="1">
      <alignment horizontal="left"/>
    </xf>
    <xf numFmtId="0" fontId="10" fillId="12" borderId="34" xfId="0" applyFont="1" applyFill="1" applyBorder="1" applyAlignment="1">
      <alignment horizontal="left"/>
    </xf>
    <xf numFmtId="7" fontId="5" fillId="16" borderId="1" xfId="0" applyNumberFormat="1" applyFont="1" applyFill="1" applyBorder="1" applyAlignment="1" applyProtection="1">
      <alignment horizontal="center"/>
      <protection locked="0"/>
    </xf>
    <xf numFmtId="7" fontId="5" fillId="16" borderId="0" xfId="0" applyNumberFormat="1" applyFont="1" applyFill="1" applyAlignment="1" applyProtection="1">
      <alignment horizontal="center"/>
      <protection locked="0"/>
    </xf>
    <xf numFmtId="0" fontId="3" fillId="12" borderId="1" xfId="0" applyFont="1" applyFill="1" applyBorder="1" applyAlignment="1" applyProtection="1">
      <alignment horizontal="left"/>
      <protection locked="0"/>
    </xf>
    <xf numFmtId="0" fontId="3" fillId="12" borderId="0" xfId="0" applyFont="1" applyFill="1" applyAlignment="1" applyProtection="1">
      <alignment horizontal="left"/>
      <protection locked="0"/>
    </xf>
    <xf numFmtId="0" fontId="3" fillId="12" borderId="16" xfId="0" applyFont="1" applyFill="1" applyBorder="1" applyAlignment="1" applyProtection="1">
      <alignment horizontal="left"/>
      <protection locked="0"/>
    </xf>
    <xf numFmtId="0" fontId="3" fillId="12" borderId="4" xfId="0" applyFont="1" applyFill="1" applyBorder="1" applyAlignment="1" applyProtection="1">
      <alignment horizontal="left"/>
      <protection locked="0"/>
    </xf>
    <xf numFmtId="0" fontId="3" fillId="12" borderId="2" xfId="0" applyFont="1" applyFill="1" applyBorder="1" applyAlignment="1" applyProtection="1">
      <alignment horizontal="left"/>
      <protection locked="0"/>
    </xf>
    <xf numFmtId="0" fontId="3" fillId="12" borderId="3" xfId="0" applyFont="1" applyFill="1" applyBorder="1" applyAlignment="1" applyProtection="1">
      <alignment horizontal="left"/>
      <protection locked="0"/>
    </xf>
    <xf numFmtId="0" fontId="3" fillId="9" borderId="10" xfId="0" quotePrefix="1" applyFont="1" applyFill="1" applyBorder="1" applyAlignment="1">
      <alignment horizontal="center"/>
    </xf>
    <xf numFmtId="0" fontId="3" fillId="9" borderId="0" xfId="0" quotePrefix="1" applyFont="1" applyFill="1" applyAlignment="1">
      <alignment horizontal="center"/>
    </xf>
    <xf numFmtId="0" fontId="3" fillId="9" borderId="45" xfId="0" quotePrefix="1" applyFont="1" applyFill="1" applyBorder="1" applyAlignment="1">
      <alignment horizontal="center"/>
    </xf>
    <xf numFmtId="0" fontId="6" fillId="9" borderId="0" xfId="0" quotePrefix="1" applyFont="1" applyFill="1" applyAlignment="1">
      <alignment horizontal="center" wrapText="1"/>
    </xf>
    <xf numFmtId="0" fontId="6" fillId="9" borderId="45" xfId="0" quotePrefix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4" fontId="1" fillId="10" borderId="0" xfId="2" applyFont="1" applyFill="1" applyAlignment="1">
      <alignment horizontal="center"/>
    </xf>
    <xf numFmtId="7" fontId="12" fillId="12" borderId="29" xfId="0" applyNumberFormat="1" applyFont="1" applyFill="1" applyBorder="1" applyAlignment="1" applyProtection="1">
      <alignment horizontal="center"/>
      <protection locked="0"/>
    </xf>
    <xf numFmtId="7" fontId="12" fillId="12" borderId="30" xfId="0" applyNumberFormat="1" applyFont="1" applyFill="1" applyBorder="1" applyAlignment="1" applyProtection="1">
      <alignment horizontal="center"/>
      <protection locked="0"/>
    </xf>
    <xf numFmtId="7" fontId="12" fillId="12" borderId="31" xfId="0" applyNumberFormat="1" applyFont="1" applyFill="1" applyBorder="1" applyAlignment="1" applyProtection="1">
      <alignment horizontal="center"/>
      <protection locked="0"/>
    </xf>
    <xf numFmtId="0" fontId="2" fillId="12" borderId="104" xfId="0" applyFont="1" applyFill="1" applyBorder="1" applyAlignment="1">
      <alignment horizontal="center"/>
    </xf>
    <xf numFmtId="0" fontId="2" fillId="12" borderId="82" xfId="0" applyFont="1" applyFill="1" applyBorder="1" applyAlignment="1">
      <alignment horizontal="center"/>
    </xf>
    <xf numFmtId="0" fontId="2" fillId="12" borderId="105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0" xfId="0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11" fillId="11" borderId="106" xfId="0" applyFont="1" applyFill="1" applyBorder="1" applyAlignment="1" applyProtection="1">
      <alignment horizontal="center"/>
      <protection locked="0"/>
    </xf>
    <xf numFmtId="0" fontId="11" fillId="11" borderId="83" xfId="0" applyFont="1" applyFill="1" applyBorder="1" applyAlignment="1" applyProtection="1">
      <alignment horizontal="center"/>
      <protection locked="0"/>
    </xf>
    <xf numFmtId="0" fontId="5" fillId="2" borderId="25" xfId="0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173" fontId="5" fillId="2" borderId="14" xfId="0" applyNumberFormat="1" applyFont="1" applyFill="1" applyBorder="1" applyAlignment="1">
      <alignment horizontal="center"/>
    </xf>
    <xf numFmtId="15" fontId="22" fillId="2" borderId="0" xfId="0" applyNumberFormat="1" applyFont="1" applyFill="1" applyAlignment="1">
      <alignment horizontal="center"/>
    </xf>
    <xf numFmtId="0" fontId="3" fillId="0" borderId="25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9" fontId="5" fillId="12" borderId="107" xfId="4" applyFont="1" applyFill="1" applyBorder="1" applyAlignment="1">
      <alignment horizontal="center"/>
    </xf>
    <xf numFmtId="9" fontId="5" fillId="12" borderId="10" xfId="4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8" fillId="11" borderId="9" xfId="0" applyFont="1" applyFill="1" applyBorder="1" applyAlignment="1">
      <alignment horizontal="center"/>
    </xf>
    <xf numFmtId="164" fontId="8" fillId="11" borderId="61" xfId="0" applyNumberFormat="1" applyFont="1" applyFill="1" applyBorder="1" applyAlignment="1">
      <alignment horizontal="center" wrapText="1"/>
    </xf>
    <xf numFmtId="164" fontId="8" fillId="11" borderId="3" xfId="0" applyNumberFormat="1" applyFont="1" applyFill="1" applyBorder="1" applyAlignment="1">
      <alignment horizontal="center" wrapText="1"/>
    </xf>
    <xf numFmtId="168" fontId="5" fillId="12" borderId="56" xfId="1" applyNumberFormat="1" applyFont="1" applyFill="1" applyBorder="1" applyAlignment="1" applyProtection="1">
      <alignment horizontal="center"/>
      <protection locked="0"/>
    </xf>
    <xf numFmtId="170" fontId="0" fillId="12" borderId="2" xfId="2" applyNumberFormat="1" applyFont="1" applyFill="1" applyBorder="1" applyAlignment="1">
      <alignment horizontal="center"/>
    </xf>
    <xf numFmtId="170" fontId="0" fillId="12" borderId="12" xfId="2" applyNumberFormat="1" applyFont="1" applyFill="1" applyBorder="1" applyAlignment="1">
      <alignment horizontal="center"/>
    </xf>
    <xf numFmtId="0" fontId="5" fillId="12" borderId="97" xfId="0" applyFont="1" applyFill="1" applyBorder="1" applyAlignment="1" applyProtection="1">
      <alignment horizontal="left"/>
      <protection locked="0"/>
    </xf>
    <xf numFmtId="0" fontId="5" fillId="12" borderId="55" xfId="0" applyFont="1" applyFill="1" applyBorder="1" applyAlignment="1" applyProtection="1">
      <alignment horizontal="left"/>
      <protection locked="0"/>
    </xf>
    <xf numFmtId="0" fontId="5" fillId="12" borderId="36" xfId="0" applyFont="1" applyFill="1" applyBorder="1" applyAlignment="1" applyProtection="1">
      <alignment horizontal="left"/>
      <protection locked="0"/>
    </xf>
    <xf numFmtId="14" fontId="5" fillId="12" borderId="22" xfId="0" applyNumberFormat="1" applyFont="1" applyFill="1" applyBorder="1" applyAlignment="1" applyProtection="1">
      <alignment horizontal="center"/>
      <protection locked="0"/>
    </xf>
    <xf numFmtId="14" fontId="5" fillId="12" borderId="46" xfId="0" applyNumberFormat="1" applyFont="1" applyFill="1" applyBorder="1" applyAlignment="1" applyProtection="1">
      <alignment horizontal="center"/>
      <protection locked="0"/>
    </xf>
    <xf numFmtId="0" fontId="5" fillId="12" borderId="99" xfId="0" applyFont="1" applyFill="1" applyBorder="1" applyAlignment="1" applyProtection="1">
      <alignment horizontal="left"/>
      <protection locked="0"/>
    </xf>
    <xf numFmtId="0" fontId="5" fillId="12" borderId="41" xfId="0" applyFont="1" applyFill="1" applyBorder="1" applyAlignment="1" applyProtection="1">
      <alignment horizontal="left"/>
      <protection locked="0"/>
    </xf>
    <xf numFmtId="0" fontId="5" fillId="12" borderId="88" xfId="0" applyFont="1" applyFill="1" applyBorder="1" applyAlignment="1" applyProtection="1">
      <alignment horizontal="left"/>
      <protection locked="0"/>
    </xf>
    <xf numFmtId="170" fontId="5" fillId="0" borderId="0" xfId="2" applyNumberFormat="1" applyFont="1" applyBorder="1" applyAlignment="1">
      <alignment horizontal="center"/>
    </xf>
    <xf numFmtId="170" fontId="8" fillId="0" borderId="2" xfId="2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44" fontId="5" fillId="12" borderId="67" xfId="2" applyFont="1" applyFill="1" applyBorder="1" applyAlignment="1">
      <alignment horizontal="center" vertical="center"/>
    </xf>
    <xf numFmtId="44" fontId="5" fillId="12" borderId="16" xfId="2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170" fontId="0" fillId="12" borderId="14" xfId="2" applyNumberFormat="1" applyFont="1" applyFill="1" applyBorder="1" applyAlignment="1">
      <alignment horizontal="center"/>
    </xf>
    <xf numFmtId="170" fontId="0" fillId="12" borderId="48" xfId="2" applyNumberFormat="1" applyFont="1" applyFill="1" applyBorder="1" applyAlignment="1">
      <alignment horizontal="center"/>
    </xf>
    <xf numFmtId="0" fontId="5" fillId="0" borderId="107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170" fontId="0" fillId="12" borderId="0" xfId="2" applyNumberFormat="1" applyFont="1" applyFill="1" applyBorder="1" applyAlignment="1">
      <alignment horizontal="center"/>
    </xf>
    <xf numFmtId="170" fontId="0" fillId="12" borderId="21" xfId="2" applyNumberFormat="1" applyFont="1" applyFill="1" applyBorder="1" applyAlignment="1">
      <alignment horizontal="center"/>
    </xf>
    <xf numFmtId="44" fontId="5" fillId="12" borderId="108" xfId="2" applyFont="1" applyFill="1" applyBorder="1" applyAlignment="1" applyProtection="1">
      <alignment horizontal="center"/>
      <protection locked="0"/>
    </xf>
    <xf numFmtId="44" fontId="5" fillId="12" borderId="103" xfId="2" applyFont="1" applyFill="1" applyBorder="1" applyAlignment="1" applyProtection="1">
      <alignment horizontal="center"/>
      <protection locked="0"/>
    </xf>
    <xf numFmtId="170" fontId="13" fillId="15" borderId="2" xfId="0" applyNumberFormat="1" applyFont="1" applyFill="1" applyBorder="1" applyAlignment="1">
      <alignment horizontal="center"/>
    </xf>
    <xf numFmtId="0" fontId="5" fillId="0" borderId="24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170" fontId="5" fillId="12" borderId="0" xfId="0" applyNumberFormat="1" applyFont="1" applyFill="1" applyAlignment="1">
      <alignment horizontal="center"/>
    </xf>
    <xf numFmtId="170" fontId="5" fillId="12" borderId="21" xfId="0" applyNumberFormat="1" applyFont="1" applyFill="1" applyBorder="1" applyAlignment="1">
      <alignment horizontal="center"/>
    </xf>
    <xf numFmtId="0" fontId="5" fillId="11" borderId="42" xfId="0" applyFont="1" applyFill="1" applyBorder="1" applyAlignment="1">
      <alignment horizontal="center" wrapText="1"/>
    </xf>
    <xf numFmtId="0" fontId="5" fillId="11" borderId="43" xfId="0" applyFont="1" applyFill="1" applyBorder="1" applyAlignment="1">
      <alignment horizontal="center" wrapText="1"/>
    </xf>
    <xf numFmtId="0" fontId="5" fillId="0" borderId="70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168" fontId="5" fillId="0" borderId="14" xfId="1" applyNumberFormat="1" applyFont="1" applyBorder="1" applyAlignment="1">
      <alignment horizontal="center"/>
    </xf>
    <xf numFmtId="170" fontId="5" fillId="0" borderId="14" xfId="2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170" fontId="5" fillId="12" borderId="0" xfId="2" applyNumberFormat="1" applyFont="1" applyFill="1" applyBorder="1" applyAlignment="1">
      <alignment horizontal="center"/>
    </xf>
    <xf numFmtId="170" fontId="5" fillId="12" borderId="21" xfId="2" applyNumberFormat="1" applyFont="1" applyFill="1" applyBorder="1" applyAlignment="1">
      <alignment horizontal="center"/>
    </xf>
    <xf numFmtId="44" fontId="5" fillId="5" borderId="61" xfId="2" applyFont="1" applyFill="1" applyBorder="1" applyAlignment="1" applyProtection="1">
      <alignment horizontal="center"/>
      <protection locked="0"/>
    </xf>
    <xf numFmtId="44" fontId="5" fillId="5" borderId="2" xfId="2" applyFont="1" applyFill="1" applyBorder="1" applyAlignment="1" applyProtection="1">
      <alignment horizontal="center"/>
      <protection locked="0"/>
    </xf>
    <xf numFmtId="15" fontId="8" fillId="15" borderId="2" xfId="0" applyNumberFormat="1" applyFont="1" applyFill="1" applyBorder="1" applyAlignment="1">
      <alignment horizontal="center"/>
    </xf>
    <xf numFmtId="0" fontId="5" fillId="0" borderId="70" xfId="0" applyFont="1" applyBorder="1" applyAlignment="1" applyProtection="1">
      <alignment horizontal="left"/>
      <protection locked="0"/>
    </xf>
    <xf numFmtId="0" fontId="5" fillId="0" borderId="24" xfId="0" applyFont="1" applyBorder="1" applyAlignment="1" applyProtection="1">
      <alignment horizontal="left"/>
      <protection locked="0"/>
    </xf>
    <xf numFmtId="0" fontId="8" fillId="11" borderId="10" xfId="0" applyFont="1" applyFill="1" applyBorder="1" applyAlignment="1">
      <alignment horizontal="center" wrapText="1"/>
    </xf>
    <xf numFmtId="0" fontId="8" fillId="11" borderId="67" xfId="0" applyFont="1" applyFill="1" applyBorder="1" applyAlignment="1">
      <alignment horizontal="center" wrapText="1"/>
    </xf>
    <xf numFmtId="14" fontId="5" fillId="12" borderId="97" xfId="0" applyNumberFormat="1" applyFont="1" applyFill="1" applyBorder="1" applyAlignment="1" applyProtection="1">
      <alignment horizontal="center"/>
      <protection locked="0"/>
    </xf>
    <xf numFmtId="14" fontId="5" fillId="12" borderId="98" xfId="0" applyNumberFormat="1" applyFont="1" applyFill="1" applyBorder="1" applyAlignment="1" applyProtection="1">
      <alignment horizontal="center"/>
      <protection locked="0"/>
    </xf>
    <xf numFmtId="14" fontId="5" fillId="12" borderId="38" xfId="0" applyNumberFormat="1" applyFont="1" applyFill="1" applyBorder="1" applyAlignment="1">
      <alignment horizontal="center"/>
    </xf>
    <xf numFmtId="0" fontId="5" fillId="12" borderId="22" xfId="0" applyFont="1" applyFill="1" applyBorder="1" applyAlignment="1" applyProtection="1">
      <alignment horizontal="left"/>
      <protection locked="0"/>
    </xf>
    <xf numFmtId="0" fontId="5" fillId="12" borderId="5" xfId="0" applyFont="1" applyFill="1" applyBorder="1" applyAlignment="1" applyProtection="1">
      <alignment horizontal="left"/>
      <protection locked="0"/>
    </xf>
    <xf numFmtId="0" fontId="5" fillId="12" borderId="32" xfId="0" applyFont="1" applyFill="1" applyBorder="1" applyAlignment="1" applyProtection="1">
      <alignment horizontal="left"/>
      <protection locked="0"/>
    </xf>
    <xf numFmtId="0" fontId="8" fillId="15" borderId="0" xfId="0" applyFont="1" applyFill="1" applyAlignment="1">
      <alignment horizontal="center"/>
    </xf>
    <xf numFmtId="14" fontId="5" fillId="12" borderId="34" xfId="0" applyNumberFormat="1" applyFont="1" applyFill="1" applyBorder="1" applyAlignment="1">
      <alignment horizontal="center"/>
    </xf>
    <xf numFmtId="0" fontId="5" fillId="12" borderId="9" xfId="0" applyFont="1" applyFill="1" applyBorder="1" applyAlignment="1">
      <alignment horizontal="left"/>
    </xf>
    <xf numFmtId="0" fontId="5" fillId="12" borderId="10" xfId="0" applyFont="1" applyFill="1" applyBorder="1" applyAlignment="1">
      <alignment horizontal="left"/>
    </xf>
    <xf numFmtId="0" fontId="5" fillId="12" borderId="1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5" fillId="12" borderId="0" xfId="0" applyFont="1" applyFill="1" applyAlignment="1">
      <alignment horizontal="left"/>
    </xf>
    <xf numFmtId="0" fontId="5" fillId="12" borderId="21" xfId="0" applyFont="1" applyFill="1" applyBorder="1" applyAlignment="1">
      <alignment horizontal="left"/>
    </xf>
    <xf numFmtId="0" fontId="5" fillId="12" borderId="4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5" fillId="12" borderId="12" xfId="0" applyFont="1" applyFill="1" applyBorder="1" applyAlignment="1">
      <alignment horizontal="left"/>
    </xf>
    <xf numFmtId="14" fontId="5" fillId="12" borderId="39" xfId="0" applyNumberFormat="1" applyFont="1" applyFill="1" applyBorder="1" applyAlignment="1" applyProtection="1">
      <alignment horizontal="center"/>
      <protection locked="0"/>
    </xf>
    <xf numFmtId="14" fontId="5" fillId="12" borderId="18" xfId="0" applyNumberFormat="1" applyFont="1" applyFill="1" applyBorder="1" applyAlignment="1" applyProtection="1">
      <alignment horizontal="center"/>
      <protection locked="0"/>
    </xf>
    <xf numFmtId="14" fontId="5" fillId="12" borderId="35" xfId="0" applyNumberFormat="1" applyFont="1" applyFill="1" applyBorder="1" applyAlignment="1" applyProtection="1">
      <alignment horizontal="center"/>
      <protection locked="0"/>
    </xf>
    <xf numFmtId="14" fontId="5" fillId="12" borderId="17" xfId="0" applyNumberFormat="1" applyFont="1" applyFill="1" applyBorder="1" applyAlignment="1" applyProtection="1">
      <alignment horizontal="center"/>
      <protection locked="0"/>
    </xf>
    <xf numFmtId="14" fontId="5" fillId="12" borderId="99" xfId="0" applyNumberFormat="1" applyFont="1" applyFill="1" applyBorder="1" applyAlignment="1" applyProtection="1">
      <alignment horizontal="center"/>
      <protection locked="0"/>
    </xf>
    <xf numFmtId="14" fontId="5" fillId="12" borderId="93" xfId="0" applyNumberFormat="1" applyFont="1" applyFill="1" applyBorder="1" applyAlignment="1" applyProtection="1">
      <alignment horizontal="center"/>
      <protection locked="0"/>
    </xf>
    <xf numFmtId="14" fontId="5" fillId="12" borderId="100" xfId="0" applyNumberFormat="1" applyFont="1" applyFill="1" applyBorder="1" applyAlignment="1">
      <alignment horizontal="center"/>
    </xf>
    <xf numFmtId="0" fontId="5" fillId="11" borderId="29" xfId="0" applyFont="1" applyFill="1" applyBorder="1" applyAlignment="1">
      <alignment horizontal="center"/>
    </xf>
    <xf numFmtId="0" fontId="5" fillId="11" borderId="30" xfId="0" applyFont="1" applyFill="1" applyBorder="1" applyAlignment="1">
      <alignment horizontal="center"/>
    </xf>
    <xf numFmtId="0" fontId="5" fillId="11" borderId="31" xfId="0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70" fontId="5" fillId="12" borderId="45" xfId="0" applyNumberFormat="1" applyFont="1" applyFill="1" applyBorder="1" applyAlignment="1">
      <alignment horizontal="center"/>
    </xf>
    <xf numFmtId="170" fontId="5" fillId="12" borderId="57" xfId="0" applyNumberFormat="1" applyFont="1" applyFill="1" applyBorder="1" applyAlignment="1">
      <alignment horizontal="center"/>
    </xf>
    <xf numFmtId="9" fontId="5" fillId="12" borderId="4" xfId="4" applyFont="1" applyFill="1" applyBorder="1" applyAlignment="1" applyProtection="1">
      <alignment horizontal="center"/>
      <protection locked="0"/>
    </xf>
    <xf numFmtId="9" fontId="5" fillId="12" borderId="2" xfId="4" applyFont="1" applyFill="1" applyBorder="1" applyAlignment="1" applyProtection="1">
      <alignment horizontal="center"/>
      <protection locked="0"/>
    </xf>
    <xf numFmtId="9" fontId="5" fillId="12" borderId="12" xfId="4" applyFont="1" applyFill="1" applyBorder="1" applyAlignment="1" applyProtection="1">
      <alignment horizontal="center"/>
      <protection locked="0"/>
    </xf>
    <xf numFmtId="0" fontId="8" fillId="11" borderId="29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3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11" borderId="42" xfId="0" applyFont="1" applyFill="1" applyBorder="1" applyAlignment="1">
      <alignment horizontal="center"/>
    </xf>
    <xf numFmtId="0" fontId="5" fillId="11" borderId="64" xfId="0" applyFont="1" applyFill="1" applyBorder="1" applyAlignment="1">
      <alignment horizontal="center"/>
    </xf>
    <xf numFmtId="170" fontId="5" fillId="12" borderId="0" xfId="2" applyNumberFormat="1" applyFont="1" applyFill="1" applyAlignment="1">
      <alignment horizontal="center"/>
    </xf>
    <xf numFmtId="170" fontId="5" fillId="12" borderId="10" xfId="2" applyNumberFormat="1" applyFont="1" applyFill="1" applyBorder="1" applyAlignment="1" applyProtection="1">
      <alignment horizontal="center"/>
    </xf>
    <xf numFmtId="44" fontId="5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170" fontId="5" fillId="12" borderId="0" xfId="2" applyNumberFormat="1" applyFont="1" applyFill="1" applyBorder="1" applyAlignment="1" applyProtection="1">
      <alignment horizontal="center"/>
    </xf>
    <xf numFmtId="170" fontId="5" fillId="12" borderId="21" xfId="2" applyNumberFormat="1" applyFont="1" applyFill="1" applyBorder="1" applyAlignment="1" applyProtection="1">
      <alignment horizontal="center"/>
    </xf>
    <xf numFmtId="0" fontId="5" fillId="0" borderId="4" xfId="0" applyFont="1" applyBorder="1" applyAlignment="1">
      <alignment horizontal="left"/>
    </xf>
    <xf numFmtId="170" fontId="5" fillId="12" borderId="2" xfId="2" applyNumberFormat="1" applyFont="1" applyFill="1" applyBorder="1" applyAlignment="1" applyProtection="1">
      <alignment horizontal="center"/>
    </xf>
    <xf numFmtId="170" fontId="5" fillId="12" borderId="12" xfId="2" applyNumberFormat="1" applyFont="1" applyFill="1" applyBorder="1" applyAlignment="1" applyProtection="1">
      <alignment horizontal="center"/>
    </xf>
    <xf numFmtId="168" fontId="5" fillId="10" borderId="32" xfId="1" applyNumberFormat="1" applyFont="1" applyFill="1" applyBorder="1" applyAlignment="1" applyProtection="1">
      <alignment horizontal="center"/>
      <protection locked="0"/>
    </xf>
    <xf numFmtId="168" fontId="5" fillId="10" borderId="34" xfId="1" applyNumberFormat="1" applyFont="1" applyFill="1" applyBorder="1" applyAlignment="1" applyProtection="1">
      <alignment horizontal="center"/>
      <protection locked="0"/>
    </xf>
    <xf numFmtId="170" fontId="5" fillId="10" borderId="61" xfId="2" applyNumberFormat="1" applyFont="1" applyFill="1" applyBorder="1" applyAlignment="1" applyProtection="1">
      <alignment horizontal="center"/>
      <protection locked="0"/>
    </xf>
    <xf numFmtId="170" fontId="5" fillId="10" borderId="3" xfId="2" applyNumberFormat="1" applyFont="1" applyFill="1" applyBorder="1" applyAlignment="1" applyProtection="1">
      <alignment horizontal="center"/>
      <protection locked="0"/>
    </xf>
    <xf numFmtId="170" fontId="5" fillId="10" borderId="56" xfId="2" applyNumberFormat="1" applyFont="1" applyFill="1" applyBorder="1" applyAlignment="1" applyProtection="1">
      <alignment horizontal="center"/>
      <protection locked="0"/>
    </xf>
    <xf numFmtId="170" fontId="5" fillId="10" borderId="16" xfId="2" applyNumberFormat="1" applyFont="1" applyFill="1" applyBorder="1" applyAlignment="1" applyProtection="1">
      <alignment horizontal="center"/>
      <protection locked="0"/>
    </xf>
    <xf numFmtId="0" fontId="8" fillId="2" borderId="11" xfId="0" applyFont="1" applyFill="1" applyBorder="1" applyAlignment="1">
      <alignment horizontal="center"/>
    </xf>
    <xf numFmtId="44" fontId="5" fillId="0" borderId="2" xfId="2" applyFont="1" applyFill="1" applyBorder="1" applyAlignment="1" applyProtection="1">
      <alignment horizontal="center"/>
    </xf>
    <xf numFmtId="44" fontId="5" fillId="0" borderId="12" xfId="2" applyFont="1" applyFill="1" applyBorder="1" applyAlignment="1" applyProtection="1">
      <alignment horizontal="center"/>
    </xf>
    <xf numFmtId="170" fontId="5" fillId="2" borderId="4" xfId="2" applyNumberFormat="1" applyFont="1" applyFill="1" applyBorder="1" applyAlignment="1" applyProtection="1">
      <alignment horizontal="center"/>
    </xf>
    <xf numFmtId="44" fontId="5" fillId="2" borderId="4" xfId="2" applyFont="1" applyFill="1" applyBorder="1" applyAlignment="1" applyProtection="1">
      <alignment horizontal="center"/>
    </xf>
    <xf numFmtId="44" fontId="5" fillId="2" borderId="2" xfId="2" applyFont="1" applyFill="1" applyBorder="1" applyAlignment="1" applyProtection="1">
      <alignment horizontal="center"/>
    </xf>
    <xf numFmtId="44" fontId="5" fillId="2" borderId="12" xfId="2" applyFont="1" applyFill="1" applyBorder="1" applyAlignment="1" applyProtection="1">
      <alignment horizontal="center"/>
    </xf>
    <xf numFmtId="168" fontId="5" fillId="10" borderId="5" xfId="1" applyNumberFormat="1" applyFont="1" applyFill="1" applyBorder="1" applyAlignment="1" applyProtection="1">
      <alignment horizontal="center"/>
      <protection locked="0"/>
    </xf>
    <xf numFmtId="170" fontId="5" fillId="12" borderId="2" xfId="2" applyNumberFormat="1" applyFont="1" applyFill="1" applyBorder="1" applyAlignment="1">
      <alignment horizontal="center"/>
    </xf>
    <xf numFmtId="170" fontId="5" fillId="12" borderId="12" xfId="2" applyNumberFormat="1" applyFont="1" applyFill="1" applyBorder="1" applyAlignment="1">
      <alignment horizontal="center"/>
    </xf>
    <xf numFmtId="0" fontId="5" fillId="0" borderId="67" xfId="0" applyFont="1" applyBorder="1" applyAlignment="1">
      <alignment horizontal="left"/>
    </xf>
    <xf numFmtId="168" fontId="5" fillId="10" borderId="107" xfId="1" applyNumberFormat="1" applyFont="1" applyFill="1" applyBorder="1" applyAlignment="1" applyProtection="1">
      <alignment horizontal="center"/>
      <protection locked="0"/>
    </xf>
    <xf numFmtId="168" fontId="5" fillId="10" borderId="67" xfId="1" applyNumberFormat="1" applyFont="1" applyFill="1" applyBorder="1" applyAlignment="1" applyProtection="1">
      <alignment horizontal="center"/>
      <protection locked="0"/>
    </xf>
    <xf numFmtId="170" fontId="5" fillId="12" borderId="11" xfId="2" applyNumberFormat="1" applyFont="1" applyFill="1" applyBorder="1" applyAlignment="1" applyProtection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9" fontId="5" fillId="12" borderId="56" xfId="4" applyFont="1" applyFill="1" applyBorder="1" applyAlignment="1" applyProtection="1">
      <alignment horizontal="center"/>
      <protection locked="0"/>
    </xf>
    <xf numFmtId="9" fontId="5" fillId="12" borderId="16" xfId="4" applyFont="1" applyFill="1" applyBorder="1" applyAlignment="1" applyProtection="1">
      <alignment horizontal="center"/>
      <protection locked="0"/>
    </xf>
    <xf numFmtId="9" fontId="5" fillId="12" borderId="39" xfId="4" applyFont="1" applyFill="1" applyBorder="1" applyAlignment="1" applyProtection="1">
      <alignment horizontal="center"/>
      <protection locked="0"/>
    </xf>
    <xf numFmtId="9" fontId="5" fillId="12" borderId="18" xfId="4" applyFont="1" applyFill="1" applyBorder="1" applyAlignment="1" applyProtection="1">
      <alignment horizontal="center"/>
      <protection locked="0"/>
    </xf>
    <xf numFmtId="170" fontId="5" fillId="12" borderId="10" xfId="2" applyNumberFormat="1" applyFont="1" applyFill="1" applyBorder="1" applyAlignment="1">
      <alignment horizontal="center"/>
    </xf>
    <xf numFmtId="170" fontId="5" fillId="12" borderId="11" xfId="2" applyNumberFormat="1" applyFont="1" applyFill="1" applyBorder="1" applyAlignment="1">
      <alignment horizontal="center"/>
    </xf>
    <xf numFmtId="170" fontId="5" fillId="12" borderId="112" xfId="2" applyNumberFormat="1" applyFont="1" applyFill="1" applyBorder="1" applyAlignment="1">
      <alignment horizontal="center"/>
    </xf>
    <xf numFmtId="170" fontId="5" fillId="12" borderId="113" xfId="2" applyNumberFormat="1" applyFont="1" applyFill="1" applyBorder="1" applyAlignment="1">
      <alignment horizontal="center"/>
    </xf>
    <xf numFmtId="1" fontId="5" fillId="12" borderId="107" xfId="0" applyNumberFormat="1" applyFont="1" applyFill="1" applyBorder="1" applyAlignment="1">
      <alignment horizontal="center" vertical="center"/>
    </xf>
    <xf numFmtId="0" fontId="5" fillId="12" borderId="67" xfId="0" applyFont="1" applyFill="1" applyBorder="1" applyAlignment="1">
      <alignment horizontal="center" vertical="center"/>
    </xf>
    <xf numFmtId="0" fontId="5" fillId="12" borderId="56" xfId="0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/>
    </xf>
    <xf numFmtId="0" fontId="5" fillId="12" borderId="39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170" fontId="5" fillId="0" borderId="10" xfId="2" applyNumberFormat="1" applyFont="1" applyBorder="1" applyAlignment="1">
      <alignment horizontal="center"/>
    </xf>
    <xf numFmtId="0" fontId="5" fillId="0" borderId="112" xfId="0" applyFont="1" applyBorder="1" applyAlignment="1">
      <alignment horizontal="center"/>
    </xf>
    <xf numFmtId="0" fontId="5" fillId="0" borderId="114" xfId="0" applyFont="1" applyBorder="1" applyAlignment="1">
      <alignment horizontal="center"/>
    </xf>
    <xf numFmtId="168" fontId="5" fillId="0" borderId="115" xfId="1" applyNumberFormat="1" applyFont="1" applyBorder="1" applyAlignment="1">
      <alignment horizontal="center"/>
    </xf>
    <xf numFmtId="168" fontId="5" fillId="0" borderId="112" xfId="1" applyNumberFormat="1" applyFont="1" applyBorder="1" applyAlignment="1">
      <alignment horizontal="center"/>
    </xf>
    <xf numFmtId="170" fontId="0" fillId="12" borderId="10" xfId="2" applyNumberFormat="1" applyFont="1" applyFill="1" applyBorder="1" applyAlignment="1">
      <alignment horizontal="center"/>
    </xf>
    <xf numFmtId="170" fontId="0" fillId="12" borderId="11" xfId="2" applyNumberFormat="1" applyFont="1" applyFill="1" applyBorder="1" applyAlignment="1">
      <alignment horizontal="center"/>
    </xf>
    <xf numFmtId="170" fontId="5" fillId="12" borderId="24" xfId="0" applyNumberFormat="1" applyFont="1" applyFill="1" applyBorder="1" applyAlignment="1">
      <alignment horizontal="center"/>
    </xf>
    <xf numFmtId="170" fontId="5" fillId="12" borderId="27" xfId="0" applyNumberFormat="1" applyFont="1" applyFill="1" applyBorder="1" applyAlignment="1">
      <alignment horizontal="center"/>
    </xf>
    <xf numFmtId="44" fontId="5" fillId="15" borderId="29" xfId="2" applyFont="1" applyFill="1" applyBorder="1" applyAlignment="1">
      <alignment horizontal="center"/>
    </xf>
    <xf numFmtId="44" fontId="5" fillId="15" borderId="31" xfId="2" applyFont="1" applyFill="1" applyBorder="1" applyAlignment="1">
      <alignment horizontal="center"/>
    </xf>
    <xf numFmtId="0" fontId="5" fillId="11" borderId="43" xfId="0" applyFont="1" applyFill="1" applyBorder="1" applyAlignment="1">
      <alignment horizontal="center"/>
    </xf>
    <xf numFmtId="0" fontId="5" fillId="11" borderId="44" xfId="0" applyFont="1" applyFill="1" applyBorder="1" applyAlignment="1">
      <alignment horizontal="center"/>
    </xf>
    <xf numFmtId="170" fontId="5" fillId="2" borderId="2" xfId="2" applyNumberFormat="1" applyFont="1" applyFill="1" applyBorder="1" applyAlignment="1" applyProtection="1">
      <alignment horizontal="center"/>
      <protection locked="0"/>
    </xf>
    <xf numFmtId="170" fontId="5" fillId="12" borderId="45" xfId="2" applyNumberFormat="1" applyFont="1" applyFill="1" applyBorder="1" applyAlignment="1">
      <alignment horizontal="center"/>
    </xf>
    <xf numFmtId="170" fontId="5" fillId="12" borderId="57" xfId="2" applyNumberFormat="1" applyFont="1" applyFill="1" applyBorder="1" applyAlignment="1">
      <alignment horizontal="center"/>
    </xf>
    <xf numFmtId="170" fontId="5" fillId="12" borderId="52" xfId="2" applyNumberFormat="1" applyFont="1" applyFill="1" applyBorder="1" applyAlignment="1" applyProtection="1">
      <alignment horizontal="center"/>
      <protection locked="0"/>
    </xf>
    <xf numFmtId="170" fontId="5" fillId="12" borderId="5" xfId="2" applyNumberFormat="1" applyFont="1" applyFill="1" applyBorder="1" applyAlignment="1" applyProtection="1">
      <alignment horizontal="center"/>
    </xf>
    <xf numFmtId="170" fontId="5" fillId="10" borderId="0" xfId="2" applyNumberFormat="1" applyFont="1" applyFill="1" applyBorder="1" applyAlignment="1" applyProtection="1">
      <alignment horizontal="center"/>
    </xf>
    <xf numFmtId="170" fontId="5" fillId="10" borderId="21" xfId="2" applyNumberFormat="1" applyFont="1" applyFill="1" applyBorder="1" applyAlignment="1" applyProtection="1">
      <alignment horizontal="center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170" fontId="5" fillId="12" borderId="61" xfId="2" applyNumberFormat="1" applyFont="1" applyFill="1" applyBorder="1" applyAlignment="1" applyProtection="1">
      <alignment horizontal="center"/>
    </xf>
    <xf numFmtId="170" fontId="5" fillId="12" borderId="3" xfId="2" applyNumberFormat="1" applyFont="1" applyFill="1" applyBorder="1" applyAlignment="1" applyProtection="1">
      <alignment horizontal="center"/>
    </xf>
    <xf numFmtId="170" fontId="5" fillId="10" borderId="2" xfId="2" applyNumberFormat="1" applyFont="1" applyFill="1" applyBorder="1" applyAlignment="1" applyProtection="1">
      <alignment horizontal="center"/>
    </xf>
    <xf numFmtId="170" fontId="5" fillId="10" borderId="12" xfId="2" applyNumberFormat="1" applyFont="1" applyFill="1" applyBorder="1" applyAlignment="1" applyProtection="1">
      <alignment horizontal="center"/>
    </xf>
    <xf numFmtId="1" fontId="5" fillId="10" borderId="32" xfId="0" applyNumberFormat="1" applyFont="1" applyFill="1" applyBorder="1" applyAlignment="1">
      <alignment horizontal="center"/>
    </xf>
    <xf numFmtId="1" fontId="5" fillId="10" borderId="34" xfId="0" applyNumberFormat="1" applyFont="1" applyFill="1" applyBorder="1" applyAlignment="1">
      <alignment horizontal="center"/>
    </xf>
    <xf numFmtId="0" fontId="5" fillId="0" borderId="56" xfId="0" applyFont="1" applyBorder="1" applyAlignment="1">
      <alignment horizontal="left"/>
    </xf>
    <xf numFmtId="170" fontId="5" fillId="10" borderId="0" xfId="2" applyNumberFormat="1" applyFont="1" applyFill="1" applyBorder="1" applyAlignment="1">
      <alignment horizontal="center"/>
    </xf>
    <xf numFmtId="170" fontId="5" fillId="10" borderId="21" xfId="2" applyNumberFormat="1" applyFont="1" applyFill="1" applyBorder="1" applyAlignment="1">
      <alignment horizontal="center"/>
    </xf>
    <xf numFmtId="1" fontId="5" fillId="10" borderId="5" xfId="1" applyNumberFormat="1" applyFont="1" applyFill="1" applyBorder="1" applyAlignment="1" applyProtection="1">
      <alignment horizontal="center"/>
    </xf>
    <xf numFmtId="1" fontId="5" fillId="10" borderId="35" xfId="1" applyNumberFormat="1" applyFont="1" applyFill="1" applyBorder="1" applyAlignment="1" applyProtection="1">
      <alignment horizontal="center"/>
    </xf>
    <xf numFmtId="1" fontId="5" fillId="10" borderId="17" xfId="1" applyNumberFormat="1" applyFont="1" applyFill="1" applyBorder="1" applyAlignment="1" applyProtection="1">
      <alignment horizontal="center"/>
    </xf>
    <xf numFmtId="1" fontId="5" fillId="12" borderId="39" xfId="1" applyNumberFormat="1" applyFont="1" applyFill="1" applyBorder="1" applyAlignment="1" applyProtection="1">
      <alignment horizontal="center"/>
    </xf>
    <xf numFmtId="1" fontId="5" fillId="12" borderId="18" xfId="1" applyNumberFormat="1" applyFont="1" applyFill="1" applyBorder="1" applyAlignment="1" applyProtection="1">
      <alignment horizontal="center"/>
    </xf>
    <xf numFmtId="0" fontId="8" fillId="11" borderId="1" xfId="0" applyFont="1" applyFill="1" applyBorder="1" applyAlignment="1">
      <alignment horizontal="center"/>
    </xf>
    <xf numFmtId="0" fontId="8" fillId="11" borderId="21" xfId="0" applyFont="1" applyFill="1" applyBorder="1" applyAlignment="1">
      <alignment horizontal="center"/>
    </xf>
    <xf numFmtId="1" fontId="5" fillId="10" borderId="55" xfId="1" applyNumberFormat="1" applyFont="1" applyFill="1" applyBorder="1" applyAlignment="1" applyProtection="1">
      <alignment horizontal="center"/>
    </xf>
    <xf numFmtId="0" fontId="5" fillId="0" borderId="10" xfId="0" applyFont="1" applyBorder="1" applyAlignment="1">
      <alignment horizontal="right"/>
    </xf>
    <xf numFmtId="170" fontId="5" fillId="10" borderId="10" xfId="2" applyNumberFormat="1" applyFont="1" applyFill="1" applyBorder="1" applyAlignment="1" applyProtection="1">
      <alignment horizontal="center"/>
    </xf>
    <xf numFmtId="170" fontId="5" fillId="10" borderId="11" xfId="2" applyNumberFormat="1" applyFont="1" applyFill="1" applyBorder="1" applyAlignment="1" applyProtection="1">
      <alignment horizontal="center"/>
    </xf>
    <xf numFmtId="0" fontId="5" fillId="12" borderId="5" xfId="0" applyFont="1" applyFill="1" applyBorder="1" applyAlignment="1">
      <alignment horizontal="center" vertical="center"/>
    </xf>
    <xf numFmtId="170" fontId="5" fillId="10" borderId="2" xfId="2" applyNumberFormat="1" applyFont="1" applyFill="1" applyBorder="1" applyAlignment="1">
      <alignment horizontal="center"/>
    </xf>
    <xf numFmtId="170" fontId="5" fillId="10" borderId="12" xfId="2" applyNumberFormat="1" applyFont="1" applyFill="1" applyBorder="1" applyAlignment="1">
      <alignment horizontal="center"/>
    </xf>
    <xf numFmtId="9" fontId="5" fillId="10" borderId="35" xfId="4" applyFont="1" applyFill="1" applyBorder="1" applyAlignment="1">
      <alignment horizontal="center"/>
    </xf>
    <xf numFmtId="9" fontId="5" fillId="10" borderId="17" xfId="4" applyFont="1" applyFill="1" applyBorder="1" applyAlignment="1">
      <alignment horizontal="center"/>
    </xf>
    <xf numFmtId="9" fontId="5" fillId="10" borderId="56" xfId="4" applyFont="1" applyFill="1" applyBorder="1" applyAlignment="1" applyProtection="1">
      <alignment horizontal="center"/>
    </xf>
    <xf numFmtId="9" fontId="5" fillId="10" borderId="16" xfId="4" applyFont="1" applyFill="1" applyBorder="1" applyAlignment="1" applyProtection="1">
      <alignment horizontal="center"/>
    </xf>
    <xf numFmtId="9" fontId="5" fillId="10" borderId="39" xfId="4" applyFont="1" applyFill="1" applyBorder="1" applyAlignment="1" applyProtection="1">
      <alignment horizontal="center"/>
    </xf>
    <xf numFmtId="9" fontId="5" fillId="10" borderId="18" xfId="4" applyFont="1" applyFill="1" applyBorder="1" applyAlignment="1" applyProtection="1">
      <alignment horizontal="center"/>
    </xf>
    <xf numFmtId="44" fontId="5" fillId="0" borderId="39" xfId="0" applyNumberFormat="1" applyFont="1" applyBorder="1" applyAlignment="1">
      <alignment horizontal="center"/>
    </xf>
    <xf numFmtId="44" fontId="5" fillId="0" borderId="18" xfId="0" applyNumberFormat="1" applyFont="1" applyBorder="1" applyAlignment="1">
      <alignment horizontal="center"/>
    </xf>
    <xf numFmtId="170" fontId="5" fillId="10" borderId="10" xfId="2" applyNumberFormat="1" applyFont="1" applyFill="1" applyBorder="1" applyAlignment="1">
      <alignment horizontal="center"/>
    </xf>
    <xf numFmtId="170" fontId="5" fillId="10" borderId="11" xfId="2" applyNumberFormat="1" applyFont="1" applyFill="1" applyBorder="1" applyAlignment="1">
      <alignment horizontal="center"/>
    </xf>
    <xf numFmtId="44" fontId="5" fillId="16" borderId="61" xfId="2" applyFont="1" applyFill="1" applyBorder="1" applyAlignment="1" applyProtection="1">
      <alignment horizontal="center"/>
      <protection locked="0"/>
    </xf>
    <xf numFmtId="44" fontId="5" fillId="16" borderId="2" xfId="2" applyFont="1" applyFill="1" applyBorder="1" applyAlignment="1" applyProtection="1">
      <alignment horizontal="center"/>
      <protection locked="0"/>
    </xf>
    <xf numFmtId="170" fontId="3" fillId="10" borderId="2" xfId="2" applyNumberFormat="1" applyFont="1" applyFill="1" applyBorder="1" applyAlignment="1">
      <alignment horizontal="center"/>
    </xf>
    <xf numFmtId="170" fontId="3" fillId="10" borderId="12" xfId="2" applyNumberFormat="1" applyFont="1" applyFill="1" applyBorder="1" applyAlignment="1">
      <alignment horizontal="center"/>
    </xf>
    <xf numFmtId="44" fontId="5" fillId="12" borderId="56" xfId="2" applyFont="1" applyFill="1" applyBorder="1" applyAlignment="1" applyProtection="1">
      <alignment horizontal="center"/>
    </xf>
    <xf numFmtId="44" fontId="5" fillId="12" borderId="0" xfId="2" applyFont="1" applyFill="1" applyBorder="1" applyAlignment="1" applyProtection="1">
      <alignment horizontal="center"/>
    </xf>
    <xf numFmtId="170" fontId="3" fillId="10" borderId="0" xfId="2" applyNumberFormat="1" applyFont="1" applyFill="1" applyBorder="1" applyAlignment="1">
      <alignment horizontal="center"/>
    </xf>
    <xf numFmtId="170" fontId="3" fillId="10" borderId="21" xfId="2" applyNumberFormat="1" applyFont="1" applyFill="1" applyBorder="1" applyAlignment="1">
      <alignment horizontal="center"/>
    </xf>
    <xf numFmtId="44" fontId="5" fillId="12" borderId="39" xfId="2" applyFont="1" applyFill="1" applyBorder="1" applyAlignment="1" applyProtection="1">
      <alignment horizontal="center"/>
    </xf>
    <xf numFmtId="44" fontId="5" fillId="12" borderId="14" xfId="2" applyFont="1" applyFill="1" applyBorder="1" applyAlignment="1" applyProtection="1">
      <alignment horizontal="center"/>
    </xf>
    <xf numFmtId="1" fontId="5" fillId="0" borderId="14" xfId="1" applyNumberFormat="1" applyFont="1" applyBorder="1" applyAlignment="1">
      <alignment horizontal="center"/>
    </xf>
    <xf numFmtId="170" fontId="3" fillId="10" borderId="14" xfId="2" applyNumberFormat="1" applyFont="1" applyFill="1" applyBorder="1" applyAlignment="1">
      <alignment horizontal="center"/>
    </xf>
    <xf numFmtId="170" fontId="3" fillId="10" borderId="48" xfId="2" applyNumberFormat="1" applyFont="1" applyFill="1" applyBorder="1" applyAlignment="1">
      <alignment horizontal="center"/>
    </xf>
    <xf numFmtId="1" fontId="5" fillId="0" borderId="115" xfId="1" applyNumberFormat="1" applyFont="1" applyBorder="1" applyAlignment="1">
      <alignment horizontal="center"/>
    </xf>
    <xf numFmtId="1" fontId="5" fillId="0" borderId="112" xfId="1" applyNumberFormat="1" applyFont="1" applyBorder="1" applyAlignment="1">
      <alignment horizontal="center"/>
    </xf>
    <xf numFmtId="170" fontId="5" fillId="10" borderId="112" xfId="2" applyNumberFormat="1" applyFont="1" applyFill="1" applyBorder="1" applyAlignment="1">
      <alignment horizontal="center"/>
    </xf>
    <xf numFmtId="170" fontId="5" fillId="10" borderId="113" xfId="2" applyNumberFormat="1" applyFont="1" applyFill="1" applyBorder="1" applyAlignment="1">
      <alignment horizontal="center"/>
    </xf>
    <xf numFmtId="44" fontId="5" fillId="10" borderId="16" xfId="2" applyFont="1" applyFill="1" applyBorder="1" applyAlignment="1">
      <alignment horizontal="center" vertical="center"/>
    </xf>
    <xf numFmtId="1" fontId="5" fillId="10" borderId="107" xfId="1" applyNumberFormat="1" applyFont="1" applyFill="1" applyBorder="1" applyAlignment="1">
      <alignment horizontal="center" vertical="center"/>
    </xf>
    <xf numFmtId="1" fontId="5" fillId="10" borderId="67" xfId="1" applyNumberFormat="1" applyFont="1" applyFill="1" applyBorder="1" applyAlignment="1">
      <alignment horizontal="center" vertical="center"/>
    </xf>
    <xf numFmtId="1" fontId="5" fillId="10" borderId="56" xfId="1" applyNumberFormat="1" applyFont="1" applyFill="1" applyBorder="1" applyAlignment="1">
      <alignment horizontal="center" vertical="center"/>
    </xf>
    <xf numFmtId="1" fontId="5" fillId="10" borderId="16" xfId="1" applyNumberFormat="1" applyFont="1" applyFill="1" applyBorder="1" applyAlignment="1">
      <alignment horizontal="center" vertical="center"/>
    </xf>
    <xf numFmtId="1" fontId="5" fillId="10" borderId="39" xfId="1" applyNumberFormat="1" applyFont="1" applyFill="1" applyBorder="1" applyAlignment="1">
      <alignment horizontal="center" vertical="center"/>
    </xf>
    <xf numFmtId="1" fontId="5" fillId="10" borderId="18" xfId="1" applyNumberFormat="1" applyFont="1" applyFill="1" applyBorder="1" applyAlignment="1">
      <alignment horizontal="center" vertical="center"/>
    </xf>
    <xf numFmtId="170" fontId="3" fillId="10" borderId="10" xfId="2" applyNumberFormat="1" applyFont="1" applyFill="1" applyBorder="1" applyAlignment="1">
      <alignment horizontal="center"/>
    </xf>
    <xf numFmtId="170" fontId="3" fillId="10" borderId="11" xfId="2" applyNumberFormat="1" applyFont="1" applyFill="1" applyBorder="1" applyAlignment="1">
      <alignment horizontal="center"/>
    </xf>
    <xf numFmtId="170" fontId="5" fillId="12" borderId="52" xfId="2" applyNumberFormat="1" applyFont="1" applyFill="1" applyBorder="1" applyAlignment="1" applyProtection="1">
      <alignment horizontal="center"/>
    </xf>
    <xf numFmtId="1" fontId="5" fillId="0" borderId="45" xfId="1" applyNumberFormat="1" applyFont="1" applyBorder="1" applyAlignment="1">
      <alignment horizontal="center"/>
    </xf>
    <xf numFmtId="170" fontId="5" fillId="10" borderId="45" xfId="2" applyNumberFormat="1" applyFont="1" applyFill="1" applyBorder="1" applyAlignment="1">
      <alignment horizontal="center"/>
    </xf>
    <xf numFmtId="170" fontId="5" fillId="10" borderId="57" xfId="2" applyNumberFormat="1" applyFont="1" applyFill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9" fontId="5" fillId="12" borderId="60" xfId="4" applyFont="1" applyFill="1" applyBorder="1" applyAlignment="1" applyProtection="1">
      <alignment horizontal="center" vertical="center"/>
    </xf>
    <xf numFmtId="9" fontId="5" fillId="12" borderId="81" xfId="4" applyFont="1" applyFill="1" applyBorder="1" applyAlignment="1" applyProtection="1">
      <alignment horizontal="center" vertical="center"/>
    </xf>
    <xf numFmtId="170" fontId="5" fillId="10" borderId="24" xfId="0" applyNumberFormat="1" applyFont="1" applyFill="1" applyBorder="1" applyAlignment="1">
      <alignment horizontal="center"/>
    </xf>
    <xf numFmtId="170" fontId="5" fillId="10" borderId="27" xfId="0" applyNumberFormat="1" applyFont="1" applyFill="1" applyBorder="1" applyAlignment="1">
      <alignment horizontal="center"/>
    </xf>
    <xf numFmtId="170" fontId="5" fillId="10" borderId="45" xfId="0" applyNumberFormat="1" applyFont="1" applyFill="1" applyBorder="1" applyAlignment="1">
      <alignment horizontal="center"/>
    </xf>
    <xf numFmtId="170" fontId="5" fillId="10" borderId="57" xfId="0" applyNumberFormat="1" applyFont="1" applyFill="1" applyBorder="1" applyAlignment="1">
      <alignment horizontal="center"/>
    </xf>
    <xf numFmtId="1" fontId="5" fillId="0" borderId="74" xfId="1" applyNumberFormat="1" applyFont="1" applyBorder="1" applyAlignment="1">
      <alignment horizontal="center"/>
    </xf>
    <xf numFmtId="1" fontId="5" fillId="0" borderId="24" xfId="1" applyNumberFormat="1" applyFont="1" applyBorder="1" applyAlignment="1">
      <alignment horizontal="center"/>
    </xf>
    <xf numFmtId="1" fontId="5" fillId="0" borderId="56" xfId="1" applyNumberFormat="1" applyFont="1" applyBorder="1" applyAlignment="1">
      <alignment horizontal="center"/>
    </xf>
    <xf numFmtId="170" fontId="5" fillId="10" borderId="0" xfId="0" applyNumberFormat="1" applyFont="1" applyFill="1" applyAlignment="1">
      <alignment horizontal="center"/>
    </xf>
    <xf numFmtId="170" fontId="5" fillId="10" borderId="21" xfId="0" applyNumberFormat="1" applyFont="1" applyFill="1" applyBorder="1" applyAlignment="1">
      <alignment horizontal="center"/>
    </xf>
    <xf numFmtId="9" fontId="5" fillId="12" borderId="60" xfId="4" quotePrefix="1" applyFont="1" applyFill="1" applyBorder="1" applyAlignment="1" applyProtection="1">
      <alignment horizontal="center" vertical="center"/>
    </xf>
    <xf numFmtId="9" fontId="5" fillId="12" borderId="81" xfId="4" quotePrefix="1" applyFont="1" applyFill="1" applyBorder="1" applyAlignment="1" applyProtection="1">
      <alignment horizontal="center" vertical="center"/>
    </xf>
    <xf numFmtId="1" fontId="5" fillId="12" borderId="10" xfId="0" applyNumberFormat="1" applyFont="1" applyFill="1" applyBorder="1" applyAlignment="1">
      <alignment horizontal="center"/>
    </xf>
    <xf numFmtId="1" fontId="5" fillId="12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0" borderId="42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10" fontId="5" fillId="12" borderId="4" xfId="4" applyNumberFormat="1" applyFont="1" applyFill="1" applyBorder="1" applyAlignment="1" applyProtection="1">
      <alignment horizontal="center"/>
    </xf>
    <xf numFmtId="10" fontId="5" fillId="12" borderId="2" xfId="4" applyNumberFormat="1" applyFont="1" applyFill="1" applyBorder="1" applyAlignment="1" applyProtection="1">
      <alignment horizontal="center"/>
    </xf>
    <xf numFmtId="10" fontId="5" fillId="12" borderId="12" xfId="4" applyNumberFormat="1" applyFont="1" applyFill="1" applyBorder="1" applyAlignment="1" applyProtection="1">
      <alignment horizontal="center"/>
    </xf>
    <xf numFmtId="170" fontId="5" fillId="15" borderId="30" xfId="0" applyNumberFormat="1" applyFont="1" applyFill="1" applyBorder="1" applyAlignment="1" applyProtection="1">
      <alignment horizontal="center"/>
      <protection locked="0"/>
    </xf>
    <xf numFmtId="0" fontId="5" fillId="15" borderId="30" xfId="0" applyFont="1" applyFill="1" applyBorder="1" applyAlignment="1" applyProtection="1">
      <alignment horizontal="center"/>
      <protection locked="0"/>
    </xf>
    <xf numFmtId="43" fontId="5" fillId="0" borderId="4" xfId="0" applyNumberFormat="1" applyFont="1" applyBorder="1" applyAlignment="1">
      <alignment horizontal="left"/>
    </xf>
    <xf numFmtId="168" fontId="5" fillId="12" borderId="2" xfId="1" applyNumberFormat="1" applyFont="1" applyFill="1" applyBorder="1" applyAlignment="1" applyProtection="1">
      <alignment horizontal="center"/>
    </xf>
    <xf numFmtId="168" fontId="5" fillId="12" borderId="3" xfId="1" applyNumberFormat="1" applyFont="1" applyFill="1" applyBorder="1" applyAlignment="1" applyProtection="1">
      <alignment horizontal="center"/>
    </xf>
    <xf numFmtId="170" fontId="5" fillId="0" borderId="61" xfId="2" applyNumberFormat="1" applyFont="1" applyFill="1" applyBorder="1" applyAlignment="1" applyProtection="1">
      <alignment horizontal="center"/>
      <protection locked="0"/>
    </xf>
    <xf numFmtId="170" fontId="5" fillId="0" borderId="12" xfId="2" applyNumberFormat="1" applyFont="1" applyFill="1" applyBorder="1" applyAlignment="1" applyProtection="1">
      <alignment horizontal="center"/>
      <protection locked="0"/>
    </xf>
    <xf numFmtId="168" fontId="5" fillId="12" borderId="29" xfId="1" applyNumberFormat="1" applyFont="1" applyFill="1" applyBorder="1" applyAlignment="1" applyProtection="1">
      <alignment horizontal="center"/>
      <protection locked="0"/>
    </xf>
    <xf numFmtId="168" fontId="5" fillId="12" borderId="31" xfId="1" applyNumberFormat="1" applyFont="1" applyFill="1" applyBorder="1" applyAlignment="1" applyProtection="1">
      <alignment horizontal="center"/>
      <protection locked="0"/>
    </xf>
    <xf numFmtId="168" fontId="5" fillId="0" borderId="29" xfId="0" applyNumberFormat="1" applyFont="1" applyBorder="1" applyAlignment="1">
      <alignment horizontal="center"/>
    </xf>
    <xf numFmtId="168" fontId="5" fillId="0" borderId="30" xfId="0" applyNumberFormat="1" applyFont="1" applyBorder="1" applyAlignment="1">
      <alignment horizontal="center"/>
    </xf>
    <xf numFmtId="0" fontId="5" fillId="16" borderId="29" xfId="0" applyFont="1" applyFill="1" applyBorder="1"/>
    <xf numFmtId="0" fontId="5" fillId="16" borderId="31" xfId="0" applyFont="1" applyFill="1" applyBorder="1"/>
    <xf numFmtId="0" fontId="5" fillId="10" borderId="29" xfId="0" applyFont="1" applyFill="1" applyBorder="1" applyAlignment="1">
      <alignment horizontal="center"/>
    </xf>
    <xf numFmtId="0" fontId="5" fillId="10" borderId="31" xfId="0" applyFont="1" applyFill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168" fontId="5" fillId="12" borderId="0" xfId="1" applyNumberFormat="1" applyFont="1" applyFill="1" applyBorder="1" applyAlignment="1" applyProtection="1">
      <alignment horizontal="center"/>
    </xf>
    <xf numFmtId="168" fontId="5" fillId="12" borderId="16" xfId="1" applyNumberFormat="1" applyFont="1" applyFill="1" applyBorder="1" applyAlignment="1" applyProtection="1">
      <alignment horizontal="center"/>
    </xf>
    <xf numFmtId="170" fontId="5" fillId="0" borderId="0" xfId="2" applyNumberFormat="1" applyFont="1" applyFill="1" applyBorder="1" applyAlignment="1" applyProtection="1">
      <alignment horizontal="center"/>
      <protection locked="0"/>
    </xf>
    <xf numFmtId="170" fontId="5" fillId="0" borderId="21" xfId="2" applyNumberFormat="1" applyFont="1" applyFill="1" applyBorder="1" applyAlignment="1" applyProtection="1">
      <alignment horizontal="center"/>
      <protection locked="0"/>
    </xf>
    <xf numFmtId="43" fontId="5" fillId="0" borderId="1" xfId="0" applyNumberFormat="1" applyFont="1" applyBorder="1" applyAlignment="1">
      <alignment horizontal="left"/>
    </xf>
    <xf numFmtId="168" fontId="11" fillId="12" borderId="56" xfId="1" applyNumberFormat="1" applyFont="1" applyFill="1" applyBorder="1" applyAlignment="1" applyProtection="1">
      <alignment horizontal="center"/>
    </xf>
    <xf numFmtId="168" fontId="11" fillId="12" borderId="16" xfId="1" applyNumberFormat="1" applyFont="1" applyFill="1" applyBorder="1" applyAlignment="1" applyProtection="1">
      <alignment horizontal="center"/>
    </xf>
    <xf numFmtId="168" fontId="11" fillId="12" borderId="0" xfId="1" applyNumberFormat="1" applyFont="1" applyFill="1" applyBorder="1" applyAlignment="1" applyProtection="1">
      <alignment horizontal="center"/>
    </xf>
    <xf numFmtId="164" fontId="5" fillId="0" borderId="1" xfId="0" applyNumberFormat="1" applyFont="1" applyBorder="1" applyAlignment="1">
      <alignment horizontal="left"/>
    </xf>
    <xf numFmtId="170" fontId="5" fillId="0" borderId="56" xfId="2" applyNumberFormat="1" applyFont="1" applyFill="1" applyBorder="1" applyAlignment="1" applyProtection="1">
      <alignment horizontal="center"/>
      <protection locked="0"/>
    </xf>
    <xf numFmtId="0" fontId="11" fillId="0" borderId="9" xfId="0" applyFont="1" applyBorder="1" applyAlignment="1">
      <alignment horizontal="left"/>
    </xf>
    <xf numFmtId="168" fontId="11" fillId="12" borderId="10" xfId="1" applyNumberFormat="1" applyFont="1" applyFill="1" applyBorder="1" applyAlignment="1" applyProtection="1">
      <alignment horizontal="center"/>
    </xf>
    <xf numFmtId="168" fontId="5" fillId="12" borderId="67" xfId="1" applyNumberFormat="1" applyFont="1" applyFill="1" applyBorder="1" applyAlignment="1" applyProtection="1">
      <alignment horizontal="center"/>
    </xf>
    <xf numFmtId="170" fontId="5" fillId="0" borderId="10" xfId="2" applyNumberFormat="1" applyFont="1" applyFill="1" applyBorder="1" applyAlignment="1" applyProtection="1">
      <alignment horizontal="center"/>
      <protection locked="0"/>
    </xf>
    <xf numFmtId="170" fontId="5" fillId="0" borderId="11" xfId="2" applyNumberFormat="1" applyFont="1" applyFill="1" applyBorder="1" applyAlignment="1" applyProtection="1">
      <alignment horizontal="center"/>
      <protection locked="0"/>
    </xf>
    <xf numFmtId="0" fontId="5" fillId="11" borderId="10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 wrapText="1"/>
    </xf>
    <xf numFmtId="0" fontId="5" fillId="11" borderId="11" xfId="0" applyFont="1" applyFill="1" applyBorder="1" applyAlignment="1">
      <alignment horizontal="center" wrapText="1"/>
    </xf>
    <xf numFmtId="0" fontId="5" fillId="11" borderId="21" xfId="0" applyFont="1" applyFill="1" applyBorder="1" applyAlignment="1">
      <alignment horizontal="center" wrapText="1"/>
    </xf>
    <xf numFmtId="0" fontId="5" fillId="11" borderId="60" xfId="0" applyFont="1" applyFill="1" applyBorder="1" applyAlignment="1">
      <alignment horizontal="center" wrapText="1"/>
    </xf>
    <xf numFmtId="0" fontId="8" fillId="11" borderId="83" xfId="0" applyFont="1" applyFill="1" applyBorder="1" applyAlignment="1">
      <alignment horizontal="center" wrapText="1"/>
    </xf>
    <xf numFmtId="0" fontId="8" fillId="11" borderId="60" xfId="0" applyFont="1" applyFill="1" applyBorder="1" applyAlignment="1">
      <alignment horizontal="center" wrapText="1"/>
    </xf>
    <xf numFmtId="0" fontId="5" fillId="11" borderId="107" xfId="0" applyFont="1" applyFill="1" applyBorder="1" applyAlignment="1">
      <alignment horizontal="center" wrapText="1"/>
    </xf>
    <xf numFmtId="0" fontId="5" fillId="11" borderId="56" xfId="0" applyFont="1" applyFill="1" applyBorder="1" applyAlignment="1">
      <alignment horizontal="center" wrapText="1"/>
    </xf>
    <xf numFmtId="0" fontId="5" fillId="11" borderId="9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11" borderId="16" xfId="0" applyFont="1" applyFill="1" applyBorder="1" applyAlignment="1">
      <alignment horizontal="center" wrapText="1"/>
    </xf>
    <xf numFmtId="164" fontId="5" fillId="11" borderId="107" xfId="0" applyNumberFormat="1" applyFont="1" applyFill="1" applyBorder="1" applyAlignment="1">
      <alignment horizontal="center" wrapText="1"/>
    </xf>
    <xf numFmtId="164" fontId="5" fillId="11" borderId="67" xfId="0" applyNumberFormat="1" applyFont="1" applyFill="1" applyBorder="1" applyAlignment="1">
      <alignment horizontal="center" wrapText="1"/>
    </xf>
    <xf numFmtId="164" fontId="5" fillId="11" borderId="56" xfId="0" applyNumberFormat="1" applyFont="1" applyFill="1" applyBorder="1" applyAlignment="1">
      <alignment horizontal="center" wrapText="1"/>
    </xf>
    <xf numFmtId="164" fontId="5" fillId="11" borderId="16" xfId="0" applyNumberFormat="1" applyFont="1" applyFill="1" applyBorder="1" applyAlignment="1">
      <alignment horizontal="center" wrapText="1"/>
    </xf>
    <xf numFmtId="14" fontId="5" fillId="12" borderId="9" xfId="0" applyNumberFormat="1" applyFont="1" applyFill="1" applyBorder="1" applyAlignment="1" applyProtection="1">
      <alignment horizontal="center"/>
      <protection locked="0"/>
    </xf>
    <xf numFmtId="14" fontId="5" fillId="12" borderId="11" xfId="0" applyNumberFormat="1" applyFont="1" applyFill="1" applyBorder="1" applyAlignment="1" applyProtection="1">
      <alignment horizontal="center"/>
      <protection locked="0"/>
    </xf>
    <xf numFmtId="14" fontId="5" fillId="12" borderId="41" xfId="0" applyNumberFormat="1" applyFont="1" applyFill="1" applyBorder="1" applyAlignment="1" applyProtection="1">
      <alignment horizontal="center"/>
      <protection locked="0"/>
    </xf>
    <xf numFmtId="14" fontId="5" fillId="12" borderId="4" xfId="0" applyNumberFormat="1" applyFont="1" applyFill="1" applyBorder="1" applyAlignment="1" applyProtection="1">
      <alignment horizontal="center"/>
      <protection locked="0"/>
    </xf>
    <xf numFmtId="14" fontId="5" fillId="12" borderId="12" xfId="0" applyNumberFormat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>
      <alignment horizontal="left"/>
    </xf>
    <xf numFmtId="14" fontId="5" fillId="12" borderId="55" xfId="0" applyNumberFormat="1" applyFont="1" applyFill="1" applyBorder="1" applyAlignment="1" applyProtection="1">
      <alignment horizontal="center"/>
      <protection locked="0"/>
    </xf>
    <xf numFmtId="0" fontId="0" fillId="12" borderId="16" xfId="0" applyFill="1" applyBorder="1"/>
    <xf numFmtId="9" fontId="5" fillId="10" borderId="107" xfId="4" applyFont="1" applyFill="1" applyBorder="1" applyAlignment="1">
      <alignment horizontal="center"/>
    </xf>
    <xf numFmtId="9" fontId="5" fillId="10" borderId="67" xfId="4" applyFont="1" applyFill="1" applyBorder="1" applyAlignment="1">
      <alignment horizontal="center"/>
    </xf>
    <xf numFmtId="170" fontId="5" fillId="10" borderId="56" xfId="2" applyNumberFormat="1" applyFont="1" applyFill="1" applyBorder="1" applyAlignment="1">
      <alignment horizontal="center"/>
    </xf>
    <xf numFmtId="170" fontId="5" fillId="10" borderId="107" xfId="2" applyNumberFormat="1" applyFont="1" applyFill="1" applyBorder="1" applyAlignment="1">
      <alignment horizontal="center"/>
    </xf>
    <xf numFmtId="0" fontId="5" fillId="12" borderId="111" xfId="0" applyFont="1" applyFill="1" applyBorder="1" applyAlignment="1" applyProtection="1">
      <alignment horizontal="left"/>
      <protection locked="0"/>
    </xf>
    <xf numFmtId="0" fontId="5" fillId="12" borderId="37" xfId="0" applyFont="1" applyFill="1" applyBorder="1" applyAlignment="1" applyProtection="1">
      <alignment horizontal="left"/>
      <protection locked="0"/>
    </xf>
    <xf numFmtId="0" fontId="5" fillId="12" borderId="38" xfId="0" applyFont="1" applyFill="1" applyBorder="1" applyAlignment="1" applyProtection="1">
      <alignment horizontal="left"/>
      <protection locked="0"/>
    </xf>
    <xf numFmtId="0" fontId="5" fillId="0" borderId="45" xfId="0" applyFont="1" applyBorder="1" applyAlignment="1">
      <alignment horizontal="center" wrapText="1"/>
    </xf>
    <xf numFmtId="0" fontId="8" fillId="12" borderId="9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/>
    </xf>
    <xf numFmtId="0" fontId="8" fillId="0" borderId="30" xfId="0" applyFont="1" applyBorder="1" applyAlignment="1">
      <alignment horizontal="right"/>
    </xf>
    <xf numFmtId="15" fontId="8" fillId="0" borderId="10" xfId="0" applyNumberFormat="1" applyFont="1" applyBorder="1" applyAlignment="1">
      <alignment horizontal="center"/>
    </xf>
    <xf numFmtId="15" fontId="8" fillId="0" borderId="11" xfId="0" applyNumberFormat="1" applyFont="1" applyBorder="1" applyAlignment="1">
      <alignment horizontal="center"/>
    </xf>
    <xf numFmtId="14" fontId="5" fillId="12" borderId="36" xfId="0" applyNumberFormat="1" applyFont="1" applyFill="1" applyBorder="1" applyAlignment="1" applyProtection="1">
      <alignment horizontal="center"/>
      <protection locked="0"/>
    </xf>
    <xf numFmtId="14" fontId="5" fillId="12" borderId="38" xfId="0" applyNumberFormat="1" applyFont="1" applyFill="1" applyBorder="1" applyAlignment="1" applyProtection="1">
      <alignment horizontal="center"/>
      <protection locked="0"/>
    </xf>
    <xf numFmtId="14" fontId="5" fillId="12" borderId="32" xfId="0" applyNumberFormat="1" applyFont="1" applyFill="1" applyBorder="1" applyAlignment="1" applyProtection="1">
      <alignment horizontal="center"/>
      <protection locked="0"/>
    </xf>
    <xf numFmtId="14" fontId="5" fillId="12" borderId="34" xfId="0" applyNumberFormat="1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>
      <alignment horizontal="center" wrapText="1"/>
    </xf>
    <xf numFmtId="170" fontId="5" fillId="10" borderId="32" xfId="2" applyNumberFormat="1" applyFont="1" applyFill="1" applyBorder="1" applyAlignment="1">
      <alignment horizontal="center"/>
    </xf>
    <xf numFmtId="170" fontId="5" fillId="10" borderId="95" xfId="2" applyNumberFormat="1" applyFont="1" applyFill="1" applyBorder="1" applyAlignment="1">
      <alignment horizontal="center"/>
    </xf>
    <xf numFmtId="170" fontId="5" fillId="10" borderId="39" xfId="2" applyNumberFormat="1" applyFont="1" applyFill="1" applyBorder="1" applyAlignment="1">
      <alignment horizontal="center"/>
    </xf>
    <xf numFmtId="170" fontId="5" fillId="10" borderId="48" xfId="2" applyNumberFormat="1" applyFont="1" applyFill="1" applyBorder="1" applyAlignment="1">
      <alignment horizontal="center"/>
    </xf>
    <xf numFmtId="41" fontId="5" fillId="0" borderId="1" xfId="0" applyNumberFormat="1" applyFont="1" applyBorder="1" applyAlignment="1" applyProtection="1">
      <alignment horizontal="left"/>
      <protection locked="0"/>
    </xf>
    <xf numFmtId="0" fontId="8" fillId="12" borderId="67" xfId="0" applyFont="1" applyFill="1" applyBorder="1" applyAlignment="1">
      <alignment horizontal="center"/>
    </xf>
    <xf numFmtId="0" fontId="8" fillId="12" borderId="56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12" borderId="16" xfId="0" applyFont="1" applyFill="1" applyBorder="1" applyAlignment="1">
      <alignment horizontal="center"/>
    </xf>
    <xf numFmtId="0" fontId="5" fillId="12" borderId="53" xfId="0" applyFont="1" applyFill="1" applyBorder="1" applyAlignment="1">
      <alignment horizontal="center" wrapText="1"/>
    </xf>
    <xf numFmtId="0" fontId="5" fillId="12" borderId="45" xfId="0" applyFont="1" applyFill="1" applyBorder="1" applyAlignment="1">
      <alignment horizontal="center" wrapText="1"/>
    </xf>
    <xf numFmtId="0" fontId="8" fillId="12" borderId="54" xfId="0" applyFont="1" applyFill="1" applyBorder="1" applyAlignment="1">
      <alignment horizontal="center" wrapText="1"/>
    </xf>
    <xf numFmtId="0" fontId="8" fillId="12" borderId="89" xfId="0" applyFont="1" applyFill="1" applyBorder="1" applyAlignment="1">
      <alignment horizontal="center" wrapText="1"/>
    </xf>
    <xf numFmtId="43" fontId="5" fillId="0" borderId="1" xfId="0" applyNumberFormat="1" applyFont="1" applyBorder="1" applyAlignment="1" applyProtection="1">
      <alignment horizontal="left"/>
      <protection locked="0"/>
    </xf>
    <xf numFmtId="1" fontId="5" fillId="10" borderId="35" xfId="0" applyNumberFormat="1" applyFont="1" applyFill="1" applyBorder="1" applyAlignment="1">
      <alignment horizontal="right" vertical="center"/>
    </xf>
    <xf numFmtId="0" fontId="5" fillId="10" borderId="17" xfId="0" applyFont="1" applyFill="1" applyBorder="1" applyAlignment="1">
      <alignment horizontal="right" vertical="center"/>
    </xf>
    <xf numFmtId="0" fontId="5" fillId="10" borderId="56" xfId="0" applyFont="1" applyFill="1" applyBorder="1" applyAlignment="1">
      <alignment horizontal="right" vertical="center"/>
    </xf>
    <xf numFmtId="0" fontId="5" fillId="10" borderId="16" xfId="0" applyFont="1" applyFill="1" applyBorder="1" applyAlignment="1">
      <alignment horizontal="right" vertical="center"/>
    </xf>
    <xf numFmtId="0" fontId="5" fillId="10" borderId="39" xfId="0" applyFont="1" applyFill="1" applyBorder="1" applyAlignment="1">
      <alignment horizontal="right" vertical="center"/>
    </xf>
    <xf numFmtId="0" fontId="5" fillId="10" borderId="18" xfId="0" applyFont="1" applyFill="1" applyBorder="1" applyAlignment="1">
      <alignment horizontal="right" vertical="center"/>
    </xf>
    <xf numFmtId="170" fontId="5" fillId="10" borderId="88" xfId="2" applyNumberFormat="1" applyFont="1" applyFill="1" applyBorder="1" applyAlignment="1">
      <alignment horizontal="center"/>
    </xf>
    <xf numFmtId="170" fontId="5" fillId="10" borderId="109" xfId="2" applyNumberFormat="1" applyFont="1" applyFill="1" applyBorder="1" applyAlignment="1">
      <alignment horizontal="center"/>
    </xf>
    <xf numFmtId="9" fontId="5" fillId="10" borderId="56" xfId="4" applyFont="1" applyFill="1" applyBorder="1" applyAlignment="1" applyProtection="1">
      <alignment horizontal="center"/>
      <protection locked="0"/>
    </xf>
    <xf numFmtId="9" fontId="5" fillId="10" borderId="16" xfId="4" applyFont="1" applyFill="1" applyBorder="1" applyAlignment="1" applyProtection="1">
      <alignment horizontal="center"/>
      <protection locked="0"/>
    </xf>
    <xf numFmtId="9" fontId="5" fillId="10" borderId="39" xfId="4" applyFont="1" applyFill="1" applyBorder="1" applyAlignment="1" applyProtection="1">
      <alignment horizontal="center"/>
      <protection locked="0"/>
    </xf>
    <xf numFmtId="9" fontId="5" fillId="10" borderId="18" xfId="4" applyFont="1" applyFill="1" applyBorder="1" applyAlignment="1" applyProtection="1">
      <alignment horizontal="center"/>
      <protection locked="0"/>
    </xf>
    <xf numFmtId="9" fontId="5" fillId="12" borderId="25" xfId="4" applyFont="1" applyFill="1" applyBorder="1" applyAlignment="1">
      <alignment horizontal="center"/>
    </xf>
    <xf numFmtId="44" fontId="5" fillId="0" borderId="14" xfId="0" applyNumberFormat="1" applyFont="1" applyBorder="1" applyAlignment="1">
      <alignment horizontal="center"/>
    </xf>
    <xf numFmtId="0" fontId="5" fillId="0" borderId="16" xfId="0" applyFont="1" applyBorder="1" applyAlignment="1" applyProtection="1">
      <alignment horizontal="center"/>
      <protection locked="0"/>
    </xf>
    <xf numFmtId="170" fontId="5" fillId="10" borderId="32" xfId="2" applyNumberFormat="1" applyFont="1" applyFill="1" applyBorder="1" applyAlignment="1" applyProtection="1">
      <alignment horizontal="center"/>
    </xf>
    <xf numFmtId="170" fontId="5" fillId="10" borderId="95" xfId="2" applyNumberFormat="1" applyFont="1" applyFill="1" applyBorder="1" applyAlignment="1" applyProtection="1">
      <alignment horizontal="center"/>
    </xf>
    <xf numFmtId="0" fontId="25" fillId="0" borderId="1" xfId="0" applyFont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16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70" fontId="5" fillId="10" borderId="88" xfId="2" applyNumberFormat="1" applyFont="1" applyFill="1" applyBorder="1" applyAlignment="1" applyProtection="1">
      <alignment horizontal="center"/>
    </xf>
    <xf numFmtId="170" fontId="5" fillId="10" borderId="109" xfId="2" applyNumberFormat="1" applyFont="1" applyFill="1" applyBorder="1" applyAlignment="1" applyProtection="1">
      <alignment horizontal="center"/>
    </xf>
    <xf numFmtId="170" fontId="5" fillId="10" borderId="39" xfId="2" applyNumberFormat="1" applyFont="1" applyFill="1" applyBorder="1" applyAlignment="1" applyProtection="1">
      <alignment horizontal="center"/>
    </xf>
    <xf numFmtId="170" fontId="5" fillId="10" borderId="48" xfId="2" applyNumberFormat="1" applyFont="1" applyFill="1" applyBorder="1" applyAlignment="1" applyProtection="1">
      <alignment horizontal="center"/>
    </xf>
    <xf numFmtId="170" fontId="5" fillId="10" borderId="39" xfId="0" applyNumberFormat="1" applyFont="1" applyFill="1" applyBorder="1" applyAlignment="1">
      <alignment horizontal="center"/>
    </xf>
    <xf numFmtId="170" fontId="5" fillId="10" borderId="48" xfId="0" applyNumberFormat="1" applyFont="1" applyFill="1" applyBorder="1" applyAlignment="1">
      <alignment horizontal="center"/>
    </xf>
    <xf numFmtId="170" fontId="5" fillId="10" borderId="32" xfId="0" applyNumberFormat="1" applyFont="1" applyFill="1" applyBorder="1" applyAlignment="1">
      <alignment horizontal="center"/>
    </xf>
    <xf numFmtId="170" fontId="5" fillId="10" borderId="95" xfId="0" applyNumberFormat="1" applyFont="1" applyFill="1" applyBorder="1" applyAlignment="1">
      <alignment horizontal="center"/>
    </xf>
    <xf numFmtId="168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70" fontId="5" fillId="2" borderId="0" xfId="0" applyNumberFormat="1" applyFont="1" applyFill="1" applyAlignment="1">
      <alignment horizontal="center"/>
    </xf>
    <xf numFmtId="0" fontId="5" fillId="11" borderId="97" xfId="0" applyFont="1" applyFill="1" applyBorder="1" applyAlignment="1">
      <alignment horizontal="left"/>
    </xf>
    <xf numFmtId="0" fontId="5" fillId="11" borderId="55" xfId="0" applyFont="1" applyFill="1" applyBorder="1" applyAlignment="1">
      <alignment horizontal="left"/>
    </xf>
    <xf numFmtId="0" fontId="5" fillId="11" borderId="98" xfId="0" applyFont="1" applyFill="1" applyBorder="1" applyAlignment="1">
      <alignment horizontal="left"/>
    </xf>
    <xf numFmtId="0" fontId="5" fillId="11" borderId="22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left"/>
    </xf>
    <xf numFmtId="0" fontId="5" fillId="11" borderId="46" xfId="0" applyFont="1" applyFill="1" applyBorder="1" applyAlignment="1">
      <alignment horizontal="left"/>
    </xf>
    <xf numFmtId="0" fontId="5" fillId="11" borderId="99" xfId="0" applyFont="1" applyFill="1" applyBorder="1" applyAlignment="1">
      <alignment horizontal="left"/>
    </xf>
    <xf numFmtId="0" fontId="5" fillId="11" borderId="41" xfId="0" applyFont="1" applyFill="1" applyBorder="1" applyAlignment="1">
      <alignment horizontal="left"/>
    </xf>
    <xf numFmtId="0" fontId="5" fillId="11" borderId="93" xfId="0" applyFont="1" applyFill="1" applyBorder="1" applyAlignment="1">
      <alignment horizontal="left"/>
    </xf>
    <xf numFmtId="0" fontId="5" fillId="12" borderId="94" xfId="0" applyFont="1" applyFill="1" applyBorder="1" applyAlignment="1" applyProtection="1">
      <alignment horizontal="left"/>
      <protection locked="0"/>
    </xf>
    <xf numFmtId="0" fontId="5" fillId="12" borderId="33" xfId="0" applyFont="1" applyFill="1" applyBorder="1" applyAlignment="1" applyProtection="1">
      <alignment horizontal="left"/>
      <protection locked="0"/>
    </xf>
    <xf numFmtId="0" fontId="5" fillId="12" borderId="34" xfId="0" applyFont="1" applyFill="1" applyBorder="1" applyAlignment="1" applyProtection="1">
      <alignment horizontal="left"/>
      <protection locked="0"/>
    </xf>
    <xf numFmtId="43" fontId="5" fillId="2" borderId="4" xfId="2" applyNumberFormat="1" applyFont="1" applyFill="1" applyBorder="1" applyAlignment="1" applyProtection="1">
      <alignment horizontal="center"/>
      <protection locked="0"/>
    </xf>
    <xf numFmtId="9" fontId="5" fillId="12" borderId="60" xfId="4" applyFont="1" applyFill="1" applyBorder="1" applyAlignment="1" applyProtection="1">
      <alignment horizontal="center" vertical="center"/>
      <protection locked="0"/>
    </xf>
    <xf numFmtId="9" fontId="5" fillId="12" borderId="81" xfId="4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168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12" borderId="59" xfId="4" applyFont="1" applyFill="1" applyBorder="1" applyAlignment="1" applyProtection="1">
      <alignment horizontal="center" vertical="center"/>
      <protection locked="0"/>
    </xf>
    <xf numFmtId="9" fontId="5" fillId="12" borderId="26" xfId="4" applyFont="1" applyFill="1" applyBorder="1" applyAlignment="1" applyProtection="1">
      <alignment horizontal="center" vertical="center"/>
      <protection locked="0"/>
    </xf>
    <xf numFmtId="168" fontId="5" fillId="0" borderId="61" xfId="1" applyNumberFormat="1" applyFont="1" applyBorder="1" applyAlignment="1">
      <alignment horizontal="center"/>
    </xf>
    <xf numFmtId="44" fontId="5" fillId="15" borderId="30" xfId="2" applyFont="1" applyFill="1" applyBorder="1" applyAlignment="1">
      <alignment horizontal="center"/>
    </xf>
    <xf numFmtId="0" fontId="8" fillId="15" borderId="30" xfId="0" applyFont="1" applyFill="1" applyBorder="1" applyAlignment="1">
      <alignment horizontal="right"/>
    </xf>
    <xf numFmtId="0" fontId="5" fillId="0" borderId="24" xfId="0" applyFont="1" applyBorder="1" applyAlignment="1" applyProtection="1">
      <alignment horizontal="right"/>
      <protection locked="0"/>
    </xf>
    <xf numFmtId="0" fontId="5" fillId="0" borderId="15" xfId="0" applyFont="1" applyBorder="1" applyAlignment="1" applyProtection="1">
      <alignment horizontal="right"/>
      <protection locked="0"/>
    </xf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44" fontId="5" fillId="0" borderId="61" xfId="1" applyNumberFormat="1" applyFont="1" applyBorder="1" applyAlignment="1">
      <alignment horizontal="center"/>
    </xf>
    <xf numFmtId="44" fontId="5" fillId="0" borderId="2" xfId="1" applyNumberFormat="1" applyFont="1" applyBorder="1" applyAlignment="1">
      <alignment horizontal="center"/>
    </xf>
    <xf numFmtId="0" fontId="5" fillId="0" borderId="0" xfId="0" applyFont="1" applyAlignment="1" applyProtection="1">
      <alignment horizontal="right"/>
      <protection locked="0"/>
    </xf>
    <xf numFmtId="0" fontId="5" fillId="0" borderId="16" xfId="0" applyFont="1" applyBorder="1" applyAlignment="1" applyProtection="1">
      <alignment horizontal="right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5" fillId="0" borderId="67" xfId="0" applyFont="1" applyBorder="1" applyAlignment="1" applyProtection="1">
      <alignment horizontal="center"/>
      <protection locked="0"/>
    </xf>
    <xf numFmtId="44" fontId="5" fillId="10" borderId="39" xfId="2" applyFont="1" applyFill="1" applyBorder="1" applyAlignment="1" applyProtection="1">
      <alignment horizontal="center"/>
      <protection locked="0"/>
    </xf>
    <xf numFmtId="44" fontId="5" fillId="10" borderId="14" xfId="2" applyFont="1" applyFill="1" applyBorder="1" applyAlignment="1" applyProtection="1">
      <alignment horizontal="center"/>
      <protection locked="0"/>
    </xf>
    <xf numFmtId="170" fontId="5" fillId="10" borderId="14" xfId="2" applyNumberFormat="1" applyFont="1" applyFill="1" applyBorder="1" applyAlignment="1">
      <alignment horizontal="center"/>
    </xf>
    <xf numFmtId="44" fontId="5" fillId="10" borderId="0" xfId="2" applyFont="1" applyFill="1" applyBorder="1" applyAlignment="1" applyProtection="1">
      <alignment horizontal="center"/>
      <protection locked="0"/>
    </xf>
    <xf numFmtId="44" fontId="5" fillId="0" borderId="115" xfId="1" applyNumberFormat="1" applyFont="1" applyBorder="1" applyAlignment="1">
      <alignment horizontal="center"/>
    </xf>
    <xf numFmtId="44" fontId="5" fillId="0" borderId="112" xfId="1" applyNumberFormat="1" applyFont="1" applyBorder="1" applyAlignment="1">
      <alignment horizontal="center"/>
    </xf>
    <xf numFmtId="44" fontId="5" fillId="10" borderId="10" xfId="2" applyFont="1" applyFill="1" applyBorder="1" applyAlignment="1" applyProtection="1">
      <alignment horizontal="center"/>
      <protection locked="0"/>
    </xf>
    <xf numFmtId="168" fontId="5" fillId="0" borderId="37" xfId="0" applyNumberFormat="1" applyFont="1" applyBorder="1" applyAlignment="1">
      <alignment horizontal="center"/>
    </xf>
    <xf numFmtId="0" fontId="5" fillId="11" borderId="45" xfId="0" applyFont="1" applyFill="1" applyBorder="1" applyAlignment="1">
      <alignment horizontal="center" wrapText="1"/>
    </xf>
    <xf numFmtId="0" fontId="5" fillId="11" borderId="57" xfId="0" applyFont="1" applyFill="1" applyBorder="1" applyAlignment="1">
      <alignment horizontal="center" wrapText="1"/>
    </xf>
    <xf numFmtId="0" fontId="5" fillId="11" borderId="53" xfId="0" applyFont="1" applyFill="1" applyBorder="1" applyAlignment="1">
      <alignment horizontal="center" wrapText="1"/>
    </xf>
    <xf numFmtId="0" fontId="8" fillId="11" borderId="81" xfId="0" applyFont="1" applyFill="1" applyBorder="1" applyAlignment="1">
      <alignment horizontal="center" wrapText="1"/>
    </xf>
    <xf numFmtId="0" fontId="8" fillId="11" borderId="16" xfId="0" applyFont="1" applyFill="1" applyBorder="1" applyAlignment="1">
      <alignment horizontal="center"/>
    </xf>
    <xf numFmtId="0" fontId="8" fillId="11" borderId="56" xfId="0" applyFont="1" applyFill="1" applyBorder="1" applyAlignment="1">
      <alignment horizontal="center"/>
    </xf>
    <xf numFmtId="0" fontId="32" fillId="11" borderId="9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32" fillId="11" borderId="53" xfId="0" applyFont="1" applyFill="1" applyBorder="1" applyAlignment="1">
      <alignment horizontal="center" vertical="center"/>
    </xf>
    <xf numFmtId="0" fontId="32" fillId="11" borderId="45" xfId="0" applyFont="1" applyFill="1" applyBorder="1" applyAlignment="1">
      <alignment horizontal="center" vertical="center"/>
    </xf>
    <xf numFmtId="15" fontId="8" fillId="15" borderId="10" xfId="0" applyNumberFormat="1" applyFont="1" applyFill="1" applyBorder="1" applyAlignment="1">
      <alignment horizontal="center"/>
    </xf>
    <xf numFmtId="15" fontId="8" fillId="15" borderId="11" xfId="0" applyNumberFormat="1" applyFont="1" applyFill="1" applyBorder="1" applyAlignment="1">
      <alignment horizontal="center"/>
    </xf>
    <xf numFmtId="14" fontId="5" fillId="12" borderId="56" xfId="0" applyNumberFormat="1" applyFont="1" applyFill="1" applyBorder="1" applyAlignment="1" applyProtection="1">
      <alignment horizontal="center"/>
      <protection locked="0"/>
    </xf>
    <xf numFmtId="14" fontId="5" fillId="12" borderId="0" xfId="0" applyNumberFormat="1" applyFont="1" applyFill="1" applyAlignment="1" applyProtection="1">
      <alignment horizontal="center"/>
      <protection locked="0"/>
    </xf>
    <xf numFmtId="14" fontId="5" fillId="12" borderId="61" xfId="0" applyNumberFormat="1" applyFont="1" applyFill="1" applyBorder="1" applyAlignment="1" applyProtection="1">
      <alignment horizontal="center"/>
      <protection locked="0"/>
    </xf>
    <xf numFmtId="14" fontId="5" fillId="12" borderId="2" xfId="0" applyNumberFormat="1" applyFont="1" applyFill="1" applyBorder="1" applyAlignment="1" applyProtection="1">
      <alignment horizontal="center"/>
      <protection locked="0"/>
    </xf>
    <xf numFmtId="0" fontId="5" fillId="0" borderId="53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11" borderId="29" xfId="0" applyFont="1" applyFill="1" applyBorder="1" applyAlignment="1">
      <alignment horizontal="center" wrapText="1"/>
    </xf>
    <xf numFmtId="0" fontId="5" fillId="11" borderId="30" xfId="0" applyFont="1" applyFill="1" applyBorder="1" applyAlignment="1">
      <alignment horizontal="center" wrapText="1"/>
    </xf>
    <xf numFmtId="44" fontId="5" fillId="2" borderId="14" xfId="2" applyFont="1" applyFill="1" applyBorder="1" applyAlignment="1" applyProtection="1">
      <alignment horizontal="center"/>
    </xf>
    <xf numFmtId="9" fontId="5" fillId="10" borderId="60" xfId="4" applyFont="1" applyFill="1" applyBorder="1" applyAlignment="1" applyProtection="1">
      <alignment horizontal="center" vertical="center"/>
      <protection locked="0"/>
    </xf>
    <xf numFmtId="9" fontId="5" fillId="10" borderId="81" xfId="4" applyFont="1" applyFill="1" applyBorder="1" applyAlignment="1" applyProtection="1">
      <alignment horizontal="center" vertical="center"/>
      <protection locked="0"/>
    </xf>
    <xf numFmtId="0" fontId="8" fillId="15" borderId="30" xfId="0" applyFont="1" applyFill="1" applyBorder="1" applyAlignment="1">
      <alignment horizontal="center"/>
    </xf>
    <xf numFmtId="0" fontId="8" fillId="15" borderId="31" xfId="0" applyFont="1" applyFill="1" applyBorder="1" applyAlignment="1">
      <alignment horizontal="center"/>
    </xf>
    <xf numFmtId="0" fontId="5" fillId="10" borderId="97" xfId="0" applyFont="1" applyFill="1" applyBorder="1" applyAlignment="1" applyProtection="1">
      <alignment horizontal="left"/>
      <protection locked="0"/>
    </xf>
    <xf numFmtId="0" fontId="5" fillId="10" borderId="55" xfId="0" applyFont="1" applyFill="1" applyBorder="1" applyAlignment="1" applyProtection="1">
      <alignment horizontal="left"/>
      <protection locked="0"/>
    </xf>
    <xf numFmtId="0" fontId="5" fillId="10" borderId="36" xfId="0" applyFont="1" applyFill="1" applyBorder="1" applyAlignment="1" applyProtection="1">
      <alignment horizontal="left"/>
      <protection locked="0"/>
    </xf>
    <xf numFmtId="14" fontId="5" fillId="10" borderId="97" xfId="0" applyNumberFormat="1" applyFont="1" applyFill="1" applyBorder="1" applyAlignment="1" applyProtection="1">
      <alignment horizontal="center"/>
      <protection locked="0"/>
    </xf>
    <xf numFmtId="14" fontId="5" fillId="10" borderId="98" xfId="0" applyNumberFormat="1" applyFont="1" applyFill="1" applyBorder="1" applyAlignment="1" applyProtection="1">
      <alignment horizontal="center"/>
      <protection locked="0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0" borderId="99" xfId="0" applyFont="1" applyFill="1" applyBorder="1" applyAlignment="1" applyProtection="1">
      <alignment horizontal="left"/>
      <protection locked="0"/>
    </xf>
    <xf numFmtId="0" fontId="5" fillId="10" borderId="41" xfId="0" applyFont="1" applyFill="1" applyBorder="1" applyAlignment="1" applyProtection="1">
      <alignment horizontal="left"/>
      <protection locked="0"/>
    </xf>
    <xf numFmtId="0" fontId="5" fillId="10" borderId="88" xfId="0" applyFont="1" applyFill="1" applyBorder="1" applyAlignment="1" applyProtection="1">
      <alignment horizontal="left"/>
      <protection locked="0"/>
    </xf>
    <xf numFmtId="14" fontId="5" fillId="10" borderId="99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43" fontId="5" fillId="0" borderId="71" xfId="0" applyNumberFormat="1" applyFont="1" applyBorder="1" applyAlignment="1" applyProtection="1">
      <alignment horizontal="left"/>
      <protection locked="0"/>
    </xf>
    <xf numFmtId="0" fontId="5" fillId="0" borderId="25" xfId="0" applyFont="1" applyBorder="1" applyAlignment="1" applyProtection="1">
      <alignment horizontal="left"/>
      <protection locked="0"/>
    </xf>
    <xf numFmtId="43" fontId="5" fillId="0" borderId="9" xfId="0" applyNumberFormat="1" applyFont="1" applyBorder="1" applyAlignment="1" applyProtection="1">
      <alignment horizontal="left"/>
      <protection locked="0"/>
    </xf>
    <xf numFmtId="0" fontId="8" fillId="11" borderId="16" xfId="0" applyFont="1" applyFill="1" applyBorder="1" applyAlignment="1">
      <alignment horizontal="center" wrapText="1"/>
    </xf>
    <xf numFmtId="0" fontId="5" fillId="10" borderId="97" xfId="0" applyFont="1" applyFill="1" applyBorder="1" applyAlignment="1">
      <alignment horizontal="left"/>
    </xf>
    <xf numFmtId="0" fontId="5" fillId="10" borderId="55" xfId="0" applyFont="1" applyFill="1" applyBorder="1" applyAlignment="1">
      <alignment horizontal="left"/>
    </xf>
    <xf numFmtId="0" fontId="5" fillId="10" borderId="98" xfId="0" applyFont="1" applyFill="1" applyBorder="1" applyAlignment="1">
      <alignment horizontal="left"/>
    </xf>
    <xf numFmtId="0" fontId="5" fillId="10" borderId="22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/>
    </xf>
    <xf numFmtId="0" fontId="5" fillId="10" borderId="46" xfId="0" applyFont="1" applyFill="1" applyBorder="1" applyAlignment="1">
      <alignment horizontal="left"/>
    </xf>
    <xf numFmtId="0" fontId="5" fillId="10" borderId="99" xfId="0" applyFont="1" applyFill="1" applyBorder="1" applyAlignment="1">
      <alignment horizontal="left"/>
    </xf>
    <xf numFmtId="0" fontId="5" fillId="10" borderId="41" xfId="0" applyFont="1" applyFill="1" applyBorder="1" applyAlignment="1">
      <alignment horizontal="left"/>
    </xf>
    <xf numFmtId="0" fontId="5" fillId="10" borderId="93" xfId="0" applyFont="1" applyFill="1" applyBorder="1" applyAlignment="1">
      <alignment horizontal="left"/>
    </xf>
    <xf numFmtId="0" fontId="5" fillId="10" borderId="22" xfId="0" applyFont="1" applyFill="1" applyBorder="1" applyAlignment="1" applyProtection="1">
      <alignment horizontal="left"/>
      <protection locked="0"/>
    </xf>
    <xf numFmtId="0" fontId="5" fillId="10" borderId="5" xfId="0" applyFont="1" applyFill="1" applyBorder="1" applyAlignment="1" applyProtection="1">
      <alignment horizontal="left"/>
      <protection locked="0"/>
    </xf>
    <xf numFmtId="0" fontId="5" fillId="10" borderId="32" xfId="0" applyFont="1" applyFill="1" applyBorder="1" applyAlignment="1" applyProtection="1">
      <alignment horizontal="left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0" xfId="0" applyFont="1" applyFill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9" fontId="5" fillId="10" borderId="60" xfId="4" quotePrefix="1" applyFont="1" applyFill="1" applyBorder="1" applyAlignment="1" applyProtection="1">
      <alignment horizontal="center" vertical="center"/>
      <protection locked="0"/>
    </xf>
    <xf numFmtId="9" fontId="5" fillId="10" borderId="81" xfId="4" quotePrefix="1" applyFont="1" applyFill="1" applyBorder="1" applyAlignment="1" applyProtection="1">
      <alignment horizontal="center" vertical="center"/>
      <protection locked="0"/>
    </xf>
    <xf numFmtId="44" fontId="5" fillId="10" borderId="0" xfId="2" applyFont="1" applyFill="1" applyBorder="1" applyAlignment="1">
      <alignment horizontal="center"/>
    </xf>
    <xf numFmtId="170" fontId="5" fillId="0" borderId="45" xfId="2" applyNumberFormat="1" applyFont="1" applyBorder="1" applyAlignment="1">
      <alignment horizontal="center"/>
    </xf>
    <xf numFmtId="44" fontId="5" fillId="10" borderId="103" xfId="2" applyFont="1" applyFill="1" applyBorder="1" applyAlignment="1" applyProtection="1">
      <alignment horizontal="center"/>
      <protection locked="0"/>
    </xf>
    <xf numFmtId="10" fontId="5" fillId="10" borderId="4" xfId="4" applyNumberFormat="1" applyFont="1" applyFill="1" applyBorder="1" applyAlignment="1" applyProtection="1">
      <alignment horizontal="center"/>
      <protection locked="0"/>
    </xf>
    <xf numFmtId="10" fontId="5" fillId="10" borderId="2" xfId="4" applyNumberFormat="1" applyFont="1" applyFill="1" applyBorder="1" applyAlignment="1" applyProtection="1">
      <alignment horizontal="center"/>
      <protection locked="0"/>
    </xf>
    <xf numFmtId="10" fontId="5" fillId="10" borderId="12" xfId="4" applyNumberFormat="1" applyFont="1" applyFill="1" applyBorder="1" applyAlignment="1" applyProtection="1">
      <alignment horizontal="center"/>
      <protection locked="0"/>
    </xf>
    <xf numFmtId="44" fontId="5" fillId="10" borderId="45" xfId="2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44" fontId="5" fillId="10" borderId="2" xfId="2" applyFont="1" applyFill="1" applyBorder="1" applyAlignment="1">
      <alignment horizontal="center"/>
    </xf>
    <xf numFmtId="44" fontId="5" fillId="12" borderId="80" xfId="2" applyFont="1" applyFill="1" applyBorder="1" applyAlignment="1" applyProtection="1">
      <alignment horizontal="center"/>
      <protection locked="0"/>
    </xf>
    <xf numFmtId="44" fontId="5" fillId="12" borderId="45" xfId="2" applyFont="1" applyFill="1" applyBorder="1" applyAlignment="1" applyProtection="1">
      <alignment horizontal="center"/>
      <protection locked="0"/>
    </xf>
    <xf numFmtId="44" fontId="5" fillId="10" borderId="10" xfId="2" applyFont="1" applyFill="1" applyBorder="1" applyAlignment="1">
      <alignment horizontal="center"/>
    </xf>
    <xf numFmtId="9" fontId="5" fillId="10" borderId="59" xfId="4" applyFont="1" applyFill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left"/>
      <protection locked="0"/>
    </xf>
    <xf numFmtId="0" fontId="5" fillId="0" borderId="14" xfId="0" applyFont="1" applyBorder="1" applyAlignment="1" applyProtection="1">
      <alignment horizontal="left"/>
      <protection locked="0"/>
    </xf>
    <xf numFmtId="14" fontId="5" fillId="11" borderId="56" xfId="0" applyNumberFormat="1" applyFont="1" applyFill="1" applyBorder="1" applyAlignment="1" applyProtection="1">
      <alignment horizontal="center"/>
      <protection locked="0"/>
    </xf>
    <xf numFmtId="14" fontId="5" fillId="11" borderId="0" xfId="0" applyNumberFormat="1" applyFont="1" applyFill="1" applyAlignment="1" applyProtection="1">
      <alignment horizontal="center"/>
      <protection locked="0"/>
    </xf>
    <xf numFmtId="9" fontId="5" fillId="10" borderId="4" xfId="4" applyFont="1" applyFill="1" applyBorder="1" applyAlignment="1" applyProtection="1">
      <alignment horizontal="center"/>
      <protection locked="0"/>
    </xf>
    <xf numFmtId="9" fontId="5" fillId="10" borderId="2" xfId="4" applyFont="1" applyFill="1" applyBorder="1" applyAlignment="1" applyProtection="1">
      <alignment horizontal="center"/>
      <protection locked="0"/>
    </xf>
    <xf numFmtId="9" fontId="5" fillId="10" borderId="12" xfId="4" applyFont="1" applyFill="1" applyBorder="1" applyAlignment="1" applyProtection="1">
      <alignment horizontal="center"/>
      <protection locked="0"/>
    </xf>
    <xf numFmtId="170" fontId="5" fillId="10" borderId="52" xfId="2" applyNumberFormat="1" applyFont="1" applyFill="1" applyBorder="1" applyAlignment="1" applyProtection="1">
      <alignment horizontal="center"/>
      <protection locked="0"/>
    </xf>
    <xf numFmtId="44" fontId="5" fillId="12" borderId="45" xfId="2" applyFont="1" applyFill="1" applyBorder="1" applyAlignment="1">
      <alignment horizontal="center"/>
    </xf>
    <xf numFmtId="44" fontId="5" fillId="12" borderId="57" xfId="2" applyFont="1" applyFill="1" applyBorder="1" applyAlignment="1">
      <alignment horizontal="center"/>
    </xf>
    <xf numFmtId="44" fontId="5" fillId="12" borderId="61" xfId="2" applyFont="1" applyFill="1" applyBorder="1" applyAlignment="1" applyProtection="1">
      <alignment horizontal="center"/>
      <protection locked="0"/>
    </xf>
    <xf numFmtId="44" fontId="5" fillId="12" borderId="2" xfId="2" applyFont="1" applyFill="1" applyBorder="1" applyAlignment="1" applyProtection="1">
      <alignment horizontal="center"/>
      <protection locked="0"/>
    </xf>
    <xf numFmtId="44" fontId="5" fillId="12" borderId="2" xfId="2" applyFont="1" applyFill="1" applyBorder="1" applyAlignment="1">
      <alignment horizontal="center"/>
    </xf>
    <xf numFmtId="44" fontId="5" fillId="12" borderId="12" xfId="2" applyFont="1" applyFill="1" applyBorder="1" applyAlignment="1">
      <alignment horizontal="center"/>
    </xf>
    <xf numFmtId="44" fontId="5" fillId="12" borderId="0" xfId="2" applyFont="1" applyFill="1" applyBorder="1" applyAlignment="1">
      <alignment horizontal="center"/>
    </xf>
    <xf numFmtId="44" fontId="5" fillId="12" borderId="21" xfId="2" applyFont="1" applyFill="1" applyBorder="1" applyAlignment="1">
      <alignment horizontal="center"/>
    </xf>
    <xf numFmtId="44" fontId="5" fillId="12" borderId="10" xfId="2" applyFont="1" applyFill="1" applyBorder="1" applyAlignment="1">
      <alignment horizontal="center"/>
    </xf>
    <xf numFmtId="44" fontId="5" fillId="12" borderId="11" xfId="2" applyFont="1" applyFill="1" applyBorder="1" applyAlignment="1">
      <alignment horizontal="center"/>
    </xf>
    <xf numFmtId="0" fontId="8" fillId="11" borderId="50" xfId="0" applyFont="1" applyFill="1" applyBorder="1" applyAlignment="1">
      <alignment horizontal="center" wrapText="1"/>
    </xf>
    <xf numFmtId="14" fontId="5" fillId="10" borderId="56" xfId="0" applyNumberFormat="1" applyFont="1" applyFill="1" applyBorder="1" applyAlignment="1" applyProtection="1">
      <alignment horizontal="center"/>
      <protection locked="0"/>
    </xf>
    <xf numFmtId="14" fontId="5" fillId="10" borderId="0" xfId="0" applyNumberFormat="1" applyFont="1" applyFill="1" applyAlignment="1" applyProtection="1">
      <alignment horizontal="center"/>
      <protection locked="0"/>
    </xf>
    <xf numFmtId="44" fontId="5" fillId="12" borderId="14" xfId="2" applyFont="1" applyFill="1" applyBorder="1" applyAlignment="1">
      <alignment horizontal="center"/>
    </xf>
    <xf numFmtId="44" fontId="5" fillId="12" borderId="48" xfId="2" applyFont="1" applyFill="1" applyBorder="1" applyAlignment="1">
      <alignment horizontal="center"/>
    </xf>
    <xf numFmtId="0" fontId="5" fillId="0" borderId="94" xfId="0" applyFont="1" applyBorder="1" applyAlignment="1" applyProtection="1">
      <alignment horizontal="left"/>
      <protection locked="0"/>
    </xf>
    <xf numFmtId="0" fontId="5" fillId="0" borderId="34" xfId="0" applyFont="1" applyBorder="1" applyAlignment="1" applyProtection="1">
      <alignment horizontal="left"/>
      <protection locked="0"/>
    </xf>
    <xf numFmtId="0" fontId="5" fillId="11" borderId="42" xfId="0" applyFont="1" applyFill="1" applyBorder="1" applyAlignment="1">
      <alignment horizontal="left"/>
    </xf>
    <xf numFmtId="0" fontId="5" fillId="11" borderId="43" xfId="0" applyFont="1" applyFill="1" applyBorder="1" applyAlignment="1">
      <alignment horizontal="left"/>
    </xf>
    <xf numFmtId="0" fontId="5" fillId="11" borderId="44" xfId="0" applyFont="1" applyFill="1" applyBorder="1" applyAlignment="1">
      <alignment horizontal="left"/>
    </xf>
    <xf numFmtId="0" fontId="5" fillId="0" borderId="96" xfId="0" applyFont="1" applyBorder="1" applyAlignment="1" applyProtection="1">
      <alignment horizontal="left"/>
      <protection locked="0"/>
    </xf>
    <xf numFmtId="0" fontId="5" fillId="0" borderId="100" xfId="0" applyFont="1" applyBorder="1" applyAlignment="1" applyProtection="1">
      <alignment horizontal="left"/>
      <protection locked="0"/>
    </xf>
    <xf numFmtId="168" fontId="5" fillId="10" borderId="35" xfId="1" applyNumberFormat="1" applyFont="1" applyFill="1" applyBorder="1" applyAlignment="1">
      <alignment horizontal="right" vertical="center"/>
    </xf>
    <xf numFmtId="168" fontId="5" fillId="10" borderId="17" xfId="1" applyNumberFormat="1" applyFont="1" applyFill="1" applyBorder="1" applyAlignment="1">
      <alignment horizontal="right" vertical="center"/>
    </xf>
    <xf numFmtId="168" fontId="5" fillId="10" borderId="56" xfId="1" applyNumberFormat="1" applyFont="1" applyFill="1" applyBorder="1" applyAlignment="1">
      <alignment horizontal="right" vertical="center"/>
    </xf>
    <xf numFmtId="168" fontId="5" fillId="10" borderId="16" xfId="1" applyNumberFormat="1" applyFont="1" applyFill="1" applyBorder="1" applyAlignment="1">
      <alignment horizontal="right" vertical="center"/>
    </xf>
    <xf numFmtId="168" fontId="5" fillId="10" borderId="39" xfId="1" applyNumberFormat="1" applyFont="1" applyFill="1" applyBorder="1" applyAlignment="1">
      <alignment horizontal="right" vertical="center"/>
    </xf>
    <xf numFmtId="168" fontId="5" fillId="10" borderId="18" xfId="1" applyNumberFormat="1" applyFont="1" applyFill="1" applyBorder="1" applyAlignment="1">
      <alignment horizontal="right" vertical="center"/>
    </xf>
    <xf numFmtId="0" fontId="8" fillId="11" borderId="30" xfId="0" applyFont="1" applyFill="1" applyBorder="1" applyAlignment="1">
      <alignment horizontal="left"/>
    </xf>
    <xf numFmtId="0" fontId="8" fillId="11" borderId="31" xfId="0" applyFont="1" applyFill="1" applyBorder="1" applyAlignment="1">
      <alignment horizontal="left"/>
    </xf>
    <xf numFmtId="170" fontId="5" fillId="10" borderId="32" xfId="2" applyNumberFormat="1" applyFont="1" applyFill="1" applyBorder="1" applyAlignment="1" applyProtection="1">
      <alignment horizontal="center"/>
      <protection locked="0"/>
    </xf>
    <xf numFmtId="170" fontId="5" fillId="10" borderId="34" xfId="2" applyNumberFormat="1" applyFont="1" applyFill="1" applyBorder="1" applyAlignment="1" applyProtection="1">
      <alignment horizontal="center"/>
      <protection locked="0"/>
    </xf>
    <xf numFmtId="0" fontId="5" fillId="0" borderId="45" xfId="0" applyFont="1" applyBorder="1" applyAlignment="1">
      <alignment horizontal="right"/>
    </xf>
    <xf numFmtId="9" fontId="5" fillId="10" borderId="49" xfId="4" applyFont="1" applyFill="1" applyBorder="1" applyAlignment="1" applyProtection="1">
      <alignment horizontal="center"/>
      <protection locked="0"/>
    </xf>
    <xf numFmtId="9" fontId="5" fillId="10" borderId="81" xfId="4" applyFont="1" applyFill="1" applyBorder="1" applyAlignment="1" applyProtection="1">
      <alignment horizontal="center"/>
      <protection locked="0"/>
    </xf>
    <xf numFmtId="0" fontId="5" fillId="11" borderId="12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5" fillId="11" borderId="61" xfId="0" applyFont="1" applyFill="1" applyBorder="1" applyAlignment="1">
      <alignment horizontal="center" wrapText="1"/>
    </xf>
    <xf numFmtId="0" fontId="5" fillId="11" borderId="42" xfId="0" applyFont="1" applyFill="1" applyBorder="1" applyAlignment="1">
      <alignment horizontal="left" wrapText="1"/>
    </xf>
    <xf numFmtId="0" fontId="5" fillId="11" borderId="43" xfId="0" applyFont="1" applyFill="1" applyBorder="1" applyAlignment="1">
      <alignment horizontal="left" wrapText="1"/>
    </xf>
    <xf numFmtId="0" fontId="5" fillId="11" borderId="107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8" fillId="11" borderId="54" xfId="0" applyFont="1" applyFill="1" applyBorder="1" applyAlignment="1">
      <alignment horizontal="center" wrapText="1"/>
    </xf>
    <xf numFmtId="0" fontId="8" fillId="11" borderId="68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horizontal="center" wrapText="1"/>
    </xf>
    <xf numFmtId="0" fontId="5" fillId="0" borderId="111" xfId="0" applyFont="1" applyBorder="1" applyAlignment="1" applyProtection="1">
      <alignment horizontal="left"/>
      <protection locked="0"/>
    </xf>
    <xf numFmtId="0" fontId="5" fillId="0" borderId="38" xfId="0" applyFont="1" applyBorder="1" applyAlignment="1" applyProtection="1">
      <alignment horizontal="left"/>
      <protection locked="0"/>
    </xf>
    <xf numFmtId="0" fontId="5" fillId="11" borderId="1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5" fillId="11" borderId="67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170" fontId="5" fillId="2" borderId="0" xfId="2" applyNumberFormat="1" applyFont="1" applyFill="1" applyBorder="1" applyAlignment="1" applyProtection="1">
      <alignment horizontal="center"/>
    </xf>
    <xf numFmtId="170" fontId="5" fillId="10" borderId="2" xfId="2" applyNumberFormat="1" applyFont="1" applyFill="1" applyBorder="1" applyAlignment="1" applyProtection="1">
      <alignment horizontal="center"/>
      <protection locked="0"/>
    </xf>
    <xf numFmtId="9" fontId="5" fillId="6" borderId="35" xfId="4" applyFont="1" applyFill="1" applyBorder="1" applyAlignment="1">
      <alignment horizontal="center"/>
    </xf>
    <xf numFmtId="9" fontId="5" fillId="6" borderId="17" xfId="4" applyFont="1" applyFill="1" applyBorder="1" applyAlignment="1">
      <alignment horizontal="center"/>
    </xf>
    <xf numFmtId="9" fontId="5" fillId="3" borderId="56" xfId="4" applyFont="1" applyFill="1" applyBorder="1" applyAlignment="1">
      <alignment horizontal="center"/>
    </xf>
    <xf numFmtId="9" fontId="5" fillId="3" borderId="16" xfId="4" applyFont="1" applyFill="1" applyBorder="1" applyAlignment="1">
      <alignment horizontal="center"/>
    </xf>
    <xf numFmtId="9" fontId="5" fillId="3" borderId="39" xfId="4" applyFont="1" applyFill="1" applyBorder="1" applyAlignment="1">
      <alignment horizontal="center"/>
    </xf>
    <xf numFmtId="9" fontId="5" fillId="3" borderId="18" xfId="4" applyFont="1" applyFill="1" applyBorder="1" applyAlignment="1">
      <alignment horizontal="center"/>
    </xf>
    <xf numFmtId="44" fontId="5" fillId="10" borderId="11" xfId="2" applyFont="1" applyFill="1" applyBorder="1" applyAlignment="1">
      <alignment horizontal="center"/>
    </xf>
    <xf numFmtId="168" fontId="5" fillId="2" borderId="4" xfId="2" applyNumberFormat="1" applyFont="1" applyFill="1" applyBorder="1" applyAlignment="1" applyProtection="1">
      <alignment horizontal="center"/>
      <protection locked="0"/>
    </xf>
    <xf numFmtId="168" fontId="5" fillId="2" borderId="12" xfId="2" applyNumberFormat="1" applyFont="1" applyFill="1" applyBorder="1" applyAlignment="1" applyProtection="1">
      <alignment horizontal="center"/>
      <protection locked="0"/>
    </xf>
    <xf numFmtId="0" fontId="5" fillId="12" borderId="22" xfId="0" applyFont="1" applyFill="1" applyBorder="1" applyAlignment="1" applyProtection="1">
      <alignment horizontal="center"/>
      <protection locked="0"/>
    </xf>
    <xf numFmtId="0" fontId="5" fillId="12" borderId="5" xfId="0" applyFont="1" applyFill="1" applyBorder="1" applyAlignment="1" applyProtection="1">
      <alignment horizontal="center"/>
      <protection locked="0"/>
    </xf>
    <xf numFmtId="0" fontId="5" fillId="12" borderId="46" xfId="0" applyFont="1" applyFill="1" applyBorder="1" applyAlignment="1" applyProtection="1">
      <alignment horizontal="center"/>
      <protection locked="0"/>
    </xf>
    <xf numFmtId="0" fontId="5" fillId="12" borderId="97" xfId="0" applyFont="1" applyFill="1" applyBorder="1" applyAlignment="1" applyProtection="1">
      <alignment horizontal="center"/>
      <protection locked="0"/>
    </xf>
    <xf numFmtId="0" fontId="5" fillId="12" borderId="55" xfId="0" applyFont="1" applyFill="1" applyBorder="1" applyAlignment="1" applyProtection="1">
      <alignment horizontal="center"/>
      <protection locked="0"/>
    </xf>
    <xf numFmtId="0" fontId="5" fillId="12" borderId="98" xfId="0" applyFont="1" applyFill="1" applyBorder="1" applyAlignment="1" applyProtection="1">
      <alignment horizontal="center"/>
      <protection locked="0"/>
    </xf>
    <xf numFmtId="0" fontId="8" fillId="15" borderId="29" xfId="0" applyFont="1" applyFill="1" applyBorder="1" applyAlignment="1">
      <alignment horizontal="right"/>
    </xf>
    <xf numFmtId="0" fontId="5" fillId="12" borderId="99" xfId="0" applyFont="1" applyFill="1" applyBorder="1" applyAlignment="1" applyProtection="1">
      <alignment horizontal="center"/>
      <protection locked="0"/>
    </xf>
    <xf numFmtId="0" fontId="5" fillId="12" borderId="41" xfId="0" applyFont="1" applyFill="1" applyBorder="1" applyAlignment="1" applyProtection="1">
      <alignment horizontal="center"/>
      <protection locked="0"/>
    </xf>
    <xf numFmtId="0" fontId="5" fillId="12" borderId="93" xfId="0" applyFont="1" applyFill="1" applyBorder="1" applyAlignment="1" applyProtection="1">
      <alignment horizontal="center"/>
      <protection locked="0"/>
    </xf>
    <xf numFmtId="44" fontId="5" fillId="10" borderId="21" xfId="2" applyFont="1" applyFill="1" applyBorder="1" applyAlignment="1">
      <alignment horizontal="center"/>
    </xf>
    <xf numFmtId="44" fontId="5" fillId="10" borderId="14" xfId="2" applyFont="1" applyFill="1" applyBorder="1" applyAlignment="1">
      <alignment horizontal="center"/>
    </xf>
    <xf numFmtId="44" fontId="5" fillId="10" borderId="48" xfId="2" applyFont="1" applyFill="1" applyBorder="1" applyAlignment="1">
      <alignment horizontal="center"/>
    </xf>
    <xf numFmtId="9" fontId="5" fillId="6" borderId="107" xfId="4" applyFont="1" applyFill="1" applyBorder="1" applyAlignment="1">
      <alignment horizontal="center"/>
    </xf>
    <xf numFmtId="9" fontId="5" fillId="6" borderId="67" xfId="4" applyFont="1" applyFill="1" applyBorder="1" applyAlignment="1">
      <alignment horizontal="center"/>
    </xf>
    <xf numFmtId="44" fontId="5" fillId="10" borderId="12" xfId="2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8" fontId="11" fillId="12" borderId="39" xfId="1" applyNumberFormat="1" applyFont="1" applyFill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168" fontId="11" fillId="12" borderId="56" xfId="1" applyNumberFormat="1" applyFont="1" applyFill="1" applyBorder="1" applyAlignment="1" applyProtection="1">
      <alignment horizontal="center"/>
      <protection locked="0"/>
    </xf>
    <xf numFmtId="0" fontId="5" fillId="0" borderId="71" xfId="0" applyFont="1" applyBorder="1" applyAlignment="1" applyProtection="1">
      <alignment horizontal="left"/>
      <protection locked="0"/>
    </xf>
    <xf numFmtId="14" fontId="5" fillId="10" borderId="96" xfId="0" applyNumberFormat="1" applyFont="1" applyFill="1" applyBorder="1" applyAlignment="1">
      <alignment horizontal="center"/>
    </xf>
    <xf numFmtId="14" fontId="5" fillId="10" borderId="109" xfId="0" applyNumberFormat="1" applyFont="1" applyFill="1" applyBorder="1" applyAlignment="1">
      <alignment horizontal="center"/>
    </xf>
    <xf numFmtId="0" fontId="5" fillId="0" borderId="18" xfId="0" applyFont="1" applyBorder="1" applyAlignment="1" applyProtection="1">
      <alignment horizontal="left"/>
      <protection locked="0"/>
    </xf>
    <xf numFmtId="1" fontId="5" fillId="0" borderId="0" xfId="0" applyNumberFormat="1" applyFont="1" applyAlignment="1">
      <alignment horizontal="center"/>
    </xf>
    <xf numFmtId="0" fontId="5" fillId="0" borderId="15" xfId="0" applyFont="1" applyBorder="1" applyAlignment="1" applyProtection="1">
      <alignment horizontal="left"/>
      <protection locked="0"/>
    </xf>
    <xf numFmtId="1" fontId="5" fillId="0" borderId="80" xfId="1" applyNumberFormat="1" applyFont="1" applyBorder="1" applyAlignment="1">
      <alignment horizontal="center"/>
    </xf>
    <xf numFmtId="0" fontId="5" fillId="0" borderId="17" xfId="0" applyFont="1" applyBorder="1" applyAlignment="1" applyProtection="1">
      <alignment horizontal="left"/>
      <protection locked="0"/>
    </xf>
    <xf numFmtId="168" fontId="5" fillId="10" borderId="0" xfId="1" applyNumberFormat="1" applyFont="1" applyFill="1" applyAlignment="1">
      <alignment horizontal="center"/>
    </xf>
    <xf numFmtId="44" fontId="5" fillId="10" borderId="60" xfId="2" applyFont="1" applyFill="1" applyBorder="1" applyAlignment="1">
      <alignment horizontal="center" vertical="center"/>
    </xf>
    <xf numFmtId="44" fontId="5" fillId="10" borderId="51" xfId="2" applyFont="1" applyFill="1" applyBorder="1" applyAlignment="1">
      <alignment horizontal="center" vertical="center"/>
    </xf>
    <xf numFmtId="168" fontId="5" fillId="10" borderId="56" xfId="1" applyNumberFormat="1" applyFont="1" applyFill="1" applyBorder="1" applyAlignment="1">
      <alignment horizontal="center" vertical="center"/>
    </xf>
    <xf numFmtId="168" fontId="5" fillId="10" borderId="16" xfId="1" applyNumberFormat="1" applyFont="1" applyFill="1" applyBorder="1" applyAlignment="1">
      <alignment horizontal="center" vertical="center"/>
    </xf>
    <xf numFmtId="168" fontId="5" fillId="10" borderId="39" xfId="1" applyNumberFormat="1" applyFont="1" applyFill="1" applyBorder="1" applyAlignment="1">
      <alignment horizontal="center" vertical="center"/>
    </xf>
    <xf numFmtId="168" fontId="5" fillId="10" borderId="18" xfId="1" applyNumberFormat="1" applyFont="1" applyFill="1" applyBorder="1" applyAlignment="1">
      <alignment horizontal="center" vertical="center"/>
    </xf>
    <xf numFmtId="168" fontId="5" fillId="10" borderId="32" xfId="1" applyNumberFormat="1" applyFont="1" applyFill="1" applyBorder="1" applyAlignment="1">
      <alignment horizontal="center"/>
    </xf>
    <xf numFmtId="168" fontId="5" fillId="10" borderId="34" xfId="1" applyNumberFormat="1" applyFont="1" applyFill="1" applyBorder="1" applyAlignment="1">
      <alignment horizontal="center"/>
    </xf>
    <xf numFmtId="168" fontId="5" fillId="10" borderId="35" xfId="1" applyNumberFormat="1" applyFont="1" applyFill="1" applyBorder="1" applyAlignment="1">
      <alignment horizontal="center"/>
    </xf>
    <xf numFmtId="168" fontId="5" fillId="10" borderId="17" xfId="1" applyNumberFormat="1" applyFont="1" applyFill="1" applyBorder="1" applyAlignment="1">
      <alignment horizontal="center"/>
    </xf>
    <xf numFmtId="170" fontId="5" fillId="12" borderId="56" xfId="2" applyNumberFormat="1" applyFont="1" applyFill="1" applyBorder="1" applyAlignment="1">
      <alignment horizontal="center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170" fontId="13" fillId="15" borderId="30" xfId="0" applyNumberFormat="1" applyFont="1" applyFill="1" applyBorder="1" applyAlignment="1">
      <alignment horizontal="center"/>
    </xf>
    <xf numFmtId="170" fontId="5" fillId="12" borderId="14" xfId="2" applyNumberFormat="1" applyFont="1" applyFill="1" applyBorder="1" applyAlignment="1">
      <alignment horizontal="center"/>
    </xf>
    <xf numFmtId="170" fontId="5" fillId="12" borderId="48" xfId="2" applyNumberFormat="1" applyFont="1" applyFill="1" applyBorder="1" applyAlignment="1">
      <alignment horizontal="center"/>
    </xf>
    <xf numFmtId="170" fontId="5" fillId="12" borderId="2" xfId="0" applyNumberFormat="1" applyFont="1" applyFill="1" applyBorder="1" applyAlignment="1">
      <alignment horizontal="center"/>
    </xf>
    <xf numFmtId="170" fontId="5" fillId="12" borderId="12" xfId="0" applyNumberFormat="1" applyFont="1" applyFill="1" applyBorder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9" fontId="5" fillId="10" borderId="5" xfId="4" applyFont="1" applyFill="1" applyBorder="1" applyAlignment="1" applyProtection="1">
      <alignment horizontal="center"/>
      <protection locked="0"/>
    </xf>
    <xf numFmtId="9" fontId="5" fillId="10" borderId="41" xfId="4" applyFont="1" applyFill="1" applyBorder="1" applyAlignment="1" applyProtection="1">
      <alignment horizontal="center"/>
      <protection locked="0"/>
    </xf>
    <xf numFmtId="170" fontId="5" fillId="10" borderId="5" xfId="2" applyNumberFormat="1" applyFont="1" applyFill="1" applyBorder="1" applyAlignment="1" applyProtection="1">
      <alignment horizontal="center"/>
      <protection locked="0"/>
    </xf>
    <xf numFmtId="1" fontId="5" fillId="0" borderId="14" xfId="1" applyNumberFormat="1" applyFont="1" applyFill="1" applyBorder="1" applyAlignment="1">
      <alignment horizontal="center"/>
    </xf>
    <xf numFmtId="170" fontId="5" fillId="12" borderId="25" xfId="2" applyNumberFormat="1" applyFont="1" applyFill="1" applyBorder="1" applyAlignment="1">
      <alignment horizontal="center"/>
    </xf>
    <xf numFmtId="170" fontId="5" fillId="12" borderId="72" xfId="2" applyNumberFormat="1" applyFont="1" applyFill="1" applyBorder="1" applyAlignment="1">
      <alignment horizontal="center"/>
    </xf>
    <xf numFmtId="168" fontId="5" fillId="10" borderId="25" xfId="1" applyNumberFormat="1" applyFont="1" applyFill="1" applyBorder="1" applyAlignment="1">
      <alignment horizontal="center"/>
    </xf>
    <xf numFmtId="175" fontId="5" fillId="0" borderId="61" xfId="0" applyNumberFormat="1" applyFont="1" applyBorder="1" applyAlignment="1">
      <alignment horizontal="center"/>
    </xf>
    <xf numFmtId="175" fontId="5" fillId="0" borderId="12" xfId="0" applyNumberFormat="1" applyFont="1" applyBorder="1" applyAlignment="1">
      <alignment horizontal="center"/>
    </xf>
    <xf numFmtId="14" fontId="5" fillId="10" borderId="55" xfId="0" applyNumberFormat="1" applyFont="1" applyFill="1" applyBorder="1" applyAlignment="1">
      <alignment horizontal="center"/>
    </xf>
    <xf numFmtId="0" fontId="5" fillId="10" borderId="98" xfId="0" applyFont="1" applyFill="1" applyBorder="1" applyAlignment="1">
      <alignment horizontal="center"/>
    </xf>
    <xf numFmtId="14" fontId="5" fillId="10" borderId="5" xfId="0" applyNumberFormat="1" applyFont="1" applyFill="1" applyBorder="1" applyAlignment="1">
      <alignment horizontal="center"/>
    </xf>
    <xf numFmtId="0" fontId="5" fillId="10" borderId="46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 wrapText="1"/>
    </xf>
    <xf numFmtId="0" fontId="8" fillId="11" borderId="4" xfId="0" applyFont="1" applyFill="1" applyBorder="1" applyAlignment="1">
      <alignment horizontal="center" wrapText="1"/>
    </xf>
    <xf numFmtId="0" fontId="8" fillId="11" borderId="3" xfId="0" applyFont="1" applyFill="1" applyBorder="1" applyAlignment="1">
      <alignment horizontal="center" wrapText="1"/>
    </xf>
    <xf numFmtId="14" fontId="5" fillId="10" borderId="97" xfId="0" applyNumberFormat="1" applyFont="1" applyFill="1" applyBorder="1" applyAlignment="1">
      <alignment horizontal="center"/>
    </xf>
    <xf numFmtId="14" fontId="5" fillId="10" borderId="98" xfId="0" applyNumberFormat="1" applyFont="1" applyFill="1" applyBorder="1" applyAlignment="1">
      <alignment horizontal="center"/>
    </xf>
    <xf numFmtId="14" fontId="5" fillId="10" borderId="41" xfId="0" applyNumberFormat="1" applyFont="1" applyFill="1" applyBorder="1" applyAlignment="1">
      <alignment horizontal="center"/>
    </xf>
    <xf numFmtId="0" fontId="5" fillId="10" borderId="93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0" fillId="11" borderId="11" xfId="0" applyFill="1" applyBorder="1" applyAlignment="1">
      <alignment horizontal="center" wrapText="1"/>
    </xf>
    <xf numFmtId="0" fontId="0" fillId="11" borderId="12" xfId="0" applyFill="1" applyBorder="1" applyAlignment="1">
      <alignment horizontal="center" wrapText="1"/>
    </xf>
    <xf numFmtId="0" fontId="8" fillId="15" borderId="9" xfId="0" applyFont="1" applyFill="1" applyBorder="1" applyAlignment="1">
      <alignment horizontal="right"/>
    </xf>
    <xf numFmtId="0" fontId="8" fillId="15" borderId="10" xfId="0" applyFont="1" applyFill="1" applyBorder="1" applyAlignment="1">
      <alignment horizontal="right"/>
    </xf>
    <xf numFmtId="168" fontId="11" fillId="12" borderId="107" xfId="1" applyNumberFormat="1" applyFont="1" applyFill="1" applyBorder="1" applyAlignment="1" applyProtection="1">
      <alignment horizontal="center"/>
      <protection locked="0"/>
    </xf>
    <xf numFmtId="168" fontId="5" fillId="12" borderId="67" xfId="1" applyNumberFormat="1" applyFont="1" applyFill="1" applyBorder="1" applyAlignment="1" applyProtection="1">
      <alignment horizontal="center"/>
      <protection locked="0"/>
    </xf>
    <xf numFmtId="44" fontId="5" fillId="0" borderId="25" xfId="2" applyFont="1" applyBorder="1" applyAlignment="1">
      <alignment horizontal="center"/>
    </xf>
    <xf numFmtId="168" fontId="11" fillId="12" borderId="35" xfId="1" applyNumberFormat="1" applyFont="1" applyFill="1" applyBorder="1" applyAlignment="1" applyProtection="1">
      <alignment horizontal="center"/>
      <protection locked="0"/>
    </xf>
    <xf numFmtId="0" fontId="8" fillId="11" borderId="116" xfId="0" applyFont="1" applyFill="1" applyBorder="1" applyAlignment="1">
      <alignment horizontal="center"/>
    </xf>
    <xf numFmtId="0" fontId="8" fillId="11" borderId="110" xfId="0" applyFont="1" applyFill="1" applyBorder="1" applyAlignment="1">
      <alignment horizontal="center"/>
    </xf>
    <xf numFmtId="168" fontId="5" fillId="12" borderId="116" xfId="1" applyNumberFormat="1" applyFont="1" applyFill="1" applyBorder="1" applyAlignment="1" applyProtection="1">
      <alignment horizontal="center"/>
      <protection locked="0"/>
    </xf>
    <xf numFmtId="168" fontId="5" fillId="12" borderId="110" xfId="1" applyNumberFormat="1" applyFont="1" applyFill="1" applyBorder="1" applyAlignment="1" applyProtection="1">
      <alignment horizontal="center"/>
      <protection locked="0"/>
    </xf>
    <xf numFmtId="168" fontId="5" fillId="10" borderId="0" xfId="1" applyNumberFormat="1" applyFont="1" applyFill="1" applyBorder="1" applyAlignment="1">
      <alignment horizontal="center"/>
    </xf>
    <xf numFmtId="9" fontId="5" fillId="10" borderId="56" xfId="4" applyFont="1" applyFill="1" applyBorder="1" applyAlignment="1">
      <alignment horizontal="center"/>
    </xf>
    <xf numFmtId="9" fontId="5" fillId="10" borderId="0" xfId="4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44" fontId="8" fillId="0" borderId="0" xfId="2" applyFont="1" applyBorder="1" applyAlignment="1" applyProtection="1">
      <alignment horizontal="center"/>
    </xf>
    <xf numFmtId="170" fontId="14" fillId="15" borderId="30" xfId="0" applyNumberFormat="1" applyFont="1" applyFill="1" applyBorder="1" applyAlignment="1">
      <alignment horizontal="center"/>
    </xf>
    <xf numFmtId="0" fontId="14" fillId="15" borderId="30" xfId="0" applyFont="1" applyFill="1" applyBorder="1" applyAlignment="1">
      <alignment horizontal="center"/>
    </xf>
    <xf numFmtId="44" fontId="3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4" fontId="3" fillId="10" borderId="32" xfId="2" applyFont="1" applyFill="1" applyBorder="1" applyAlignment="1" applyProtection="1">
      <alignment horizontal="center"/>
      <protection locked="0"/>
    </xf>
    <xf numFmtId="44" fontId="3" fillId="10" borderId="34" xfId="2" applyFont="1" applyFill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70" fontId="3" fillId="10" borderId="88" xfId="2" applyNumberFormat="1" applyFont="1" applyFill="1" applyBorder="1" applyAlignment="1" applyProtection="1">
      <alignment horizontal="center"/>
      <protection locked="0"/>
    </xf>
    <xf numFmtId="170" fontId="3" fillId="10" borderId="100" xfId="2" applyNumberFormat="1" applyFont="1" applyFill="1" applyBorder="1" applyAlignment="1" applyProtection="1">
      <alignment horizontal="center"/>
      <protection locked="0"/>
    </xf>
    <xf numFmtId="170" fontId="2" fillId="0" borderId="0" xfId="0" applyNumberFormat="1" applyFont="1" applyAlignment="1">
      <alignment horizontal="center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168" fontId="3" fillId="10" borderId="32" xfId="0" applyNumberFormat="1" applyFont="1" applyFill="1" applyBorder="1" applyAlignment="1" applyProtection="1">
      <alignment horizontal="center"/>
      <protection locked="0"/>
    </xf>
    <xf numFmtId="0" fontId="3" fillId="10" borderId="34" xfId="0" applyFont="1" applyFill="1" applyBorder="1" applyAlignment="1" applyProtection="1">
      <alignment horizontal="center"/>
      <protection locked="0"/>
    </xf>
    <xf numFmtId="44" fontId="5" fillId="12" borderId="21" xfId="2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21" xfId="0" applyFont="1" applyFill="1" applyBorder="1" applyAlignment="1" applyProtection="1">
      <alignment horizontal="center"/>
      <protection locked="0"/>
    </xf>
    <xf numFmtId="44" fontId="5" fillId="0" borderId="0" xfId="2" applyFont="1" applyFill="1" applyBorder="1" applyAlignment="1" applyProtection="1">
      <alignment horizontal="center"/>
      <protection locked="0"/>
    </xf>
    <xf numFmtId="44" fontId="5" fillId="0" borderId="21" xfId="2" applyFont="1" applyFill="1" applyBorder="1" applyAlignment="1" applyProtection="1">
      <alignment horizontal="center"/>
      <protection locked="0"/>
    </xf>
    <xf numFmtId="170" fontId="5" fillId="2" borderId="1" xfId="2" applyNumberFormat="1" applyFont="1" applyFill="1" applyBorder="1" applyAlignment="1" applyProtection="1">
      <alignment horizontal="center"/>
      <protection locked="0"/>
    </xf>
    <xf numFmtId="170" fontId="5" fillId="2" borderId="21" xfId="2" applyNumberFormat="1" applyFont="1" applyFill="1" applyBorder="1" applyAlignment="1" applyProtection="1">
      <alignment horizontal="center"/>
      <protection locked="0"/>
    </xf>
    <xf numFmtId="170" fontId="5" fillId="2" borderId="21" xfId="2" applyNumberFormat="1" applyFont="1" applyFill="1" applyBorder="1" applyAlignment="1" applyProtection="1">
      <alignment horizontal="center"/>
    </xf>
    <xf numFmtId="44" fontId="5" fillId="2" borderId="1" xfId="2" applyFont="1" applyFill="1" applyBorder="1" applyAlignment="1" applyProtection="1">
      <alignment horizontal="center"/>
      <protection locked="0"/>
    </xf>
    <xf numFmtId="44" fontId="5" fillId="2" borderId="0" xfId="2" applyFont="1" applyFill="1" applyBorder="1" applyAlignment="1" applyProtection="1">
      <alignment horizontal="center"/>
      <protection locked="0"/>
    </xf>
    <xf numFmtId="44" fontId="5" fillId="2" borderId="21" xfId="2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68" fontId="3" fillId="10" borderId="32" xfId="1" applyNumberFormat="1" applyFont="1" applyFill="1" applyBorder="1" applyAlignment="1" applyProtection="1">
      <alignment horizontal="right"/>
      <protection locked="0"/>
    </xf>
    <xf numFmtId="168" fontId="3" fillId="10" borderId="34" xfId="1" applyNumberFormat="1" applyFont="1" applyFill="1" applyBorder="1" applyAlignment="1" applyProtection="1">
      <alignment horizontal="right"/>
      <protection locked="0"/>
    </xf>
    <xf numFmtId="0" fontId="3" fillId="0" borderId="16" xfId="0" applyFont="1" applyBorder="1" applyAlignment="1">
      <alignment horizontal="left"/>
    </xf>
    <xf numFmtId="168" fontId="3" fillId="10" borderId="36" xfId="1" applyNumberFormat="1" applyFont="1" applyFill="1" applyBorder="1" applyAlignment="1" applyProtection="1">
      <alignment horizontal="center"/>
      <protection locked="0"/>
    </xf>
    <xf numFmtId="168" fontId="3" fillId="10" borderId="38" xfId="1" applyNumberFormat="1" applyFont="1" applyFill="1" applyBorder="1" applyAlignment="1" applyProtection="1">
      <alignment horizontal="center"/>
      <protection locked="0"/>
    </xf>
    <xf numFmtId="168" fontId="3" fillId="10" borderId="32" xfId="1" applyNumberFormat="1" applyFont="1" applyFill="1" applyBorder="1" applyAlignment="1" applyProtection="1">
      <alignment horizontal="center"/>
      <protection locked="0"/>
    </xf>
    <xf numFmtId="168" fontId="3" fillId="10" borderId="34" xfId="1" applyNumberFormat="1" applyFont="1" applyFill="1" applyBorder="1" applyAlignment="1" applyProtection="1">
      <alignment horizontal="center"/>
      <protection locked="0"/>
    </xf>
    <xf numFmtId="0" fontId="3" fillId="0" borderId="35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10" borderId="5" xfId="0" applyFont="1" applyFill="1" applyBorder="1" applyAlignment="1" applyProtection="1">
      <alignment horizontal="center" vertical="center"/>
      <protection locked="0"/>
    </xf>
    <xf numFmtId="9" fontId="3" fillId="10" borderId="107" xfId="4" applyFont="1" applyFill="1" applyBorder="1" applyAlignment="1">
      <alignment horizontal="center"/>
    </xf>
    <xf numFmtId="9" fontId="3" fillId="10" borderId="67" xfId="4" applyFont="1" applyFill="1" applyBorder="1" applyAlignment="1">
      <alignment horizontal="center"/>
    </xf>
    <xf numFmtId="9" fontId="3" fillId="10" borderId="39" xfId="4" applyFont="1" applyFill="1" applyBorder="1" applyAlignment="1">
      <alignment horizontal="center"/>
    </xf>
    <xf numFmtId="9" fontId="3" fillId="10" borderId="18" xfId="4" applyFont="1" applyFill="1" applyBorder="1" applyAlignment="1">
      <alignment horizontal="center"/>
    </xf>
    <xf numFmtId="170" fontId="3" fillId="0" borderId="39" xfId="0" applyNumberFormat="1" applyFont="1" applyBorder="1" applyAlignment="1">
      <alignment horizontal="center"/>
    </xf>
    <xf numFmtId="170" fontId="3" fillId="0" borderId="18" xfId="0" applyNumberFormat="1" applyFont="1" applyBorder="1" applyAlignment="1">
      <alignment horizontal="center"/>
    </xf>
    <xf numFmtId="9" fontId="3" fillId="10" borderId="35" xfId="4" applyFont="1" applyFill="1" applyBorder="1" applyAlignment="1">
      <alignment horizontal="center"/>
    </xf>
    <xf numFmtId="9" fontId="3" fillId="10" borderId="17" xfId="4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4" fontId="3" fillId="12" borderId="39" xfId="2" applyFont="1" applyFill="1" applyBorder="1" applyAlignment="1" applyProtection="1">
      <alignment horizontal="center"/>
      <protection locked="0"/>
    </xf>
    <xf numFmtId="44" fontId="3" fillId="12" borderId="14" xfId="2" applyFont="1" applyFill="1" applyBorder="1" applyAlignment="1" applyProtection="1">
      <alignment horizontal="center"/>
      <protection locked="0"/>
    </xf>
    <xf numFmtId="168" fontId="4" fillId="0" borderId="14" xfId="1" applyNumberFormat="1" applyFont="1" applyBorder="1" applyAlignment="1">
      <alignment horizontal="center"/>
    </xf>
    <xf numFmtId="170" fontId="8" fillId="0" borderId="0" xfId="2" applyNumberFormat="1" applyFont="1" applyBorder="1" applyAlignment="1" applyProtection="1">
      <alignment horizontal="center"/>
    </xf>
    <xf numFmtId="44" fontId="3" fillId="12" borderId="56" xfId="2" applyFont="1" applyFill="1" applyBorder="1" applyAlignment="1" applyProtection="1">
      <alignment horizontal="center"/>
      <protection locked="0"/>
    </xf>
    <xf numFmtId="44" fontId="3" fillId="12" borderId="0" xfId="2" applyFont="1" applyFill="1" applyBorder="1" applyAlignment="1" applyProtection="1">
      <alignment horizontal="center"/>
      <protection locked="0"/>
    </xf>
    <xf numFmtId="168" fontId="5" fillId="10" borderId="25" xfId="1" applyNumberFormat="1" applyFont="1" applyFill="1" applyBorder="1" applyAlignment="1">
      <alignment horizontal="center" vertical="center"/>
    </xf>
    <xf numFmtId="168" fontId="5" fillId="10" borderId="17" xfId="1" applyNumberFormat="1" applyFont="1" applyFill="1" applyBorder="1" applyAlignment="1">
      <alignment horizontal="center" vertical="center"/>
    </xf>
    <xf numFmtId="168" fontId="5" fillId="10" borderId="0" xfId="1" applyNumberFormat="1" applyFont="1" applyFill="1" applyBorder="1" applyAlignment="1">
      <alignment horizontal="center" vertical="center"/>
    </xf>
    <xf numFmtId="168" fontId="3" fillId="10" borderId="14" xfId="1" applyNumberFormat="1" applyFont="1" applyFill="1" applyBorder="1" applyAlignment="1">
      <alignment horizontal="center" vertical="center"/>
    </xf>
    <xf numFmtId="168" fontId="3" fillId="10" borderId="18" xfId="1" applyNumberFormat="1" applyFont="1" applyFill="1" applyBorder="1" applyAlignment="1">
      <alignment horizontal="center" vertical="center"/>
    </xf>
    <xf numFmtId="44" fontId="5" fillId="10" borderId="49" xfId="2" applyFont="1" applyFill="1" applyBorder="1" applyAlignment="1">
      <alignment horizontal="center" vertical="center"/>
    </xf>
    <xf numFmtId="168" fontId="5" fillId="10" borderId="115" xfId="1" applyNumberFormat="1" applyFont="1" applyFill="1" applyBorder="1" applyAlignment="1" applyProtection="1">
      <alignment horizontal="center"/>
      <protection locked="0"/>
    </xf>
    <xf numFmtId="168" fontId="5" fillId="10" borderId="114" xfId="1" applyNumberFormat="1" applyFont="1" applyFill="1" applyBorder="1" applyAlignment="1" applyProtection="1">
      <alignment horizontal="center"/>
      <protection locked="0"/>
    </xf>
    <xf numFmtId="168" fontId="5" fillId="12" borderId="36" xfId="1" applyNumberFormat="1" applyFont="1" applyFill="1" applyBorder="1" applyAlignment="1" applyProtection="1">
      <alignment horizontal="center"/>
      <protection locked="0"/>
    </xf>
    <xf numFmtId="168" fontId="5" fillId="12" borderId="38" xfId="1" applyNumberFormat="1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21" xfId="0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43" fontId="5" fillId="0" borderId="4" xfId="0" applyNumberFormat="1" applyFont="1" applyBorder="1" applyAlignment="1" applyProtection="1">
      <alignment horizontal="left"/>
      <protection locked="0"/>
    </xf>
    <xf numFmtId="0" fontId="5" fillId="10" borderId="9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21" xfId="0" applyFont="1" applyFill="1" applyBorder="1" applyAlignment="1">
      <alignment horizontal="left"/>
    </xf>
    <xf numFmtId="0" fontId="5" fillId="10" borderId="38" xfId="0" applyFont="1" applyFill="1" applyBorder="1" applyAlignment="1" applyProtection="1">
      <alignment horizontal="left"/>
      <protection locked="0"/>
    </xf>
    <xf numFmtId="14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17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>
      <alignment horizontal="center" wrapText="1"/>
    </xf>
    <xf numFmtId="0" fontId="5" fillId="11" borderId="68" xfId="0" applyFont="1" applyFill="1" applyBorder="1" applyAlignment="1">
      <alignment horizontal="center" wrapText="1"/>
    </xf>
    <xf numFmtId="0" fontId="5" fillId="11" borderId="50" xfId="0" applyFont="1" applyFill="1" applyBorder="1" applyAlignment="1">
      <alignment horizontal="center" wrapText="1"/>
    </xf>
    <xf numFmtId="0" fontId="5" fillId="11" borderId="81" xfId="0" applyFont="1" applyFill="1" applyBorder="1" applyAlignment="1">
      <alignment horizontal="center" wrapText="1"/>
    </xf>
    <xf numFmtId="14" fontId="5" fillId="10" borderId="5" xfId="0" applyNumberFormat="1" applyFont="1" applyFill="1" applyBorder="1" applyAlignment="1" applyProtection="1">
      <alignment horizontal="center"/>
      <protection locked="0"/>
    </xf>
    <xf numFmtId="164" fontId="5" fillId="11" borderId="80" xfId="0" applyNumberFormat="1" applyFont="1" applyFill="1" applyBorder="1" applyAlignment="1">
      <alignment horizontal="center" wrapText="1"/>
    </xf>
    <xf numFmtId="164" fontId="5" fillId="11" borderId="50" xfId="0" applyNumberFormat="1" applyFont="1" applyFill="1" applyBorder="1" applyAlignment="1">
      <alignment horizontal="center" wrapText="1"/>
    </xf>
    <xf numFmtId="0" fontId="5" fillId="11" borderId="80" xfId="0" applyFont="1" applyFill="1" applyBorder="1" applyAlignment="1">
      <alignment horizontal="center" wrapText="1"/>
    </xf>
    <xf numFmtId="0" fontId="5" fillId="10" borderId="4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5" fillId="10" borderId="12" xfId="0" applyFont="1" applyFill="1" applyBorder="1" applyAlignment="1">
      <alignment horizontal="left"/>
    </xf>
    <xf numFmtId="15" fontId="8" fillId="15" borderId="30" xfId="0" applyNumberFormat="1" applyFont="1" applyFill="1" applyBorder="1" applyAlignment="1">
      <alignment horizontal="center"/>
    </xf>
    <xf numFmtId="15" fontId="8" fillId="15" borderId="31" xfId="0" applyNumberFormat="1" applyFont="1" applyFill="1" applyBorder="1" applyAlignment="1">
      <alignment horizontal="center"/>
    </xf>
    <xf numFmtId="0" fontId="5" fillId="10" borderId="34" xfId="0" applyFont="1" applyFill="1" applyBorder="1" applyAlignment="1" applyProtection="1">
      <alignment horizontal="left"/>
      <protection locked="0"/>
    </xf>
    <xf numFmtId="14" fontId="5" fillId="10" borderId="34" xfId="0" applyNumberFormat="1" applyFont="1" applyFill="1" applyBorder="1" applyAlignment="1">
      <alignment horizontal="center"/>
    </xf>
    <xf numFmtId="14" fontId="5" fillId="10" borderId="38" xfId="0" applyNumberFormat="1" applyFont="1" applyFill="1" applyBorder="1" applyAlignment="1">
      <alignment horizontal="center"/>
    </xf>
    <xf numFmtId="14" fontId="5" fillId="10" borderId="100" xfId="0" applyNumberFormat="1" applyFont="1" applyFill="1" applyBorder="1" applyAlignment="1">
      <alignment horizontal="center"/>
    </xf>
    <xf numFmtId="0" fontId="5" fillId="10" borderId="100" xfId="0" applyFont="1" applyFill="1" applyBorder="1" applyAlignment="1" applyProtection="1">
      <alignment horizontal="left"/>
      <protection locked="0"/>
    </xf>
    <xf numFmtId="10" fontId="5" fillId="12" borderId="1" xfId="4" applyNumberFormat="1" applyFont="1" applyFill="1" applyBorder="1" applyAlignment="1" applyProtection="1">
      <alignment horizontal="center"/>
      <protection locked="0"/>
    </xf>
    <xf numFmtId="10" fontId="5" fillId="12" borderId="0" xfId="4" applyNumberFormat="1" applyFont="1" applyFill="1" applyBorder="1" applyAlignment="1" applyProtection="1">
      <alignment horizontal="center"/>
      <protection locked="0"/>
    </xf>
    <xf numFmtId="168" fontId="11" fillId="12" borderId="0" xfId="1" applyNumberFormat="1" applyFont="1" applyFill="1" applyBorder="1" applyAlignment="1" applyProtection="1">
      <alignment horizontal="center"/>
      <protection locked="0"/>
    </xf>
    <xf numFmtId="0" fontId="0" fillId="12" borderId="16" xfId="0" applyFill="1" applyBorder="1" applyProtection="1">
      <protection locked="0"/>
    </xf>
    <xf numFmtId="170" fontId="5" fillId="12" borderId="0" xfId="2" applyNumberFormat="1" applyFont="1" applyFill="1" applyBorder="1" applyAlignment="1" applyProtection="1">
      <alignment horizontal="center"/>
      <protection locked="0"/>
    </xf>
    <xf numFmtId="170" fontId="5" fillId="12" borderId="21" xfId="2" applyNumberFormat="1" applyFont="1" applyFill="1" applyBorder="1" applyAlignment="1" applyProtection="1">
      <alignment horizontal="center"/>
      <protection locked="0"/>
    </xf>
    <xf numFmtId="44" fontId="5" fillId="0" borderId="39" xfId="0" applyNumberFormat="1" applyFont="1" applyBorder="1" applyAlignment="1" applyProtection="1">
      <alignment horizontal="center"/>
      <protection locked="0"/>
    </xf>
    <xf numFmtId="44" fontId="5" fillId="0" borderId="18" xfId="0" applyNumberFormat="1" applyFont="1" applyBorder="1" applyAlignment="1" applyProtection="1">
      <alignment horizontal="center"/>
      <protection locked="0"/>
    </xf>
    <xf numFmtId="170" fontId="5" fillId="12" borderId="101" xfId="2" applyNumberFormat="1" applyFont="1" applyFill="1" applyBorder="1" applyAlignment="1">
      <alignment horizontal="center"/>
    </xf>
    <xf numFmtId="170" fontId="5" fillId="12" borderId="109" xfId="2" applyNumberFormat="1" applyFont="1" applyFill="1" applyBorder="1" applyAlignment="1">
      <alignment horizontal="center"/>
    </xf>
    <xf numFmtId="44" fontId="5" fillId="10" borderId="67" xfId="2" applyFont="1" applyFill="1" applyBorder="1" applyAlignment="1">
      <alignment horizontal="center" vertical="center"/>
    </xf>
    <xf numFmtId="1" fontId="5" fillId="10" borderId="107" xfId="0" applyNumberFormat="1" applyFont="1" applyFill="1" applyBorder="1" applyAlignment="1">
      <alignment horizontal="center" vertical="center"/>
    </xf>
    <xf numFmtId="1" fontId="5" fillId="10" borderId="10" xfId="0" applyNumberFormat="1" applyFont="1" applyFill="1" applyBorder="1" applyAlignment="1">
      <alignment horizontal="center" vertical="center"/>
    </xf>
    <xf numFmtId="1" fontId="5" fillId="10" borderId="67" xfId="0" applyNumberFormat="1" applyFont="1" applyFill="1" applyBorder="1" applyAlignment="1">
      <alignment horizontal="center" vertical="center"/>
    </xf>
    <xf numFmtId="1" fontId="5" fillId="10" borderId="56" xfId="0" applyNumberFormat="1" applyFont="1" applyFill="1" applyBorder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  <xf numFmtId="1" fontId="5" fillId="10" borderId="16" xfId="0" applyNumberFormat="1" applyFont="1" applyFill="1" applyBorder="1" applyAlignment="1">
      <alignment horizontal="center" vertical="center"/>
    </xf>
    <xf numFmtId="1" fontId="5" fillId="10" borderId="39" xfId="0" applyNumberFormat="1" applyFont="1" applyFill="1" applyBorder="1" applyAlignment="1">
      <alignment horizontal="center" vertical="center"/>
    </xf>
    <xf numFmtId="1" fontId="5" fillId="10" borderId="14" xfId="0" applyNumberFormat="1" applyFont="1" applyFill="1" applyBorder="1" applyAlignment="1">
      <alignment horizontal="center" vertical="center"/>
    </xf>
    <xf numFmtId="1" fontId="5" fillId="10" borderId="18" xfId="0" applyNumberFormat="1" applyFont="1" applyFill="1" applyBorder="1" applyAlignment="1">
      <alignment horizontal="center" vertical="center"/>
    </xf>
    <xf numFmtId="170" fontId="5" fillId="12" borderId="2" xfId="2" applyNumberFormat="1" applyFont="1" applyFill="1" applyBorder="1" applyAlignment="1" applyProtection="1">
      <alignment horizontal="center"/>
      <protection locked="0"/>
    </xf>
    <xf numFmtId="170" fontId="5" fillId="12" borderId="12" xfId="2" applyNumberFormat="1" applyFont="1" applyFill="1" applyBorder="1" applyAlignment="1" applyProtection="1">
      <alignment horizontal="center"/>
      <protection locked="0"/>
    </xf>
    <xf numFmtId="0" fontId="8" fillId="11" borderId="0" xfId="0" applyFont="1" applyFill="1" applyAlignment="1" applyProtection="1">
      <alignment horizontal="center"/>
      <protection locked="0"/>
    </xf>
    <xf numFmtId="0" fontId="8" fillId="11" borderId="21" xfId="0" applyFont="1" applyFill="1" applyBorder="1" applyAlignment="1" applyProtection="1">
      <alignment horizontal="center"/>
      <protection locked="0"/>
    </xf>
    <xf numFmtId="170" fontId="5" fillId="12" borderId="10" xfId="2" applyNumberFormat="1" applyFont="1" applyFill="1" applyBorder="1" applyAlignment="1" applyProtection="1">
      <alignment horizontal="center"/>
      <protection locked="0"/>
    </xf>
    <xf numFmtId="170" fontId="5" fillId="12" borderId="11" xfId="2" applyNumberFormat="1" applyFont="1" applyFill="1" applyBorder="1" applyAlignment="1" applyProtection="1">
      <alignment horizontal="center"/>
      <protection locked="0"/>
    </xf>
    <xf numFmtId="0" fontId="8" fillId="0" borderId="108" xfId="0" applyFont="1" applyBorder="1" applyAlignment="1" applyProtection="1">
      <alignment horizontal="center"/>
      <protection locked="0"/>
    </xf>
    <xf numFmtId="0" fontId="8" fillId="0" borderId="103" xfId="0" applyFont="1" applyBorder="1" applyAlignment="1" applyProtection="1">
      <alignment horizontal="center"/>
      <protection locked="0"/>
    </xf>
    <xf numFmtId="9" fontId="5" fillId="10" borderId="35" xfId="4" applyFont="1" applyFill="1" applyBorder="1" applyAlignment="1" applyProtection="1">
      <alignment horizontal="center"/>
      <protection locked="0"/>
    </xf>
    <xf numFmtId="9" fontId="5" fillId="10" borderId="17" xfId="4" applyFont="1" applyFill="1" applyBorder="1" applyAlignment="1" applyProtection="1">
      <alignment horizontal="center"/>
      <protection locked="0"/>
    </xf>
    <xf numFmtId="44" fontId="5" fillId="16" borderId="29" xfId="2" applyFont="1" applyFill="1" applyBorder="1" applyAlignment="1" applyProtection="1">
      <alignment horizontal="center"/>
      <protection locked="0"/>
    </xf>
    <xf numFmtId="44" fontId="5" fillId="16" borderId="31" xfId="2" applyFont="1" applyFill="1" applyBorder="1" applyAlignment="1" applyProtection="1">
      <alignment horizontal="center"/>
      <protection locked="0"/>
    </xf>
    <xf numFmtId="44" fontId="8" fillId="16" borderId="29" xfId="2" applyFont="1" applyFill="1" applyBorder="1" applyAlignment="1" applyProtection="1">
      <alignment horizontal="center"/>
    </xf>
    <xf numFmtId="44" fontId="8" fillId="16" borderId="31" xfId="2" applyFont="1" applyFill="1" applyBorder="1" applyAlignment="1" applyProtection="1">
      <alignment horizontal="center"/>
    </xf>
    <xf numFmtId="164" fontId="8" fillId="11" borderId="107" xfId="0" applyNumberFormat="1" applyFont="1" applyFill="1" applyBorder="1" applyAlignment="1">
      <alignment horizontal="center" vertical="center" wrapText="1" shrinkToFit="1"/>
    </xf>
    <xf numFmtId="164" fontId="8" fillId="11" borderId="10" xfId="0" applyNumberFormat="1" applyFont="1" applyFill="1" applyBorder="1" applyAlignment="1">
      <alignment horizontal="center" vertical="center" wrapText="1" shrinkToFit="1"/>
    </xf>
    <xf numFmtId="164" fontId="8" fillId="11" borderId="67" xfId="0" applyNumberFormat="1" applyFont="1" applyFill="1" applyBorder="1" applyAlignment="1">
      <alignment horizontal="center" vertical="center" wrapText="1" shrinkToFi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7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164" fontId="5" fillId="11" borderId="107" xfId="0" applyNumberFormat="1" applyFont="1" applyFill="1" applyBorder="1" applyAlignment="1">
      <alignment horizontal="center" vertical="center" wrapText="1"/>
    </xf>
    <xf numFmtId="164" fontId="5" fillId="11" borderId="67" xfId="0" applyNumberFormat="1" applyFont="1" applyFill="1" applyBorder="1" applyAlignment="1">
      <alignment horizontal="center" vertical="center" wrapText="1"/>
    </xf>
    <xf numFmtId="164" fontId="5" fillId="11" borderId="61" xfId="0" applyNumberFormat="1" applyFont="1" applyFill="1" applyBorder="1" applyAlignment="1">
      <alignment horizontal="center" vertical="center" wrapText="1"/>
    </xf>
    <xf numFmtId="164" fontId="5" fillId="11" borderId="3" xfId="0" applyNumberFormat="1" applyFont="1" applyFill="1" applyBorder="1" applyAlignment="1">
      <alignment horizontal="center" vertical="center" wrapText="1"/>
    </xf>
    <xf numFmtId="0" fontId="5" fillId="11" borderId="83" xfId="0" applyFont="1" applyFill="1" applyBorder="1" applyAlignment="1">
      <alignment horizontal="center" vertical="center" wrapText="1"/>
    </xf>
    <xf numFmtId="0" fontId="5" fillId="11" borderId="26" xfId="0" applyFont="1" applyFill="1" applyBorder="1" applyAlignment="1">
      <alignment horizontal="center" vertical="center" wrapText="1"/>
    </xf>
    <xf numFmtId="0" fontId="8" fillId="11" borderId="67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14" fontId="5" fillId="10" borderId="16" xfId="0" applyNumberFormat="1" applyFont="1" applyFill="1" applyBorder="1" applyAlignment="1" applyProtection="1">
      <alignment horizontal="center"/>
      <protection locked="0"/>
    </xf>
    <xf numFmtId="0" fontId="8" fillId="11" borderId="107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67" xfId="0" applyFont="1" applyFill="1" applyBorder="1" applyAlignment="1">
      <alignment horizontal="center" vertical="center"/>
    </xf>
    <xf numFmtId="170" fontId="5" fillId="0" borderId="10" xfId="0" applyNumberFormat="1" applyFont="1" applyBorder="1" applyAlignment="1">
      <alignment horizontal="center"/>
    </xf>
    <xf numFmtId="170" fontId="8" fillId="10" borderId="34" xfId="2" applyNumberFormat="1" applyFont="1" applyFill="1" applyBorder="1" applyAlignment="1">
      <alignment horizontal="center"/>
    </xf>
    <xf numFmtId="170" fontId="8" fillId="10" borderId="46" xfId="2" applyNumberFormat="1" applyFont="1" applyFill="1" applyBorder="1" applyAlignment="1">
      <alignment horizontal="center"/>
    </xf>
    <xf numFmtId="170" fontId="5" fillId="10" borderId="100" xfId="0" applyNumberFormat="1" applyFont="1" applyFill="1" applyBorder="1" applyAlignment="1">
      <alignment horizontal="center"/>
    </xf>
    <xf numFmtId="0" fontId="5" fillId="0" borderId="31" xfId="0" applyFont="1" applyBorder="1" applyAlignment="1">
      <alignment horizontal="center" wrapText="1"/>
    </xf>
    <xf numFmtId="0" fontId="5" fillId="0" borderId="30" xfId="0" applyFont="1" applyBorder="1" applyAlignment="1">
      <alignment horizontal="left" wrapText="1"/>
    </xf>
    <xf numFmtId="0" fontId="11" fillId="0" borderId="1" xfId="0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170" fontId="8" fillId="10" borderId="100" xfId="2" applyNumberFormat="1" applyFont="1" applyFill="1" applyBorder="1" applyAlignment="1">
      <alignment horizontal="right"/>
    </xf>
    <xf numFmtId="170" fontId="8" fillId="10" borderId="93" xfId="2" applyNumberFormat="1" applyFont="1" applyFill="1" applyBorder="1" applyAlignment="1">
      <alignment horizontal="right"/>
    </xf>
    <xf numFmtId="0" fontId="5" fillId="0" borderId="31" xfId="0" applyFont="1" applyBorder="1" applyAlignment="1">
      <alignment horizontal="left" wrapText="1"/>
    </xf>
    <xf numFmtId="0" fontId="8" fillId="11" borderId="30" xfId="0" applyFont="1" applyFill="1" applyBorder="1" applyAlignment="1">
      <alignment horizontal="center" wrapText="1"/>
    </xf>
    <xf numFmtId="0" fontId="8" fillId="11" borderId="31" xfId="0" applyFont="1" applyFill="1" applyBorder="1" applyAlignment="1">
      <alignment horizontal="center" wrapText="1"/>
    </xf>
    <xf numFmtId="170" fontId="8" fillId="10" borderId="18" xfId="2" applyNumberFormat="1" applyFont="1" applyFill="1" applyBorder="1" applyAlignment="1">
      <alignment horizontal="right"/>
    </xf>
    <xf numFmtId="170" fontId="8" fillId="10" borderId="90" xfId="2" applyNumberFormat="1" applyFont="1" applyFill="1" applyBorder="1" applyAlignment="1">
      <alignment horizontal="right"/>
    </xf>
    <xf numFmtId="170" fontId="8" fillId="10" borderId="34" xfId="2" applyNumberFormat="1" applyFont="1" applyFill="1" applyBorder="1" applyAlignment="1">
      <alignment horizontal="right"/>
    </xf>
    <xf numFmtId="170" fontId="8" fillId="10" borderId="46" xfId="2" applyNumberFormat="1" applyFont="1" applyFill="1" applyBorder="1" applyAlignment="1">
      <alignment horizontal="right"/>
    </xf>
    <xf numFmtId="170" fontId="8" fillId="10" borderId="18" xfId="2" applyNumberFormat="1" applyFont="1" applyFill="1" applyBorder="1" applyAlignment="1">
      <alignment horizontal="center"/>
    </xf>
    <xf numFmtId="170" fontId="8" fillId="10" borderId="90" xfId="2" applyNumberFormat="1" applyFont="1" applyFill="1" applyBorder="1" applyAlignment="1">
      <alignment horizontal="center"/>
    </xf>
    <xf numFmtId="170" fontId="8" fillId="10" borderId="14" xfId="2" applyNumberFormat="1" applyFont="1" applyFill="1" applyBorder="1" applyAlignment="1">
      <alignment horizontal="center"/>
    </xf>
    <xf numFmtId="170" fontId="8" fillId="10" borderId="48" xfId="2" applyNumberFormat="1" applyFont="1" applyFill="1" applyBorder="1" applyAlignment="1">
      <alignment horizontal="center"/>
    </xf>
    <xf numFmtId="170" fontId="8" fillId="11" borderId="30" xfId="2" applyNumberFormat="1" applyFont="1" applyFill="1" applyBorder="1" applyAlignment="1">
      <alignment horizontal="center" wrapText="1"/>
    </xf>
    <xf numFmtId="170" fontId="8" fillId="11" borderId="31" xfId="2" applyNumberFormat="1" applyFont="1" applyFill="1" applyBorder="1" applyAlignment="1">
      <alignment horizontal="center" wrapText="1"/>
    </xf>
    <xf numFmtId="170" fontId="8" fillId="10" borderId="100" xfId="2" applyNumberFormat="1" applyFont="1" applyFill="1" applyBorder="1" applyAlignment="1">
      <alignment horizontal="center"/>
    </xf>
    <xf numFmtId="170" fontId="8" fillId="10" borderId="93" xfId="2" applyNumberFormat="1" applyFont="1" applyFill="1" applyBorder="1" applyAlignment="1">
      <alignment horizontal="center"/>
    </xf>
    <xf numFmtId="0" fontId="5" fillId="10" borderId="34" xfId="0" applyFont="1" applyFill="1" applyBorder="1" applyAlignment="1" applyProtection="1">
      <alignment horizontal="center"/>
      <protection locked="0"/>
    </xf>
    <xf numFmtId="0" fontId="5" fillId="10" borderId="5" xfId="0" applyFont="1" applyFill="1" applyBorder="1" applyAlignment="1" applyProtection="1">
      <alignment horizontal="center"/>
      <protection locked="0"/>
    </xf>
    <xf numFmtId="0" fontId="5" fillId="10" borderId="100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0" fontId="5" fillId="10" borderId="55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4" fontId="5" fillId="10" borderId="33" xfId="0" applyNumberFormat="1" applyFont="1" applyFill="1" applyBorder="1" applyAlignment="1" applyProtection="1">
      <alignment horizontal="center"/>
      <protection locked="0"/>
    </xf>
    <xf numFmtId="170" fontId="8" fillId="11" borderId="30" xfId="2" applyNumberFormat="1" applyFont="1" applyFill="1" applyBorder="1" applyAlignment="1">
      <alignment horizontal="center"/>
    </xf>
    <xf numFmtId="170" fontId="8" fillId="11" borderId="31" xfId="2" applyNumberFormat="1" applyFont="1" applyFill="1" applyBorder="1" applyAlignment="1">
      <alignment horizontal="center"/>
    </xf>
    <xf numFmtId="170" fontId="8" fillId="10" borderId="2" xfId="2" applyNumberFormat="1" applyFont="1" applyFill="1" applyBorder="1" applyAlignment="1">
      <alignment horizontal="center"/>
    </xf>
    <xf numFmtId="170" fontId="8" fillId="10" borderId="12" xfId="2" applyNumberFormat="1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4" xfId="0" applyBorder="1" applyAlignment="1">
      <alignment horizontal="center"/>
    </xf>
    <xf numFmtId="170" fontId="5" fillId="0" borderId="2" xfId="0" applyNumberFormat="1" applyFont="1" applyBorder="1" applyAlignment="1">
      <alignment horizontal="center"/>
    </xf>
    <xf numFmtId="14" fontId="5" fillId="10" borderId="88" xfId="0" applyNumberFormat="1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>
      <alignment horizontal="center" wrapText="1"/>
    </xf>
    <xf numFmtId="0" fontId="5" fillId="11" borderId="72" xfId="0" applyFont="1" applyFill="1" applyBorder="1" applyAlignment="1">
      <alignment horizontal="center" wrapText="1"/>
    </xf>
    <xf numFmtId="168" fontId="11" fillId="10" borderId="0" xfId="1" applyNumberFormat="1" applyFont="1" applyFill="1" applyBorder="1" applyAlignment="1" applyProtection="1">
      <alignment horizontal="center"/>
      <protection locked="0"/>
    </xf>
    <xf numFmtId="168" fontId="5" fillId="10" borderId="16" xfId="1" applyNumberFormat="1" applyFont="1" applyFill="1" applyBorder="1" applyAlignment="1" applyProtection="1">
      <alignment horizontal="center"/>
      <protection locked="0"/>
    </xf>
    <xf numFmtId="168" fontId="5" fillId="10" borderId="0" xfId="1" applyNumberFormat="1" applyFont="1" applyFill="1" applyBorder="1" applyAlignment="1" applyProtection="1">
      <alignment horizontal="center"/>
      <protection locked="0"/>
    </xf>
    <xf numFmtId="168" fontId="5" fillId="10" borderId="2" xfId="1" applyNumberFormat="1" applyFont="1" applyFill="1" applyBorder="1" applyAlignment="1" applyProtection="1">
      <alignment horizontal="center"/>
      <protection locked="0"/>
    </xf>
    <xf numFmtId="168" fontId="5" fillId="10" borderId="3" xfId="1" applyNumberFormat="1" applyFont="1" applyFill="1" applyBorder="1" applyAlignment="1" applyProtection="1">
      <alignment horizontal="center"/>
      <protection locked="0"/>
    </xf>
    <xf numFmtId="168" fontId="11" fillId="10" borderId="56" xfId="1" applyNumberFormat="1" applyFont="1" applyFill="1" applyBorder="1" applyAlignment="1" applyProtection="1">
      <alignment horizontal="center"/>
      <protection locked="0"/>
    </xf>
    <xf numFmtId="0" fontId="0" fillId="10" borderId="16" xfId="0" applyFill="1" applyBorder="1" applyProtection="1">
      <protection locked="0"/>
    </xf>
    <xf numFmtId="9" fontId="3" fillId="12" borderId="35" xfId="4" applyFont="1" applyFill="1" applyBorder="1" applyAlignment="1">
      <alignment horizontal="center"/>
    </xf>
    <xf numFmtId="9" fontId="3" fillId="12" borderId="17" xfId="4" applyFont="1" applyFill="1" applyBorder="1" applyAlignment="1">
      <alignment horizontal="center"/>
    </xf>
    <xf numFmtId="9" fontId="3" fillId="12" borderId="107" xfId="4" applyFont="1" applyFill="1" applyBorder="1" applyAlignment="1">
      <alignment horizontal="center"/>
    </xf>
    <xf numFmtId="9" fontId="3" fillId="12" borderId="67" xfId="4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3" fillId="0" borderId="9" xfId="0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7" xfId="0" applyFont="1" applyBorder="1" applyAlignment="1" applyProtection="1">
      <alignment horizontal="left"/>
      <protection locked="0"/>
    </xf>
    <xf numFmtId="168" fontId="3" fillId="10" borderId="107" xfId="1" applyNumberFormat="1" applyFont="1" applyFill="1" applyBorder="1" applyAlignment="1" applyProtection="1">
      <alignment horizontal="center"/>
      <protection locked="0"/>
    </xf>
    <xf numFmtId="168" fontId="3" fillId="10" borderId="67" xfId="1" applyNumberFormat="1" applyFont="1" applyFill="1" applyBorder="1" applyAlignment="1" applyProtection="1">
      <alignment horizontal="center"/>
      <protection locked="0"/>
    </xf>
    <xf numFmtId="9" fontId="3" fillId="10" borderId="56" xfId="4" applyFont="1" applyFill="1" applyBorder="1" applyAlignment="1" applyProtection="1">
      <alignment horizontal="center"/>
      <protection locked="0"/>
    </xf>
    <xf numFmtId="9" fontId="3" fillId="10" borderId="16" xfId="4" applyFont="1" applyFill="1" applyBorder="1" applyAlignment="1" applyProtection="1">
      <alignment horizontal="center"/>
      <protection locked="0"/>
    </xf>
    <xf numFmtId="9" fontId="3" fillId="10" borderId="39" xfId="4" applyFont="1" applyFill="1" applyBorder="1" applyAlignment="1" applyProtection="1">
      <alignment horizontal="center"/>
      <protection locked="0"/>
    </xf>
    <xf numFmtId="9" fontId="3" fillId="10" borderId="18" xfId="4" applyFont="1" applyFill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2" fillId="0" borderId="108" xfId="0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44" fontId="5" fillId="10" borderId="83" xfId="2" applyFont="1" applyFill="1" applyBorder="1" applyAlignment="1">
      <alignment horizontal="center" vertical="center"/>
    </xf>
    <xf numFmtId="168" fontId="5" fillId="10" borderId="10" xfId="1" applyNumberFormat="1" applyFont="1" applyFill="1" applyBorder="1" applyAlignment="1">
      <alignment horizontal="center" vertical="center"/>
    </xf>
    <xf numFmtId="168" fontId="5" fillId="10" borderId="67" xfId="1" applyNumberFormat="1" applyFont="1" applyFill="1" applyBorder="1" applyAlignment="1">
      <alignment horizontal="center" vertical="center"/>
    </xf>
    <xf numFmtId="0" fontId="5" fillId="16" borderId="29" xfId="0" applyFont="1" applyFill="1" applyBorder="1" applyAlignment="1">
      <alignment horizontal="center"/>
    </xf>
    <xf numFmtId="0" fontId="5" fillId="16" borderId="31" xfId="0" applyFont="1" applyFill="1" applyBorder="1" applyAlignment="1">
      <alignment horizontal="center"/>
    </xf>
    <xf numFmtId="44" fontId="5" fillId="16" borderId="108" xfId="2" applyFont="1" applyFill="1" applyBorder="1" applyAlignment="1" applyProtection="1">
      <alignment horizontal="center"/>
      <protection locked="0"/>
    </xf>
    <xf numFmtId="44" fontId="5" fillId="16" borderId="103" xfId="2" applyFont="1" applyFill="1" applyBorder="1" applyAlignment="1" applyProtection="1">
      <alignment horizontal="center"/>
      <protection locked="0"/>
    </xf>
    <xf numFmtId="170" fontId="14" fillId="15" borderId="0" xfId="0" applyNumberFormat="1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170" fontId="3" fillId="10" borderId="61" xfId="2" applyNumberFormat="1" applyFont="1" applyFill="1" applyBorder="1" applyAlignment="1" applyProtection="1">
      <alignment horizontal="center"/>
      <protection locked="0"/>
    </xf>
    <xf numFmtId="170" fontId="3" fillId="10" borderId="3" xfId="2" applyNumberFormat="1" applyFont="1" applyFill="1" applyBorder="1" applyAlignment="1" applyProtection="1">
      <alignment horizontal="center"/>
      <protection locked="0"/>
    </xf>
    <xf numFmtId="168" fontId="3" fillId="10" borderId="56" xfId="0" applyNumberFormat="1" applyFont="1" applyFill="1" applyBorder="1" applyAlignment="1" applyProtection="1">
      <alignment horizontal="center"/>
      <protection locked="0"/>
    </xf>
    <xf numFmtId="0" fontId="3" fillId="10" borderId="16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/>
      <protection locked="0"/>
    </xf>
    <xf numFmtId="168" fontId="3" fillId="10" borderId="56" xfId="1" applyNumberFormat="1" applyFont="1" applyFill="1" applyBorder="1" applyAlignment="1" applyProtection="1">
      <alignment horizontal="center"/>
      <protection locked="0"/>
    </xf>
    <xf numFmtId="168" fontId="3" fillId="10" borderId="16" xfId="1" applyNumberFormat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168" fontId="5" fillId="10" borderId="36" xfId="1" applyNumberFormat="1" applyFont="1" applyFill="1" applyBorder="1" applyAlignment="1" applyProtection="1">
      <alignment horizontal="center"/>
      <protection locked="0"/>
    </xf>
    <xf numFmtId="168" fontId="5" fillId="10" borderId="38" xfId="1" applyNumberFormat="1" applyFont="1" applyFill="1" applyBorder="1" applyAlignment="1" applyProtection="1">
      <alignment horizontal="center"/>
      <protection locked="0"/>
    </xf>
    <xf numFmtId="168" fontId="5" fillId="12" borderId="115" xfId="1" applyNumberFormat="1" applyFont="1" applyFill="1" applyBorder="1" applyAlignment="1" applyProtection="1">
      <alignment horizontal="center"/>
      <protection locked="0"/>
    </xf>
    <xf numFmtId="168" fontId="5" fillId="12" borderId="114" xfId="1" applyNumberFormat="1" applyFont="1" applyFill="1" applyBorder="1" applyAlignment="1" applyProtection="1">
      <alignment horizontal="center"/>
      <protection locked="0"/>
    </xf>
    <xf numFmtId="168" fontId="5" fillId="12" borderId="45" xfId="1" applyNumberFormat="1" applyFont="1" applyFill="1" applyBorder="1" applyAlignment="1" applyProtection="1">
      <alignment horizontal="center"/>
      <protection locked="0"/>
    </xf>
    <xf numFmtId="44" fontId="3" fillId="10" borderId="56" xfId="2" applyFont="1" applyFill="1" applyBorder="1" applyAlignment="1" applyProtection="1">
      <alignment horizontal="center"/>
      <protection locked="0"/>
    </xf>
    <xf numFmtId="44" fontId="3" fillId="10" borderId="16" xfId="2" applyFont="1" applyFill="1" applyBorder="1" applyAlignment="1" applyProtection="1">
      <alignment horizontal="center"/>
      <protection locked="0"/>
    </xf>
    <xf numFmtId="168" fontId="3" fillId="10" borderId="56" xfId="1" applyNumberFormat="1" applyFont="1" applyFill="1" applyBorder="1" applyAlignment="1" applyProtection="1">
      <alignment horizontal="right"/>
      <protection locked="0"/>
    </xf>
    <xf numFmtId="168" fontId="3" fillId="10" borderId="16" xfId="1" applyNumberFormat="1" applyFon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2" fillId="0" borderId="49" xfId="0" applyFont="1" applyBorder="1" applyAlignment="1">
      <alignment horizontal="right"/>
    </xf>
    <xf numFmtId="0" fontId="2" fillId="0" borderId="35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7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3" fillId="0" borderId="7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67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107" xfId="0" applyFont="1" applyBorder="1" applyAlignment="1">
      <alignment horizontal="center"/>
    </xf>
    <xf numFmtId="0" fontId="2" fillId="0" borderId="60" xfId="0" applyFont="1" applyBorder="1" applyAlignment="1">
      <alignment horizontal="right"/>
    </xf>
    <xf numFmtId="0" fontId="2" fillId="0" borderId="56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2" fillId="0" borderId="27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27" xfId="0" applyFont="1" applyBorder="1" applyAlignment="1">
      <alignment horizontal="center" textRotation="90" wrapText="1"/>
    </xf>
    <xf numFmtId="0" fontId="2" fillId="0" borderId="2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 wrapText="1"/>
    </xf>
    <xf numFmtId="0" fontId="3" fillId="0" borderId="70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62" xfId="0" applyFont="1" applyBorder="1" applyAlignment="1">
      <alignment horizontal="left"/>
    </xf>
    <xf numFmtId="0" fontId="3" fillId="0" borderId="78" xfId="0" applyFont="1" applyBorder="1" applyAlignment="1">
      <alignment horizontal="left"/>
    </xf>
    <xf numFmtId="0" fontId="5" fillId="2" borderId="0" xfId="0" applyFont="1" applyFill="1" applyAlignment="1">
      <alignment wrapText="1"/>
    </xf>
  </cellXfs>
  <cellStyles count="6">
    <cellStyle name="Comma" xfId="1" builtinId="3"/>
    <cellStyle name="Currency" xfId="2" builtinId="4"/>
    <cellStyle name="Normal" xfId="0" builtinId="0"/>
    <cellStyle name="Normal 2" xfId="5" xr:uid="{C3A5E28F-15EA-48C7-A69D-6EF2F514DB96}"/>
    <cellStyle name="Normal_PIERS" xfId="3" xr:uid="{00000000-0005-0000-0000-000003000000}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XFC143"/>
  <sheetViews>
    <sheetView tabSelected="1" zoomScale="85" zoomScaleNormal="85" workbookViewId="0">
      <pane xSplit="6" ySplit="10" topLeftCell="G11" activePane="bottomRight" state="frozen"/>
      <selection activeCell="C1" sqref="C1"/>
      <selection pane="topRight" activeCell="C1" sqref="C1"/>
      <selection pane="bottomLeft" activeCell="C1" sqref="C1"/>
      <selection pane="bottomRight" activeCell="P65" sqref="P65"/>
    </sheetView>
  </sheetViews>
  <sheetFormatPr defaultColWidth="0" defaultRowHeight="15.5" zeroHeight="1" x14ac:dyDescent="0.35"/>
  <cols>
    <col min="1" max="1" width="8.26953125" style="42" customWidth="1"/>
    <col min="2" max="2" width="13.81640625" style="42" customWidth="1"/>
    <col min="3" max="3" width="11" style="42" customWidth="1"/>
    <col min="4" max="4" width="5.1796875" style="58" customWidth="1"/>
    <col min="5" max="5" width="13.7265625" style="42" customWidth="1"/>
    <col min="6" max="6" width="11.54296875" style="42" customWidth="1"/>
    <col min="7" max="7" width="11.1796875" style="42" customWidth="1"/>
    <col min="8" max="8" width="9.453125" style="42" customWidth="1"/>
    <col min="9" max="9" width="10.26953125" style="42" customWidth="1"/>
    <col min="10" max="10" width="12" style="42" customWidth="1"/>
    <col min="11" max="11" width="10.26953125" style="42" customWidth="1"/>
    <col min="12" max="12" width="12.26953125" style="42" customWidth="1"/>
    <col min="13" max="14" width="10.26953125" style="42" customWidth="1"/>
    <col min="15" max="15" width="12.26953125" style="57" customWidth="1"/>
    <col min="16" max="16" width="10.26953125" style="57" customWidth="1"/>
    <col min="17" max="18" width="10.26953125" style="42" customWidth="1"/>
    <col min="19" max="19" width="8.54296875" style="42" customWidth="1"/>
    <col min="20" max="20" width="9.1796875" style="42" customWidth="1"/>
    <col min="21" max="21" width="15.54296875" style="42" customWidth="1"/>
    <col min="22" max="23" width="10.7265625" style="42" customWidth="1"/>
    <col min="24" max="24" width="13.81640625" style="702" customWidth="1"/>
    <col min="25" max="25" width="22.1796875" style="702" customWidth="1"/>
    <col min="26" max="26" width="4.36328125" style="702" customWidth="1"/>
    <col min="27" max="27" width="15.453125" style="42" hidden="1"/>
    <col min="28" max="30" width="9.1796875" style="42" hidden="1"/>
    <col min="31" max="31" width="18.1796875" style="42" hidden="1"/>
    <col min="32" max="16383" width="9.1796875" style="42" hidden="1"/>
    <col min="16384" max="16384" width="7.1796875" style="42" hidden="1"/>
  </cols>
  <sheetData>
    <row r="1" spans="1:25" ht="16" thickBot="1" x14ac:dyDescent="0.4">
      <c r="A1" s="702"/>
      <c r="B1" s="702"/>
      <c r="C1" s="702"/>
      <c r="D1" s="705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6"/>
      <c r="P1" s="706"/>
      <c r="Q1" s="702"/>
      <c r="R1" s="702"/>
      <c r="S1" s="702"/>
      <c r="T1" s="702"/>
      <c r="U1" s="702"/>
      <c r="V1" s="702"/>
      <c r="W1" s="702"/>
    </row>
    <row r="2" spans="1:25" ht="21.75" customHeight="1" thickBot="1" x14ac:dyDescent="0.4">
      <c r="A2" s="877"/>
      <c r="B2" s="962" t="s">
        <v>126</v>
      </c>
      <c r="C2" s="973">
        <f>Information!C2</f>
        <v>0</v>
      </c>
      <c r="D2" s="974"/>
      <c r="E2" s="975"/>
      <c r="F2" s="976"/>
      <c r="G2" s="352"/>
      <c r="H2" s="352"/>
      <c r="I2" s="964"/>
      <c r="J2" s="965"/>
      <c r="K2" s="970"/>
      <c r="L2" s="971"/>
      <c r="M2" s="970"/>
      <c r="N2" s="970"/>
      <c r="O2" s="971" t="s">
        <v>125</v>
      </c>
      <c r="P2" s="972" t="s">
        <v>554</v>
      </c>
      <c r="Q2" s="352"/>
      <c r="R2" s="352"/>
      <c r="S2" s="40"/>
      <c r="T2" s="40"/>
      <c r="U2" s="41"/>
      <c r="V2" s="354"/>
      <c r="W2" s="355"/>
      <c r="X2" s="701"/>
    </row>
    <row r="3" spans="1:25" ht="17.25" customHeight="1" thickBot="1" x14ac:dyDescent="0.4">
      <c r="A3" s="938"/>
      <c r="B3" s="963" t="s">
        <v>128</v>
      </c>
      <c r="C3" s="977">
        <f>Information!C3</f>
        <v>0</v>
      </c>
      <c r="D3" s="978"/>
      <c r="E3" s="979"/>
      <c r="F3" s="980"/>
      <c r="G3" s="326"/>
      <c r="H3" s="326"/>
      <c r="I3" s="966"/>
      <c r="J3" s="967" t="s">
        <v>132</v>
      </c>
      <c r="K3" s="2181">
        <f>Information!I13</f>
        <v>0</v>
      </c>
      <c r="L3" s="2182"/>
      <c r="M3" s="2182"/>
      <c r="N3" s="2183"/>
      <c r="O3" s="983">
        <f>Information!L13</f>
        <v>0</v>
      </c>
      <c r="P3" s="984"/>
      <c r="Q3" s="326"/>
      <c r="R3" s="326"/>
      <c r="S3" s="7"/>
      <c r="T3" s="7"/>
      <c r="U3" s="7"/>
      <c r="V3" s="353"/>
      <c r="W3" s="351"/>
      <c r="X3" s="701"/>
    </row>
    <row r="4" spans="1:25" ht="15.75" customHeight="1" thickBot="1" x14ac:dyDescent="0.4">
      <c r="A4" s="938"/>
      <c r="B4" s="963" t="s">
        <v>130</v>
      </c>
      <c r="C4" s="981">
        <f>Information!C4</f>
        <v>0</v>
      </c>
      <c r="D4" s="707"/>
      <c r="E4" s="708"/>
      <c r="F4" s="982"/>
      <c r="G4" s="326"/>
      <c r="H4" s="326"/>
      <c r="I4" s="966"/>
      <c r="J4" s="967" t="s">
        <v>133</v>
      </c>
      <c r="K4" s="2181">
        <f>Information!I14</f>
        <v>0</v>
      </c>
      <c r="L4" s="2182"/>
      <c r="M4" s="2182"/>
      <c r="N4" s="2183"/>
      <c r="O4" s="985">
        <f>Information!L14</f>
        <v>0</v>
      </c>
      <c r="P4" s="986"/>
      <c r="Q4" s="326"/>
      <c r="R4" s="326"/>
      <c r="S4" s="1417" t="s">
        <v>304</v>
      </c>
      <c r="T4" s="2160" t="str">
        <f>Information!C8</f>
        <v>Chad McKinney</v>
      </c>
      <c r="U4" s="2161"/>
      <c r="V4" s="353"/>
      <c r="W4" s="351"/>
      <c r="X4" s="701"/>
    </row>
    <row r="5" spans="1:25" ht="14.15" customHeight="1" x14ac:dyDescent="0.35">
      <c r="A5" s="313"/>
      <c r="B5" s="326"/>
      <c r="C5" s="35" t="s">
        <v>115</v>
      </c>
      <c r="D5" s="37"/>
      <c r="E5" s="35" t="s">
        <v>125</v>
      </c>
      <c r="F5" s="326"/>
      <c r="G5" s="326"/>
      <c r="H5" s="326"/>
      <c r="I5" s="966"/>
      <c r="J5" s="967" t="s">
        <v>134</v>
      </c>
      <c r="K5" s="2181">
        <f>Information!I15</f>
        <v>0</v>
      </c>
      <c r="L5" s="2182"/>
      <c r="M5" s="2182"/>
      <c r="N5" s="2183"/>
      <c r="O5" s="985">
        <f>Information!L15</f>
        <v>0</v>
      </c>
      <c r="P5" s="986"/>
      <c r="Q5" s="326"/>
      <c r="R5" s="326"/>
      <c r="S5" s="1762" t="str">
        <f>Information!H5</f>
        <v>Approved by Chad:</v>
      </c>
      <c r="T5" s="989"/>
      <c r="U5" s="1416"/>
      <c r="V5" s="353"/>
      <c r="W5" s="351"/>
      <c r="X5" s="701"/>
    </row>
    <row r="6" spans="1:25" ht="14.15" customHeight="1" thickBot="1" x14ac:dyDescent="0.4">
      <c r="A6" s="313"/>
      <c r="B6" s="357" t="s">
        <v>127</v>
      </c>
      <c r="C6" s="991">
        <f>Information!I2</f>
        <v>0</v>
      </c>
      <c r="D6" s="348"/>
      <c r="E6" s="993">
        <f>Information!J2</f>
        <v>0</v>
      </c>
      <c r="F6" s="326"/>
      <c r="G6" s="326"/>
      <c r="H6" s="326"/>
      <c r="I6" s="968"/>
      <c r="J6" s="969" t="s">
        <v>135</v>
      </c>
      <c r="K6" s="2184">
        <f>Information!I16</f>
        <v>0</v>
      </c>
      <c r="L6" s="2185"/>
      <c r="M6" s="2185"/>
      <c r="N6" s="2186"/>
      <c r="O6" s="987">
        <f>Information!L16</f>
        <v>0</v>
      </c>
      <c r="P6" s="988"/>
      <c r="Q6" s="326"/>
      <c r="R6" s="326"/>
      <c r="S6" s="1763" t="str">
        <f>Information!H6</f>
        <v>Approved by Edward:</v>
      </c>
      <c r="T6" s="990"/>
      <c r="U6" s="1415"/>
      <c r="V6" s="353"/>
      <c r="W6" s="351"/>
      <c r="X6" s="701"/>
    </row>
    <row r="7" spans="1:25" ht="14.15" customHeight="1" thickBot="1" x14ac:dyDescent="0.4">
      <c r="A7" s="313"/>
      <c r="B7" s="357" t="s">
        <v>129</v>
      </c>
      <c r="C7" s="992">
        <f>Information!I3</f>
        <v>0</v>
      </c>
      <c r="D7" s="348"/>
      <c r="E7" s="994">
        <f>Information!J3</f>
        <v>0</v>
      </c>
      <c r="F7" s="326"/>
      <c r="G7" s="326"/>
      <c r="H7" s="326"/>
      <c r="I7" s="326"/>
      <c r="J7" s="356"/>
      <c r="K7" s="7"/>
      <c r="L7" s="7"/>
      <c r="M7" s="45" t="s">
        <v>138</v>
      </c>
      <c r="N7" s="7"/>
      <c r="O7" s="7"/>
      <c r="P7" s="326"/>
      <c r="Q7" s="326"/>
      <c r="R7" s="326"/>
      <c r="S7" s="326"/>
      <c r="T7" s="326"/>
      <c r="U7" s="326"/>
      <c r="V7" s="353"/>
      <c r="W7" s="351"/>
      <c r="X7" s="701"/>
    </row>
    <row r="8" spans="1:25" ht="14.15" customHeight="1" x14ac:dyDescent="0.35">
      <c r="A8" s="1751"/>
      <c r="B8" s="995" t="s">
        <v>161</v>
      </c>
      <c r="C8" s="996"/>
      <c r="D8" s="2177" t="str">
        <f>Pricing!A2</f>
        <v>Martin Marrieta</v>
      </c>
      <c r="E8" s="2178"/>
      <c r="F8" s="326"/>
      <c r="G8" s="2174" t="s">
        <v>145</v>
      </c>
      <c r="H8" s="2153" t="s">
        <v>343</v>
      </c>
      <c r="I8" s="2153" t="s">
        <v>310</v>
      </c>
      <c r="J8" s="2187" t="s">
        <v>146</v>
      </c>
      <c r="K8" s="2156" t="s">
        <v>311</v>
      </c>
      <c r="L8" s="2164" t="s">
        <v>312</v>
      </c>
      <c r="M8" s="2153" t="s">
        <v>313</v>
      </c>
      <c r="N8" s="2153" t="s">
        <v>314</v>
      </c>
      <c r="O8" s="2153" t="s">
        <v>300</v>
      </c>
      <c r="P8" s="2156" t="s">
        <v>45</v>
      </c>
      <c r="Q8" s="2156" t="s">
        <v>147</v>
      </c>
      <c r="R8" s="2156" t="s">
        <v>148</v>
      </c>
      <c r="S8" s="2153" t="s">
        <v>315</v>
      </c>
      <c r="T8" s="2164" t="s">
        <v>316</v>
      </c>
      <c r="U8" s="2167" t="s">
        <v>50</v>
      </c>
      <c r="V8" s="25" t="s">
        <v>139</v>
      </c>
      <c r="W8" s="44"/>
      <c r="X8" s="701"/>
    </row>
    <row r="9" spans="1:25" ht="14.15" customHeight="1" x14ac:dyDescent="0.35">
      <c r="A9" s="313"/>
      <c r="B9" s="326"/>
      <c r="C9" s="479"/>
      <c r="D9" s="480"/>
      <c r="E9" s="481" t="s">
        <v>140</v>
      </c>
      <c r="F9" s="35" t="s">
        <v>141</v>
      </c>
      <c r="G9" s="2175"/>
      <c r="H9" s="2154"/>
      <c r="I9" s="2154"/>
      <c r="J9" s="2188"/>
      <c r="K9" s="2154"/>
      <c r="L9" s="2190"/>
      <c r="M9" s="2170"/>
      <c r="N9" s="2170"/>
      <c r="O9" s="2154"/>
      <c r="P9" s="2154"/>
      <c r="Q9" s="2154"/>
      <c r="R9" s="2154"/>
      <c r="S9" s="2154"/>
      <c r="T9" s="2165"/>
      <c r="U9" s="2168"/>
      <c r="V9" s="26" t="s">
        <v>142</v>
      </c>
      <c r="W9" s="351"/>
      <c r="X9" s="701"/>
    </row>
    <row r="10" spans="1:25" ht="15" customHeight="1" thickBot="1" x14ac:dyDescent="0.4">
      <c r="A10" s="2172" t="s">
        <v>143</v>
      </c>
      <c r="B10" s="2173"/>
      <c r="C10" s="359" t="s">
        <v>113</v>
      </c>
      <c r="D10" s="360" t="s">
        <v>144</v>
      </c>
      <c r="E10" s="358" t="s">
        <v>105</v>
      </c>
      <c r="F10" s="378" t="s">
        <v>5</v>
      </c>
      <c r="G10" s="2176"/>
      <c r="H10" s="2155"/>
      <c r="I10" s="2155"/>
      <c r="J10" s="2189"/>
      <c r="K10" s="2155"/>
      <c r="L10" s="2191"/>
      <c r="M10" s="2171"/>
      <c r="N10" s="2171"/>
      <c r="O10" s="2155"/>
      <c r="P10" s="2155"/>
      <c r="Q10" s="2155"/>
      <c r="R10" s="2155"/>
      <c r="S10" s="2155"/>
      <c r="T10" s="2166"/>
      <c r="U10" s="2169"/>
      <c r="V10" s="28" t="s">
        <v>149</v>
      </c>
      <c r="W10" s="379" t="s">
        <v>136</v>
      </c>
      <c r="X10" s="701"/>
    </row>
    <row r="11" spans="1:25" ht="14.15" customHeight="1" thickTop="1" x14ac:dyDescent="0.35">
      <c r="A11" s="1654"/>
      <c r="B11" s="1655"/>
      <c r="C11" s="1051"/>
      <c r="D11" s="1656"/>
      <c r="E11" s="1051"/>
      <c r="F11" s="1657"/>
      <c r="G11" s="1658"/>
      <c r="H11" s="1658"/>
      <c r="I11" s="1658"/>
      <c r="J11" s="1658"/>
      <c r="K11" s="1658"/>
      <c r="L11" s="1658"/>
      <c r="M11" s="1658"/>
      <c r="N11" s="1658"/>
      <c r="O11" s="1658"/>
      <c r="P11" s="1658"/>
      <c r="Q11" s="1658"/>
      <c r="R11" s="1658"/>
      <c r="S11" s="1658"/>
      <c r="T11" s="1658"/>
      <c r="U11" s="1658"/>
      <c r="V11" s="1659"/>
      <c r="W11" s="1688"/>
      <c r="X11" s="1693"/>
      <c r="Y11" s="1694"/>
    </row>
    <row r="12" spans="1:25" ht="14.15" customHeight="1" x14ac:dyDescent="0.35">
      <c r="A12" s="2140" t="s">
        <v>1086</v>
      </c>
      <c r="B12" s="2135"/>
      <c r="C12" s="1660">
        <f>'Mono Slab on Grade Garden Style'!I83</f>
        <v>0</v>
      </c>
      <c r="D12" s="699" t="s">
        <v>49</v>
      </c>
      <c r="E12" s="1661">
        <f>'Mono Slab on Grade Garden Style'!E64</f>
        <v>0</v>
      </c>
      <c r="F12" s="694">
        <f>IF(C12=0,0,E12/$C$12)</f>
        <v>0</v>
      </c>
      <c r="G12" s="1662">
        <f>'Mono Slab on Grade Garden Style'!AO83+'Mono Slab on Grade Garden Style'!AO96+'Mono Slab on Grade Garden Style'!AO90++'Mono Slab on Grade Garden Style'!AO135</f>
        <v>0</v>
      </c>
      <c r="H12" s="1662">
        <f>'Mono Slab on Grade Garden Style'!AO84+'Mono Slab on Grade Garden Style'!AO85</f>
        <v>0</v>
      </c>
      <c r="I12" s="1662">
        <f>'Mono Slab on Grade Garden Style'!AO88</f>
        <v>0</v>
      </c>
      <c r="J12" s="1662">
        <f>'Mono Slab on Grade Garden Style'!AO86</f>
        <v>0</v>
      </c>
      <c r="K12" s="1662">
        <f>'Mono Slab on Grade Garden Style'!AO87</f>
        <v>0</v>
      </c>
      <c r="L12" s="1662">
        <f>'Mono Slab on Grade Garden Style'!AO89</f>
        <v>0</v>
      </c>
      <c r="M12" s="1662">
        <f>'Mono Slab on Grade Garden Style'!AO91</f>
        <v>0</v>
      </c>
      <c r="N12" s="1662">
        <f>'Mono Slab on Grade Garden Style'!AO106+'Mono Slab on Grade Garden Style'!AO107+'Mono Slab on Grade Garden Style'!AO108+'Mono Slab on Grade Garden Style'!AO109+'Mono Slab on Grade Garden Style'!AO110+'Mono Slab on Grade Garden Style'!AO111</f>
        <v>0</v>
      </c>
      <c r="O12" s="1662">
        <f>'Mono Slab on Grade Garden Style'!AO113+'Mono Slab on Grade Garden Style'!AO114+'Mono Slab on Grade Garden Style'!AO115+'Mono Slab on Grade Garden Style'!AO116+'Mono Slab on Grade Garden Style'!AO117+'Mono Slab on Grade Garden Style'!AO118+'Mono Slab on Grade Garden Style'!AO119+'Mono Slab on Grade Garden Style'!AO120+'Mono Slab on Grade Garden Style'!AO121+'Mono Slab on Grade Garden Style'!AO122+'Mono Slab on Grade Garden Style'!AO125+'Mono Slab on Grade Garden Style'!AO126+'Mono Slab on Grade Garden Style'!AO127+'Mono Slab on Grade Garden Style'!AO128+'Mono Slab on Grade Garden Style'!AO129+'Mono Slab on Grade Garden Style'!AO130+'Mono Slab on Grade Garden Style'!AO131+'Mono Slab on Grade Garden Style'!AO132</f>
        <v>0</v>
      </c>
      <c r="P12" s="1662">
        <f>'Mono Slab on Grade Garden Style'!AO102</f>
        <v>0</v>
      </c>
      <c r="Q12" s="1662">
        <f>'Mono Slab on Grade Garden Style'!AO100+'Mono Slab on Grade Garden Style'!AO101</f>
        <v>0</v>
      </c>
      <c r="R12" s="1662">
        <f>'Mono Slab on Grade Garden Style'!AO133+'Mono Slab on Grade Garden Style'!AO134</f>
        <v>0</v>
      </c>
      <c r="S12" s="1662">
        <f>'Mono Slab on Grade Garden Style'!AO103</f>
        <v>0</v>
      </c>
      <c r="T12" s="1662"/>
      <c r="U12" s="1663">
        <f>IF(C12=0,0,SUM(G12:T12))</f>
        <v>0</v>
      </c>
      <c r="V12" s="1664">
        <f>IF(C12=0,0,1-(U12/E12))</f>
        <v>0</v>
      </c>
      <c r="W12" s="1689">
        <f>SUM('Mono Slab on Grade Garden Style'!L71:L73)</f>
        <v>0</v>
      </c>
      <c r="X12" s="1052">
        <f>'Mono Slab on Grade Garden Style'!AC64</f>
        <v>0</v>
      </c>
      <c r="Y12" s="1631">
        <f>X12-U12</f>
        <v>0</v>
      </c>
    </row>
    <row r="13" spans="1:25" ht="14.15" customHeight="1" x14ac:dyDescent="0.35">
      <c r="A13" s="2132"/>
      <c r="B13" s="2133"/>
      <c r="C13" s="1660"/>
      <c r="D13" s="1051"/>
      <c r="E13" s="1661"/>
      <c r="F13" s="1665"/>
      <c r="G13" s="709">
        <f>IF(C12=0,0,G12/C12)</f>
        <v>0</v>
      </c>
      <c r="H13" s="710">
        <f>IF($C12=0,0,H12/$C$12)</f>
        <v>0</v>
      </c>
      <c r="I13" s="710">
        <f>IF($C12=0,0,I12/$C$12)</f>
        <v>0</v>
      </c>
      <c r="J13" s="710">
        <f>IF($C12=0,0,J12/$C$12)</f>
        <v>0</v>
      </c>
      <c r="K13" s="710">
        <f t="shared" ref="K13:S13" si="0">IF($C12=0,0,K12/$C$12)</f>
        <v>0</v>
      </c>
      <c r="L13" s="710">
        <f t="shared" si="0"/>
        <v>0</v>
      </c>
      <c r="M13" s="710">
        <f t="shared" si="0"/>
        <v>0</v>
      </c>
      <c r="N13" s="710">
        <f t="shared" si="0"/>
        <v>0</v>
      </c>
      <c r="O13" s="710">
        <f t="shared" si="0"/>
        <v>0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1">
        <f>SUM(G13:S13)</f>
        <v>0</v>
      </c>
      <c r="U13" s="1677"/>
      <c r="V13" s="1664"/>
      <c r="W13" s="1688"/>
      <c r="X13" s="1695" t="s">
        <v>1058</v>
      </c>
      <c r="Y13" s="1696"/>
    </row>
    <row r="14" spans="1:25" ht="14.15" customHeight="1" x14ac:dyDescent="0.35">
      <c r="A14" s="2140" t="s">
        <v>1088</v>
      </c>
      <c r="B14" s="2135"/>
      <c r="C14" s="1660">
        <f>'Mono Slab on Grade Building 1'!I83</f>
        <v>0</v>
      </c>
      <c r="D14" s="699" t="s">
        <v>49</v>
      </c>
      <c r="E14" s="1661">
        <f>'Mono Slab on Grade Building 1'!E64</f>
        <v>0</v>
      </c>
      <c r="F14" s="694">
        <f>IF(C14=0,0,E14/$C$14)</f>
        <v>0</v>
      </c>
      <c r="G14" s="1662">
        <f>'Mono Slab on Grade Building 1'!AO83+'Mono Slab on Grade Building 1'!AO96+'Mono Slab on Grade Building 1'!AO90++'Mono Slab on Grade Building 1'!AO135</f>
        <v>0</v>
      </c>
      <c r="H14" s="1662">
        <f>'Mono Slab on Grade Building 1'!AO84+'Mono Slab on Grade Building 1'!AO85</f>
        <v>0</v>
      </c>
      <c r="I14" s="1662">
        <f>'Mono Slab on Grade Building 1'!AO88</f>
        <v>0</v>
      </c>
      <c r="J14" s="1662">
        <f>'Mono Slab on Grade Building 1'!AO86</f>
        <v>0</v>
      </c>
      <c r="K14" s="1662">
        <f>'Mono Slab on Grade Building 1'!AO87</f>
        <v>0</v>
      </c>
      <c r="L14" s="1662">
        <f>'Mono Slab on Grade Building 1'!AO89</f>
        <v>0</v>
      </c>
      <c r="M14" s="1662">
        <f>'Mono Slab on Grade Building 1'!AO91</f>
        <v>0</v>
      </c>
      <c r="N14" s="1662">
        <f>'Mono Slab on Grade Building 1'!AO106+'Mono Slab on Grade Building 1'!AO107+'Mono Slab on Grade Building 1'!AO108+'Mono Slab on Grade Building 1'!AO109+'Mono Slab on Grade Building 1'!AO110+'Mono Slab on Grade Building 1'!AO111</f>
        <v>0</v>
      </c>
      <c r="O14" s="1662">
        <f>'Mono Slab on Grade Building 1'!AO113+'Mono Slab on Grade Building 1'!AO114+'Mono Slab on Grade Building 1'!AO115+'Mono Slab on Grade Building 1'!AO116+'Mono Slab on Grade Building 1'!AO117+'Mono Slab on Grade Building 1'!AO118+'Mono Slab on Grade Building 1'!AO119+'Mono Slab on Grade Building 1'!AO120+'Mono Slab on Grade Building 1'!AO121+'Mono Slab on Grade Building 1'!AO122+'Mono Slab on Grade Building 1'!AO125+'Mono Slab on Grade Building 1'!AO126+'Mono Slab on Grade Building 1'!AO127+'Mono Slab on Grade Building 1'!AO128+'Mono Slab on Grade Building 1'!AO129+'Mono Slab on Grade Building 1'!AO130+'Mono Slab on Grade Building 1'!AO131+'Mono Slab on Grade Building 1'!AO132</f>
        <v>0</v>
      </c>
      <c r="P14" s="1662">
        <f>'Mono Slab on Grade Building 1'!AO102</f>
        <v>0</v>
      </c>
      <c r="Q14" s="1662">
        <f>'Mono Slab on Grade Building 1'!AO100+'Mono Slab on Grade Building 1'!AO101</f>
        <v>0</v>
      </c>
      <c r="R14" s="1662">
        <f>'Mono Slab on Grade Building 1'!AO133+'Mono Slab on Grade Building 1'!AO134</f>
        <v>0</v>
      </c>
      <c r="S14" s="1662">
        <f>'Mono Slab on Grade Building 1'!AO103</f>
        <v>0</v>
      </c>
      <c r="T14" s="1662"/>
      <c r="U14" s="1663">
        <f>IF(C14=0,0,SUM(G14:T14))</f>
        <v>0</v>
      </c>
      <c r="V14" s="1664">
        <f>IF(C14=0,0,1-(U14/E14))</f>
        <v>0</v>
      </c>
      <c r="W14" s="1689">
        <f>SUM('Mono Slab on Grade Building 1'!L71:L73)</f>
        <v>0</v>
      </c>
      <c r="X14" s="1052">
        <f>'Mono Slab on Grade Building 1'!AC64</f>
        <v>0</v>
      </c>
      <c r="Y14" s="1631">
        <f>X14-U14</f>
        <v>0</v>
      </c>
    </row>
    <row r="15" spans="1:25" ht="14.15" customHeight="1" x14ac:dyDescent="0.35">
      <c r="A15" s="2132"/>
      <c r="B15" s="2133"/>
      <c r="C15" s="1660">
        <f>'Mono Slab on Grade Building 1'!I84</f>
        <v>0</v>
      </c>
      <c r="D15" s="1051"/>
      <c r="E15" s="1661"/>
      <c r="F15" s="1665"/>
      <c r="G15" s="709">
        <f>IF(C14=0,0,G14/C14)</f>
        <v>0</v>
      </c>
      <c r="H15" s="710">
        <f t="shared" ref="H15:S15" si="1">IF($C14=0,0,H14/$C$14)</f>
        <v>0</v>
      </c>
      <c r="I15" s="710">
        <f t="shared" si="1"/>
        <v>0</v>
      </c>
      <c r="J15" s="710">
        <f t="shared" si="1"/>
        <v>0</v>
      </c>
      <c r="K15" s="710">
        <f t="shared" si="1"/>
        <v>0</v>
      </c>
      <c r="L15" s="710">
        <f t="shared" si="1"/>
        <v>0</v>
      </c>
      <c r="M15" s="710">
        <f t="shared" si="1"/>
        <v>0</v>
      </c>
      <c r="N15" s="710">
        <f t="shared" si="1"/>
        <v>0</v>
      </c>
      <c r="O15" s="710">
        <f t="shared" si="1"/>
        <v>0</v>
      </c>
      <c r="P15" s="710">
        <f t="shared" si="1"/>
        <v>0</v>
      </c>
      <c r="Q15" s="710">
        <f t="shared" si="1"/>
        <v>0</v>
      </c>
      <c r="R15" s="710">
        <f t="shared" si="1"/>
        <v>0</v>
      </c>
      <c r="S15" s="710">
        <f t="shared" si="1"/>
        <v>0</v>
      </c>
      <c r="T15" s="711">
        <f>SUM(G15:S15)</f>
        <v>0</v>
      </c>
      <c r="U15" s="1677"/>
      <c r="V15" s="1664"/>
      <c r="W15" s="1688"/>
      <c r="X15" s="1695" t="s">
        <v>1058</v>
      </c>
      <c r="Y15" s="1696"/>
    </row>
    <row r="16" spans="1:25" ht="14.15" customHeight="1" x14ac:dyDescent="0.35">
      <c r="A16" s="2140" t="s">
        <v>1087</v>
      </c>
      <c r="B16" s="2135"/>
      <c r="C16" s="1660">
        <f>'Mono Slab on Grade Building 2'!I83</f>
        <v>0</v>
      </c>
      <c r="D16" s="699" t="s">
        <v>49</v>
      </c>
      <c r="E16" s="1661">
        <f>'Mono Slab on Grade Building 2'!E64</f>
        <v>0</v>
      </c>
      <c r="F16" s="694">
        <f>IF(C16=0,0,E16/$C$12)</f>
        <v>0</v>
      </c>
      <c r="G16" s="1662">
        <f>'Mono Slab on Grade Building 2'!AO83+'Mono Slab on Grade Building 2'!AO96+'Mono Slab on Grade Building 2'!AO90++'Mono Slab on Grade Building 2'!AO135</f>
        <v>0</v>
      </c>
      <c r="H16" s="1662">
        <f>'Mono Slab on Grade Building 2'!AO84+'Mono Slab on Grade Building 2'!AO85</f>
        <v>0</v>
      </c>
      <c r="I16" s="1662">
        <f>'Mono Slab on Grade Building 2'!AO88</f>
        <v>0</v>
      </c>
      <c r="J16" s="1662">
        <f>'Mono Slab on Grade Building 2'!AO86</f>
        <v>0</v>
      </c>
      <c r="K16" s="1662">
        <f>'Mono Slab on Grade Building 2'!AO87</f>
        <v>0</v>
      </c>
      <c r="L16" s="1662">
        <f>'Mono Slab on Grade Building 2'!AO89</f>
        <v>0</v>
      </c>
      <c r="M16" s="1662">
        <f>'Mono Slab on Grade Building 2'!AO91</f>
        <v>0</v>
      </c>
      <c r="N16" s="1662">
        <f>'Mono Slab on Grade Building 2'!AO106+'Mono Slab on Grade Building 2'!AO107+'Mono Slab on Grade Building 2'!AO108+'Mono Slab on Grade Building 2'!AO109+'Mono Slab on Grade Building 2'!AO110+'Mono Slab on Grade Building 2'!AO111</f>
        <v>0</v>
      </c>
      <c r="O16" s="1662">
        <f>'Mono Slab on Grade Building 2'!AO113+'Mono Slab on Grade Building 2'!AO114+'Mono Slab on Grade Building 2'!AO115+'Mono Slab on Grade Building 2'!AO116+'Mono Slab on Grade Building 2'!AO117+'Mono Slab on Grade Building 2'!AO118+'Mono Slab on Grade Building 2'!AO119+'Mono Slab on Grade Building 2'!AO120+'Mono Slab on Grade Building 2'!AO121+'Mono Slab on Grade Building 2'!AO122+'Mono Slab on Grade Building 2'!AO125+'Mono Slab on Grade Building 2'!AO126+'Mono Slab on Grade Building 2'!AO127+'Mono Slab on Grade Building 2'!AO128+'Mono Slab on Grade Building 2'!AO129+'Mono Slab on Grade Building 2'!AO130+'Mono Slab on Grade Building 2'!AO131+'Mono Slab on Grade Building 2'!AO132</f>
        <v>0</v>
      </c>
      <c r="P16" s="1662">
        <f>'Mono Slab on Grade Building 2'!AO102</f>
        <v>0</v>
      </c>
      <c r="Q16" s="1662">
        <f>'Mono Slab on Grade Building 2'!AO100+'Mono Slab on Grade Building 2'!AO101</f>
        <v>0</v>
      </c>
      <c r="R16" s="1662">
        <f>'Mono Slab on Grade Building 2'!AO133+'Mono Slab on Grade Building 2'!AO134</f>
        <v>0</v>
      </c>
      <c r="S16" s="1662">
        <f>'Mono Slab on Grade Building 2'!AO103</f>
        <v>0</v>
      </c>
      <c r="T16" s="1662"/>
      <c r="U16" s="1663">
        <f>IF(C16=0,0,SUM(G16:T16))</f>
        <v>0</v>
      </c>
      <c r="V16" s="1664">
        <f>IF(C16=0,0,1-(U16/E16))</f>
        <v>0</v>
      </c>
      <c r="W16" s="1689">
        <f>SUM('Mono Slab on Grade Building 2'!L71:L73)</f>
        <v>0</v>
      </c>
      <c r="X16" s="1052">
        <f>'Mono Slab on Grade Building 2'!AC64</f>
        <v>0</v>
      </c>
      <c r="Y16" s="1631">
        <f>X16-U16</f>
        <v>0</v>
      </c>
    </row>
    <row r="17" spans="1:26" ht="14.15" customHeight="1" x14ac:dyDescent="0.35">
      <c r="A17" s="2132"/>
      <c r="B17" s="2133"/>
      <c r="C17" s="1660"/>
      <c r="D17" s="1051"/>
      <c r="E17" s="1661"/>
      <c r="F17" s="1665"/>
      <c r="G17" s="709">
        <f>IF(C16=0,0,G16/C16)</f>
        <v>0</v>
      </c>
      <c r="H17" s="710">
        <f t="shared" ref="H17:S17" si="2">IF($C16=0,0,H16/$C$12)</f>
        <v>0</v>
      </c>
      <c r="I17" s="710">
        <f t="shared" si="2"/>
        <v>0</v>
      </c>
      <c r="J17" s="710">
        <f t="shared" si="2"/>
        <v>0</v>
      </c>
      <c r="K17" s="710">
        <f t="shared" si="2"/>
        <v>0</v>
      </c>
      <c r="L17" s="710">
        <f t="shared" si="2"/>
        <v>0</v>
      </c>
      <c r="M17" s="710">
        <f t="shared" si="2"/>
        <v>0</v>
      </c>
      <c r="N17" s="710">
        <f t="shared" si="2"/>
        <v>0</v>
      </c>
      <c r="O17" s="710">
        <f t="shared" si="2"/>
        <v>0</v>
      </c>
      <c r="P17" s="710">
        <f t="shared" si="2"/>
        <v>0</v>
      </c>
      <c r="Q17" s="710">
        <f t="shared" si="2"/>
        <v>0</v>
      </c>
      <c r="R17" s="710">
        <f t="shared" si="2"/>
        <v>0</v>
      </c>
      <c r="S17" s="710">
        <f t="shared" si="2"/>
        <v>0</v>
      </c>
      <c r="T17" s="711">
        <f>SUM(G17:S17)</f>
        <v>0</v>
      </c>
      <c r="U17" s="1677"/>
      <c r="V17" s="1664"/>
      <c r="W17" s="1688"/>
      <c r="X17" s="1695" t="s">
        <v>1058</v>
      </c>
      <c r="Y17" s="1696"/>
    </row>
    <row r="18" spans="1:26" ht="14.15" customHeight="1" x14ac:dyDescent="0.35">
      <c r="A18" s="2132"/>
      <c r="B18" s="2133"/>
      <c r="C18" s="1660"/>
      <c r="D18" s="1051"/>
      <c r="E18" s="1661"/>
      <c r="F18" s="1666"/>
      <c r="G18" s="1662"/>
      <c r="H18" s="1662"/>
      <c r="I18" s="1662"/>
      <c r="J18" s="1662"/>
      <c r="K18" s="1662"/>
      <c r="L18" s="1662"/>
      <c r="M18" s="1662"/>
      <c r="N18" s="1662"/>
      <c r="O18" s="1662"/>
      <c r="P18" s="1662"/>
      <c r="Q18" s="1662"/>
      <c r="R18" s="1662"/>
      <c r="S18" s="1662"/>
      <c r="T18" s="1680"/>
      <c r="U18" s="1663"/>
      <c r="V18" s="1664"/>
      <c r="W18" s="1689"/>
      <c r="X18" s="1697"/>
      <c r="Y18" s="1696"/>
    </row>
    <row r="19" spans="1:26" ht="14.15" customHeight="1" x14ac:dyDescent="0.35">
      <c r="A19" s="2134" t="s">
        <v>26</v>
      </c>
      <c r="B19" s="2135"/>
      <c r="C19" s="1660">
        <f>PIERS!E39</f>
        <v>0</v>
      </c>
      <c r="D19" s="699" t="s">
        <v>137</v>
      </c>
      <c r="E19" s="1661">
        <f>PIERS!E42</f>
        <v>0</v>
      </c>
      <c r="F19" s="695">
        <f>IF(C19=0,0,E19/C19)</f>
        <v>0</v>
      </c>
      <c r="G19" s="1662">
        <f>SUM(PIERS!W49:W70)</f>
        <v>0</v>
      </c>
      <c r="H19" s="1662"/>
      <c r="I19" s="1662"/>
      <c r="J19" s="1662">
        <f>PIERS!O52</f>
        <v>0</v>
      </c>
      <c r="K19" s="1662">
        <f>SUM(PIERS!W71:W76)</f>
        <v>0</v>
      </c>
      <c r="L19" s="1662">
        <f>SUM(PIERS!O49:P51)</f>
        <v>0</v>
      </c>
      <c r="M19" s="1662">
        <f>SUM(PIERS!W77:W79)</f>
        <v>0</v>
      </c>
      <c r="N19" s="1662">
        <f>SUM(PIERS!O76:P81)-PIERS!O80+PIERS!O53</f>
        <v>0</v>
      </c>
      <c r="O19" s="1662">
        <f>SUM(PIERS!O56:P60)</f>
        <v>0</v>
      </c>
      <c r="P19" s="1662">
        <f>SUM(PIERS!L56:M60)</f>
        <v>0</v>
      </c>
      <c r="Q19" s="1662">
        <f>SUM(PIERS!O63:P67)</f>
        <v>0</v>
      </c>
      <c r="R19" s="1662">
        <f>PIERS!AE125+PIERS!AE126</f>
        <v>0</v>
      </c>
      <c r="S19" s="1662">
        <f>PIERS!O80</f>
        <v>0</v>
      </c>
      <c r="T19" s="1680"/>
      <c r="U19" s="1663">
        <f>IF(C19=0,0,SUM(G19:T19))</f>
        <v>0</v>
      </c>
      <c r="V19" s="1664">
        <f>IF(C19=0,0,1-(U19/E19))</f>
        <v>0</v>
      </c>
      <c r="W19" s="1689">
        <f>PIERS!S39</f>
        <v>0</v>
      </c>
      <c r="X19" s="1052">
        <f>PIERS!T42</f>
        <v>0</v>
      </c>
      <c r="Y19" s="1631">
        <f t="shared" ref="Y19:Y24" si="3">X19-U19</f>
        <v>0</v>
      </c>
    </row>
    <row r="20" spans="1:26" ht="14.15" customHeight="1" x14ac:dyDescent="0.35">
      <c r="A20" s="2134" t="s">
        <v>48</v>
      </c>
      <c r="B20" s="2135"/>
      <c r="C20" s="1005">
        <f>'Gd Beams'!I63</f>
        <v>0</v>
      </c>
      <c r="D20" s="699" t="s">
        <v>49</v>
      </c>
      <c r="E20" s="1661">
        <f>'Gd Beams'!E41</f>
        <v>0</v>
      </c>
      <c r="F20" s="696">
        <f>IF(C20=0,0,E20/C20)</f>
        <v>0</v>
      </c>
      <c r="G20" s="1662">
        <f>'Gd Beams'!AF67+'Gd Beams'!AF74+'Gd Beams'!AF117</f>
        <v>0</v>
      </c>
      <c r="H20" s="1662">
        <f>'Gd Beams'!AF68+'Gd Beams'!AF69</f>
        <v>0</v>
      </c>
      <c r="I20" s="1662">
        <f>'Gd Beams'!AF72</f>
        <v>0</v>
      </c>
      <c r="J20" s="1662">
        <f>'Gd Beams'!AF70</f>
        <v>0</v>
      </c>
      <c r="K20" s="1662">
        <f>'Gd Beams'!AF71</f>
        <v>0</v>
      </c>
      <c r="L20" s="1662">
        <f>'Gd Beams'!AF73</f>
        <v>0</v>
      </c>
      <c r="M20" s="1662">
        <f>'Gd Beams'!AF75</f>
        <v>0</v>
      </c>
      <c r="N20" s="1662">
        <f>'Gd Beams'!AF88+'Gd Beams'!AF89+'Gd Beams'!AF90+'Gd Beams'!AF91+'Gd Beams'!AF92+'Gd Beams'!AF93</f>
        <v>0</v>
      </c>
      <c r="O20" s="1662">
        <f>SUM('Gd Beams'!AF95:AF114)</f>
        <v>0</v>
      </c>
      <c r="P20" s="1662">
        <f>'Gd Beams'!AF84</f>
        <v>0</v>
      </c>
      <c r="Q20" s="1662">
        <f>'Gd Beams'!AF82+'Gd Beams'!AF83</f>
        <v>0</v>
      </c>
      <c r="R20" s="1662">
        <f>'Gd Beams'!AF115+'Gd Beams'!AF116</f>
        <v>0</v>
      </c>
      <c r="S20" s="1662">
        <f>'Gd Beams'!AF85</f>
        <v>0</v>
      </c>
      <c r="T20" s="1680">
        <f>IF(U20=0,0,SUM(G20:S20)/C20)</f>
        <v>0</v>
      </c>
      <c r="U20" s="1663">
        <f>IF(C20=0,0,SUM(G20:S20))</f>
        <v>0</v>
      </c>
      <c r="V20" s="1664">
        <f>IF(C20=0,0,1-(U20/E20))</f>
        <v>0</v>
      </c>
      <c r="W20" s="1689">
        <f>'Gd Beams'!L49+'Gd Beams'!L50+'Gd Beams'!L51</f>
        <v>0</v>
      </c>
      <c r="X20" s="1052">
        <f>'Gd Beams'!U41</f>
        <v>0</v>
      </c>
      <c r="Y20" s="1631">
        <f t="shared" si="3"/>
        <v>0</v>
      </c>
    </row>
    <row r="21" spans="1:26" ht="14.15" customHeight="1" x14ac:dyDescent="0.35">
      <c r="A21" s="2140" t="s">
        <v>1046</v>
      </c>
      <c r="B21" s="2135"/>
      <c r="C21" s="1005">
        <f>'Gd Beams or Cont Footings'!I63</f>
        <v>0</v>
      </c>
      <c r="D21" s="699" t="s">
        <v>49</v>
      </c>
      <c r="E21" s="1661">
        <f>'Gd Beams or Cont Footings'!E41</f>
        <v>0</v>
      </c>
      <c r="F21" s="696">
        <f>IF(C21=0,0,E21/C21)</f>
        <v>0</v>
      </c>
      <c r="G21" s="1662">
        <f>'Gd Beams or Cont Footings'!AF67+'Gd Beams or Cont Footings'!AF74+'Gd Beams or Cont Footings'!AF117</f>
        <v>0</v>
      </c>
      <c r="H21" s="1662">
        <f>'Gd Beams or Cont Footings'!AF68+'Gd Beams or Cont Footings'!AF69</f>
        <v>0</v>
      </c>
      <c r="I21" s="1662">
        <f>'Gd Beams or Cont Footings'!AF72</f>
        <v>0</v>
      </c>
      <c r="J21" s="1662">
        <f>'Gd Beams or Cont Footings'!AF70</f>
        <v>0</v>
      </c>
      <c r="K21" s="1662">
        <f>'Gd Beams or Cont Footings'!AF71</f>
        <v>0</v>
      </c>
      <c r="L21" s="1662">
        <f>'Gd Beams or Cont Footings'!AF73</f>
        <v>0</v>
      </c>
      <c r="M21" s="1662">
        <f>'Gd Beams or Cont Footings'!AF75</f>
        <v>0</v>
      </c>
      <c r="N21" s="1662">
        <f>'Gd Beams or Cont Footings'!AF88+'Gd Beams or Cont Footings'!AF89+'Gd Beams or Cont Footings'!AF90+'Gd Beams or Cont Footings'!AF91+'Gd Beams or Cont Footings'!AF92+'Gd Beams or Cont Footings'!AF93</f>
        <v>0</v>
      </c>
      <c r="O21" s="1662">
        <f>SUM('Gd Beams or Cont Footings'!AF95:AF114)</f>
        <v>0</v>
      </c>
      <c r="P21" s="1662">
        <f>'Gd Beams or Cont Footings'!AF84</f>
        <v>0</v>
      </c>
      <c r="Q21" s="1662">
        <f>'Gd Beams or Cont Footings'!AF82+'Gd Beams or Cont Footings'!AF83</f>
        <v>0</v>
      </c>
      <c r="R21" s="1662">
        <f>'Gd Beams or Cont Footings'!AF115+'Gd Beams or Cont Footings'!AF116</f>
        <v>0</v>
      </c>
      <c r="S21" s="1662">
        <f>'Gd Beams or Cont Footings'!AF85</f>
        <v>0</v>
      </c>
      <c r="T21" s="1680">
        <f>IF(U21=0,0,SUM(G21:S21)/C21)</f>
        <v>0</v>
      </c>
      <c r="U21" s="1663">
        <f>IF(C21=0,0,SUM(G21:S21))</f>
        <v>0</v>
      </c>
      <c r="V21" s="1664">
        <f>IF(C21=0,0,1-(U21/E21))</f>
        <v>0</v>
      </c>
      <c r="W21" s="1689">
        <f>'Gd Beams or Cont Footings'!L49+'Gd Beams or Cont Footings'!L50+'Gd Beams or Cont Footings'!L51</f>
        <v>0</v>
      </c>
      <c r="X21" s="1052">
        <f>'Gd Beams or Cont Footings'!U41</f>
        <v>0</v>
      </c>
      <c r="Y21" s="1631">
        <f>X21-U21</f>
        <v>0</v>
      </c>
    </row>
    <row r="22" spans="1:26" ht="14.15" customHeight="1" x14ac:dyDescent="0.35">
      <c r="A22" s="2134" t="s">
        <v>679</v>
      </c>
      <c r="B22" s="2135"/>
      <c r="C22" s="1667">
        <f>'SLAB ON DECK'!C27:D27</f>
        <v>0</v>
      </c>
      <c r="D22" s="699" t="s">
        <v>49</v>
      </c>
      <c r="E22" s="1661">
        <f>'SLAB ON DECK'!D31</f>
        <v>0</v>
      </c>
      <c r="F22" s="697">
        <f>IF(C22=0,0,E22/C22)</f>
        <v>0</v>
      </c>
      <c r="G22" s="1662">
        <f>SUM('SLAB ON DECK'!W38:W63)+'SLAB ON DECK'!N43</f>
        <v>0</v>
      </c>
      <c r="H22" s="1662">
        <f>'SLAB ON DECK'!N45+'SLAB ON DECK'!N46</f>
        <v>0</v>
      </c>
      <c r="I22" s="1662">
        <f>'SLAB ON DECK'!N44</f>
        <v>0</v>
      </c>
      <c r="J22" s="1662">
        <f>'SLAB ON DECK'!N41+'SLAB ON DECK'!N42</f>
        <v>0</v>
      </c>
      <c r="K22" s="1662">
        <f>SUM('SLAB ON DECK'!W64:W69)</f>
        <v>0</v>
      </c>
      <c r="L22" s="1662">
        <f>SUM('SLAB ON DECK'!N38:O40)</f>
        <v>0</v>
      </c>
      <c r="M22" s="1662">
        <f>SUM('SLAB ON DECK'!W70:W72)</f>
        <v>0</v>
      </c>
      <c r="N22" s="1662">
        <f>SUM('SLAB ON DECK'!N67:O73)+'SLAB ON DECK'!N75</f>
        <v>0</v>
      </c>
      <c r="O22" s="1662">
        <f>SUM('SLAB ON DECK'!N50:O55)</f>
        <v>0</v>
      </c>
      <c r="P22" s="1662">
        <f>SUM('SLAB ON DECK'!K50:L55)</f>
        <v>0</v>
      </c>
      <c r="Q22" s="1662">
        <f>SUM('SLAB ON DECK'!N58:O60)</f>
        <v>0</v>
      </c>
      <c r="R22" s="1662">
        <f>'SLAB ON DECK'!AD115+'SLAB ON DECK'!AD116</f>
        <v>0</v>
      </c>
      <c r="S22" s="1662">
        <f>'SLAB ON DECK'!N74</f>
        <v>0</v>
      </c>
      <c r="T22" s="1677">
        <f>IF(C22=0,0,U22/C22)</f>
        <v>0</v>
      </c>
      <c r="U22" s="1663">
        <f>IF(C22=0,0,SUM(G22:S22))</f>
        <v>0</v>
      </c>
      <c r="V22" s="1664">
        <f>IF(C22=0,0,1-(U22/E22))</f>
        <v>0</v>
      </c>
      <c r="W22" s="1689">
        <f>'SLAB ON DECK'!K38+'SLAB ON DECK'!K39+'SLAB ON DECK'!K40</f>
        <v>0</v>
      </c>
      <c r="X22" s="1052">
        <f>'SLAB ON DECK'!T31</f>
        <v>0</v>
      </c>
      <c r="Y22" s="1631">
        <f t="shared" si="3"/>
        <v>0</v>
      </c>
    </row>
    <row r="23" spans="1:26" ht="14.15" customHeight="1" x14ac:dyDescent="0.35">
      <c r="A23" s="2132"/>
      <c r="B23" s="2133"/>
      <c r="C23" s="1660"/>
      <c r="D23" s="1051"/>
      <c r="E23" s="1661"/>
      <c r="F23" s="1679"/>
      <c r="G23" s="712">
        <f t="shared" ref="G23:S23" si="4">IF($C$22=0,0,G22/$C$22)</f>
        <v>0</v>
      </c>
      <c r="H23" s="713">
        <f t="shared" si="4"/>
        <v>0</v>
      </c>
      <c r="I23" s="713">
        <f t="shared" si="4"/>
        <v>0</v>
      </c>
      <c r="J23" s="713">
        <f t="shared" si="4"/>
        <v>0</v>
      </c>
      <c r="K23" s="713">
        <f t="shared" si="4"/>
        <v>0</v>
      </c>
      <c r="L23" s="713">
        <f t="shared" si="4"/>
        <v>0</v>
      </c>
      <c r="M23" s="713">
        <f t="shared" si="4"/>
        <v>0</v>
      </c>
      <c r="N23" s="714">
        <f>IF($C$22=0,0,N22/$C$22)</f>
        <v>0</v>
      </c>
      <c r="O23" s="713">
        <f t="shared" si="4"/>
        <v>0</v>
      </c>
      <c r="P23" s="713">
        <f t="shared" si="4"/>
        <v>0</v>
      </c>
      <c r="Q23" s="713">
        <f t="shared" si="4"/>
        <v>0</v>
      </c>
      <c r="R23" s="713">
        <f t="shared" si="4"/>
        <v>0</v>
      </c>
      <c r="S23" s="713">
        <f t="shared" si="4"/>
        <v>0</v>
      </c>
      <c r="T23" s="715">
        <f>SUM(G23:S23)</f>
        <v>0</v>
      </c>
      <c r="U23" s="1677"/>
      <c r="V23" s="1664"/>
      <c r="W23" s="1688"/>
      <c r="X23" s="1052"/>
      <c r="Y23" s="1631">
        <f t="shared" si="3"/>
        <v>0</v>
      </c>
    </row>
    <row r="24" spans="1:26" ht="14.15" customHeight="1" x14ac:dyDescent="0.35">
      <c r="A24" s="2134" t="s">
        <v>515</v>
      </c>
      <c r="B24" s="2135"/>
      <c r="C24" s="1660">
        <f>'CIP EL. DECK'!D41</f>
        <v>0</v>
      </c>
      <c r="D24" s="699" t="s">
        <v>49</v>
      </c>
      <c r="E24" s="1661">
        <f>'CIP EL. DECK'!E52</f>
        <v>0</v>
      </c>
      <c r="F24" s="696">
        <f>IF(C24=0,0,E24/C24)</f>
        <v>0</v>
      </c>
      <c r="G24" s="1662">
        <f>'CIP EL. DECK'!AF70+'CIP EL. DECK'!AF121</f>
        <v>0</v>
      </c>
      <c r="H24" s="1662">
        <f>'CIP EL. DECK'!AF71</f>
        <v>0</v>
      </c>
      <c r="I24" s="1662">
        <f>'CIP EL. DECK'!AF75</f>
        <v>0</v>
      </c>
      <c r="J24" s="1662">
        <f>'CIP EL. DECK'!AF73</f>
        <v>0</v>
      </c>
      <c r="K24" s="1662">
        <f>'CIP EL. DECK'!AF74</f>
        <v>0</v>
      </c>
      <c r="L24" s="1662">
        <f>'CIP EL. DECK'!AF76</f>
        <v>0</v>
      </c>
      <c r="M24" s="1662">
        <f>'CIP EL. DECK'!AF78</f>
        <v>0</v>
      </c>
      <c r="N24" s="1662">
        <f>'CIP EL. DECK'!AF92+'CIP EL. DECK'!AF96+'CIP EL. DECK'!O68+'CIP EL. DECK'!O69</f>
        <v>0</v>
      </c>
      <c r="O24" s="1662">
        <f>'CIP EL. DECK'!AF101+'CIP EL. DECK'!AF102+'CIP EL. DECK'!AF103+'CIP EL. DECK'!AF104+'CIP EL. DECK'!AF105+'CIP EL. DECK'!AF118+'CIP EL. DECK'!AF110</f>
        <v>0</v>
      </c>
      <c r="P24" s="1662">
        <f>'CIP EL. DECK'!AF88</f>
        <v>0</v>
      </c>
      <c r="Q24" s="1662">
        <f>'CIP EL. DECK'!AF86+'CIP EL. DECK'!AF87</f>
        <v>0</v>
      </c>
      <c r="R24" s="1662">
        <f>'CIP EL. DECK'!AF119+'CIP EL. DECK'!AF120</f>
        <v>0</v>
      </c>
      <c r="S24" s="1662">
        <f>'CIP EL. DECK'!AF89</f>
        <v>0</v>
      </c>
      <c r="T24" s="1681">
        <f>IF(C24=0,0,U24/C24)</f>
        <v>0</v>
      </c>
      <c r="U24" s="1663">
        <f>SUM(G24:S24)</f>
        <v>0</v>
      </c>
      <c r="V24" s="1664">
        <f>IF(C24=0,0,1-(U24/E24))</f>
        <v>0</v>
      </c>
      <c r="W24" s="1689">
        <f>'CIP EL. DECK'!L60+'CIP EL. DECK'!L61+'CIP EL. DECK'!L62</f>
        <v>0</v>
      </c>
      <c r="X24" s="1052">
        <f>'CIP EL. DECK'!U52</f>
        <v>0</v>
      </c>
      <c r="Y24" s="1631">
        <f t="shared" si="3"/>
        <v>0</v>
      </c>
      <c r="Z24" s="704"/>
    </row>
    <row r="25" spans="1:26" ht="14.15" customHeight="1" x14ac:dyDescent="0.35">
      <c r="A25" s="1801"/>
      <c r="B25" s="1800"/>
      <c r="C25" s="1660"/>
      <c r="D25" s="1705"/>
      <c r="E25" s="1661"/>
      <c r="F25" s="1678"/>
      <c r="G25" s="1662"/>
      <c r="H25" s="1662"/>
      <c r="I25" s="1662"/>
      <c r="J25" s="1662"/>
      <c r="K25" s="1662"/>
      <c r="L25" s="1662"/>
      <c r="M25" s="1662"/>
      <c r="N25" s="1662"/>
      <c r="O25" s="1662"/>
      <c r="P25" s="1662"/>
      <c r="Q25" s="1662"/>
      <c r="R25" s="1662"/>
      <c r="S25" s="1662"/>
      <c r="T25" s="1681"/>
      <c r="U25" s="1663"/>
      <c r="V25" s="1664"/>
      <c r="W25" s="1689"/>
      <c r="X25" s="1052"/>
      <c r="Y25" s="1631"/>
      <c r="Z25" s="704"/>
    </row>
    <row r="26" spans="1:26" ht="14.15" customHeight="1" x14ac:dyDescent="0.35">
      <c r="A26" s="2134" t="s">
        <v>672</v>
      </c>
      <c r="B26" s="2135"/>
      <c r="C26" s="1660">
        <f>'SLAB ON GRADE'!H50</f>
        <v>0</v>
      </c>
      <c r="D26" s="699" t="s">
        <v>49</v>
      </c>
      <c r="E26" s="1671">
        <f>'SLAB ON GRADE'!D31</f>
        <v>0</v>
      </c>
      <c r="F26" s="696">
        <f>IF(C26=0,0,E26/C26)</f>
        <v>0</v>
      </c>
      <c r="G26" s="1662">
        <f>SUM('SLAB ON GRADE'!W38:W63)+'SLAB ON GRADE'!N43</f>
        <v>0</v>
      </c>
      <c r="H26" s="1662">
        <f>'SLAB ON GRADE'!N45+'SLAB ON GRADE'!N46</f>
        <v>0</v>
      </c>
      <c r="I26" s="1662">
        <f>'SLAB ON GRADE'!N44</f>
        <v>0</v>
      </c>
      <c r="J26" s="1662">
        <f>'SLAB ON GRADE'!N41+'SLAB ON GRADE'!N42</f>
        <v>0</v>
      </c>
      <c r="K26" s="1662">
        <f>SUM('SLAB ON GRADE'!W64:W69)</f>
        <v>0</v>
      </c>
      <c r="L26" s="1662">
        <f>SUM('SLAB ON GRADE'!N38:O40)</f>
        <v>0</v>
      </c>
      <c r="M26" s="1662">
        <f>SUM('SLAB ON GRADE'!W70:W72)</f>
        <v>0</v>
      </c>
      <c r="N26" s="1662">
        <f>SUM('SLAB ON GRADE'!N67:O73)+'SLAB ON GRADE'!N75</f>
        <v>0</v>
      </c>
      <c r="O26" s="1662">
        <f>SUM('SLAB ON GRADE'!N50:O55)</f>
        <v>0</v>
      </c>
      <c r="P26" s="1662">
        <f>SUM('SLAB ON GRADE'!K50:L55)</f>
        <v>0</v>
      </c>
      <c r="Q26" s="1662">
        <f>SUM('SLAB ON GRADE'!N58:O60)</f>
        <v>0</v>
      </c>
      <c r="R26" s="1662">
        <f>'SLAB ON GRADE'!AD114+'SLAB ON GRADE'!AD115</f>
        <v>0</v>
      </c>
      <c r="S26" s="1662">
        <f>'SLAB ON GRADE'!N74</f>
        <v>0</v>
      </c>
      <c r="T26" s="1677">
        <f>IF(C26=0,0,U26/C26)</f>
        <v>0</v>
      </c>
      <c r="U26" s="1663">
        <f>IF(C26=0,0,SUM(G26:S26))</f>
        <v>0</v>
      </c>
      <c r="V26" s="1664">
        <f>IF(C26=0,0,1-(U26/E26))</f>
        <v>0</v>
      </c>
      <c r="W26" s="1689">
        <f>'SLAB ON GRADE'!K38+'SLAB ON GRADE'!K39+'SLAB ON GRADE'!K40</f>
        <v>0</v>
      </c>
      <c r="X26" s="1052">
        <f>'SLAB ON GRADE'!T31</f>
        <v>0</v>
      </c>
      <c r="Y26" s="1631">
        <f>X26-U26</f>
        <v>0</v>
      </c>
    </row>
    <row r="27" spans="1:26" ht="14.15" customHeight="1" x14ac:dyDescent="0.35">
      <c r="A27" s="2132"/>
      <c r="B27" s="2133"/>
      <c r="C27" s="1660"/>
      <c r="D27" s="1051"/>
      <c r="E27" s="1661"/>
      <c r="F27" s="1676"/>
      <c r="G27" s="712">
        <f t="shared" ref="G27:R27" si="5">IF($C$26=0,0,G26/$C$26)</f>
        <v>0</v>
      </c>
      <c r="H27" s="713">
        <f t="shared" si="5"/>
        <v>0</v>
      </c>
      <c r="I27" s="713">
        <f t="shared" si="5"/>
        <v>0</v>
      </c>
      <c r="J27" s="713">
        <f t="shared" si="5"/>
        <v>0</v>
      </c>
      <c r="K27" s="713">
        <f t="shared" si="5"/>
        <v>0</v>
      </c>
      <c r="L27" s="713">
        <f t="shared" si="5"/>
        <v>0</v>
      </c>
      <c r="M27" s="713">
        <f t="shared" si="5"/>
        <v>0</v>
      </c>
      <c r="N27" s="713">
        <f t="shared" si="5"/>
        <v>0</v>
      </c>
      <c r="O27" s="713">
        <f t="shared" si="5"/>
        <v>0</v>
      </c>
      <c r="P27" s="713">
        <f t="shared" si="5"/>
        <v>0</v>
      </c>
      <c r="Q27" s="713">
        <f t="shared" si="5"/>
        <v>0</v>
      </c>
      <c r="R27" s="713">
        <f t="shared" si="5"/>
        <v>0</v>
      </c>
      <c r="S27" s="713">
        <f>IF($C$22=0,0,S26/$C$22)</f>
        <v>0</v>
      </c>
      <c r="T27" s="711">
        <f>SUM(G27:S27)</f>
        <v>0</v>
      </c>
      <c r="U27" s="1663"/>
      <c r="V27" s="1664"/>
      <c r="W27" s="1688"/>
      <c r="X27" s="1052"/>
      <c r="Y27" s="1631">
        <f>X27-U27</f>
        <v>0</v>
      </c>
    </row>
    <row r="28" spans="1:26" ht="14.15" customHeight="1" x14ac:dyDescent="0.35">
      <c r="A28" s="2134" t="s">
        <v>673</v>
      </c>
      <c r="B28" s="2135"/>
      <c r="C28" s="1660">
        <f>COLUMNS!E37</f>
        <v>0</v>
      </c>
      <c r="D28" s="699" t="s">
        <v>137</v>
      </c>
      <c r="E28" s="1661">
        <f>COLUMNS!E41</f>
        <v>0</v>
      </c>
      <c r="F28" s="696">
        <f>IF(C28=0,0,E28/C28)</f>
        <v>0</v>
      </c>
      <c r="G28" s="1662">
        <f>COLUMNS!AF67+COLUMNS!AF117</f>
        <v>0</v>
      </c>
      <c r="H28" s="1662"/>
      <c r="I28" s="1662">
        <f>COLUMNS!AF72</f>
        <v>0</v>
      </c>
      <c r="J28" s="1662">
        <f>COLUMNS!AF70</f>
        <v>0</v>
      </c>
      <c r="K28" s="1662">
        <f>COLUMNS!AF71</f>
        <v>0</v>
      </c>
      <c r="L28" s="1662">
        <f>COLUMNS!AF73</f>
        <v>0</v>
      </c>
      <c r="M28" s="1662">
        <f>COLUMNS!AF75</f>
        <v>0</v>
      </c>
      <c r="N28" s="1662">
        <f>COLUMNS!AF88+COLUMNS!AF79</f>
        <v>0</v>
      </c>
      <c r="O28" s="1662">
        <f>COLUMNS!AF97+COLUMNS!AF98+COLUMNS!AF99+COLUMNS!AF100+COLUMNS!AF101+COLUMNS!O68+COLUMNS!O69+COLUMNS!AF110</f>
        <v>0</v>
      </c>
      <c r="P28" s="1662">
        <f>COLUMNS!AF84</f>
        <v>0</v>
      </c>
      <c r="Q28" s="1662">
        <f>COLUMNS!AF82+COLUMNS!AF83</f>
        <v>0</v>
      </c>
      <c r="R28" s="1662">
        <f>COLUMNS!AF115+COLUMNS!AF116</f>
        <v>0</v>
      </c>
      <c r="S28" s="1662">
        <f>COLUMNS!AF85</f>
        <v>0</v>
      </c>
      <c r="T28" s="1682">
        <f>IF(C28=0,0,SUM(G28:S28)/C28)</f>
        <v>0</v>
      </c>
      <c r="U28" s="1663">
        <f>SUM(G28:S28)</f>
        <v>0</v>
      </c>
      <c r="V28" s="1664">
        <f>IF(C28=0,0,1-(U28/E28))</f>
        <v>0</v>
      </c>
      <c r="W28" s="1689">
        <f>SUM(COLUMNS!V11:V36)</f>
        <v>0</v>
      </c>
      <c r="X28" s="1052">
        <f>COLUMNS!U41</f>
        <v>0</v>
      </c>
      <c r="Y28" s="1631">
        <f>X28-U28</f>
        <v>0</v>
      </c>
    </row>
    <row r="29" spans="1:26" ht="14.15" customHeight="1" x14ac:dyDescent="0.35">
      <c r="A29" s="2134" t="str">
        <f>Miscellaneous!A31</f>
        <v>PANEL AND ANCHOR</v>
      </c>
      <c r="B29" s="2135"/>
      <c r="C29" s="1660">
        <f>Miscellaneous!F31</f>
        <v>0</v>
      </c>
      <c r="D29" s="699" t="s">
        <v>137</v>
      </c>
      <c r="E29" s="1661">
        <f>Miscellaneous!I31</f>
        <v>0</v>
      </c>
      <c r="F29" s="696">
        <f>IF(C29=0,0,E29/C29)</f>
        <v>0</v>
      </c>
      <c r="G29" s="1662">
        <f>Miscellaneous!O31</f>
        <v>0</v>
      </c>
      <c r="H29" s="1662"/>
      <c r="I29" s="1662"/>
      <c r="J29" s="1662">
        <f>Miscellaneous!Q31</f>
        <v>0</v>
      </c>
      <c r="K29" s="1662"/>
      <c r="L29" s="1662">
        <f>Miscellaneous!P31</f>
        <v>0</v>
      </c>
      <c r="M29" s="1662"/>
      <c r="N29" s="1662"/>
      <c r="O29" s="1662">
        <f>Miscellaneous!AD31</f>
        <v>0</v>
      </c>
      <c r="P29" s="1662"/>
      <c r="Q29" s="1662">
        <f>Miscellaneous!S31</f>
        <v>0</v>
      </c>
      <c r="R29" s="1662">
        <f>Miscellaneous!T31</f>
        <v>0</v>
      </c>
      <c r="S29" s="1662"/>
      <c r="T29" s="1680"/>
      <c r="U29" s="1663">
        <f>SUM(G29:S29)</f>
        <v>0</v>
      </c>
      <c r="V29" s="1664">
        <f>IF(C29=0,0,1-(U29/E29))</f>
        <v>0</v>
      </c>
      <c r="W29" s="1689">
        <f>Miscellaneous!M31</f>
        <v>0</v>
      </c>
      <c r="X29" s="1052"/>
      <c r="Y29" s="1631">
        <f>X29-U29</f>
        <v>0</v>
      </c>
    </row>
    <row r="30" spans="1:26" ht="14.15" customHeight="1" x14ac:dyDescent="0.35">
      <c r="A30" s="2132"/>
      <c r="B30" s="2133"/>
      <c r="C30" s="1005"/>
      <c r="D30" s="1051"/>
      <c r="E30" s="1661"/>
      <c r="F30" s="1666"/>
      <c r="G30" s="1662"/>
      <c r="H30" s="1662"/>
      <c r="I30" s="1662"/>
      <c r="J30" s="1662"/>
      <c r="K30" s="1662"/>
      <c r="L30" s="1662"/>
      <c r="M30" s="1662"/>
      <c r="N30" s="1662"/>
      <c r="O30" s="1662"/>
      <c r="P30" s="1662"/>
      <c r="Q30" s="1662"/>
      <c r="R30" s="1662"/>
      <c r="S30" s="1662"/>
      <c r="T30" s="1680"/>
      <c r="U30" s="1663"/>
      <c r="V30" s="1664"/>
      <c r="W30" s="1689">
        <v>0</v>
      </c>
      <c r="X30" s="1052"/>
      <c r="Y30" s="1631">
        <f>X30-U30</f>
        <v>0</v>
      </c>
    </row>
    <row r="31" spans="1:26" ht="14.15" customHeight="1" x14ac:dyDescent="0.35">
      <c r="A31" s="2134" t="str">
        <f>Miscellaneous!A16</f>
        <v>ELEVATOR PITS</v>
      </c>
      <c r="B31" s="2135"/>
      <c r="C31" s="1660">
        <f>Miscellaneous!F16</f>
        <v>0</v>
      </c>
      <c r="D31" s="699" t="s">
        <v>137</v>
      </c>
      <c r="E31" s="1661">
        <f>Miscellaneous!I16</f>
        <v>0</v>
      </c>
      <c r="F31" s="695">
        <f>IF(C31&gt;0,E31/C31,0)</f>
        <v>0</v>
      </c>
      <c r="G31" s="1662">
        <f>IF(C31&gt;0,Miscellaneous!O16,0)</f>
        <v>0</v>
      </c>
      <c r="H31" s="1662"/>
      <c r="I31" s="1662"/>
      <c r="J31" s="1662">
        <f>IF(C31&gt;0,Miscellaneous!Q16,0)</f>
        <v>0</v>
      </c>
      <c r="K31" s="1662"/>
      <c r="L31" s="1662">
        <f>IF(C31&gt;0,Miscellaneous!P16,0)</f>
        <v>0</v>
      </c>
      <c r="M31" s="1662"/>
      <c r="N31" s="1662"/>
      <c r="O31" s="1662">
        <f>IF(C31&gt;0,Miscellaneous!R16,0)</f>
        <v>0</v>
      </c>
      <c r="P31" s="1662"/>
      <c r="Q31" s="1662">
        <f>IF(C31&gt;0,Miscellaneous!S16,0)</f>
        <v>0</v>
      </c>
      <c r="R31" s="1662">
        <f>IF(C31&gt;0,Miscellaneous!T16,0)</f>
        <v>0</v>
      </c>
      <c r="S31" s="1662"/>
      <c r="T31" s="1680">
        <f>IF(C31=0,0,U31/C31)</f>
        <v>0</v>
      </c>
      <c r="U31" s="1663">
        <f>IF(C31=0,0,SUM(G31:S31))</f>
        <v>0</v>
      </c>
      <c r="V31" s="1664">
        <f>IF(C31=0,0,1-(U31/E31))</f>
        <v>0</v>
      </c>
      <c r="W31" s="1689">
        <f>Miscellaneous!M16</f>
        <v>0</v>
      </c>
      <c r="X31" s="1697"/>
      <c r="Y31" s="1698"/>
    </row>
    <row r="32" spans="1:26" ht="14.15" customHeight="1" x14ac:dyDescent="0.35">
      <c r="A32" s="2134" t="str">
        <f>Miscellaneous!A17</f>
        <v>DOCK LEVELER PITS</v>
      </c>
      <c r="B32" s="2135"/>
      <c r="C32" s="1660">
        <f>Miscellaneous!F17</f>
        <v>0</v>
      </c>
      <c r="D32" s="699" t="s">
        <v>137</v>
      </c>
      <c r="E32" s="1661">
        <f>Miscellaneous!I17</f>
        <v>0</v>
      </c>
      <c r="F32" s="696">
        <f>IF(C32=0,0,E32/C32)</f>
        <v>0</v>
      </c>
      <c r="G32" s="1662">
        <f>Miscellaneous!O17</f>
        <v>0</v>
      </c>
      <c r="H32" s="1662"/>
      <c r="I32" s="1662"/>
      <c r="J32" s="1662">
        <f>Miscellaneous!Q17</f>
        <v>0</v>
      </c>
      <c r="K32" s="1662"/>
      <c r="L32" s="1662">
        <f>Miscellaneous!P17</f>
        <v>0</v>
      </c>
      <c r="M32" s="1662"/>
      <c r="N32" s="1662"/>
      <c r="O32" s="1662">
        <f>Miscellaneous!AD17</f>
        <v>0</v>
      </c>
      <c r="P32" s="1662"/>
      <c r="Q32" s="1662">
        <f>Miscellaneous!S17</f>
        <v>0</v>
      </c>
      <c r="R32" s="1662">
        <f>IF(C32&gt;0,Miscellaneous!T17,0)</f>
        <v>0</v>
      </c>
      <c r="S32" s="1662"/>
      <c r="T32" s="1680"/>
      <c r="U32" s="1663">
        <f>IF(C32=0,0,SUM(G32:S32))</f>
        <v>0</v>
      </c>
      <c r="V32" s="1664"/>
      <c r="W32" s="1688"/>
      <c r="X32" s="1697"/>
      <c r="Y32" s="1698"/>
    </row>
    <row r="33" spans="1:26" ht="14.15" customHeight="1" x14ac:dyDescent="0.35">
      <c r="A33" s="2132"/>
      <c r="B33" s="2133"/>
      <c r="C33" s="1660"/>
      <c r="D33" s="1051"/>
      <c r="E33" s="1661">
        <v>0</v>
      </c>
      <c r="F33" s="1678"/>
      <c r="G33" s="1662"/>
      <c r="H33" s="1662"/>
      <c r="I33" s="1662"/>
      <c r="J33" s="1662"/>
      <c r="K33" s="1662"/>
      <c r="L33" s="1662"/>
      <c r="M33" s="1662"/>
      <c r="N33" s="1662"/>
      <c r="O33" s="1662"/>
      <c r="P33" s="1662"/>
      <c r="Q33" s="1662"/>
      <c r="R33" s="1662"/>
      <c r="S33" s="1662"/>
      <c r="T33" s="1680"/>
      <c r="U33" s="1663"/>
      <c r="V33" s="1664"/>
      <c r="W33" s="1690"/>
      <c r="X33" s="1697"/>
      <c r="Y33" s="1698"/>
    </row>
    <row r="34" spans="1:26" ht="14.15" customHeight="1" x14ac:dyDescent="0.35">
      <c r="A34" s="2134" t="s">
        <v>680</v>
      </c>
      <c r="B34" s="2135"/>
      <c r="C34" s="1660">
        <f>PANELS!I148</f>
        <v>0</v>
      </c>
      <c r="D34" s="699" t="s">
        <v>49</v>
      </c>
      <c r="E34" s="1661">
        <f>PANELS!E124</f>
        <v>0</v>
      </c>
      <c r="F34" s="696">
        <f>IF(C34=0,0,E34/C34)</f>
        <v>0</v>
      </c>
      <c r="G34" s="1662">
        <f>PANELS!AH124+PANELS!AH131++PANELS!AH174</f>
        <v>0</v>
      </c>
      <c r="H34" s="1662">
        <f>PANELS!AH125+PANELS!AH126</f>
        <v>0</v>
      </c>
      <c r="I34" s="1662"/>
      <c r="J34" s="1662">
        <f>PANELS!AH127</f>
        <v>0</v>
      </c>
      <c r="K34" s="1662">
        <f>PANELS!AH128</f>
        <v>0</v>
      </c>
      <c r="L34" s="1662">
        <f>PANELS!AH130</f>
        <v>0</v>
      </c>
      <c r="M34" s="1662">
        <f>PANELS!AH132</f>
        <v>0</v>
      </c>
      <c r="N34" s="1662">
        <f>PANELS!AH145+PANELS!AH147+PANELS!AH148+PANELS!AH149+PANELS!AH150+PANELS!O168</f>
        <v>0</v>
      </c>
      <c r="O34" s="1662">
        <f>PANELS!AH154+PANELS!AH155+PANELS!AH156+PANELS!AH157+PANELS!AH158+PANELS!AH159+PANELS!AH171+PANELS!AH165</f>
        <v>0</v>
      </c>
      <c r="P34" s="1662">
        <f>PANELS!AH141</f>
        <v>0</v>
      </c>
      <c r="Q34" s="1662">
        <f>PANELS!AH139+PANELS!AH140</f>
        <v>0</v>
      </c>
      <c r="R34" s="1662">
        <f>PANELS!AH172+PANELS!AH173</f>
        <v>0</v>
      </c>
      <c r="S34" s="1662">
        <f>PANELS!AH142</f>
        <v>0</v>
      </c>
      <c r="T34" s="1680"/>
      <c r="U34" s="1663">
        <f>SUM(G34:S34)</f>
        <v>0</v>
      </c>
      <c r="V34" s="1664">
        <f>IF(C34=0,0,1-(U34/E34))</f>
        <v>0</v>
      </c>
      <c r="W34" s="1689">
        <f>PANELS!L134+PANELS!L135+PANELS!L136</f>
        <v>0</v>
      </c>
      <c r="X34" s="1697"/>
      <c r="Y34" s="1698"/>
    </row>
    <row r="35" spans="1:26" ht="14.15" customHeight="1" x14ac:dyDescent="0.35">
      <c r="A35" s="2179"/>
      <c r="B35" s="2180"/>
      <c r="C35" s="1660"/>
      <c r="D35" s="1051"/>
      <c r="E35" s="1661"/>
      <c r="F35" s="1676"/>
      <c r="G35" s="1662"/>
      <c r="H35" s="1662"/>
      <c r="I35" s="1662"/>
      <c r="J35" s="1662"/>
      <c r="K35" s="1662"/>
      <c r="L35" s="1662"/>
      <c r="M35" s="1662"/>
      <c r="N35" s="1662"/>
      <c r="O35" s="1662"/>
      <c r="P35" s="1662"/>
      <c r="Q35" s="1662"/>
      <c r="R35" s="1662"/>
      <c r="S35" s="1662"/>
      <c r="T35" s="1680"/>
      <c r="U35" s="1663"/>
      <c r="V35" s="1664"/>
      <c r="W35" s="1688"/>
      <c r="X35" s="1697"/>
      <c r="Y35" s="1698"/>
    </row>
    <row r="36" spans="1:26" ht="14.15" customHeight="1" x14ac:dyDescent="0.35">
      <c r="A36" s="2162" t="s">
        <v>150</v>
      </c>
      <c r="B36" s="2163"/>
      <c r="C36" s="1660"/>
      <c r="D36" s="1051"/>
      <c r="E36" s="1661"/>
      <c r="F36" s="1676"/>
      <c r="G36" s="1662"/>
      <c r="H36" s="1662"/>
      <c r="I36" s="1662"/>
      <c r="J36" s="1662"/>
      <c r="K36" s="1662"/>
      <c r="L36" s="1662"/>
      <c r="M36" s="1662"/>
      <c r="N36" s="1662"/>
      <c r="O36" s="1662"/>
      <c r="P36" s="1662"/>
      <c r="Q36" s="1662"/>
      <c r="R36" s="1662"/>
      <c r="S36" s="1662"/>
      <c r="T36" s="1680"/>
      <c r="U36" s="1663"/>
      <c r="V36" s="1664"/>
      <c r="W36" s="1688"/>
      <c r="X36" s="1697"/>
      <c r="Y36" s="1698"/>
    </row>
    <row r="37" spans="1:26" ht="14.15" customHeight="1" x14ac:dyDescent="0.35">
      <c r="A37" s="2140" t="s">
        <v>1166</v>
      </c>
      <c r="B37" s="2135"/>
      <c r="C37" s="1660">
        <f>'Private Paving'!D28</f>
        <v>0</v>
      </c>
      <c r="D37" s="699" t="s">
        <v>49</v>
      </c>
      <c r="E37" s="1661">
        <f>'Private Paving'!E32</f>
        <v>0</v>
      </c>
      <c r="F37" s="697">
        <f>IF(E37=0,0,E37/C37)</f>
        <v>0</v>
      </c>
      <c r="G37" s="1662">
        <f>SUM('Private Paving'!W40:W65)</f>
        <v>0</v>
      </c>
      <c r="H37" s="1662">
        <f>'Private Paving'!O46+'Private Paving'!O47</f>
        <v>0</v>
      </c>
      <c r="I37" s="1662"/>
      <c r="J37" s="1662">
        <f>'Private Paving'!O43+'Private Paving'!O44+'Private Paving'!W78</f>
        <v>0</v>
      </c>
      <c r="K37" s="1662">
        <f>SUM('Private Paving'!W66:W71)</f>
        <v>0</v>
      </c>
      <c r="L37" s="1662">
        <f>SUM('Private Paving'!O40:P42)</f>
        <v>0</v>
      </c>
      <c r="M37" s="1662">
        <f>SUM('Private Paving'!W72:W75)</f>
        <v>0</v>
      </c>
      <c r="N37" s="1662">
        <f>SUM('Private Paving'!O70:P78)-'Private Paving'!O77</f>
        <v>0</v>
      </c>
      <c r="O37" s="1662">
        <f>SUM('Private Paving'!O50:P54)</f>
        <v>0</v>
      </c>
      <c r="P37" s="1662">
        <f>SUM('Private Paving'!L50:M54)</f>
        <v>0</v>
      </c>
      <c r="Q37" s="1662">
        <f>SUM('Private Paving'!O57:P61)</f>
        <v>0</v>
      </c>
      <c r="R37" s="1662">
        <f>'Private Paving'!AE116+'Private Paving'!AE117</f>
        <v>0</v>
      </c>
      <c r="S37" s="1662">
        <f>'Private Paving'!O77</f>
        <v>0</v>
      </c>
      <c r="T37" s="1680"/>
      <c r="U37" s="1663">
        <f>IF(C37=0,0,SUM(G37:S37))</f>
        <v>0</v>
      </c>
      <c r="V37" s="1664">
        <f>IF(C37=0,0,1-(U37/E37))</f>
        <v>0</v>
      </c>
      <c r="W37" s="1689">
        <f>SUM('Private Paving'!L40:M42)</f>
        <v>0</v>
      </c>
      <c r="X37" s="1052">
        <f>'Private Paving'!U32</f>
        <v>0</v>
      </c>
      <c r="Y37" s="1632">
        <f>X37-U37</f>
        <v>0</v>
      </c>
    </row>
    <row r="38" spans="1:26" ht="14.15" customHeight="1" x14ac:dyDescent="0.35">
      <c r="A38" s="2132"/>
      <c r="B38" s="2133"/>
      <c r="C38" s="1660"/>
      <c r="D38" s="1051"/>
      <c r="E38" s="1661"/>
      <c r="F38" s="1677"/>
      <c r="G38" s="712">
        <f>IF($C37=0,0,G37/$C37)</f>
        <v>0</v>
      </c>
      <c r="H38" s="713">
        <f t="shared" ref="H38:S38" si="6">IF($C37=0,0,H37/$C37)</f>
        <v>0</v>
      </c>
      <c r="I38" s="713">
        <f t="shared" si="6"/>
        <v>0</v>
      </c>
      <c r="J38" s="713">
        <f t="shared" si="6"/>
        <v>0</v>
      </c>
      <c r="K38" s="713">
        <f t="shared" si="6"/>
        <v>0</v>
      </c>
      <c r="L38" s="713">
        <f t="shared" si="6"/>
        <v>0</v>
      </c>
      <c r="M38" s="713">
        <f t="shared" si="6"/>
        <v>0</v>
      </c>
      <c r="N38" s="713">
        <f t="shared" si="6"/>
        <v>0</v>
      </c>
      <c r="O38" s="713">
        <f t="shared" si="6"/>
        <v>0</v>
      </c>
      <c r="P38" s="713">
        <f t="shared" si="6"/>
        <v>0</v>
      </c>
      <c r="Q38" s="713">
        <f t="shared" si="6"/>
        <v>0</v>
      </c>
      <c r="R38" s="713">
        <f t="shared" si="6"/>
        <v>0</v>
      </c>
      <c r="S38" s="713">
        <f t="shared" si="6"/>
        <v>0</v>
      </c>
      <c r="T38" s="716">
        <f>SUM(G38:S38)</f>
        <v>0</v>
      </c>
      <c r="U38" s="1663"/>
      <c r="V38" s="1664"/>
      <c r="W38" s="1688"/>
      <c r="X38" s="1052"/>
      <c r="Y38" s="1632">
        <f t="shared" ref="Y38:Y47" si="7">X38-U38</f>
        <v>0</v>
      </c>
    </row>
    <row r="39" spans="1:26" ht="14.15" customHeight="1" x14ac:dyDescent="0.35">
      <c r="A39" s="2140" t="s">
        <v>1167</v>
      </c>
      <c r="B39" s="2135"/>
      <c r="C39" s="1660">
        <f>'ROW Paving'!D28</f>
        <v>0</v>
      </c>
      <c r="D39" s="699" t="s">
        <v>49</v>
      </c>
      <c r="E39" s="1661">
        <f>'ROW Paving'!E32</f>
        <v>0</v>
      </c>
      <c r="F39" s="697">
        <f>IF(E39=0,0,E39/C39)</f>
        <v>0</v>
      </c>
      <c r="G39" s="1662">
        <f>SUM('ROW Paving'!W40:W65)</f>
        <v>0</v>
      </c>
      <c r="H39" s="1662">
        <f>'ROW Paving'!O46+'ROW Paving'!O47</f>
        <v>0</v>
      </c>
      <c r="I39" s="1662"/>
      <c r="J39" s="1662">
        <f>'ROW Paving'!O43+'ROW Paving'!O44+'ROW Paving'!W78</f>
        <v>0</v>
      </c>
      <c r="K39" s="1662">
        <f>SUM('ROW Paving'!W66:W71)</f>
        <v>0</v>
      </c>
      <c r="L39" s="1662">
        <f>SUM('ROW Paving'!O40:P42)</f>
        <v>0</v>
      </c>
      <c r="M39" s="1662">
        <f>SUM('ROW Paving'!W72:W75)</f>
        <v>0</v>
      </c>
      <c r="N39" s="1662">
        <f>SUM('ROW Paving'!O70:P78)-'ROW Paving'!O77</f>
        <v>0</v>
      </c>
      <c r="O39" s="1662">
        <f>SUM('ROW Paving'!O50:P54)</f>
        <v>0</v>
      </c>
      <c r="P39" s="1662">
        <f>SUM('ROW Paving'!L50:M54)</f>
        <v>0</v>
      </c>
      <c r="Q39" s="1662">
        <f>SUM('ROW Paving'!O57:P61)</f>
        <v>0</v>
      </c>
      <c r="R39" s="1662">
        <f>'ROW Paving'!AE116+'ROW Paving'!AE117</f>
        <v>0</v>
      </c>
      <c r="S39" s="1662">
        <f>'ROW Paving'!O77</f>
        <v>0</v>
      </c>
      <c r="T39" s="1680"/>
      <c r="U39" s="1663">
        <f>IF(C39=0,0,SUM(G39:S39))</f>
        <v>0</v>
      </c>
      <c r="V39" s="1664">
        <f>IF(C39=0,0,1-(U39/E39))</f>
        <v>0</v>
      </c>
      <c r="W39" s="1689">
        <f>SUM('ROW Paving'!L42:M44)</f>
        <v>0</v>
      </c>
      <c r="X39" s="1052">
        <f>'ROW Paving'!U32</f>
        <v>0</v>
      </c>
      <c r="Y39" s="1632">
        <f>X39-U39</f>
        <v>0</v>
      </c>
    </row>
    <row r="40" spans="1:26" ht="14.15" customHeight="1" x14ac:dyDescent="0.35">
      <c r="A40" s="2132"/>
      <c r="B40" s="2133"/>
      <c r="C40" s="1660"/>
      <c r="D40" s="1051"/>
      <c r="E40" s="1661"/>
      <c r="F40" s="1677"/>
      <c r="G40" s="712">
        <f>IF($C39=0,0,G39/$C39)</f>
        <v>0</v>
      </c>
      <c r="H40" s="713">
        <f t="shared" ref="H40:S40" si="8">IF($C39=0,0,H39/$C39)</f>
        <v>0</v>
      </c>
      <c r="I40" s="713">
        <f t="shared" si="8"/>
        <v>0</v>
      </c>
      <c r="J40" s="713">
        <f t="shared" si="8"/>
        <v>0</v>
      </c>
      <c r="K40" s="713">
        <f t="shared" si="8"/>
        <v>0</v>
      </c>
      <c r="L40" s="713">
        <f t="shared" si="8"/>
        <v>0</v>
      </c>
      <c r="M40" s="713">
        <f t="shared" si="8"/>
        <v>0</v>
      </c>
      <c r="N40" s="713">
        <f t="shared" si="8"/>
        <v>0</v>
      </c>
      <c r="O40" s="713">
        <f t="shared" si="8"/>
        <v>0</v>
      </c>
      <c r="P40" s="713">
        <f t="shared" si="8"/>
        <v>0</v>
      </c>
      <c r="Q40" s="713">
        <f t="shared" si="8"/>
        <v>0</v>
      </c>
      <c r="R40" s="713">
        <f t="shared" si="8"/>
        <v>0</v>
      </c>
      <c r="S40" s="713">
        <f t="shared" si="8"/>
        <v>0</v>
      </c>
      <c r="T40" s="716">
        <f>SUM(G40:S40)</f>
        <v>0</v>
      </c>
      <c r="U40" s="1663"/>
      <c r="V40" s="1664"/>
      <c r="W40" s="1688"/>
      <c r="X40" s="1052"/>
      <c r="Y40" s="1632">
        <f t="shared" ref="Y40" si="9">X40-U40</f>
        <v>0</v>
      </c>
    </row>
    <row r="41" spans="1:26" ht="14.15" customHeight="1" x14ac:dyDescent="0.35">
      <c r="A41" s="2132"/>
      <c r="B41" s="2133"/>
      <c r="C41" s="1660"/>
      <c r="D41" s="1657"/>
      <c r="E41" s="1661"/>
      <c r="F41" s="1677"/>
      <c r="G41" s="1683"/>
      <c r="H41" s="1683"/>
      <c r="I41" s="1683"/>
      <c r="J41" s="1683"/>
      <c r="K41" s="1683"/>
      <c r="L41" s="1683"/>
      <c r="M41" s="1683"/>
      <c r="N41" s="1683"/>
      <c r="O41" s="1683"/>
      <c r="P41" s="1683"/>
      <c r="Q41" s="1683"/>
      <c r="R41" s="1683"/>
      <c r="S41" s="1683"/>
      <c r="T41" s="1680"/>
      <c r="U41" s="1663"/>
      <c r="V41" s="1664"/>
      <c r="W41" s="1689"/>
      <c r="X41" s="1052"/>
      <c r="Y41" s="1632">
        <f t="shared" si="7"/>
        <v>0</v>
      </c>
    </row>
    <row r="42" spans="1:26" s="7" customFormat="1" ht="14.15" customHeight="1" x14ac:dyDescent="0.35">
      <c r="A42" s="2134" t="s">
        <v>681</v>
      </c>
      <c r="B42" s="2135"/>
      <c r="C42" s="1667">
        <f>SIDEWALKS!C27</f>
        <v>0</v>
      </c>
      <c r="D42" s="699" t="s">
        <v>49</v>
      </c>
      <c r="E42" s="1661">
        <f>SIDEWALKS!D31</f>
        <v>0</v>
      </c>
      <c r="F42" s="697">
        <f>IF(E42=0,0,E42/C42)</f>
        <v>0</v>
      </c>
      <c r="G42" s="1662">
        <f>SIDEWALKS!AD65+SIDEWALKS!AD117</f>
        <v>0</v>
      </c>
      <c r="H42" s="1662">
        <f>SIDEWALKS!AD66+SIDEWALKS!AD67</f>
        <v>0</v>
      </c>
      <c r="I42" s="1662"/>
      <c r="J42" s="1662">
        <f>SIDEWALKS!AD68</f>
        <v>0</v>
      </c>
      <c r="K42" s="1662">
        <f>SIDEWALKS!AD69</f>
        <v>0</v>
      </c>
      <c r="L42" s="1662">
        <f>SIDEWALKS!AD71</f>
        <v>0</v>
      </c>
      <c r="M42" s="1662">
        <f>SIDEWALKS!AD73</f>
        <v>0</v>
      </c>
      <c r="N42" s="1662">
        <f>SIDEWALKS!AG88+SIDEWALKS!AG92+SIDEWALKS!AG91+SIDEWALKS!BH28+SIDEWALKS!BG28+SIDEWALKS!BF28</f>
        <v>0</v>
      </c>
      <c r="O42" s="1662">
        <f>SIDEWALKS!AG97+SIDEWALKS!AG99+SIDEWALKS!AG100+SIDEWALKS!AG101+SIDEWALKS!Q55</f>
        <v>0</v>
      </c>
      <c r="P42" s="1662">
        <f>SIDEWALKS!AD84</f>
        <v>0</v>
      </c>
      <c r="Q42" s="1662">
        <f>SIDEWALKS!AD82+SIDEWALKS!AD83</f>
        <v>0</v>
      </c>
      <c r="R42" s="1662">
        <f>SIDEWALKS!AD115+SIDEWALKS!AD116</f>
        <v>0</v>
      </c>
      <c r="S42" s="1662">
        <f>SIDEWALKS!AD85</f>
        <v>0</v>
      </c>
      <c r="T42" s="1684">
        <f>IF(C42=0,0,SUM(G42:S42)/C42)</f>
        <v>0</v>
      </c>
      <c r="U42" s="1663">
        <f>SUM(G42:S42)</f>
        <v>0</v>
      </c>
      <c r="V42" s="1664">
        <f>IF(C42=0,0,1-(U42/E42))</f>
        <v>0</v>
      </c>
      <c r="W42" s="1689">
        <f>SUM(SIDEWALKS!N38:O40)</f>
        <v>0</v>
      </c>
      <c r="X42" s="1052">
        <f>SIDEWALKS!W31</f>
        <v>0</v>
      </c>
      <c r="Y42" s="1632">
        <f>X42-U42</f>
        <v>0</v>
      </c>
      <c r="Z42" s="701"/>
    </row>
    <row r="43" spans="1:26" ht="13.5" customHeight="1" x14ac:dyDescent="0.35">
      <c r="A43" s="2134" t="s">
        <v>682</v>
      </c>
      <c r="B43" s="2135"/>
      <c r="C43" s="1660">
        <f>'Site Walls'!I71</f>
        <v>0</v>
      </c>
      <c r="D43" s="699" t="s">
        <v>556</v>
      </c>
      <c r="E43" s="2158">
        <f>'Site Walls'!E47</f>
        <v>0</v>
      </c>
      <c r="F43" s="698">
        <f>'Site Walls'!C48</f>
        <v>0</v>
      </c>
      <c r="G43" s="1662">
        <f>'Site Walls'!AF73+'Site Walls'!AF80+'Site Walls'!AF125</f>
        <v>0</v>
      </c>
      <c r="H43" s="1662">
        <f>'Site Walls'!AF74+'Site Walls'!AF75</f>
        <v>0</v>
      </c>
      <c r="I43" s="1662">
        <f>'Site Walls'!AF78</f>
        <v>0</v>
      </c>
      <c r="J43" s="1662">
        <f>'Site Walls'!AF76</f>
        <v>0</v>
      </c>
      <c r="K43" s="1662">
        <f>'Site Walls'!AF77</f>
        <v>0</v>
      </c>
      <c r="L43" s="1662">
        <f>'Site Walls'!AF79</f>
        <v>0</v>
      </c>
      <c r="M43" s="1662">
        <f>'Site Walls'!AF83</f>
        <v>0</v>
      </c>
      <c r="N43" s="1662">
        <f>'Site Walls'!AF96+'Site Walls'!AF99+'Site Walls'!AF100+'Site Walls'!O68</f>
        <v>0</v>
      </c>
      <c r="O43" s="1662">
        <f>SUM('Site Walls'!AF103:AF122)</f>
        <v>0</v>
      </c>
      <c r="P43" s="1662">
        <f>'Site Walls'!AF92</f>
        <v>0</v>
      </c>
      <c r="Q43" s="1662">
        <f>'Site Walls'!AF90+'Site Walls'!AF91</f>
        <v>0</v>
      </c>
      <c r="R43" s="1662">
        <f>'Site Walls'!AF123+'Site Walls'!AF124</f>
        <v>0</v>
      </c>
      <c r="S43" s="1662">
        <f>'Site Walls'!AF93</f>
        <v>0</v>
      </c>
      <c r="T43" s="1680"/>
      <c r="U43" s="1663">
        <f>SUM(G43:S43)</f>
        <v>0</v>
      </c>
      <c r="V43" s="1664">
        <f>IF(C43=0,0,1-(U43/E43))</f>
        <v>0</v>
      </c>
      <c r="W43" s="1689">
        <f>'Site Walls'!L57+'Site Walls'!L58+'Site Walls'!L59</f>
        <v>0</v>
      </c>
      <c r="X43" s="1052">
        <f>'Site Walls'!U47</f>
        <v>0</v>
      </c>
      <c r="Y43" s="1632">
        <f t="shared" si="7"/>
        <v>0</v>
      </c>
    </row>
    <row r="44" spans="1:26" ht="13.5" customHeight="1" x14ac:dyDescent="0.35">
      <c r="A44" s="2138" t="s">
        <v>683</v>
      </c>
      <c r="B44" s="2139"/>
      <c r="C44" s="1667">
        <f>'Site Walls'!I70</f>
        <v>0</v>
      </c>
      <c r="D44" s="699" t="s">
        <v>49</v>
      </c>
      <c r="E44" s="2158"/>
      <c r="F44" s="698">
        <f>'Site Walls'!G48</f>
        <v>0</v>
      </c>
      <c r="G44" s="1662"/>
      <c r="H44" s="1662"/>
      <c r="I44" s="1662"/>
      <c r="J44" s="1662"/>
      <c r="K44" s="1662"/>
      <c r="L44" s="1662"/>
      <c r="M44" s="1662"/>
      <c r="N44" s="1662"/>
      <c r="O44" s="1662"/>
      <c r="P44" s="1662"/>
      <c r="Q44" s="1662"/>
      <c r="R44" s="1662"/>
      <c r="S44" s="1662"/>
      <c r="T44" s="1680"/>
      <c r="U44" s="1663">
        <f>SUM(G44:S44)</f>
        <v>0</v>
      </c>
      <c r="V44" s="1664"/>
      <c r="W44" s="1689"/>
      <c r="X44" s="1697"/>
      <c r="Y44" s="1699"/>
    </row>
    <row r="45" spans="1:26" ht="13.5" customHeight="1" x14ac:dyDescent="0.35">
      <c r="A45" s="2140" t="s">
        <v>1160</v>
      </c>
      <c r="B45" s="2135"/>
      <c r="C45" s="1660">
        <f>'Garage Walls'!I71</f>
        <v>0</v>
      </c>
      <c r="D45" s="699" t="s">
        <v>556</v>
      </c>
      <c r="E45" s="2158">
        <f>'Garage Walls'!E49</f>
        <v>0</v>
      </c>
      <c r="F45" s="698">
        <f>'Garage Walls'!C50</f>
        <v>0</v>
      </c>
      <c r="G45" s="1662">
        <f>'Garage Walls'!AF73+'Garage Walls'!AF80+'Garage Walls'!AF125</f>
        <v>0</v>
      </c>
      <c r="H45" s="1662">
        <f>'Garage Walls'!AF74+'Garage Walls'!AF75</f>
        <v>0</v>
      </c>
      <c r="I45" s="1662">
        <f>'Garage Walls'!AF78</f>
        <v>0</v>
      </c>
      <c r="J45" s="1662">
        <f>'Garage Walls'!AF76</f>
        <v>0</v>
      </c>
      <c r="K45" s="1662">
        <f>'Garage Walls'!AF77</f>
        <v>0</v>
      </c>
      <c r="L45" s="1662">
        <f>'Garage Walls'!AF79</f>
        <v>0</v>
      </c>
      <c r="M45" s="1662">
        <f>'Garage Walls'!AF83</f>
        <v>0</v>
      </c>
      <c r="N45" s="1662">
        <f>'Garage Walls'!AF96+'Garage Walls'!AF99+'Garage Walls'!AF100+'Garage Walls'!O68</f>
        <v>0</v>
      </c>
      <c r="O45" s="1662">
        <f>SUM('Garage Walls'!AF103:AF122)</f>
        <v>0</v>
      </c>
      <c r="P45" s="1662">
        <f>'Garage Walls'!AF92</f>
        <v>0</v>
      </c>
      <c r="Q45" s="1662">
        <f>'Garage Walls'!AF90+'Garage Walls'!AF91</f>
        <v>0</v>
      </c>
      <c r="R45" s="1662">
        <f>'Garage Walls'!AF123+'Garage Walls'!AF124</f>
        <v>0</v>
      </c>
      <c r="S45" s="1662">
        <f>'Garage Walls'!AF93</f>
        <v>0</v>
      </c>
      <c r="T45" s="1680"/>
      <c r="U45" s="1663">
        <f>SUM(G45:S45)</f>
        <v>0</v>
      </c>
      <c r="V45" s="1664">
        <f>IF(C45=0,0,1-(U45/E45))</f>
        <v>0</v>
      </c>
      <c r="W45" s="1689">
        <f>'Garage Walls'!L57+'Garage Walls'!L58+'Garage Walls'!L59</f>
        <v>0</v>
      </c>
      <c r="X45" s="1052">
        <f>'Garage Walls'!U47</f>
        <v>0</v>
      </c>
      <c r="Y45" s="1632">
        <f>X45-U45</f>
        <v>0</v>
      </c>
    </row>
    <row r="46" spans="1:26" ht="13.5" customHeight="1" x14ac:dyDescent="0.35">
      <c r="A46" s="2138" t="s">
        <v>683</v>
      </c>
      <c r="B46" s="2139"/>
      <c r="C46" s="1667">
        <f>'Garage Walls'!I70</f>
        <v>0</v>
      </c>
      <c r="D46" s="699" t="s">
        <v>49</v>
      </c>
      <c r="E46" s="2158"/>
      <c r="F46" s="698">
        <f>'Garage Walls'!G48</f>
        <v>0</v>
      </c>
      <c r="G46" s="1662"/>
      <c r="H46" s="1662"/>
      <c r="I46" s="1662"/>
      <c r="J46" s="1662"/>
      <c r="K46" s="1662"/>
      <c r="L46" s="1662"/>
      <c r="M46" s="1662"/>
      <c r="N46" s="1662"/>
      <c r="O46" s="1662"/>
      <c r="P46" s="1662"/>
      <c r="Q46" s="1662"/>
      <c r="R46" s="1662"/>
      <c r="S46" s="1662"/>
      <c r="T46" s="1680"/>
      <c r="U46" s="1663">
        <f>SUM(G46:S46)</f>
        <v>0</v>
      </c>
      <c r="V46" s="1664"/>
      <c r="W46" s="1689"/>
      <c r="X46" s="1697"/>
      <c r="Y46" s="1699"/>
    </row>
    <row r="47" spans="1:26" ht="13.5" customHeight="1" x14ac:dyDescent="0.35">
      <c r="A47" s="2140" t="s">
        <v>1070</v>
      </c>
      <c r="B47" s="2135"/>
      <c r="C47" s="1660">
        <f>Footings!I64+Footings!I65</f>
        <v>0</v>
      </c>
      <c r="D47" s="700" t="s">
        <v>49</v>
      </c>
      <c r="E47" s="1672">
        <f>Footings!E41</f>
        <v>0</v>
      </c>
      <c r="F47" s="698">
        <f>Footings!C42</f>
        <v>0</v>
      </c>
      <c r="G47" s="1662">
        <f>Footings!AF67+Footings!AF74+Footings!AF12</f>
        <v>0</v>
      </c>
      <c r="H47" s="1662">
        <f>Footings!AF68+Footings!AF69</f>
        <v>0</v>
      </c>
      <c r="I47" s="1662">
        <f>Footings!AF72</f>
        <v>0</v>
      </c>
      <c r="J47" s="1662">
        <f>Footings!AF70</f>
        <v>0</v>
      </c>
      <c r="K47" s="1662">
        <f>Footings!AF71</f>
        <v>0</v>
      </c>
      <c r="L47" s="1662">
        <f>Footings!AF73</f>
        <v>0</v>
      </c>
      <c r="M47" s="1662">
        <f>Footings!AF77</f>
        <v>0</v>
      </c>
      <c r="N47" s="1662">
        <f>Footings!AF90+Footings!AF93+Footings!AF94+Footings!O62</f>
        <v>0</v>
      </c>
      <c r="O47" s="1662">
        <f>SUM(Footings!AF97:AF116)</f>
        <v>0</v>
      </c>
      <c r="P47" s="1662">
        <f>Footings!AF86</f>
        <v>0</v>
      </c>
      <c r="Q47" s="1662">
        <f>Footings!AF84+Footings!AF85</f>
        <v>0</v>
      </c>
      <c r="R47" s="1662">
        <f>Footings!AF117+Footings!AF118</f>
        <v>0</v>
      </c>
      <c r="S47" s="1662">
        <f>Footings!AF87</f>
        <v>0</v>
      </c>
      <c r="T47" s="1680"/>
      <c r="U47" s="1663">
        <f t="shared" ref="U47:U53" si="10">SUM(G47:S47)</f>
        <v>0</v>
      </c>
      <c r="V47" s="1664">
        <f t="shared" ref="V47:V53" si="11">IF(C47=0,0,1-(U47/E47))</f>
        <v>0</v>
      </c>
      <c r="W47" s="1689">
        <f>Footings!L51+Footings!L52+Footings!L53</f>
        <v>0</v>
      </c>
      <c r="X47" s="1052">
        <f>Footings!U41</f>
        <v>0</v>
      </c>
      <c r="Y47" s="1632">
        <f t="shared" si="7"/>
        <v>0</v>
      </c>
    </row>
    <row r="48" spans="1:26" ht="13.5" customHeight="1" x14ac:dyDescent="0.35">
      <c r="A48" s="2140" t="s">
        <v>1159</v>
      </c>
      <c r="B48" s="2135"/>
      <c r="C48" s="1660">
        <f>'Garage Footings'!I65+'Garage Footings'!I64</f>
        <v>0</v>
      </c>
      <c r="D48" s="700" t="s">
        <v>49</v>
      </c>
      <c r="E48" s="1672">
        <f>'Garage Footings'!E41</f>
        <v>0</v>
      </c>
      <c r="F48" s="698">
        <f>'Garage Footings'!C42</f>
        <v>0</v>
      </c>
      <c r="G48" s="1662">
        <f>'Garage Footings'!AF67+'Garage Footings'!AF74+'Garage Footings'!AF12</f>
        <v>0</v>
      </c>
      <c r="H48" s="1662">
        <f>'Garage Footings'!AF68+'Garage Footings'!AF69</f>
        <v>0</v>
      </c>
      <c r="I48" s="1662">
        <f>'Garage Footings'!AF72</f>
        <v>0</v>
      </c>
      <c r="J48" s="1662">
        <f>'Garage Footings'!AF70</f>
        <v>0</v>
      </c>
      <c r="K48" s="1662">
        <f>'Garage Footings'!AF71</f>
        <v>0</v>
      </c>
      <c r="L48" s="1662">
        <f>'Garage Footings'!AF73</f>
        <v>0</v>
      </c>
      <c r="M48" s="1662">
        <f>'Garage Footings'!AF77</f>
        <v>0</v>
      </c>
      <c r="N48" s="1662">
        <f>'Garage Footings'!AF90+'Garage Footings'!AF93+'Garage Footings'!AF94+'Garage Footings'!O62</f>
        <v>0</v>
      </c>
      <c r="O48" s="1662">
        <f>SUM('Garage Footings'!AF97:AF116)</f>
        <v>0</v>
      </c>
      <c r="P48" s="1662">
        <f>'Garage Footings'!AF86</f>
        <v>0</v>
      </c>
      <c r="Q48" s="1662">
        <f>'Garage Footings'!AF84+'Garage Footings'!AF85</f>
        <v>0</v>
      </c>
      <c r="R48" s="1662">
        <f>'Garage Footings'!AF117+'Garage Footings'!AF118</f>
        <v>0</v>
      </c>
      <c r="S48" s="1662">
        <f>'Garage Footings'!AF87</f>
        <v>0</v>
      </c>
      <c r="T48" s="1680"/>
      <c r="U48" s="1663">
        <f>SUM(G48:S48)</f>
        <v>0</v>
      </c>
      <c r="V48" s="1664">
        <f>IF(C48=0,0,1-(U48/E48))</f>
        <v>0</v>
      </c>
      <c r="W48" s="1689">
        <f>'Garage Footings'!L51+'Garage Footings'!L52+'Garage Footings'!L53</f>
        <v>0</v>
      </c>
      <c r="X48" s="1052">
        <f>'Garage Footings'!U41</f>
        <v>0</v>
      </c>
      <c r="Y48" s="1632">
        <f>X48-U48</f>
        <v>0</v>
      </c>
    </row>
    <row r="49" spans="1:25" ht="14.15" customHeight="1" x14ac:dyDescent="0.35">
      <c r="A49" s="2134" t="str">
        <f>Miscellaneous!A12</f>
        <v>Light Bollard Footings</v>
      </c>
      <c r="B49" s="2135"/>
      <c r="C49" s="1660">
        <f>Miscellaneous!F12</f>
        <v>0</v>
      </c>
      <c r="D49" s="699" t="s">
        <v>137</v>
      </c>
      <c r="E49" s="1661">
        <f>Miscellaneous!I12</f>
        <v>0</v>
      </c>
      <c r="F49" s="695">
        <f>IF(C49&gt;0,E49/C49,0)</f>
        <v>0</v>
      </c>
      <c r="G49" s="1662"/>
      <c r="H49" s="1662"/>
      <c r="I49" s="1662"/>
      <c r="J49" s="1662"/>
      <c r="K49" s="1662"/>
      <c r="L49" s="1662">
        <f>Miscellaneous!P12</f>
        <v>0</v>
      </c>
      <c r="M49" s="1662"/>
      <c r="N49" s="1662"/>
      <c r="O49" s="1662">
        <f>Miscellaneous!AD12</f>
        <v>0</v>
      </c>
      <c r="P49" s="1662">
        <f>Miscellaneous!AE12</f>
        <v>0</v>
      </c>
      <c r="Q49" s="1662">
        <f>Miscellaneous!S12</f>
        <v>0</v>
      </c>
      <c r="R49" s="1662">
        <f>Miscellaneous!T12</f>
        <v>0</v>
      </c>
      <c r="S49" s="1662"/>
      <c r="T49" s="1680"/>
      <c r="U49" s="1663">
        <f t="shared" si="10"/>
        <v>0</v>
      </c>
      <c r="V49" s="1664">
        <f t="shared" si="11"/>
        <v>0</v>
      </c>
      <c r="W49" s="1689">
        <f>Miscellaneous!M12</f>
        <v>0</v>
      </c>
      <c r="X49" s="1697"/>
      <c r="Y49" s="1698"/>
    </row>
    <row r="50" spans="1:25" ht="14.15" customHeight="1" x14ac:dyDescent="0.35">
      <c r="A50" s="2134" t="s">
        <v>108</v>
      </c>
      <c r="B50" s="2135"/>
      <c r="C50" s="1660">
        <f>IF(Miscellaneous!F13+Miscellaneous!F18+Miscellaneous!F19+Miscellaneous!F21+Miscellaneous!F26+Miscellaneous!F27&gt;0,1,0)</f>
        <v>0</v>
      </c>
      <c r="D50" s="699" t="s">
        <v>137</v>
      </c>
      <c r="E50" s="1661">
        <f>Miscellaneous!I13+Miscellaneous!I18+Miscellaneous!I19+Miscellaneous!I21+Miscellaneous!I26+Miscellaneous!I27+Miscellaneous!I28+Miscellaneous!I29+Miscellaneous!I32+Miscellaneous!I33+Miscellaneous!I34+Miscellaneous!I35+Miscellaneous!I36+Miscellaneous!I37</f>
        <v>0</v>
      </c>
      <c r="F50" s="695"/>
      <c r="G50" s="1662">
        <f>Miscellaneous!O13+Miscellaneous!O18+Miscellaneous!O19+Miscellaneous!O21+Miscellaneous!O26+Miscellaneous!O27+Miscellaneous!O28+Miscellaneous!O29+Miscellaneous!O32+Miscellaneous!O33+Miscellaneous!O34+Miscellaneous!O35+Miscellaneous!O36+Miscellaneous!O37</f>
        <v>0</v>
      </c>
      <c r="H50" s="1662">
        <f>Miscellaneous!N27</f>
        <v>0</v>
      </c>
      <c r="I50" s="1662"/>
      <c r="J50" s="1662">
        <f>Miscellaneous!Q13+Miscellaneous!Q18+Miscellaneous!Q19+Miscellaneous!Q21+Miscellaneous!Q26+Miscellaneous!Q27+Miscellaneous!Q28+Miscellaneous!Q29+Miscellaneous!Q32+Miscellaneous!Q33+Miscellaneous!Q34+Miscellaneous!Q35+Miscellaneous!Q36+Miscellaneous!Q37</f>
        <v>0</v>
      </c>
      <c r="K50" s="1662"/>
      <c r="L50" s="1662">
        <f>Miscellaneous!P13+Miscellaneous!P18+Miscellaneous!P19+Miscellaneous!P21+Miscellaneous!P26+Miscellaneous!P27+Miscellaneous!P28+Miscellaneous!P29+Miscellaneous!P32+Miscellaneous!P33+Miscellaneous!P34+Miscellaneous!P35+Miscellaneous!P36+Miscellaneous!P37</f>
        <v>0</v>
      </c>
      <c r="M50" s="1662"/>
      <c r="N50" s="1662"/>
      <c r="O50" s="1662">
        <f>SUM(Miscellaneous!AD10:AD36)-Miscellaneous!AD31-Miscellaneous!AD25-Miscellaneous!AD24-Miscellaneous!AD17-Miscellaneous!AD16-Miscellaneous!AD12-Miscellaneous!AD10</f>
        <v>0</v>
      </c>
      <c r="P50" s="1662">
        <f>SUM(Miscellaneous!AE10:AE36)-Miscellaneous!AE31-Miscellaneous!AE25-Miscellaneous!AE24-Miscellaneous!AE17-Miscellaneous!AE16-Miscellaneous!AE10-Miscellaneous!AE12</f>
        <v>0</v>
      </c>
      <c r="Q50" s="1662">
        <f>Miscellaneous!S13+Miscellaneous!S18+Miscellaneous!S19+Miscellaneous!S21+Miscellaneous!S26+Miscellaneous!S27+Miscellaneous!S28+Miscellaneous!S29+Miscellaneous!S32+Miscellaneous!S33+Miscellaneous!S34+Miscellaneous!S35+Miscellaneous!S36+Miscellaneous!S37</f>
        <v>0</v>
      </c>
      <c r="R50" s="1662">
        <f>Miscellaneous!T13+Miscellaneous!T18+Miscellaneous!T19+Miscellaneous!T21+Miscellaneous!T26+Miscellaneous!T27+Miscellaneous!T28+Miscellaneous!T29+Miscellaneous!T32+Miscellaneous!T33+Miscellaneous!T34+Miscellaneous!T35+Miscellaneous!T36+Miscellaneous!T37</f>
        <v>0</v>
      </c>
      <c r="S50" s="1662"/>
      <c r="T50" s="1680"/>
      <c r="U50" s="1663">
        <f t="shared" si="10"/>
        <v>0</v>
      </c>
      <c r="V50" s="1664">
        <f t="shared" si="11"/>
        <v>0</v>
      </c>
      <c r="W50" s="1689">
        <f>Miscellaneous!M13+Miscellaneous!M18+Miscellaneous!M19+Miscellaneous!M21+Miscellaneous!M26+Miscellaneous!M27+Miscellaneous!M32</f>
        <v>0</v>
      </c>
      <c r="X50" s="1697"/>
      <c r="Y50" s="1698"/>
    </row>
    <row r="51" spans="1:25" ht="14.15" customHeight="1" x14ac:dyDescent="0.35">
      <c r="A51" s="2134" t="str">
        <f>Miscellaneous!A10</f>
        <v>LIGHT POLE BASES</v>
      </c>
      <c r="B51" s="2135"/>
      <c r="C51" s="1668">
        <f>Miscellaneous!F10</f>
        <v>0</v>
      </c>
      <c r="D51" s="699" t="s">
        <v>137</v>
      </c>
      <c r="E51" s="1661">
        <f>Miscellaneous!I10</f>
        <v>0</v>
      </c>
      <c r="F51" s="696">
        <f>IF(C51&gt;0,E51/C51,0)</f>
        <v>0</v>
      </c>
      <c r="G51" s="1662">
        <f>Miscellaneous!O10</f>
        <v>0</v>
      </c>
      <c r="H51" s="1662"/>
      <c r="I51" s="1662"/>
      <c r="J51" s="1662">
        <f>Miscellaneous!Q10</f>
        <v>0</v>
      </c>
      <c r="K51" s="1662"/>
      <c r="L51" s="1662">
        <f>Miscellaneous!P10</f>
        <v>0</v>
      </c>
      <c r="M51" s="1662"/>
      <c r="N51" s="1662"/>
      <c r="O51" s="1662">
        <f>Miscellaneous!AD10</f>
        <v>0</v>
      </c>
      <c r="P51" s="1662">
        <f>Miscellaneous!AE10</f>
        <v>0</v>
      </c>
      <c r="Q51" s="1662">
        <f>Miscellaneous!S10</f>
        <v>0</v>
      </c>
      <c r="R51" s="1662">
        <f>Miscellaneous!T10</f>
        <v>0</v>
      </c>
      <c r="S51" s="1662"/>
      <c r="T51" s="1680"/>
      <c r="U51" s="1663">
        <f t="shared" si="10"/>
        <v>0</v>
      </c>
      <c r="V51" s="1664">
        <f t="shared" si="11"/>
        <v>0</v>
      </c>
      <c r="W51" s="1689">
        <f>Miscellaneous!M10</f>
        <v>0</v>
      </c>
      <c r="X51" s="1697"/>
      <c r="Y51" s="1698"/>
    </row>
    <row r="52" spans="1:25" ht="14.15" customHeight="1" x14ac:dyDescent="0.35">
      <c r="A52" s="2134" t="str">
        <f>Miscellaneous!A24</f>
        <v>HOUSE KEEPING PADS</v>
      </c>
      <c r="B52" s="2135"/>
      <c r="C52" s="1660">
        <f>Miscellaneous!F24</f>
        <v>0</v>
      </c>
      <c r="D52" s="699" t="s">
        <v>137</v>
      </c>
      <c r="E52" s="1673">
        <f>Miscellaneous!I24</f>
        <v>0</v>
      </c>
      <c r="F52" s="696">
        <f>IF(C52&gt;0,E52/C52,0)</f>
        <v>0</v>
      </c>
      <c r="G52" s="1662">
        <f>Miscellaneous!O24</f>
        <v>0</v>
      </c>
      <c r="H52" s="1662">
        <f>Miscellaneous!N24</f>
        <v>0</v>
      </c>
      <c r="I52" s="1662"/>
      <c r="J52" s="1662">
        <f>Miscellaneous!Q24</f>
        <v>0</v>
      </c>
      <c r="K52" s="1662"/>
      <c r="L52" s="1662">
        <f>Miscellaneous!P24</f>
        <v>0</v>
      </c>
      <c r="M52" s="1662"/>
      <c r="N52" s="1662"/>
      <c r="O52" s="1662">
        <f>AD29</f>
        <v>0</v>
      </c>
      <c r="P52" s="1662">
        <f>Miscellaneous!AE24</f>
        <v>0</v>
      </c>
      <c r="Q52" s="1662">
        <f>Miscellaneous!S24</f>
        <v>0</v>
      </c>
      <c r="R52" s="1662">
        <f>Miscellaneous!T24</f>
        <v>0</v>
      </c>
      <c r="S52" s="1662"/>
      <c r="T52" s="1680"/>
      <c r="U52" s="1663">
        <f t="shared" si="10"/>
        <v>0</v>
      </c>
      <c r="V52" s="1664">
        <f t="shared" si="11"/>
        <v>0</v>
      </c>
      <c r="W52" s="1689">
        <f>Miscellaneous!M24</f>
        <v>0</v>
      </c>
      <c r="X52" s="1697"/>
      <c r="Y52" s="1698"/>
    </row>
    <row r="53" spans="1:25" ht="14.15" customHeight="1" x14ac:dyDescent="0.35">
      <c r="A53" s="2134" t="str">
        <f>Miscellaneous!A25</f>
        <v>BLOCK OUTS</v>
      </c>
      <c r="B53" s="2135"/>
      <c r="C53" s="1660">
        <f>Miscellaneous!F25</f>
        <v>0</v>
      </c>
      <c r="D53" s="699" t="s">
        <v>137</v>
      </c>
      <c r="E53" s="1673">
        <f>Miscellaneous!I25</f>
        <v>0</v>
      </c>
      <c r="F53" s="696">
        <f>IF(C53&gt;0,E53/C53,0)</f>
        <v>0</v>
      </c>
      <c r="G53" s="1662">
        <f>Miscellaneous!O25</f>
        <v>0</v>
      </c>
      <c r="H53" s="1662"/>
      <c r="I53" s="1662"/>
      <c r="J53" s="1662">
        <f>Miscellaneous!Q25</f>
        <v>0</v>
      </c>
      <c r="K53" s="1662"/>
      <c r="L53" s="1662">
        <f>Miscellaneous!P25</f>
        <v>0</v>
      </c>
      <c r="M53" s="1662"/>
      <c r="N53" s="1662"/>
      <c r="O53" s="1662">
        <f>AD30</f>
        <v>0</v>
      </c>
      <c r="P53" s="1662">
        <f>Miscellaneous!AE25</f>
        <v>0</v>
      </c>
      <c r="Q53" s="1662">
        <f>Miscellaneous!S25</f>
        <v>0</v>
      </c>
      <c r="R53" s="1662">
        <f>Miscellaneous!T25</f>
        <v>0</v>
      </c>
      <c r="S53" s="1662"/>
      <c r="T53" s="1680"/>
      <c r="U53" s="1663">
        <f t="shared" si="10"/>
        <v>0</v>
      </c>
      <c r="V53" s="1664">
        <f t="shared" si="11"/>
        <v>0</v>
      </c>
      <c r="W53" s="1689">
        <f>Miscellaneous!M25</f>
        <v>0</v>
      </c>
      <c r="X53" s="1697"/>
      <c r="Y53" s="1698"/>
    </row>
    <row r="54" spans="1:25" ht="14.15" customHeight="1" x14ac:dyDescent="0.35">
      <c r="A54" s="2132"/>
      <c r="B54" s="2133"/>
      <c r="C54" s="1660"/>
      <c r="D54" s="1051"/>
      <c r="E54" s="1661"/>
      <c r="F54" s="1676"/>
      <c r="G54" s="717"/>
      <c r="H54" s="718"/>
      <c r="I54" s="718"/>
      <c r="J54" s="719" t="s">
        <v>571</v>
      </c>
      <c r="K54" s="718"/>
      <c r="L54" s="719" t="s">
        <v>444</v>
      </c>
      <c r="M54" s="718"/>
      <c r="N54" s="718"/>
      <c r="O54" s="718"/>
      <c r="P54" s="718"/>
      <c r="Q54" s="719" t="s">
        <v>594</v>
      </c>
      <c r="R54" s="718"/>
      <c r="S54" s="718"/>
      <c r="T54" s="720"/>
      <c r="U54" s="721"/>
      <c r="V54" s="1664"/>
      <c r="W54" s="1689"/>
      <c r="X54" s="1697"/>
      <c r="Y54" s="1698"/>
    </row>
    <row r="55" spans="1:25" ht="14.15" customHeight="1" x14ac:dyDescent="0.35">
      <c r="A55" s="2132"/>
      <c r="B55" s="2133"/>
      <c r="C55" s="1660"/>
      <c r="D55" s="1051"/>
      <c r="E55" s="1661"/>
      <c r="F55" s="1676"/>
      <c r="G55" s="1662"/>
      <c r="H55" s="1662"/>
      <c r="I55" s="1662"/>
      <c r="J55" s="1685">
        <f>(PIERS!L52+'Gd Beams'!L52+'SLAB ON DECK'!K41+COLUMNS!L53+'CIP EL. DECK'!L63+'Site Walls'!L60+SIDEWALKS!N41+'Private Paving'!L43+Miscellaneous!N38+PANELS!L137+'SLAB ON GRADE'!K41+'Mono Slab on Grade Building 1'!L74)/2000</f>
        <v>0</v>
      </c>
      <c r="K55" s="1686"/>
      <c r="L55" s="1685">
        <f>SUM(W56)</f>
        <v>0</v>
      </c>
      <c r="M55" s="1686"/>
      <c r="N55" s="1686"/>
      <c r="O55" s="1686"/>
      <c r="P55" s="1686"/>
      <c r="Q55" s="1685">
        <f>H96/100/5</f>
        <v>0</v>
      </c>
      <c r="R55" s="1662"/>
      <c r="S55" s="1662"/>
      <c r="T55" s="1680"/>
      <c r="U55" s="1687">
        <f>O106-H79</f>
        <v>0</v>
      </c>
      <c r="V55" s="1664"/>
      <c r="W55" s="1689">
        <v>0</v>
      </c>
      <c r="X55" s="1697"/>
      <c r="Y55" s="1698"/>
    </row>
    <row r="56" spans="1:25" ht="16" thickBot="1" x14ac:dyDescent="0.4">
      <c r="A56" s="1026"/>
      <c r="B56" s="1669" t="s">
        <v>151</v>
      </c>
      <c r="C56" s="1670"/>
      <c r="D56" s="1675"/>
      <c r="E56" s="1674">
        <f>SUM(E12:E55)</f>
        <v>0</v>
      </c>
      <c r="F56" s="1029"/>
      <c r="G56" s="692">
        <f>SUM(G12:G53)-G13-G23-G38-G15-G17</f>
        <v>0</v>
      </c>
      <c r="H56" s="692">
        <f t="shared" ref="H56:S56" si="12">SUM(H12:H53)-H13-H23-H38-H15-H17-H27</f>
        <v>0</v>
      </c>
      <c r="I56" s="692">
        <f t="shared" si="12"/>
        <v>0</v>
      </c>
      <c r="J56" s="692">
        <f t="shared" si="12"/>
        <v>0</v>
      </c>
      <c r="K56" s="692">
        <f t="shared" si="12"/>
        <v>0</v>
      </c>
      <c r="L56" s="692">
        <f t="shared" si="12"/>
        <v>0</v>
      </c>
      <c r="M56" s="692">
        <f t="shared" si="12"/>
        <v>0</v>
      </c>
      <c r="N56" s="692">
        <f t="shared" si="12"/>
        <v>0</v>
      </c>
      <c r="O56" s="692">
        <f t="shared" si="12"/>
        <v>0</v>
      </c>
      <c r="P56" s="692">
        <f t="shared" si="12"/>
        <v>0</v>
      </c>
      <c r="Q56" s="692">
        <f t="shared" si="12"/>
        <v>0</v>
      </c>
      <c r="R56" s="692">
        <f t="shared" si="12"/>
        <v>0</v>
      </c>
      <c r="S56" s="692">
        <f t="shared" si="12"/>
        <v>0</v>
      </c>
      <c r="T56" s="692"/>
      <c r="U56" s="693">
        <f>SUM(U12:U54)</f>
        <v>0</v>
      </c>
      <c r="V56" s="1692"/>
      <c r="W56" s="1691">
        <f>SUM(W12:W55)</f>
        <v>0</v>
      </c>
      <c r="X56" s="1700" t="s">
        <v>152</v>
      </c>
      <c r="Y56" s="1701"/>
    </row>
    <row r="57" spans="1:25" x14ac:dyDescent="0.35">
      <c r="A57" s="997"/>
      <c r="B57" s="997"/>
      <c r="C57" s="1046" t="s">
        <v>742</v>
      </c>
      <c r="D57" s="2159">
        <f>U59*(1+P64+P63)</f>
        <v>0</v>
      </c>
      <c r="E57" s="2159"/>
      <c r="F57" s="1000"/>
      <c r="G57" s="1001">
        <f>IF($E$56=0,0,G56/$E56)</f>
        <v>0</v>
      </c>
      <c r="H57" s="1001">
        <f t="shared" ref="H57:S57" si="13">IF($E$56=0,0,H56/$E56)</f>
        <v>0</v>
      </c>
      <c r="I57" s="1001">
        <f t="shared" si="13"/>
        <v>0</v>
      </c>
      <c r="J57" s="1001">
        <f t="shared" si="13"/>
        <v>0</v>
      </c>
      <c r="K57" s="1001">
        <f t="shared" si="13"/>
        <v>0</v>
      </c>
      <c r="L57" s="1001">
        <f>IF($E$56=0,0,L56/$E56)</f>
        <v>0</v>
      </c>
      <c r="M57" s="1001">
        <f t="shared" si="13"/>
        <v>0</v>
      </c>
      <c r="N57" s="1001">
        <f t="shared" si="13"/>
        <v>0</v>
      </c>
      <c r="O57" s="1001">
        <f t="shared" si="13"/>
        <v>0</v>
      </c>
      <c r="P57" s="1001">
        <f t="shared" si="13"/>
        <v>0</v>
      </c>
      <c r="Q57" s="1001">
        <f t="shared" si="13"/>
        <v>0</v>
      </c>
      <c r="R57" s="1001">
        <f t="shared" si="13"/>
        <v>0</v>
      </c>
      <c r="S57" s="1001">
        <f t="shared" si="13"/>
        <v>0</v>
      </c>
      <c r="T57" s="1001"/>
      <c r="U57" s="1002">
        <f>SUM(G57:T57)</f>
        <v>0</v>
      </c>
      <c r="V57" s="1003"/>
      <c r="W57" s="1047">
        <f>IF(W56=0,0,E56/W56)</f>
        <v>0</v>
      </c>
      <c r="X57" s="1048" t="s">
        <v>159</v>
      </c>
      <c r="Y57" s="1049"/>
    </row>
    <row r="58" spans="1:25" x14ac:dyDescent="0.35">
      <c r="A58" s="2136" t="s">
        <v>743</v>
      </c>
      <c r="B58" s="2137"/>
      <c r="C58" s="2137"/>
      <c r="D58" s="2157">
        <f>E56+D57</f>
        <v>0</v>
      </c>
      <c r="E58" s="2157"/>
      <c r="F58" s="1000"/>
      <c r="G58" s="1001"/>
      <c r="H58" s="1001"/>
      <c r="I58" s="1001"/>
      <c r="J58" s="1001"/>
      <c r="K58" s="1001"/>
      <c r="L58" s="1001"/>
      <c r="M58" s="1001"/>
      <c r="N58" s="1001"/>
      <c r="O58" s="1001"/>
      <c r="P58" s="1001"/>
      <c r="Q58" s="1001"/>
      <c r="R58" s="1001"/>
      <c r="S58" s="1001"/>
      <c r="T58" s="1001"/>
      <c r="U58" s="1005">
        <f>U56-U55</f>
        <v>0</v>
      </c>
      <c r="V58" s="1003"/>
      <c r="W58" s="1050"/>
      <c r="X58" s="998"/>
      <c r="Y58" s="1004"/>
    </row>
    <row r="59" spans="1:25" x14ac:dyDescent="0.35">
      <c r="A59" s="1006"/>
      <c r="B59" s="998"/>
      <c r="C59" s="1007"/>
      <c r="D59" s="1008"/>
      <c r="E59" s="1009"/>
      <c r="F59" s="1000"/>
      <c r="G59" s="1001"/>
      <c r="H59" s="1001"/>
      <c r="I59" s="1001"/>
      <c r="J59" s="1001"/>
      <c r="K59" s="1001"/>
      <c r="L59" s="1001"/>
      <c r="M59" s="1001"/>
      <c r="N59" s="1001"/>
      <c r="O59" s="1001" t="s">
        <v>741</v>
      </c>
      <c r="P59" s="1010" t="s">
        <v>198</v>
      </c>
      <c r="Q59" s="1001"/>
      <c r="R59" s="1001"/>
      <c r="S59" s="1011" t="s">
        <v>739</v>
      </c>
      <c r="T59" s="998"/>
      <c r="U59" s="999">
        <f>IF(P59="y",IF(E56&lt;100000,E56*0.025,2500)+IF(E56&gt;100000,(-100000+E56)*0.015,0)+IF(E56&gt;500000,(-500000+E56)*0.01,0),0)</f>
        <v>0</v>
      </c>
      <c r="V59" s="1003"/>
      <c r="W59" s="1050"/>
      <c r="X59" s="998"/>
      <c r="Y59" s="1004"/>
    </row>
    <row r="60" spans="1:25" x14ac:dyDescent="0.35">
      <c r="A60" s="1012"/>
      <c r="B60" s="1012"/>
      <c r="C60" s="1012"/>
      <c r="D60" s="999"/>
      <c r="E60" s="1013"/>
      <c r="F60" s="1000"/>
      <c r="G60" s="1001"/>
      <c r="H60" s="1001"/>
      <c r="I60" s="1001"/>
      <c r="J60" s="1001"/>
      <c r="K60" s="1001"/>
      <c r="L60" s="1014"/>
      <c r="M60" s="1001"/>
      <c r="N60" s="1001"/>
      <c r="O60" s="1001"/>
      <c r="P60" s="1001"/>
      <c r="Q60" s="1001"/>
      <c r="R60" s="1001"/>
      <c r="S60" s="1015" t="s">
        <v>50</v>
      </c>
      <c r="T60" s="1001"/>
      <c r="U60" s="1016">
        <f>U59+U56</f>
        <v>0</v>
      </c>
      <c r="V60" s="1003"/>
      <c r="W60" s="1050"/>
      <c r="X60" s="998"/>
      <c r="Y60" s="1004"/>
    </row>
    <row r="61" spans="1:25" ht="16" thickBot="1" x14ac:dyDescent="0.4">
      <c r="A61" s="1006"/>
      <c r="B61" s="998"/>
      <c r="C61" s="998"/>
      <c r="D61" s="1008"/>
      <c r="E61" s="1005"/>
      <c r="F61" s="1005"/>
      <c r="G61" s="1005"/>
      <c r="H61" s="1017"/>
      <c r="I61" s="1005"/>
      <c r="J61" s="1005"/>
      <c r="K61" s="1005"/>
      <c r="L61" s="1005"/>
      <c r="M61" s="1005"/>
      <c r="N61" s="1005"/>
      <c r="O61" s="1005"/>
      <c r="P61" s="1005"/>
      <c r="Q61" s="1005"/>
      <c r="R61" s="1005"/>
      <c r="S61" s="1005"/>
      <c r="T61" s="1005"/>
      <c r="U61" s="1018">
        <f>O106</f>
        <v>0</v>
      </c>
      <c r="V61" s="1003"/>
      <c r="W61" s="1051"/>
      <c r="X61" s="1051"/>
      <c r="Y61" s="1004"/>
    </row>
    <row r="62" spans="1:25" x14ac:dyDescent="0.35">
      <c r="A62" s="1012"/>
      <c r="B62" s="1012"/>
      <c r="C62" s="1012"/>
      <c r="D62" s="1012"/>
      <c r="E62" s="1012"/>
      <c r="F62" s="1005"/>
      <c r="G62" s="1005"/>
      <c r="H62" s="1005"/>
      <c r="I62" s="1037" t="s">
        <v>153</v>
      </c>
      <c r="J62" s="1038"/>
      <c r="K62" s="1039"/>
      <c r="L62" s="1032">
        <f>SUM(G56:M56)</f>
        <v>0</v>
      </c>
      <c r="M62" s="1033" t="e">
        <f>L62/D58</f>
        <v>#DIV/0!</v>
      </c>
      <c r="N62" s="1005"/>
      <c r="O62" s="1005" t="s">
        <v>47</v>
      </c>
      <c r="P62" s="1019" t="s">
        <v>139</v>
      </c>
      <c r="Q62" s="2127" t="s">
        <v>105</v>
      </c>
      <c r="R62" s="2127"/>
      <c r="S62" s="2126"/>
      <c r="T62" s="2126"/>
      <c r="U62" s="2126"/>
      <c r="V62" s="1003"/>
      <c r="W62" s="1051"/>
      <c r="X62" s="1051"/>
      <c r="Y62" s="1004"/>
    </row>
    <row r="63" spans="1:25" x14ac:dyDescent="0.35">
      <c r="A63" s="1012"/>
      <c r="B63" s="1012"/>
      <c r="C63" s="1012"/>
      <c r="D63" s="1012"/>
      <c r="E63" s="1012"/>
      <c r="F63" s="1005"/>
      <c r="G63" s="1005"/>
      <c r="H63" s="1005"/>
      <c r="I63" s="1040" t="s">
        <v>154</v>
      </c>
      <c r="J63" s="1041"/>
      <c r="K63" s="1042"/>
      <c r="L63" s="1023">
        <f>P56+Q56</f>
        <v>0</v>
      </c>
      <c r="M63" s="1034" t="e">
        <f>L63/D58</f>
        <v>#DIV/0!</v>
      </c>
      <c r="N63" s="1005"/>
      <c r="O63" s="1020" t="s">
        <v>668</v>
      </c>
      <c r="P63" s="1551">
        <v>0.18</v>
      </c>
      <c r="Q63" s="2128">
        <f>L66/(P63+P64)*P63</f>
        <v>0</v>
      </c>
      <c r="R63" s="2129"/>
      <c r="S63" s="1005"/>
      <c r="T63" s="1005"/>
      <c r="U63" s="1005"/>
      <c r="V63" s="1003"/>
      <c r="W63" s="1051"/>
      <c r="X63" s="1051"/>
      <c r="Y63" s="1004"/>
    </row>
    <row r="64" spans="1:25" x14ac:dyDescent="0.35">
      <c r="A64" s="1006"/>
      <c r="B64" s="998"/>
      <c r="C64" s="998"/>
      <c r="D64" s="1008"/>
      <c r="E64" s="1005"/>
      <c r="F64" s="1005"/>
      <c r="G64" s="1005"/>
      <c r="H64" s="1005"/>
      <c r="I64" s="1040" t="s">
        <v>155</v>
      </c>
      <c r="J64" s="1041"/>
      <c r="K64" s="1042"/>
      <c r="L64" s="1023">
        <f>O56</f>
        <v>0</v>
      </c>
      <c r="M64" s="1034" t="e">
        <f>L64/D58</f>
        <v>#DIV/0!</v>
      </c>
      <c r="N64" s="1021"/>
      <c r="O64" s="1022" t="s">
        <v>669</v>
      </c>
      <c r="P64" s="1552">
        <v>0</v>
      </c>
      <c r="Q64" s="2130">
        <f>L66/(P63+P64)*P64</f>
        <v>0</v>
      </c>
      <c r="R64" s="2131"/>
      <c r="S64" s="1005"/>
      <c r="T64" s="1005"/>
      <c r="U64" s="1005"/>
      <c r="V64" s="1003"/>
      <c r="W64" s="1051"/>
      <c r="X64" s="1051"/>
      <c r="Y64" s="1004"/>
    </row>
    <row r="65" spans="1:25" x14ac:dyDescent="0.35">
      <c r="A65" s="1006"/>
      <c r="B65" s="998"/>
      <c r="C65" s="998"/>
      <c r="D65" s="1008"/>
      <c r="E65" s="1005"/>
      <c r="F65" s="1005"/>
      <c r="G65" s="1005"/>
      <c r="H65" s="1005"/>
      <c r="I65" s="1040" t="s">
        <v>156</v>
      </c>
      <c r="J65" s="1041"/>
      <c r="K65" s="1042"/>
      <c r="L65" s="1023">
        <f>N56+R56+S56+U59</f>
        <v>0</v>
      </c>
      <c r="M65" s="1034" t="e">
        <f>L65/D58</f>
        <v>#DIV/0!</v>
      </c>
      <c r="N65" s="1005"/>
      <c r="O65" s="1023" t="s">
        <v>726</v>
      </c>
      <c r="P65" s="1024" t="s">
        <v>661</v>
      </c>
      <c r="Q65" s="1023" t="s">
        <v>847</v>
      </c>
      <c r="R65" s="1025">
        <v>8.2500000000000004E-2</v>
      </c>
      <c r="S65" s="1005"/>
      <c r="T65" s="1005"/>
      <c r="U65" s="1005"/>
      <c r="V65" s="1003"/>
      <c r="W65" s="1051"/>
      <c r="X65" s="1051"/>
      <c r="Y65" s="1004"/>
    </row>
    <row r="66" spans="1:25" ht="16" thickBot="1" x14ac:dyDescent="0.4">
      <c r="A66" s="1026"/>
      <c r="B66" s="1027"/>
      <c r="C66" s="1027"/>
      <c r="D66" s="1028"/>
      <c r="E66" s="1029"/>
      <c r="F66" s="1029"/>
      <c r="G66" s="1029"/>
      <c r="H66" s="1029"/>
      <c r="I66" s="1043" t="s">
        <v>157</v>
      </c>
      <c r="J66" s="1044"/>
      <c r="K66" s="1045"/>
      <c r="L66" s="1035">
        <f>D58-U60</f>
        <v>0</v>
      </c>
      <c r="M66" s="1036" t="e">
        <f>1-SUM(M62:M65)</f>
        <v>#DIV/0!</v>
      </c>
      <c r="N66" s="1029"/>
      <c r="O66" s="1029"/>
      <c r="P66" s="1029"/>
      <c r="Q66" s="2125">
        <f>SUM(Q63:R65)</f>
        <v>8.2500000000000004E-2</v>
      </c>
      <c r="R66" s="2125"/>
      <c r="S66" s="1029"/>
      <c r="T66" s="1029"/>
      <c r="U66" s="1029"/>
      <c r="V66" s="1030"/>
      <c r="W66" s="1027"/>
      <c r="X66" s="1027"/>
      <c r="Y66" s="1031"/>
    </row>
    <row r="67" spans="1:25" x14ac:dyDescent="0.35">
      <c r="A67" s="298"/>
      <c r="B67" s="326"/>
      <c r="C67" s="326"/>
      <c r="D67" s="348"/>
      <c r="E67" s="347"/>
      <c r="F67" s="347"/>
      <c r="G67" s="347"/>
      <c r="H67" s="347"/>
      <c r="I67" s="347"/>
      <c r="J67" s="347"/>
      <c r="K67" s="347"/>
      <c r="L67" s="349">
        <f>D58-SUM(L62:L65)</f>
        <v>0</v>
      </c>
      <c r="M67" s="347">
        <f>L66-L67</f>
        <v>0</v>
      </c>
      <c r="N67" s="347"/>
      <c r="O67" s="347"/>
      <c r="P67" s="347"/>
      <c r="Q67" s="347"/>
      <c r="R67" s="347"/>
      <c r="S67" s="2149"/>
      <c r="T67" s="2149"/>
      <c r="U67" s="2149"/>
      <c r="V67" s="350"/>
      <c r="W67" s="326"/>
      <c r="X67" s="701"/>
    </row>
    <row r="68" spans="1:25" x14ac:dyDescent="0.35">
      <c r="A68" s="298"/>
      <c r="B68" s="326"/>
      <c r="C68" s="326"/>
      <c r="D68" s="348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50"/>
      <c r="W68" s="326"/>
      <c r="X68" s="701"/>
    </row>
    <row r="69" spans="1:25" x14ac:dyDescent="0.35">
      <c r="A69" s="298"/>
      <c r="B69" s="326"/>
      <c r="C69" s="326"/>
      <c r="D69" s="348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50"/>
      <c r="W69" s="326"/>
      <c r="X69" s="701"/>
    </row>
    <row r="70" spans="1:25" x14ac:dyDescent="0.35">
      <c r="A70" s="298"/>
      <c r="B70" s="326"/>
      <c r="C70" s="326"/>
      <c r="D70" s="348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50"/>
      <c r="W70" s="326"/>
      <c r="X70" s="701"/>
    </row>
    <row r="71" spans="1:25" x14ac:dyDescent="0.35">
      <c r="A71" s="298"/>
      <c r="B71" s="326"/>
      <c r="C71" s="326"/>
      <c r="D71" s="348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50"/>
      <c r="W71" s="326"/>
      <c r="X71" s="701"/>
    </row>
    <row r="72" spans="1:25" x14ac:dyDescent="0.35">
      <c r="A72" s="298"/>
      <c r="B72" s="326"/>
      <c r="C72" s="59" t="s">
        <v>237</v>
      </c>
      <c r="D72" s="348"/>
      <c r="E72" s="326"/>
      <c r="F72" s="298"/>
      <c r="G72" s="298"/>
      <c r="H72" s="326"/>
      <c r="I72" s="298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50"/>
      <c r="W72" s="326"/>
      <c r="X72" s="701"/>
    </row>
    <row r="73" spans="1:25" x14ac:dyDescent="0.35">
      <c r="A73" s="298"/>
      <c r="B73" s="326"/>
      <c r="C73" s="1703" t="s">
        <v>126</v>
      </c>
      <c r="D73" s="1704">
        <v>0</v>
      </c>
      <c r="E73" s="1705"/>
      <c r="F73" s="1706"/>
      <c r="G73" s="1706"/>
      <c r="H73" s="1707"/>
      <c r="I73" s="689"/>
      <c r="J73" s="1702"/>
      <c r="K73" s="1702"/>
      <c r="L73" s="1702"/>
      <c r="M73" s="1702"/>
      <c r="N73" s="1702"/>
      <c r="O73" s="1702"/>
      <c r="P73" s="1702"/>
      <c r="Q73" s="347"/>
      <c r="R73" s="347"/>
      <c r="S73" s="347"/>
      <c r="T73" s="347"/>
      <c r="U73" s="347"/>
      <c r="V73" s="350"/>
      <c r="W73" s="326"/>
      <c r="X73" s="701"/>
    </row>
    <row r="74" spans="1:25" x14ac:dyDescent="0.35">
      <c r="A74" s="298"/>
      <c r="B74" s="326"/>
      <c r="C74" s="1703" t="s">
        <v>238</v>
      </c>
      <c r="D74" s="1704">
        <v>0</v>
      </c>
      <c r="E74" s="1705"/>
      <c r="F74" s="1706"/>
      <c r="G74" s="1706"/>
      <c r="H74" s="1707"/>
      <c r="I74" s="689"/>
      <c r="J74" s="1702"/>
      <c r="K74" s="1702"/>
      <c r="L74" s="1702"/>
      <c r="M74" s="1702"/>
      <c r="N74" s="1702"/>
      <c r="O74" s="1702"/>
      <c r="P74" s="1702"/>
      <c r="Q74" s="347"/>
      <c r="R74" s="347"/>
      <c r="S74" s="347"/>
      <c r="T74" s="347"/>
      <c r="U74" s="347"/>
      <c r="V74" s="350"/>
      <c r="W74" s="326"/>
      <c r="X74" s="701"/>
    </row>
    <row r="75" spans="1:25" ht="16" thickBot="1" x14ac:dyDescent="0.4">
      <c r="A75" s="298"/>
      <c r="B75" s="326"/>
      <c r="C75" s="1708" t="s">
        <v>283</v>
      </c>
      <c r="D75" s="1709">
        <v>0</v>
      </c>
      <c r="E75" s="1051"/>
      <c r="F75" s="1012"/>
      <c r="G75" s="1012"/>
      <c r="H75" s="1710"/>
      <c r="I75" s="689"/>
      <c r="J75" s="1702"/>
      <c r="K75" s="1702"/>
      <c r="L75" s="1702"/>
      <c r="M75" s="1702"/>
      <c r="N75" s="1702"/>
      <c r="O75" s="1702"/>
      <c r="P75" s="1702"/>
      <c r="Q75" s="347"/>
      <c r="R75" s="347"/>
      <c r="S75" s="347"/>
      <c r="T75" s="347"/>
      <c r="U75" s="347"/>
      <c r="V75" s="350"/>
      <c r="W75" s="326"/>
      <c r="X75" s="701"/>
    </row>
    <row r="76" spans="1:25" ht="18" x14ac:dyDescent="0.4">
      <c r="A76" s="298"/>
      <c r="B76" s="326"/>
      <c r="C76" s="1711" t="s">
        <v>239</v>
      </c>
      <c r="D76" s="2150" t="s">
        <v>240</v>
      </c>
      <c r="E76" s="2150"/>
      <c r="F76" s="2150"/>
      <c r="G76" s="2150"/>
      <c r="H76" s="1712" t="s">
        <v>92</v>
      </c>
      <c r="I76" s="997"/>
      <c r="J76" s="1713"/>
      <c r="K76" s="2150" t="s">
        <v>240</v>
      </c>
      <c r="L76" s="2150"/>
      <c r="M76" s="2150"/>
      <c r="N76" s="2150"/>
      <c r="O76" s="1712" t="s">
        <v>92</v>
      </c>
      <c r="P76" s="1714"/>
      <c r="Q76" s="347"/>
      <c r="R76" s="347"/>
      <c r="S76" s="347"/>
      <c r="T76" s="347"/>
      <c r="U76" s="347"/>
      <c r="V76" s="350"/>
      <c r="W76" s="326"/>
      <c r="X76" s="701"/>
    </row>
    <row r="77" spans="1:25" ht="18.5" thickBot="1" x14ac:dyDescent="0.45">
      <c r="A77" s="298"/>
      <c r="B77" s="326"/>
      <c r="C77" s="1715"/>
      <c r="D77" s="1716"/>
      <c r="E77" s="1027"/>
      <c r="F77" s="1717"/>
      <c r="G77" s="1717"/>
      <c r="H77" s="1718"/>
      <c r="I77" s="1717"/>
      <c r="J77" s="1719"/>
      <c r="K77" s="1029"/>
      <c r="L77" s="1029"/>
      <c r="M77" s="1029"/>
      <c r="N77" s="1029"/>
      <c r="O77" s="1029"/>
      <c r="P77" s="1720"/>
      <c r="Q77" s="347"/>
      <c r="R77" s="347"/>
      <c r="S77" s="347"/>
      <c r="T77" s="347"/>
      <c r="U77" s="347"/>
      <c r="V77" s="350"/>
      <c r="W77" s="326"/>
      <c r="X77" s="701"/>
    </row>
    <row r="78" spans="1:25" x14ac:dyDescent="0.35">
      <c r="A78" s="298"/>
      <c r="B78" s="326"/>
      <c r="C78" s="1721">
        <v>0</v>
      </c>
      <c r="D78" s="1722" t="s">
        <v>241</v>
      </c>
      <c r="E78" s="1723"/>
      <c r="F78" s="1724"/>
      <c r="G78" s="1725"/>
      <c r="H78" s="2145">
        <f>'Mono Slab on Grade Building 1'!AO81+'Gd Beams'!AF65+'Private Paving'!AE66+PIERS!AE75+Miscellaneous!AK8+'CIP EL. DECK'!AF68+COLUMNS!AF65+'SLAB ON DECK'!AD65+SIDEWALKS!AG65+'Site Walls'!AF71+PANELS!AH122+'SLAB ON GRADE'!AD64+'Gd Beams or Cont Footings'!AF65+Footings!AF65+'Garage Footings'!AF65+'Garage Walls'!AF65+'Mono Slab on Grade Building 2'!AO81+'Mono Slab on Grade Garden Style'!AO81+'ROW Paving'!AE66</f>
        <v>0</v>
      </c>
      <c r="I78" s="2146"/>
      <c r="J78" s="1721">
        <v>35</v>
      </c>
      <c r="K78" s="1736" t="s">
        <v>263</v>
      </c>
      <c r="L78" s="1723"/>
      <c r="M78" s="1737"/>
      <c r="N78" s="1738"/>
      <c r="O78" s="2151">
        <f>'Mono Slab on Grade Building 1'!AO111+'Gd Beams'!AF93+'Private Paving'!AE94+PIERS!AE103+Miscellaneous!AK37+'CIP EL. DECK'!AF97+COLUMNS!AF93+'SLAB ON DECK'!AD93+SIDEWALKS!AG93+'Site Walls'!AF101+PANELS!AH150+'SLAB ON GRADE'!AD92+Footings!AF95+'Gd Beams or Cont Footings'!AF93+'Garage Footings'!AF95+'Mono Slab on Grade Building 2'!AO111+'Mono Slab on Grade Garden Style'!AO111+'Private Paving'!AE94+'Garage Walls'!AF101</f>
        <v>0</v>
      </c>
      <c r="P78" s="2152"/>
      <c r="Q78" s="347"/>
      <c r="R78" s="347"/>
      <c r="S78" s="347"/>
      <c r="T78" s="347"/>
      <c r="U78" s="347"/>
      <c r="V78" s="350"/>
      <c r="W78" s="326"/>
      <c r="X78" s="701"/>
    </row>
    <row r="79" spans="1:25" x14ac:dyDescent="0.35">
      <c r="A79" s="298"/>
      <c r="B79" s="374"/>
      <c r="C79" s="1726">
        <v>1</v>
      </c>
      <c r="D79" s="1727" t="s">
        <v>242</v>
      </c>
      <c r="E79" s="1728"/>
      <c r="F79" s="1729"/>
      <c r="G79" s="1730"/>
      <c r="H79" s="2145">
        <f>U59</f>
        <v>0</v>
      </c>
      <c r="I79" s="2146"/>
      <c r="J79" s="1739">
        <v>36</v>
      </c>
      <c r="K79" s="1740" t="s">
        <v>745</v>
      </c>
      <c r="L79" s="1705"/>
      <c r="M79" s="1705"/>
      <c r="N79" s="1741"/>
      <c r="O79" s="2147">
        <f>'Mono Slab on Grade Building 1'!AO112+'Gd Beams'!AF94+'Private Paving'!AE95+PIERS!AE104+Miscellaneous!AK38+'CIP EL. DECK'!AF98+COLUMNS!AF94+'SLAB ON DECK'!AD94+SIDEWALKS!AG94+'Site Walls'!AF102+PANELS!AH151+'SLAB ON GRADE'!AD93+Footings!AF96+'Gd Beams or Cont Footings'!AF94+'Garage Footings'!AF96+'Mono Slab on Grade Building 2'!AO112+'Mono Slab on Grade Garden Style'!AO112+'Private Paving'!AE95+'Garage Walls'!AF102</f>
        <v>0</v>
      </c>
      <c r="P79" s="2148"/>
      <c r="Q79" s="347"/>
      <c r="R79" s="347"/>
      <c r="S79" s="347"/>
      <c r="T79" s="347"/>
      <c r="U79" s="347"/>
      <c r="V79" s="374"/>
      <c r="W79" s="374"/>
      <c r="X79" s="703"/>
    </row>
    <row r="80" spans="1:25" x14ac:dyDescent="0.35">
      <c r="A80" s="298"/>
      <c r="B80" s="374"/>
      <c r="C80" s="1726">
        <v>2</v>
      </c>
      <c r="D80" s="1727" t="s">
        <v>243</v>
      </c>
      <c r="E80" s="1728"/>
      <c r="F80" s="1729"/>
      <c r="G80" s="1730"/>
      <c r="H80" s="2145">
        <f>'Mono Slab on Grade Building 1'!AO83+'Gd Beams'!AF67+'Private Paving'!AE68+PIERS!AE77+Miscellaneous!AK10+'CIP EL. DECK'!AF70+COLUMNS!AF67+'SLAB ON DECK'!AD67+SIDEWALKS!AG67+'Site Walls'!AF73+PANELS!AH124+'SLAB ON GRADE'!AD66+'Gd Beams or Cont Footings'!AF67+Footings!AF67+'Garage Footings'!AF67+'Garage Walls'!AF67+'Mono Slab on Grade Building 2'!AO83+'Mono Slab on Grade Garden Style'!AO83+'Private Paving'!AE68</f>
        <v>0</v>
      </c>
      <c r="I80" s="2146"/>
      <c r="J80" s="1726">
        <v>39</v>
      </c>
      <c r="K80" s="1742" t="s">
        <v>264</v>
      </c>
      <c r="L80" s="1731"/>
      <c r="M80" s="1705"/>
      <c r="N80" s="1741"/>
      <c r="O80" s="2147">
        <f>'Mono Slab on Grade Building 1'!AO113+'Gd Beams'!AF95+'Private Paving'!AE96+PIERS!AE105+Miscellaneous!AK39+'CIP EL. DECK'!AF99+COLUMNS!AF95+'SLAB ON DECK'!AD95+SIDEWALKS!AG95+'Site Walls'!AF103+PANELS!AH152+'SLAB ON GRADE'!AD94+Footings!AF97+'Gd Beams or Cont Footings'!AF95+'Garage Footings'!AF97+'Mono Slab on Grade Building 2'!AO113+'Mono Slab on Grade Garden Style'!AO113+'Private Paving'!AE96+'Garage Walls'!AF103</f>
        <v>0</v>
      </c>
      <c r="P80" s="2148"/>
      <c r="Q80" s="347"/>
      <c r="R80" s="347"/>
      <c r="S80" s="347"/>
      <c r="T80" s="347"/>
      <c r="U80" s="347"/>
      <c r="V80" s="374"/>
      <c r="W80" s="374"/>
      <c r="X80" s="703"/>
    </row>
    <row r="81" spans="1:24" x14ac:dyDescent="0.35">
      <c r="A81" s="298"/>
      <c r="B81" s="374"/>
      <c r="C81" s="1726">
        <v>3</v>
      </c>
      <c r="D81" s="1727" t="s">
        <v>244</v>
      </c>
      <c r="E81" s="1731"/>
      <c r="F81" s="1706"/>
      <c r="G81" s="1732"/>
      <c r="H81" s="2145">
        <f>'Mono Slab on Grade Building 1'!AO84+'Gd Beams'!AF68+'Private Paving'!AE69+PIERS!AE78+Miscellaneous!AK11+'CIP EL. DECK'!AF71+COLUMNS!AF68+'SLAB ON DECK'!AD68+SIDEWALKS!AG68+'Site Walls'!AF74+PANELS!AH125+'SLAB ON GRADE'!AD67+'Gd Beams or Cont Footings'!AF68+Footings!AF68+'Garage Footings'!AF68+'Garage Walls'!AF68+'Mono Slab on Grade Building 2'!AO84+'Mono Slab on Grade Garden Style'!AO84+'Private Paving'!AE69</f>
        <v>0</v>
      </c>
      <c r="I81" s="2146"/>
      <c r="J81" s="1726">
        <v>40</v>
      </c>
      <c r="K81" s="1742" t="s">
        <v>222</v>
      </c>
      <c r="L81" s="1728"/>
      <c r="M81" s="1657"/>
      <c r="N81" s="1743"/>
      <c r="O81" s="2147">
        <f>'Mono Slab on Grade Building 1'!AO114+'Gd Beams'!AF96+'Private Paving'!AE97+PIERS!AE106+Miscellaneous!AK40+'CIP EL. DECK'!AF100+COLUMNS!AF96+'SLAB ON DECK'!AD96+SIDEWALKS!AG96+'Site Walls'!AF104+PANELS!AH153+'SLAB ON GRADE'!AD95+Footings!AF98+'Gd Beams or Cont Footings'!AF96+'Garage Footings'!AF98+'Mono Slab on Grade Building 2'!AO114+'Mono Slab on Grade Garden Style'!AO114+'Private Paving'!AE97+'Garage Walls'!AF104</f>
        <v>0</v>
      </c>
      <c r="P81" s="2148"/>
      <c r="Q81" s="347"/>
      <c r="R81" s="347"/>
      <c r="S81" s="347"/>
      <c r="T81" s="347"/>
      <c r="U81" s="347"/>
      <c r="V81" s="374"/>
      <c r="W81" s="374"/>
      <c r="X81" s="703"/>
    </row>
    <row r="82" spans="1:24" x14ac:dyDescent="0.35">
      <c r="A82" s="298"/>
      <c r="B82" s="374"/>
      <c r="C82" s="1726">
        <v>4</v>
      </c>
      <c r="D82" s="1727" t="s">
        <v>245</v>
      </c>
      <c r="E82" s="1731"/>
      <c r="F82" s="1706"/>
      <c r="G82" s="1732"/>
      <c r="H82" s="2145">
        <f>'Mono Slab on Grade Building 1'!AO85+'Gd Beams'!AF69+'Private Paving'!AE70+PIERS!AE79+Miscellaneous!AK12+'CIP EL. DECK'!AF72+COLUMNS!AF69+'SLAB ON DECK'!AD69+SIDEWALKS!AG69+'Site Walls'!AF75+PANELS!AH126+'SLAB ON GRADE'!AD68+'Gd Beams or Cont Footings'!AF69+Footings!AF69+'Garage Footings'!AF69+'Garage Walls'!AF75+'Mono Slab on Grade Building 2'!AO85+'Mono Slab on Grade Garden Style'!AO85+'ROW Paving'!AE70</f>
        <v>0</v>
      </c>
      <c r="I82" s="2146"/>
      <c r="J82" s="1726">
        <v>41</v>
      </c>
      <c r="K82" s="1742" t="s">
        <v>265</v>
      </c>
      <c r="L82" s="1731"/>
      <c r="M82" s="1705"/>
      <c r="N82" s="1741"/>
      <c r="O82" s="2147">
        <f>'Mono Slab on Grade Building 1'!AO115+'Gd Beams'!AF97+'Private Paving'!AE98+PIERS!AE107+Miscellaneous!AK41+'CIP EL. DECK'!AF101+COLUMNS!AF97+'SLAB ON DECK'!AD97+SIDEWALKS!AG97+'Site Walls'!AF105+PANELS!AH154+'SLAB ON GRADE'!AD96+Footings!AF99+'Gd Beams or Cont Footings'!AF97+'Garage Footings'!AF99+'Mono Slab on Grade Building 2'!AO115+'Mono Slab on Grade Garden Style'!AO115+'Private Paving'!AE98+'Garage Walls'!AF105</f>
        <v>0</v>
      </c>
      <c r="P82" s="2148"/>
      <c r="Q82" s="347"/>
      <c r="R82" s="347"/>
      <c r="S82" s="347"/>
      <c r="T82" s="347"/>
      <c r="U82" s="347"/>
      <c r="V82" s="374"/>
      <c r="W82" s="374"/>
      <c r="X82" s="703"/>
    </row>
    <row r="83" spans="1:24" x14ac:dyDescent="0.35">
      <c r="A83" s="298"/>
      <c r="B83" s="374"/>
      <c r="C83" s="1726">
        <v>5</v>
      </c>
      <c r="D83" s="1727" t="s">
        <v>246</v>
      </c>
      <c r="E83" s="1731"/>
      <c r="F83" s="1706"/>
      <c r="G83" s="1732"/>
      <c r="H83" s="2145">
        <f>'Mono Slab on Grade Building 1'!AO86+'Gd Beams'!AF70+'Private Paving'!AE71+PIERS!AE80+Miscellaneous!AK13+'CIP EL. DECK'!AF73+COLUMNS!AF70+'SLAB ON DECK'!AD70+SIDEWALKS!AG70+'Site Walls'!AF76+PANELS!AH127+'SLAB ON GRADE'!AD69+'Gd Beams or Cont Footings'!AF70+Footings!AF70+'Garage Footings'!AF70+'Garage Walls'!AF76+'Mono Slab on Grade Building 2'!AO86+'Mono Slab on Grade Garden Style'!AO86+'ROW Paving'!AE71</f>
        <v>0</v>
      </c>
      <c r="I83" s="2146"/>
      <c r="J83" s="1726">
        <v>42</v>
      </c>
      <c r="K83" s="1742" t="s">
        <v>266</v>
      </c>
      <c r="L83" s="1731"/>
      <c r="M83" s="1705"/>
      <c r="N83" s="1741"/>
      <c r="O83" s="2147">
        <f>'Mono Slab on Grade Building 1'!AO116+'Gd Beams'!AF98+'Private Paving'!AE99+PIERS!AE108+Miscellaneous!AK42+'CIP EL. DECK'!AF102+COLUMNS!AF98+'SLAB ON DECK'!AD98+SIDEWALKS!AG98+'Site Walls'!AF106+PANELS!AH155+'SLAB ON GRADE'!AD97+Footings!AF100+'Gd Beams or Cont Footings'!AF98+'Garage Footings'!AF100+'Mono Slab on Grade Building 2'!AO116+'Mono Slab on Grade Garden Style'!AO116+'Private Paving'!AE99+'Garage Walls'!AF106</f>
        <v>0</v>
      </c>
      <c r="P83" s="2148"/>
      <c r="Q83" s="347"/>
      <c r="R83" s="347"/>
      <c r="S83" s="347"/>
      <c r="T83" s="347"/>
      <c r="U83" s="347"/>
      <c r="V83" s="374"/>
      <c r="W83" s="374"/>
      <c r="X83" s="703"/>
    </row>
    <row r="84" spans="1:24" x14ac:dyDescent="0.35">
      <c r="A84" s="298"/>
      <c r="B84" s="374"/>
      <c r="C84" s="1726">
        <v>6</v>
      </c>
      <c r="D84" s="1727" t="s">
        <v>248</v>
      </c>
      <c r="E84" s="1731"/>
      <c r="F84" s="1706"/>
      <c r="G84" s="1732"/>
      <c r="H84" s="2145">
        <f>'Mono Slab on Grade Building 1'!AO87+'Gd Beams'!AF71+'Private Paving'!AE72+PIERS!AE81+Miscellaneous!AK14+'CIP EL. DECK'!AF74+COLUMNS!AF71+'SLAB ON DECK'!AD71+SIDEWALKS!AG71+'Site Walls'!AF77+PANELS!AH128+'SLAB ON GRADE'!AD70+'Gd Beams or Cont Footings'!AF71+Footings!AF71+'Garage Footings'!AF71+'Garage Walls'!AF77+'Mono Slab on Grade Building 2'!AO87+'Mono Slab on Grade Garden Style'!AO87+'ROW Paving'!AE72</f>
        <v>0</v>
      </c>
      <c r="I84" s="2146"/>
      <c r="J84" s="1726">
        <v>44</v>
      </c>
      <c r="K84" s="1742" t="s">
        <v>267</v>
      </c>
      <c r="L84" s="1731"/>
      <c r="M84" s="1705"/>
      <c r="N84" s="1741"/>
      <c r="O84" s="2147">
        <f>'Mono Slab on Grade Building 1'!AO117+'Gd Beams'!AF99+'Private Paving'!AE100+PIERS!AE109+Miscellaneous!AK43+'CIP EL. DECK'!AF103+COLUMNS!AF99+'SLAB ON DECK'!AD99+SIDEWALKS!AG99+'Site Walls'!AF107+PANELS!AH156+'SLAB ON GRADE'!AD98+Footings!AF101+'Gd Beams or Cont Footings'!AF99+'Garage Footings'!AF101+'Mono Slab on Grade Building 2'!AO117+'Mono Slab on Grade Garden Style'!AO117+'Private Paving'!AE100+'Garage Walls'!AF107</f>
        <v>0</v>
      </c>
      <c r="P84" s="2148"/>
      <c r="Q84" s="347"/>
      <c r="R84" s="347"/>
      <c r="S84" s="347"/>
      <c r="T84" s="347"/>
      <c r="U84" s="347"/>
      <c r="V84" s="374"/>
      <c r="W84" s="374"/>
      <c r="X84" s="703"/>
    </row>
    <row r="85" spans="1:24" x14ac:dyDescent="0.35">
      <c r="A85" s="298"/>
      <c r="B85" s="374"/>
      <c r="C85" s="1726">
        <v>7</v>
      </c>
      <c r="D85" s="1727" t="s">
        <v>247</v>
      </c>
      <c r="E85" s="1731"/>
      <c r="F85" s="1706"/>
      <c r="G85" s="1732"/>
      <c r="H85" s="2145">
        <f>'Mono Slab on Grade Building 1'!AO88+'Gd Beams'!AF72+'Private Paving'!AE73+PIERS!AE82+Miscellaneous!AK15+'CIP EL. DECK'!AF75+COLUMNS!AF72+'SLAB ON DECK'!AD72+SIDEWALKS!AG72+'Site Walls'!AF78+PANELS!AH129+'SLAB ON GRADE'!AD71+'Gd Beams or Cont Footings'!AF72+Footings!AF72+'Garage Footings'!AF72+'Garage Walls'!AF78+'Mono Slab on Grade Building 2'!AO88+'Mono Slab on Grade Garden Style'!AO88+'ROW Paving'!AE73</f>
        <v>0</v>
      </c>
      <c r="I85" s="2146"/>
      <c r="J85" s="1726">
        <v>45</v>
      </c>
      <c r="K85" s="1742" t="s">
        <v>268</v>
      </c>
      <c r="L85" s="1731"/>
      <c r="M85" s="1705"/>
      <c r="N85" s="1741"/>
      <c r="O85" s="2147">
        <f>'Mono Slab on Grade Building 1'!AO118+'Gd Beams'!AF100+'Private Paving'!AE101+PIERS!AE110+Miscellaneous!AK44+'CIP EL. DECK'!AF104+COLUMNS!AF100+'SLAB ON DECK'!AD100+SIDEWALKS!AG100+'Site Walls'!AF108+PANELS!AH157+'SLAB ON GRADE'!AD99+Footings!AF102+'Gd Beams or Cont Footings'!AF100+'Garage Footings'!AF102+'Mono Slab on Grade Building 2'!AO118+'Mono Slab on Grade Garden Style'!AO118+'Private Paving'!AE101+'Garage Walls'!AF108</f>
        <v>0</v>
      </c>
      <c r="P85" s="2148"/>
      <c r="Q85" s="347"/>
      <c r="R85" s="347"/>
      <c r="S85" s="347"/>
      <c r="T85" s="347"/>
      <c r="U85" s="347"/>
      <c r="V85" s="374"/>
      <c r="W85" s="374"/>
      <c r="X85" s="703"/>
    </row>
    <row r="86" spans="1:24" x14ac:dyDescent="0.35">
      <c r="A86" s="298"/>
      <c r="B86" s="374"/>
      <c r="C86" s="1726">
        <v>8</v>
      </c>
      <c r="D86" s="1727" t="s">
        <v>249</v>
      </c>
      <c r="E86" s="1731"/>
      <c r="F86" s="1706"/>
      <c r="G86" s="1732"/>
      <c r="H86" s="2145">
        <f>'Mono Slab on Grade Building 1'!AO89+'Gd Beams'!AF73+'Private Paving'!AE74+PIERS!AE83+Miscellaneous!AK16+'CIP EL. DECK'!AF76+COLUMNS!AF73+'SLAB ON DECK'!AD73+SIDEWALKS!AG73+'Site Walls'!AF79+PANELS!AH130+'SLAB ON GRADE'!AD72+'Gd Beams or Cont Footings'!AF73+Footings!AF73+'Garage Footings'!AF73+'Garage Walls'!AF79+'Mono Slab on Grade Building 2'!AO89+'Mono Slab on Grade Garden Style'!AO89+'ROW Paving'!AE74</f>
        <v>0</v>
      </c>
      <c r="I86" s="2146"/>
      <c r="J86" s="1726">
        <v>46</v>
      </c>
      <c r="K86" s="1742" t="s">
        <v>269</v>
      </c>
      <c r="L86" s="1731"/>
      <c r="M86" s="1705"/>
      <c r="N86" s="1741"/>
      <c r="O86" s="2147">
        <f>'Mono Slab on Grade Building 1'!AO119+'Gd Beams'!AF101+'Private Paving'!AE102+PIERS!AE111+Miscellaneous!AK45+'CIP EL. DECK'!AF105+COLUMNS!AF101+'SLAB ON DECK'!AD101+SIDEWALKS!AG101+'Site Walls'!AF109+PANELS!AH158+'SLAB ON GRADE'!AD100+Footings!AF103+'Gd Beams or Cont Footings'!AF101+'Garage Footings'!AF103+'Mono Slab on Grade Building 2'!AO119+'Mono Slab on Grade Garden Style'!AO119+'Private Paving'!AE102+'Garage Walls'!AF109</f>
        <v>0</v>
      </c>
      <c r="P86" s="2148"/>
      <c r="Q86" s="347"/>
      <c r="R86" s="347"/>
      <c r="S86" s="347"/>
      <c r="T86" s="347"/>
      <c r="U86" s="347"/>
      <c r="V86" s="374"/>
      <c r="W86" s="374"/>
      <c r="X86" s="703"/>
    </row>
    <row r="87" spans="1:24" x14ac:dyDescent="0.35">
      <c r="A87" s="298"/>
      <c r="B87" s="374"/>
      <c r="C87" s="1726">
        <v>9</v>
      </c>
      <c r="D87" s="1727" t="s">
        <v>234</v>
      </c>
      <c r="E87" s="1731"/>
      <c r="F87" s="1706"/>
      <c r="G87" s="1732"/>
      <c r="H87" s="2145">
        <f>'Mono Slab on Grade Building 1'!AO90+'Gd Beams'!AF74+'Private Paving'!AE75+PIERS!AE84+Miscellaneous!AK17+'CIP EL. DECK'!AF77+COLUMNS!AF74+'SLAB ON DECK'!AD74+SIDEWALKS!AG74+'Site Walls'!AF80+PANELS!AH131+'SLAB ON GRADE'!AD73+'Gd Beams or Cont Footings'!AF74+Footings!AF74+'Garage Footings'!AF74+'Garage Walls'!AF80+'Mono Slab on Grade Building 2'!AO90+'Mono Slab on Grade Garden Style'!AO90+'ROW Paving'!AE75</f>
        <v>0</v>
      </c>
      <c r="I87" s="2146"/>
      <c r="J87" s="1726">
        <v>47</v>
      </c>
      <c r="K87" s="1742" t="s">
        <v>270</v>
      </c>
      <c r="L87" s="1731"/>
      <c r="M87" s="1705"/>
      <c r="N87" s="1741"/>
      <c r="O87" s="2147">
        <f>'Mono Slab on Grade Building 1'!AO120+'Gd Beams'!AF102+'Private Paving'!AE103+PIERS!AE112+Miscellaneous!AK46+'CIP EL. DECK'!AF106+COLUMNS!AF102+'SLAB ON DECK'!AD102+SIDEWALKS!AG102+'Site Walls'!AF110+PANELS!AH159+'SLAB ON GRADE'!AD101+Footings!AF104+'Gd Beams or Cont Footings'!AF102+'Garage Footings'!AF104+'Mono Slab on Grade Building 2'!AO120+'Mono Slab on Grade Garden Style'!AO120+'Private Paving'!AE103+'Garage Walls'!AF110</f>
        <v>0</v>
      </c>
      <c r="P87" s="2148"/>
      <c r="Q87" s="347"/>
      <c r="R87" s="347"/>
      <c r="S87" s="347"/>
      <c r="T87" s="347"/>
      <c r="U87" s="347"/>
      <c r="V87" s="374"/>
      <c r="W87" s="374"/>
      <c r="X87" s="703"/>
    </row>
    <row r="88" spans="1:24" x14ac:dyDescent="0.35">
      <c r="A88" s="298"/>
      <c r="B88" s="374"/>
      <c r="C88" s="1726">
        <v>10</v>
      </c>
      <c r="D88" s="1727" t="s">
        <v>250</v>
      </c>
      <c r="E88" s="1731"/>
      <c r="F88" s="1706"/>
      <c r="G88" s="1732"/>
      <c r="H88" s="2145">
        <f>'Mono Slab on Grade Building 1'!AO91+'Gd Beams'!AF75+'Private Paving'!AE76+PIERS!AE85+Miscellaneous!AK18+'CIP EL. DECK'!AF78+COLUMNS!AF75+'SLAB ON DECK'!AD75+SIDEWALKS!AG75+'Site Walls'!AF83+PANELS!AH132+'SLAB ON GRADE'!AD74+'Gd Beams or Cont Footings'!AF75+Footings!AF77+'Garage Footings'!AF77+'Garage Walls'!AF83+'Mono Slab on Grade Building 2'!AO91+'Mono Slab on Grade Garden Style'!AO91+'ROW Paving'!AE76</f>
        <v>0</v>
      </c>
      <c r="I88" s="2146"/>
      <c r="J88" s="1726">
        <v>48</v>
      </c>
      <c r="K88" s="1742" t="s">
        <v>271</v>
      </c>
      <c r="L88" s="1731"/>
      <c r="M88" s="1705"/>
      <c r="N88" s="1741"/>
      <c r="O88" s="2147">
        <f>'Mono Slab on Grade Building 1'!AO121+'Gd Beams'!AF103+'Private Paving'!AE104+PIERS!AE113+Miscellaneous!AK47+'CIP EL. DECK'!AF107+COLUMNS!AF103+'SLAB ON DECK'!AD103+SIDEWALKS!AG103+'Site Walls'!AF111+PANELS!AH160+'SLAB ON GRADE'!AD102+Footings!AF105+'Gd Beams or Cont Footings'!AF103+'Garage Footings'!AF105+'Mono Slab on Grade Building 2'!AO121+'Mono Slab on Grade Garden Style'!AO121+'Private Paving'!AE104+'Garage Walls'!AF111</f>
        <v>0</v>
      </c>
      <c r="P88" s="2148"/>
      <c r="Q88" s="347"/>
      <c r="R88" s="347"/>
      <c r="S88" s="347"/>
      <c r="T88" s="347"/>
      <c r="U88" s="347"/>
      <c r="V88" s="374"/>
      <c r="W88" s="374"/>
      <c r="X88" s="703"/>
    </row>
    <row r="89" spans="1:24" x14ac:dyDescent="0.35">
      <c r="A89" s="298"/>
      <c r="B89" s="374"/>
      <c r="C89" s="1726">
        <v>11</v>
      </c>
      <c r="D89" s="1727" t="s">
        <v>251</v>
      </c>
      <c r="E89" s="1731"/>
      <c r="F89" s="1706"/>
      <c r="G89" s="1732"/>
      <c r="H89" s="2145">
        <f>'Mono Slab on Grade Building 1'!AO92+'Gd Beams'!AF76+'Private Paving'!AE77+PIERS!AE86+Miscellaneous!AK19+'CIP EL. DECK'!AF79+COLUMNS!AF76+'SLAB ON DECK'!AD76+SIDEWALKS!AG76+'Site Walls'!AF84+PANELS!AH133+'SLAB ON GRADE'!AD75+'Gd Beams or Cont Footings'!AF76+Footings!AF78+'Garage Footings'!AF78+'Garage Walls'!AF84+'Mono Slab on Grade Building 2'!AO92+'Mono Slab on Grade Garden Style'!AO92+'ROW Paving'!AE77</f>
        <v>0</v>
      </c>
      <c r="I89" s="2146"/>
      <c r="J89" s="1726">
        <v>49</v>
      </c>
      <c r="K89" s="1742" t="s">
        <v>272</v>
      </c>
      <c r="L89" s="1731"/>
      <c r="M89" s="1705"/>
      <c r="N89" s="1741"/>
      <c r="O89" s="2147">
        <f>'Mono Slab on Grade Building 1'!AO122+'Gd Beams'!AF104+'Private Paving'!AE105+PIERS!AE114+Miscellaneous!AK48+'CIP EL. DECK'!AF108+COLUMNS!AF104+'SLAB ON DECK'!AD104+SIDEWALKS!AG104+'Site Walls'!AF112+PANELS!AH161+'SLAB ON GRADE'!AD103+Footings!AF106+'Gd Beams or Cont Footings'!AF104+'Garage Footings'!AF106+'Mono Slab on Grade Building 2'!AO122+'Mono Slab on Grade Garden Style'!AO122+'Private Paving'!AE105+'Garage Walls'!AF112</f>
        <v>0</v>
      </c>
      <c r="P89" s="2148"/>
      <c r="Q89" s="347"/>
      <c r="R89" s="347"/>
      <c r="S89" s="347"/>
      <c r="T89" s="347"/>
      <c r="U89" s="347"/>
      <c r="V89" s="374"/>
      <c r="W89" s="374"/>
      <c r="X89" s="703"/>
    </row>
    <row r="90" spans="1:24" x14ac:dyDescent="0.35">
      <c r="A90" s="298"/>
      <c r="B90" s="374"/>
      <c r="C90" s="1726">
        <v>12</v>
      </c>
      <c r="D90" s="1727" t="s">
        <v>252</v>
      </c>
      <c r="E90" s="1731"/>
      <c r="F90" s="1706"/>
      <c r="G90" s="1732"/>
      <c r="H90" s="2145">
        <f>'Mono Slab on Grade Building 1'!AO93+'Gd Beams'!AF77+'Private Paving'!AE78+PIERS!AE87+Miscellaneous!AK21+'CIP EL. DECK'!AF80+COLUMNS!AF77+'SLAB ON DECK'!AD77+SIDEWALKS!AG77+'Site Walls'!AF85+PANELS!AH134+'SLAB ON GRADE'!AD76+'Gd Beams or Cont Footings'!AF77+Footings!AF79+'Garage Footings'!AF79+'Garage Walls'!AF85+'Mono Slab on Grade Building 2'!AO93+'Mono Slab on Grade Garden Style'!AO93+'ROW Paving'!AE78</f>
        <v>0</v>
      </c>
      <c r="I90" s="2146"/>
      <c r="J90" s="1726">
        <v>50</v>
      </c>
      <c r="K90" s="1802" t="s">
        <v>711</v>
      </c>
      <c r="L90" s="1705"/>
      <c r="M90" s="1705"/>
      <c r="N90" s="1741"/>
      <c r="O90" s="2147">
        <f>'Mono Slab on Grade Building 1'!AO123+'Gd Beams'!AF105+'Private Paving'!AE106+PIERS!AE115+Miscellaneous!AK49+'CIP EL. DECK'!AF109+COLUMNS!AF105+'SLAB ON DECK'!AD105+SIDEWALKS!AG105+'Site Walls'!AF113+PANELS!AH162+'SLAB ON GRADE'!AD104+Footings!AF107+'Gd Beams or Cont Footings'!AF105+'Garage Footings'!AF107+'Mono Slab on Grade Building 2'!AO123+'Mono Slab on Grade Garden Style'!AO123+'Private Paving'!AE106+'Garage Walls'!AF113</f>
        <v>0</v>
      </c>
      <c r="P90" s="2148"/>
      <c r="Q90" s="347"/>
      <c r="R90" s="347"/>
      <c r="S90" s="347"/>
      <c r="T90" s="347"/>
      <c r="U90" s="347"/>
      <c r="V90" s="374"/>
      <c r="W90" s="374"/>
      <c r="X90" s="703"/>
    </row>
    <row r="91" spans="1:24" x14ac:dyDescent="0.35">
      <c r="A91" s="298"/>
      <c r="B91" s="374"/>
      <c r="C91" s="1726">
        <v>15</v>
      </c>
      <c r="D91" s="1727" t="s">
        <v>253</v>
      </c>
      <c r="E91" s="1731"/>
      <c r="F91" s="1706"/>
      <c r="G91" s="1732"/>
      <c r="H91" s="2145">
        <f>'Mono Slab on Grade Building 1'!AO94+'Gd Beams'!AF78+'Private Paving'!AE79+PIERS!AE88+Miscellaneous!AK22+'CIP EL. DECK'!AF81+COLUMNS!AF78+'SLAB ON DECK'!AD78+SIDEWALKS!AG78+'Site Walls'!AF86+PANELS!AH135+'SLAB ON GRADE'!AD77+'Gd Beams or Cont Footings'!AF78+Footings!AF80+'Garage Footings'!AF80+'Garage Walls'!AF86+'Mono Slab on Grade Building 2'!AO94+'Mono Slab on Grade Garden Style'!AO94+'ROW Paving'!AE79</f>
        <v>0</v>
      </c>
      <c r="I91" s="2146"/>
      <c r="J91" s="1726">
        <v>51</v>
      </c>
      <c r="K91" s="1803" t="s">
        <v>712</v>
      </c>
      <c r="L91" s="1706"/>
      <c r="M91" s="1706"/>
      <c r="N91" s="1732"/>
      <c r="O91" s="2147">
        <f>'Mono Slab on Grade Building 1'!AO124+'Gd Beams'!AF106+'Private Paving'!AE107+PIERS!AE116+Miscellaneous!AK50+'CIP EL. DECK'!AF110+COLUMNS!AF106+'SLAB ON DECK'!AD106+SIDEWALKS!AG106+'Site Walls'!AF114+PANELS!AH163+'SLAB ON GRADE'!AD105+Footings!AF108+'Gd Beams or Cont Footings'!AF106+'Garage Footings'!AF108+'Mono Slab on Grade Building 2'!AO124+'Mono Slab on Grade Garden Style'!AO124+'Private Paving'!AE107+'Garage Walls'!AF114</f>
        <v>0</v>
      </c>
      <c r="P91" s="2148"/>
      <c r="Q91" s="347"/>
      <c r="R91" s="347"/>
      <c r="S91" s="347"/>
      <c r="T91" s="347"/>
      <c r="U91" s="347"/>
      <c r="V91" s="374"/>
      <c r="W91" s="374"/>
      <c r="X91" s="703"/>
    </row>
    <row r="92" spans="1:24" x14ac:dyDescent="0.35">
      <c r="A92" s="385"/>
      <c r="B92" s="386"/>
      <c r="C92" s="1726">
        <v>16</v>
      </c>
      <c r="D92" s="1012" t="s">
        <v>845</v>
      </c>
      <c r="E92" s="1731"/>
      <c r="F92" s="1706"/>
      <c r="G92" s="1732"/>
      <c r="H92" s="2145">
        <f>'Mono Slab on Grade Building 1'!AO96+'Gd Beams'!AF79+'Private Paving'!AE80+PIERS!AE89+Miscellaneous!AK23+'CIP EL. DECK'!AF82+COLUMNS!AF79+'SLAB ON DECK'!AD79+SIDEWALKS!AG79+'Site Walls'!AF87+PANELS!AH136+'SLAB ON GRADE'!AD78+'Gd Beams or Cont Footings'!AF79+Footings!AF81+'Garage Footings'!AF81+'Garage Walls'!AF87+'Mono Slab on Grade Building 2'!AO96+'Mono Slab on Grade Garden Style'!AO96+'ROW Paving'!AE80</f>
        <v>0</v>
      </c>
      <c r="I92" s="2146"/>
      <c r="J92" s="1726">
        <v>52</v>
      </c>
      <c r="K92" s="1742" t="s">
        <v>273</v>
      </c>
      <c r="L92" s="1731"/>
      <c r="M92" s="1705"/>
      <c r="N92" s="1741"/>
      <c r="O92" s="2147">
        <f>'Mono Slab on Grade Building 1'!AO125+'Gd Beams'!AF107+'Private Paving'!AE108+PIERS!AE117+Miscellaneous!AK51+'CIP EL. DECK'!AF111+COLUMNS!AF107+'SLAB ON DECK'!AD107+SIDEWALKS!AG107+'Site Walls'!AF115+PANELS!AH164+'SLAB ON GRADE'!AD106+Footings!AF109+'Gd Beams or Cont Footings'!AF107+'Garage Footings'!AF109+'Mono Slab on Grade Building 2'!AO125+'Mono Slab on Grade Garden Style'!AO125+'Private Paving'!AE108+'Garage Walls'!AF115</f>
        <v>0</v>
      </c>
      <c r="P92" s="2148"/>
      <c r="Q92" s="347"/>
      <c r="R92" s="347"/>
      <c r="S92" s="347"/>
      <c r="T92" s="347"/>
      <c r="U92" s="347"/>
      <c r="V92" s="374"/>
      <c r="W92" s="374"/>
      <c r="X92" s="703"/>
    </row>
    <row r="93" spans="1:24" x14ac:dyDescent="0.35">
      <c r="A93" s="298"/>
      <c r="B93" s="374"/>
      <c r="C93" s="1726">
        <v>17</v>
      </c>
      <c r="D93" s="1012" t="s">
        <v>842</v>
      </c>
      <c r="E93" s="1731"/>
      <c r="F93" s="1706"/>
      <c r="G93" s="1732"/>
      <c r="H93" s="2145">
        <f>'Mono Slab on Grade Building 1'!AO97+'Gd Beams'!AF80+'Private Paving'!AE81+PIERS!AE90+Miscellaneous!AK24+'CIP EL. DECK'!AF83+COLUMNS!AF80+'SLAB ON DECK'!AD80+SIDEWALKS!AG80+'Site Walls'!AF88+PANELS!AH137+'SLAB ON GRADE'!AD79+'Gd Beams or Cont Footings'!AF80+Footings!AF82+'Garage Footings'!AF82+'Garage Walls'!AF88+'Mono Slab on Grade Building 2'!AO97+'Mono Slab on Grade Garden Style'!AO97+'ROW Paving'!AE81</f>
        <v>0</v>
      </c>
      <c r="I93" s="2146"/>
      <c r="J93" s="1726">
        <v>53</v>
      </c>
      <c r="K93" s="1742" t="s">
        <v>274</v>
      </c>
      <c r="L93" s="1731"/>
      <c r="M93" s="1705"/>
      <c r="N93" s="1741"/>
      <c r="O93" s="2147">
        <f>'Mono Slab on Grade Building 1'!AO126+'Gd Beams'!AF108+'Private Paving'!AE109+PIERS!AE118+Miscellaneous!AK52+'CIP EL. DECK'!AF112+COLUMNS!AF108+'SLAB ON DECK'!AD108+SIDEWALKS!AG108+'Site Walls'!AF116+PANELS!AH165+'SLAB ON GRADE'!AD107+Footings!AF110+'Gd Beams or Cont Footings'!AF108+'Garage Footings'!AF110+'Mono Slab on Grade Building 2'!AO126+'Mono Slab on Grade Garden Style'!AO126+'Private Paving'!AE109+'Garage Walls'!AF116</f>
        <v>0</v>
      </c>
      <c r="P93" s="2148"/>
      <c r="Q93" s="347"/>
      <c r="R93" s="347"/>
      <c r="S93" s="347"/>
      <c r="T93" s="347"/>
      <c r="U93" s="347"/>
      <c r="V93" s="374"/>
      <c r="W93" s="374"/>
      <c r="X93" s="703"/>
    </row>
    <row r="94" spans="1:24" x14ac:dyDescent="0.35">
      <c r="A94" s="298"/>
      <c r="B94" s="374"/>
      <c r="C94" s="1726">
        <v>18</v>
      </c>
      <c r="D94" s="1012" t="s">
        <v>843</v>
      </c>
      <c r="E94" s="1731"/>
      <c r="F94" s="1706"/>
      <c r="G94" s="1732"/>
      <c r="H94" s="2145">
        <f>'Mono Slab on Grade Building 1'!AO98+'Gd Beams'!AF81+'Private Paving'!AE82+PIERS!AE91+Miscellaneous!AK25+'CIP EL. DECK'!AF84+COLUMNS!AF81+'SLAB ON DECK'!AD81+SIDEWALKS!AG81+'Site Walls'!AF89+PANELS!AH138+'SLAB ON GRADE'!AD80+'Gd Beams or Cont Footings'!AF81+Footings!AF83+'Garage Footings'!AF83+'Garage Walls'!AF89+'Mono Slab on Grade Building 2'!AO98+'Mono Slab on Grade Garden Style'!AO98+'ROW Paving'!AE82</f>
        <v>0</v>
      </c>
      <c r="I94" s="2146"/>
      <c r="J94" s="1726">
        <v>54</v>
      </c>
      <c r="K94" s="1742" t="s">
        <v>275</v>
      </c>
      <c r="L94" s="1731"/>
      <c r="M94" s="1705"/>
      <c r="N94" s="1741"/>
      <c r="O94" s="2147">
        <f>'Mono Slab on Grade Building 1'!AO127+'Gd Beams'!AF109+'Private Paving'!AE110+PIERS!AE119+Miscellaneous!AK53+'CIP EL. DECK'!AF113+COLUMNS!AF109+'SLAB ON DECK'!AD109+SIDEWALKS!AG109+'Site Walls'!AF117+PANELS!AH166+'SLAB ON GRADE'!AD108+Footings!AF111+'Gd Beams or Cont Footings'!AF109+'Garage Footings'!AF111+'Mono Slab on Grade Building 2'!AO127+'Mono Slab on Grade Garden Style'!AO127+'Private Paving'!AE110+'Garage Walls'!AF117</f>
        <v>0</v>
      </c>
      <c r="P94" s="2148"/>
      <c r="Q94" s="347"/>
      <c r="R94" s="347"/>
      <c r="S94" s="347"/>
      <c r="T94" s="347"/>
      <c r="U94" s="347"/>
      <c r="V94" s="374"/>
      <c r="W94" s="374"/>
      <c r="X94" s="703"/>
    </row>
    <row r="95" spans="1:24" x14ac:dyDescent="0.35">
      <c r="A95" s="298"/>
      <c r="B95" s="374"/>
      <c r="C95" s="1726">
        <v>20</v>
      </c>
      <c r="D95" s="1727" t="s">
        <v>93</v>
      </c>
      <c r="E95" s="1731"/>
      <c r="F95" s="1706"/>
      <c r="G95" s="1732"/>
      <c r="H95" s="2145">
        <f>'Mono Slab on Grade Building 1'!AO99+'Gd Beams'!AF82+'Private Paving'!AE83+PIERS!AE92+Miscellaneous!AK26+'CIP EL. DECK'!AF85+COLUMNS!AF82+'SLAB ON DECK'!AD82+SIDEWALKS!AG82+'Site Walls'!AF90+PANELS!AH139+'SLAB ON GRADE'!AD81+'Gd Beams or Cont Footings'!AF82+Footings!AF84+'Garage Footings'!AF84+'Garage Walls'!AF90+'Mono Slab on Grade Building 2'!AO99+'Mono Slab on Grade Garden Style'!AO99+'ROW Paving'!AE83</f>
        <v>0</v>
      </c>
      <c r="I95" s="2146"/>
      <c r="J95" s="1726">
        <v>55</v>
      </c>
      <c r="K95" s="1742" t="s">
        <v>276</v>
      </c>
      <c r="L95" s="1731"/>
      <c r="M95" s="1705"/>
      <c r="N95" s="1741"/>
      <c r="O95" s="2147">
        <f>'Mono Slab on Grade Building 1'!AO128+'Gd Beams'!AF110+'Private Paving'!AE111+PIERS!AE120+Miscellaneous!AK54+'CIP EL. DECK'!AF114+COLUMNS!AF110+'SLAB ON DECK'!AD110+SIDEWALKS!AG110+'Site Walls'!AF118+PANELS!AH167+'SLAB ON GRADE'!AD109+Footings!AF112+'Gd Beams or Cont Footings'!AF110+'Garage Footings'!AF112+'Mono Slab on Grade Building 2'!AO128+'Mono Slab on Grade Garden Style'!AO128+'Private Paving'!AE111+'Garage Walls'!AF118</f>
        <v>0</v>
      </c>
      <c r="P95" s="2148"/>
      <c r="Q95" s="347"/>
      <c r="R95" s="347"/>
      <c r="S95" s="347"/>
      <c r="T95" s="347"/>
      <c r="U95" s="347"/>
      <c r="V95" s="374"/>
      <c r="W95" s="374"/>
      <c r="X95" s="703"/>
    </row>
    <row r="96" spans="1:24" x14ac:dyDescent="0.35">
      <c r="A96" s="298"/>
      <c r="B96" s="374"/>
      <c r="C96" s="1726">
        <v>21</v>
      </c>
      <c r="D96" s="1727" t="s">
        <v>254</v>
      </c>
      <c r="E96" s="1731"/>
      <c r="F96" s="1706"/>
      <c r="G96" s="1732"/>
      <c r="H96" s="2145">
        <f>'Mono Slab on Grade Building 1'!AO100+'Gd Beams'!AF83+'Private Paving'!AE84+PIERS!AE93+Miscellaneous!AK27+'CIP EL. DECK'!AF86+COLUMNS!AF83+'SLAB ON DECK'!AD83+SIDEWALKS!AG83+'Site Walls'!AF91+PANELS!AH140+'SLAB ON GRADE'!AD82+'Gd Beams or Cont Footings'!AF83+Footings!AF85+'Garage Footings'!AF85+'Garage Walls'!AF91+'Mono Slab on Grade Building 2'!AO100+'Mono Slab on Grade Garden Style'!AO100+'ROW Paving'!AE84</f>
        <v>0</v>
      </c>
      <c r="I96" s="2146"/>
      <c r="J96" s="1726">
        <v>56</v>
      </c>
      <c r="K96" s="1742" t="s">
        <v>277</v>
      </c>
      <c r="L96" s="1731"/>
      <c r="M96" s="1705"/>
      <c r="N96" s="1741"/>
      <c r="O96" s="2147">
        <f>'Mono Slab on Grade Building 1'!AO129+'Gd Beams'!AF111+'Private Paving'!AE112+PIERS!AE121+Miscellaneous!AK55+'CIP EL. DECK'!AF115+COLUMNS!AF111+'SLAB ON DECK'!AD111+SIDEWALKS!AG111+'Site Walls'!AF119+PANELS!AH168+'SLAB ON GRADE'!AD110+Footings!AF113+'Gd Beams or Cont Footings'!AF111+'Garage Footings'!AF113+'Mono Slab on Grade Building 2'!AO129+'Mono Slab on Grade Garden Style'!AO129+'Private Paving'!AE112+'Garage Walls'!AF119</f>
        <v>0</v>
      </c>
      <c r="P96" s="2148"/>
      <c r="Q96" s="347"/>
      <c r="R96" s="347"/>
      <c r="S96" s="347"/>
      <c r="T96" s="347"/>
      <c r="U96" s="347"/>
      <c r="V96" s="374"/>
      <c r="W96" s="374"/>
      <c r="X96" s="703"/>
    </row>
    <row r="97" spans="1:24" x14ac:dyDescent="0.35">
      <c r="A97" s="298"/>
      <c r="B97" s="374"/>
      <c r="C97" s="1726">
        <v>22</v>
      </c>
      <c r="D97" s="1727" t="s">
        <v>255</v>
      </c>
      <c r="E97" s="1731"/>
      <c r="F97" s="1706"/>
      <c r="G97" s="1732"/>
      <c r="H97" s="2145">
        <f>'Mono Slab on Grade Building 1'!AO101+'Gd Beams'!AF84+'Private Paving'!AE85+PIERS!AE94+Miscellaneous!AK28+'CIP EL. DECK'!AF87+COLUMNS!AF84+'SLAB ON DECK'!AD84+SIDEWALKS!AG84+'Site Walls'!AF92+PANELS!AH141+'SLAB ON GRADE'!AD83+'Gd Beams or Cont Footings'!AF84+Footings!AF86+'Garage Footings'!AF86+'Garage Walls'!AF92+'Mono Slab on Grade Building 2'!AO101+'Mono Slab on Grade Garden Style'!AO101+'ROW Paving'!AE85</f>
        <v>0</v>
      </c>
      <c r="I97" s="2146"/>
      <c r="J97" s="1726">
        <v>57</v>
      </c>
      <c r="K97" s="1742" t="s">
        <v>719</v>
      </c>
      <c r="L97" s="1731"/>
      <c r="M97" s="1705"/>
      <c r="N97" s="1741"/>
      <c r="O97" s="2147">
        <f>'Mono Slab on Grade Building 1'!AO130+'Gd Beams'!AF112+'Private Paving'!AE113+PIERS!AE122+Miscellaneous!AK56+'CIP EL. DECK'!AF116+COLUMNS!AF112+'SLAB ON DECK'!AD112+SIDEWALKS!AG112+'Site Walls'!AF120+PANELS!AH169+'SLAB ON GRADE'!AD111+Footings!AF114+'Gd Beams or Cont Footings'!AF112+'Garage Footings'!AF114+'Mono Slab on Grade Building 2'!AO130+'Mono Slab on Grade Garden Style'!AO130+'Private Paving'!AE113+'Garage Walls'!AF120</f>
        <v>0</v>
      </c>
      <c r="P97" s="2148"/>
      <c r="Q97" s="347"/>
      <c r="R97" s="347"/>
      <c r="S97" s="347"/>
      <c r="T97" s="347"/>
      <c r="U97" s="347"/>
      <c r="V97" s="374"/>
      <c r="W97" s="374"/>
      <c r="X97" s="703"/>
    </row>
    <row r="98" spans="1:24" x14ac:dyDescent="0.35">
      <c r="A98" s="298"/>
      <c r="B98" s="374"/>
      <c r="C98" s="1726">
        <v>23</v>
      </c>
      <c r="D98" s="1727" t="s">
        <v>256</v>
      </c>
      <c r="E98" s="1731"/>
      <c r="F98" s="1706"/>
      <c r="G98" s="1732"/>
      <c r="H98" s="2145">
        <f>'Mono Slab on Grade Building 1'!AO102+'Gd Beams'!AF85+'Private Paving'!AE86+PIERS!AE95+Miscellaneous!AK29+'CIP EL. DECK'!AF88+COLUMNS!AF85+'SLAB ON DECK'!AD85+SIDEWALKS!AG85+'Site Walls'!AF93+PANELS!AH142+'SLAB ON GRADE'!AD84+'Gd Beams or Cont Footings'!AF85+Footings!AF87+'Garage Footings'!AF87+'Garage Walls'!AF93+'Mono Slab on Grade Building 2'!AO102+'Mono Slab on Grade Garden Style'!AO102+'ROW Paving'!AE86</f>
        <v>0</v>
      </c>
      <c r="I98" s="2146"/>
      <c r="J98" s="1726">
        <v>58</v>
      </c>
      <c r="K98" s="1742" t="s">
        <v>279</v>
      </c>
      <c r="L98" s="1731"/>
      <c r="M98" s="1705"/>
      <c r="N98" s="1741"/>
      <c r="O98" s="2147">
        <f>'Mono Slab on Grade Building 1'!AO131+'Gd Beams'!AF113+'Private Paving'!AE114+PIERS!AE123+Miscellaneous!AK57+'CIP EL. DECK'!AF117+COLUMNS!AF113+'SLAB ON DECK'!AD113+SIDEWALKS!AG113+'Site Walls'!AF121+PANELS!AH170+'SLAB ON GRADE'!AD112+Footings!AF115+'Gd Beams or Cont Footings'!AF113+'Garage Footings'!AF115+'Mono Slab on Grade Building 2'!AO131+'Mono Slab on Grade Garden Style'!AO131+'Private Paving'!AE114+'Garage Walls'!AF121</f>
        <v>0</v>
      </c>
      <c r="P98" s="2148"/>
      <c r="Q98" s="347"/>
      <c r="R98" s="347"/>
      <c r="S98" s="347"/>
      <c r="T98" s="347"/>
      <c r="U98" s="347"/>
      <c r="V98" s="374"/>
      <c r="W98" s="374"/>
      <c r="X98" s="703"/>
    </row>
    <row r="99" spans="1:24" x14ac:dyDescent="0.35">
      <c r="A99" s="298"/>
      <c r="B99" s="374"/>
      <c r="C99" s="1726">
        <v>24</v>
      </c>
      <c r="D99" s="1727" t="s">
        <v>257</v>
      </c>
      <c r="E99" s="1731"/>
      <c r="F99" s="1706"/>
      <c r="G99" s="1732"/>
      <c r="H99" s="2145">
        <f>'Mono Slab on Grade Building 1'!AO103+'Gd Beams'!AF86+'Private Paving'!AE87+PIERS!AE96+Miscellaneous!AK30+'CIP EL. DECK'!AF89+COLUMNS!AF86+'SLAB ON DECK'!AD86+SIDEWALKS!AG86+'Site Walls'!AF94+PANELS!AH143+'SLAB ON GRADE'!AD85+'Gd Beams or Cont Footings'!AF86+Footings!AF88+'Garage Footings'!AF88+'Garage Walls'!AF94+'Mono Slab on Grade Building 2'!AO103+'Mono Slab on Grade Garden Style'!AO103+'ROW Paving'!AE87</f>
        <v>0</v>
      </c>
      <c r="I99" s="2146"/>
      <c r="J99" s="1726">
        <v>59</v>
      </c>
      <c r="K99" s="1742" t="s">
        <v>280</v>
      </c>
      <c r="L99" s="1731"/>
      <c r="M99" s="1705"/>
      <c r="N99" s="1741"/>
      <c r="O99" s="2147">
        <f>'Mono Slab on Grade Building 1'!AO132+'Gd Beams'!AF114+'Private Paving'!AE115+PIERS!AE124+Miscellaneous!AK58+'CIP EL. DECK'!AF118+COLUMNS!AF114+'SLAB ON DECK'!AD114+SIDEWALKS!AG114+'Site Walls'!AF122+PANELS!AH171+'SLAB ON GRADE'!AD113+Footings!AF116+'Gd Beams or Cont Footings'!AF114+'Garage Footings'!AF116+'Mono Slab on Grade Building 2'!AO132+'Mono Slab on Grade Garden Style'!AO132+'Private Paving'!AE115+'Garage Walls'!AF122</f>
        <v>0</v>
      </c>
      <c r="P99" s="2148"/>
      <c r="Q99" s="347"/>
      <c r="R99" s="347"/>
      <c r="S99" s="347"/>
      <c r="T99" s="347"/>
      <c r="U99" s="347"/>
      <c r="V99" s="374"/>
      <c r="W99" s="374"/>
      <c r="X99" s="703"/>
    </row>
    <row r="100" spans="1:24" x14ac:dyDescent="0.35">
      <c r="A100" s="298"/>
      <c r="B100" s="374"/>
      <c r="C100" s="1726">
        <v>25</v>
      </c>
      <c r="D100" s="1727" t="s">
        <v>258</v>
      </c>
      <c r="E100" s="1731"/>
      <c r="F100" s="1706"/>
      <c r="G100" s="1732"/>
      <c r="H100" s="2145">
        <f>'Mono Slab on Grade Building 1'!AO104+'Gd Beams'!AF87+'Private Paving'!AE88+PIERS!AE97+Miscellaneous!AK31+'CIP EL. DECK'!AF90+COLUMNS!AF87+'SLAB ON DECK'!AD87+SIDEWALKS!AG87+'Site Walls'!AF95+PANELS!AH144+'SLAB ON GRADE'!AD86+'Gd Beams or Cont Footings'!AF87+Footings!AF89+'Garage Footings'!AF89+'Garage Walls'!AF95+'Mono Slab on Grade Building 2'!AO104+'Mono Slab on Grade Garden Style'!AO104+'ROW Paving'!AE88</f>
        <v>0</v>
      </c>
      <c r="I100" s="2146"/>
      <c r="J100" s="1726">
        <v>60</v>
      </c>
      <c r="K100" s="1742" t="s">
        <v>281</v>
      </c>
      <c r="L100" s="1731"/>
      <c r="M100" s="1705"/>
      <c r="N100" s="1741"/>
      <c r="O100" s="2147">
        <f>'Mono Slab on Grade Building 1'!AO133+'Gd Beams'!AF115+'Private Paving'!AE116+PIERS!AE125+Miscellaneous!AK59+'CIP EL. DECK'!AF119+COLUMNS!AF115+'SLAB ON DECK'!AD115+SIDEWALKS!AG115+'Site Walls'!AF123+PANELS!AH172+'SLAB ON GRADE'!AD114+Footings!AF117+'Gd Beams or Cont Footings'!AF115+'Garage Footings'!AF117+'Mono Slab on Grade Building 2'!AO133+'Mono Slab on Grade Garden Style'!AO133+'Private Paving'!AE116+'Garage Walls'!AF123</f>
        <v>0</v>
      </c>
      <c r="P100" s="2148"/>
      <c r="Q100" s="347"/>
      <c r="R100" s="347"/>
      <c r="S100" s="347"/>
      <c r="T100" s="347"/>
      <c r="U100" s="347"/>
      <c r="V100" s="374"/>
      <c r="W100" s="374"/>
      <c r="X100" s="703"/>
    </row>
    <row r="101" spans="1:24" x14ac:dyDescent="0.35">
      <c r="A101" s="298"/>
      <c r="B101" s="374"/>
      <c r="C101" s="1726">
        <v>30</v>
      </c>
      <c r="D101" s="1727" t="s">
        <v>259</v>
      </c>
      <c r="E101" s="1731"/>
      <c r="F101" s="1706"/>
      <c r="G101" s="1732"/>
      <c r="H101" s="2145">
        <f>'Mono Slab on Grade Building 1'!AO105+'Gd Beams'!AF88+'Private Paving'!AE89+PIERS!AE98+Miscellaneous!AK32+'CIP EL. DECK'!AF91+COLUMNS!AF88+'SLAB ON DECK'!AD88+SIDEWALKS!AG88+'Site Walls'!AF96+PANELS!AH145+'SLAB ON GRADE'!AD87+'Gd Beams or Cont Footings'!AF88+Footings!AF90+'Garage Footings'!AF90+'Garage Walls'!AF96+'Mono Slab on Grade Building 2'!AO105+'Mono Slab on Grade Garden Style'!AO105+'ROW Paving'!AE89</f>
        <v>0</v>
      </c>
      <c r="I101" s="2146"/>
      <c r="J101" s="1726">
        <v>65</v>
      </c>
      <c r="K101" s="1742" t="s">
        <v>282</v>
      </c>
      <c r="L101" s="1731"/>
      <c r="M101" s="1705"/>
      <c r="N101" s="1741"/>
      <c r="O101" s="2147">
        <f>'Mono Slab on Grade Building 1'!AO134+'Gd Beams'!AF116+'Private Paving'!AE117+PIERS!AE126+Miscellaneous!AK60+'CIP EL. DECK'!AF120+COLUMNS!AF116+'SLAB ON DECK'!AD116+SIDEWALKS!AG116+'Site Walls'!AF124+PANELS!AH173+'SLAB ON GRADE'!AD115+Footings!AF118+'Gd Beams or Cont Footings'!AF116+'Garage Footings'!AF118+'Mono Slab on Grade Building 2'!AO134+'Mono Slab on Grade Garden Style'!AO134+'Private Paving'!AE117+'Garage Walls'!AF124</f>
        <v>0</v>
      </c>
      <c r="P101" s="2148"/>
      <c r="Q101" s="347"/>
      <c r="R101" s="347"/>
      <c r="S101" s="347"/>
      <c r="T101" s="347"/>
      <c r="U101" s="347"/>
      <c r="V101" s="374"/>
      <c r="W101" s="374"/>
      <c r="X101" s="703"/>
    </row>
    <row r="102" spans="1:24" x14ac:dyDescent="0.35">
      <c r="A102" s="298"/>
      <c r="B102" s="374"/>
      <c r="C102" s="1726">
        <v>31</v>
      </c>
      <c r="D102" s="1727" t="s">
        <v>744</v>
      </c>
      <c r="E102" s="1731"/>
      <c r="F102" s="1706"/>
      <c r="G102" s="1732"/>
      <c r="H102" s="2145">
        <f>'Mono Slab on Grade Building 1'!AO106+'Gd Beams'!AF89+'Private Paving'!AE90+PIERS!AE99+Miscellaneous!AK33+'CIP EL. DECK'!AF92+COLUMNS!AF89+'SLAB ON DECK'!AD89+SIDEWALKS!AG89+'Site Walls'!AF97+PANELS!AH146+'SLAB ON GRADE'!AD88+'Gd Beams or Cont Footings'!AF89+Footings!AF91+'Garage Footings'!AF91+'Garage Walls'!AF97+'Mono Slab on Grade Building 2'!AO106+'Mono Slab on Grade Garden Style'!AO106+'ROW Paving'!AE90</f>
        <v>0</v>
      </c>
      <c r="I102" s="2146"/>
      <c r="J102" s="1745">
        <v>95</v>
      </c>
      <c r="K102" s="1744" t="s">
        <v>893</v>
      </c>
      <c r="L102" s="1051"/>
      <c r="M102" s="1051"/>
      <c r="N102" s="1051"/>
      <c r="O102" s="2147">
        <f>'Mono Slab on Grade Building 1'!AO135+'Gd Beams'!AF117+'Private Paving'!AE118+PIERS!AE127+Miscellaneous!AK61+'CIP EL. DECK'!AF121+COLUMNS!AF117+'SLAB ON DECK'!AD117+SIDEWALKS!AG117+'Site Walls'!AF125+PANELS!AH174+'SLAB ON GRADE'!AD116+Footings!AF119+'Gd Beams or Cont Footings'!AF117+'Garage Footings'!AF119+'Mono Slab on Grade Building 2'!AO135+'Mono Slab on Grade Garden Style'!AO135+'Private Paving'!AE118+'Garage Walls'!AF125</f>
        <v>0</v>
      </c>
      <c r="P102" s="2148"/>
      <c r="Q102" s="347"/>
      <c r="R102" s="347"/>
      <c r="S102" s="347"/>
      <c r="T102" s="347"/>
      <c r="U102" s="347"/>
      <c r="V102" s="374"/>
      <c r="W102" s="374"/>
      <c r="X102" s="703"/>
    </row>
    <row r="103" spans="1:24" x14ac:dyDescent="0.35">
      <c r="A103" s="298"/>
      <c r="B103" s="374"/>
      <c r="C103" s="1726">
        <v>32</v>
      </c>
      <c r="D103" s="1727" t="s">
        <v>260</v>
      </c>
      <c r="E103" s="1731"/>
      <c r="F103" s="1706"/>
      <c r="G103" s="1732"/>
      <c r="H103" s="2145">
        <f>'Mono Slab on Grade Building 1'!AO107+'Gd Beams'!AF90+'Private Paving'!AE91+PIERS!AE100+Miscellaneous!AK34+'CIP EL. DECK'!AF93+COLUMNS!AF90+'SLAB ON DECK'!AD90+SIDEWALKS!AG90+'Site Walls'!AF98+PANELS!AH147+'SLAB ON GRADE'!AD89+'Gd Beams or Cont Footings'!AF90+Footings!AF92+'Garage Footings'!AF92+'Garage Walls'!AF98+'Mono Slab on Grade Building 2'!AO107+'Mono Slab on Grade Garden Style'!AO107+'ROW Paving'!AE91</f>
        <v>0</v>
      </c>
      <c r="I103" s="2146"/>
      <c r="J103" s="1745"/>
      <c r="K103" s="1744"/>
      <c r="L103" s="1051"/>
      <c r="M103" s="1051"/>
      <c r="N103" s="1051"/>
      <c r="O103" s="1747"/>
      <c r="P103" s="1748"/>
      <c r="Q103" s="347"/>
      <c r="R103" s="347"/>
      <c r="S103" s="347"/>
      <c r="T103" s="347"/>
      <c r="U103" s="347"/>
      <c r="V103" s="374"/>
      <c r="W103" s="374"/>
      <c r="X103" s="703"/>
    </row>
    <row r="104" spans="1:24" x14ac:dyDescent="0.35">
      <c r="A104" s="298"/>
      <c r="B104" s="374"/>
      <c r="C104" s="1726">
        <v>33</v>
      </c>
      <c r="D104" s="1727" t="s">
        <v>261</v>
      </c>
      <c r="E104" s="1705"/>
      <c r="F104" s="1705"/>
      <c r="G104" s="1705"/>
      <c r="H104" s="2145">
        <f>'Mono Slab on Grade Building 1'!AO108+'Gd Beams'!AF91+'Private Paving'!AE92+PIERS!AE101+Miscellaneous!AK35+'CIP EL. DECK'!AF94+COLUMNS!AF91+'SLAB ON DECK'!AD91+SIDEWALKS!AG91+'Site Walls'!AF99+PANELS!AH148+'SLAB ON GRADE'!AD90+'Gd Beams or Cont Footings'!AF91+Footings!AF93+'Garage Footings'!AF93+'Garage Walls'!AF99+'Mono Slab on Grade Building 2'!AO108+'Mono Slab on Grade Garden Style'!AO108+'ROW Paving'!AE92</f>
        <v>0</v>
      </c>
      <c r="I104" s="2146"/>
      <c r="J104" s="1745"/>
      <c r="K104" s="1744"/>
      <c r="L104" s="1051"/>
      <c r="M104" s="1051"/>
      <c r="N104" s="1051"/>
      <c r="O104" s="1747"/>
      <c r="P104" s="1748"/>
      <c r="Q104" s="347"/>
      <c r="R104" s="347"/>
      <c r="S104" s="347"/>
      <c r="T104" s="347"/>
      <c r="U104" s="347"/>
      <c r="V104" s="374"/>
      <c r="W104" s="374"/>
      <c r="X104" s="703"/>
    </row>
    <row r="105" spans="1:24" ht="16" thickBot="1" x14ac:dyDescent="0.4">
      <c r="A105" s="298"/>
      <c r="B105" s="374"/>
      <c r="C105" s="1733">
        <v>34</v>
      </c>
      <c r="D105" s="1734" t="s">
        <v>262</v>
      </c>
      <c r="E105" s="1735"/>
      <c r="F105" s="1735"/>
      <c r="G105" s="1735"/>
      <c r="H105" s="2145">
        <f>'Mono Slab on Grade Building 1'!AO109+'Gd Beams'!AF92+'Private Paving'!AE93+PIERS!AE102+Miscellaneous!AK36+'CIP EL. DECK'!AF95+COLUMNS!AF92+'SLAB ON DECK'!AD92+SIDEWALKS!AG92+'Site Walls'!AF100+PANELS!AH149+'SLAB ON GRADE'!AD91+'Gd Beams or Cont Footings'!AF92+Footings!AF94+'Garage Footings'!AF94+'Garage Walls'!AF100+'Mono Slab on Grade Building 2'!AO109+'Mono Slab on Grade Garden Style'!AO109+'ROW Paving'!AE93</f>
        <v>0</v>
      </c>
      <c r="I105" s="2146"/>
      <c r="J105" s="1746"/>
      <c r="K105" s="1029"/>
      <c r="L105" s="1029"/>
      <c r="M105" s="1029"/>
      <c r="N105" s="1029"/>
      <c r="O105" s="1749"/>
      <c r="P105" s="1750"/>
      <c r="Q105" s="347"/>
      <c r="R105" s="347"/>
      <c r="S105" s="347"/>
      <c r="T105" s="347"/>
      <c r="U105" s="347"/>
      <c r="V105" s="374"/>
      <c r="W105" s="374"/>
      <c r="X105" s="703"/>
    </row>
    <row r="106" spans="1:24" x14ac:dyDescent="0.35">
      <c r="A106" s="298"/>
      <c r="B106" s="374"/>
      <c r="C106" s="326"/>
      <c r="D106" s="348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2141">
        <f>SUM(O78:P102)+SUM(H79:I105)</f>
        <v>0</v>
      </c>
      <c r="P106" s="2142"/>
      <c r="Q106" s="347"/>
      <c r="R106" s="347"/>
      <c r="S106" s="347"/>
      <c r="T106" s="347"/>
      <c r="U106" s="347"/>
      <c r="V106" s="374"/>
      <c r="W106" s="374"/>
      <c r="X106" s="703"/>
    </row>
    <row r="107" spans="1:24" ht="16" thickBot="1" x14ac:dyDescent="0.4">
      <c r="A107" s="298"/>
      <c r="B107" s="374"/>
      <c r="C107" s="326"/>
      <c r="D107" s="348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2143"/>
      <c r="P107" s="2144"/>
      <c r="Q107" s="347"/>
      <c r="R107" s="347"/>
      <c r="S107" s="347"/>
      <c r="T107" s="347"/>
      <c r="U107" s="347"/>
      <c r="V107" s="374"/>
      <c r="W107" s="374"/>
      <c r="X107" s="703"/>
    </row>
    <row r="108" spans="1:24" x14ac:dyDescent="0.35">
      <c r="A108" s="298"/>
      <c r="B108" s="374"/>
      <c r="C108" s="326"/>
      <c r="D108" s="348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74"/>
      <c r="W108" s="374"/>
      <c r="X108" s="703"/>
    </row>
    <row r="109" spans="1:24" hidden="1" x14ac:dyDescent="0.35">
      <c r="A109" s="298"/>
      <c r="B109" s="374"/>
      <c r="C109" s="326"/>
      <c r="D109" s="348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74"/>
      <c r="W109" s="374"/>
      <c r="X109" s="703"/>
    </row>
    <row r="110" spans="1:24" hidden="1" x14ac:dyDescent="0.35">
      <c r="A110" s="298"/>
      <c r="B110" s="374"/>
      <c r="C110" s="326"/>
      <c r="D110" s="348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74"/>
      <c r="W110" s="374"/>
      <c r="X110" s="703"/>
    </row>
    <row r="111" spans="1:24" hidden="1" x14ac:dyDescent="0.35">
      <c r="A111" s="298"/>
      <c r="B111" s="374"/>
      <c r="C111" s="326"/>
      <c r="D111" s="348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74"/>
      <c r="W111" s="374"/>
      <c r="X111" s="703"/>
    </row>
    <row r="112" spans="1:24" hidden="1" x14ac:dyDescent="0.35">
      <c r="A112" s="298"/>
      <c r="B112" s="374"/>
      <c r="C112" s="374"/>
      <c r="D112" s="375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74"/>
      <c r="W112" s="374"/>
      <c r="X112" s="703"/>
    </row>
    <row r="113" spans="1:23" hidden="1" x14ac:dyDescent="0.35">
      <c r="A113" s="298"/>
      <c r="B113" s="298"/>
      <c r="C113" s="374"/>
      <c r="D113" s="375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298"/>
      <c r="R113" s="298"/>
      <c r="S113" s="347"/>
      <c r="T113" s="347"/>
      <c r="U113" s="347"/>
      <c r="V113" s="298"/>
      <c r="W113" s="298"/>
    </row>
    <row r="114" spans="1:23" hidden="1" x14ac:dyDescent="0.35">
      <c r="A114" s="298"/>
      <c r="B114" s="298"/>
      <c r="C114" s="374"/>
      <c r="D114" s="375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298"/>
      <c r="R114" s="298"/>
      <c r="S114" s="298"/>
      <c r="T114" s="298"/>
      <c r="U114" s="298"/>
      <c r="V114" s="298"/>
      <c r="W114" s="298"/>
    </row>
    <row r="115" spans="1:23" hidden="1" x14ac:dyDescent="0.35">
      <c r="A115" s="298"/>
      <c r="B115" s="298"/>
      <c r="C115" s="374"/>
      <c r="D115" s="375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298"/>
      <c r="R115" s="298"/>
      <c r="S115" s="298"/>
      <c r="T115" s="298"/>
      <c r="U115" s="298"/>
      <c r="V115" s="298"/>
      <c r="W115" s="298"/>
    </row>
    <row r="116" spans="1:23" hidden="1" x14ac:dyDescent="0.35">
      <c r="A116" s="298"/>
      <c r="B116" s="298"/>
      <c r="C116" s="374"/>
      <c r="D116" s="375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298"/>
      <c r="R116" s="298"/>
      <c r="S116" s="298"/>
      <c r="T116" s="298"/>
      <c r="U116" s="298"/>
      <c r="V116" s="298"/>
      <c r="W116" s="298"/>
    </row>
    <row r="117" spans="1:23" hidden="1" x14ac:dyDescent="0.35">
      <c r="A117" s="298"/>
      <c r="B117" s="298"/>
      <c r="C117" s="374"/>
      <c r="D117" s="375"/>
      <c r="E117" s="347"/>
      <c r="F117" s="347"/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298"/>
      <c r="R117" s="298"/>
      <c r="S117" s="298"/>
      <c r="T117" s="298"/>
      <c r="U117" s="298"/>
      <c r="V117" s="298"/>
      <c r="W117" s="298"/>
    </row>
    <row r="118" spans="1:23" hidden="1" x14ac:dyDescent="0.35">
      <c r="A118" s="298"/>
      <c r="B118" s="298"/>
      <c r="C118" s="374"/>
      <c r="D118" s="375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298"/>
      <c r="R118" s="298"/>
      <c r="S118" s="298"/>
      <c r="T118" s="298"/>
      <c r="U118" s="298"/>
      <c r="V118" s="298"/>
      <c r="W118" s="298"/>
    </row>
    <row r="119" spans="1:23" hidden="1" x14ac:dyDescent="0.35">
      <c r="A119" s="298"/>
      <c r="B119" s="298"/>
      <c r="C119" s="374"/>
      <c r="D119" s="375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298"/>
      <c r="R119" s="298"/>
      <c r="S119" s="298"/>
      <c r="T119" s="298"/>
      <c r="U119" s="298"/>
      <c r="V119" s="298"/>
      <c r="W119" s="298"/>
    </row>
    <row r="120" spans="1:23" hidden="1" x14ac:dyDescent="0.35">
      <c r="A120" s="298"/>
      <c r="B120" s="298"/>
      <c r="C120" s="374"/>
      <c r="D120" s="375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298"/>
      <c r="R120" s="298"/>
      <c r="S120" s="298"/>
      <c r="T120" s="298"/>
      <c r="U120" s="298"/>
      <c r="V120" s="298"/>
      <c r="W120" s="298"/>
    </row>
    <row r="121" spans="1:23" hidden="1" x14ac:dyDescent="0.35">
      <c r="A121" s="298"/>
      <c r="B121" s="298"/>
      <c r="C121" s="374"/>
      <c r="D121" s="375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298"/>
      <c r="R121" s="298"/>
      <c r="S121" s="298"/>
      <c r="T121" s="298"/>
      <c r="U121" s="298"/>
      <c r="V121" s="298"/>
      <c r="W121" s="298"/>
    </row>
    <row r="122" spans="1:23" hidden="1" x14ac:dyDescent="0.35">
      <c r="A122" s="298"/>
      <c r="B122" s="298"/>
      <c r="C122" s="374"/>
      <c r="D122" s="375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298"/>
      <c r="R122" s="298"/>
      <c r="S122" s="298"/>
      <c r="T122" s="298"/>
      <c r="U122" s="298"/>
      <c r="V122" s="298"/>
      <c r="W122" s="298"/>
    </row>
    <row r="123" spans="1:23" hidden="1" x14ac:dyDescent="0.35">
      <c r="A123" s="298"/>
      <c r="B123" s="298"/>
      <c r="C123" s="374"/>
      <c r="D123" s="375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298"/>
      <c r="R123" s="298"/>
      <c r="S123" s="298"/>
      <c r="T123" s="298"/>
      <c r="U123" s="298"/>
      <c r="V123" s="298"/>
      <c r="W123" s="298"/>
    </row>
    <row r="124" spans="1:23" hidden="1" x14ac:dyDescent="0.35">
      <c r="C124" s="374"/>
      <c r="D124" s="375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S124" s="298"/>
      <c r="T124" s="298"/>
      <c r="U124" s="298"/>
    </row>
    <row r="125" spans="1:23" hidden="1" x14ac:dyDescent="0.35">
      <c r="C125" s="374"/>
      <c r="D125" s="375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</row>
    <row r="126" spans="1:23" hidden="1" x14ac:dyDescent="0.35">
      <c r="C126" s="374"/>
      <c r="D126" s="375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</row>
    <row r="127" spans="1:23" hidden="1" x14ac:dyDescent="0.35">
      <c r="C127" s="51"/>
      <c r="D127" s="56"/>
      <c r="E127" s="36"/>
      <c r="F127" s="36"/>
      <c r="G127" s="36"/>
      <c r="H127" s="36"/>
      <c r="I127" s="36"/>
      <c r="J127" s="347"/>
      <c r="K127" s="347"/>
      <c r="L127" s="347"/>
      <c r="M127" s="347"/>
      <c r="N127" s="347"/>
      <c r="O127" s="347"/>
      <c r="P127" s="347"/>
    </row>
    <row r="128" spans="1:23" hidden="1" x14ac:dyDescent="0.35">
      <c r="C128" s="51"/>
      <c r="D128" s="5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</row>
    <row r="129" spans="3:16" hidden="1" x14ac:dyDescent="0.35">
      <c r="C129" s="51"/>
      <c r="D129" s="5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</row>
    <row r="130" spans="3:16" hidden="1" x14ac:dyDescent="0.35">
      <c r="C130" s="51"/>
      <c r="D130" s="5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</row>
    <row r="131" spans="3:16" hidden="1" x14ac:dyDescent="0.35">
      <c r="C131" s="51"/>
      <c r="D131" s="5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</row>
    <row r="132" spans="3:16" hidden="1" x14ac:dyDescent="0.35">
      <c r="C132" s="51"/>
      <c r="D132" s="5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</row>
    <row r="133" spans="3:16" hidden="1" x14ac:dyDescent="0.35">
      <c r="C133" s="51"/>
      <c r="D133" s="5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</row>
    <row r="134" spans="3:16" hidden="1" x14ac:dyDescent="0.35">
      <c r="C134" s="51"/>
      <c r="D134" s="5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</row>
    <row r="135" spans="3:16" hidden="1" x14ac:dyDescent="0.35">
      <c r="C135" s="51"/>
      <c r="D135" s="5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3:16" hidden="1" x14ac:dyDescent="0.35">
      <c r="C136" s="51"/>
      <c r="D136" s="5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</row>
    <row r="137" spans="3:16" hidden="1" x14ac:dyDescent="0.35">
      <c r="C137" s="51"/>
      <c r="D137" s="5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</row>
    <row r="138" spans="3:16" hidden="1" x14ac:dyDescent="0.35">
      <c r="C138" s="51"/>
      <c r="D138" s="56"/>
      <c r="E138" s="36"/>
      <c r="F138" s="36"/>
      <c r="G138" s="36"/>
      <c r="H138" s="36"/>
      <c r="I138" s="36"/>
    </row>
    <row r="139" spans="3:16" hidden="1" x14ac:dyDescent="0.35">
      <c r="C139" s="51"/>
      <c r="D139" s="56"/>
      <c r="E139" s="36"/>
      <c r="F139" s="36"/>
      <c r="G139" s="36"/>
      <c r="H139" s="36"/>
      <c r="I139" s="36"/>
    </row>
    <row r="140" spans="3:16" hidden="1" x14ac:dyDescent="0.35">
      <c r="C140" s="51"/>
      <c r="D140" s="56"/>
      <c r="E140" s="36"/>
      <c r="F140" s="36"/>
      <c r="G140" s="36"/>
      <c r="H140" s="36"/>
      <c r="I140" s="36"/>
    </row>
    <row r="141" spans="3:16" hidden="1" x14ac:dyDescent="0.35">
      <c r="C141" s="51"/>
      <c r="D141" s="56"/>
      <c r="E141" s="36"/>
      <c r="F141" s="36"/>
      <c r="G141" s="36"/>
      <c r="H141" s="36"/>
      <c r="I141" s="36"/>
    </row>
    <row r="142" spans="3:16" hidden="1" x14ac:dyDescent="0.35">
      <c r="C142" s="51"/>
      <c r="D142" s="56"/>
      <c r="E142" s="36"/>
      <c r="F142" s="36"/>
      <c r="G142" s="36"/>
      <c r="H142" s="36"/>
      <c r="I142" s="36"/>
    </row>
    <row r="143" spans="3:16" hidden="1" x14ac:dyDescent="0.35">
      <c r="C143" s="51"/>
      <c r="D143" s="56"/>
      <c r="E143" s="36"/>
      <c r="F143" s="36"/>
      <c r="G143" s="36"/>
      <c r="H143" s="36"/>
      <c r="I143" s="36"/>
    </row>
  </sheetData>
  <mergeCells count="132">
    <mergeCell ref="A34:B34"/>
    <mergeCell ref="A35:B35"/>
    <mergeCell ref="A21:B21"/>
    <mergeCell ref="K3:N3"/>
    <mergeCell ref="K4:N4"/>
    <mergeCell ref="K5:N5"/>
    <mergeCell ref="K6:N6"/>
    <mergeCell ref="H8:H10"/>
    <mergeCell ref="I8:I10"/>
    <mergeCell ref="J8:J10"/>
    <mergeCell ref="L8:L10"/>
    <mergeCell ref="M8:M10"/>
    <mergeCell ref="H101:I101"/>
    <mergeCell ref="H94:I94"/>
    <mergeCell ref="H95:I95"/>
    <mergeCell ref="H99:I99"/>
    <mergeCell ref="H79:I79"/>
    <mergeCell ref="H81:I81"/>
    <mergeCell ref="G8:G10"/>
    <mergeCell ref="A27:B27"/>
    <mergeCell ref="A23:B23"/>
    <mergeCell ref="D8:E8"/>
    <mergeCell ref="A14:B14"/>
    <mergeCell ref="A15:B15"/>
    <mergeCell ref="A16:B16"/>
    <mergeCell ref="A17:B17"/>
    <mergeCell ref="A37:B37"/>
    <mergeCell ref="A20:B20"/>
    <mergeCell ref="A26:B26"/>
    <mergeCell ref="A28:B28"/>
    <mergeCell ref="A33:B33"/>
    <mergeCell ref="A32:B32"/>
    <mergeCell ref="A45:B45"/>
    <mergeCell ref="E45:E46"/>
    <mergeCell ref="A46:B46"/>
    <mergeCell ref="A31:B31"/>
    <mergeCell ref="D76:G76"/>
    <mergeCell ref="D58:E58"/>
    <mergeCell ref="H78:I78"/>
    <mergeCell ref="E43:E44"/>
    <mergeCell ref="D57:E57"/>
    <mergeCell ref="T4:U4"/>
    <mergeCell ref="A42:B42"/>
    <mergeCell ref="A36:B36"/>
    <mergeCell ref="T8:T10"/>
    <mergeCell ref="U8:U10"/>
    <mergeCell ref="P8:P10"/>
    <mergeCell ref="Q8:Q10"/>
    <mergeCell ref="R8:R10"/>
    <mergeCell ref="A19:B19"/>
    <mergeCell ref="S8:S10"/>
    <mergeCell ref="N8:N10"/>
    <mergeCell ref="A18:B18"/>
    <mergeCell ref="A24:B24"/>
    <mergeCell ref="A10:B10"/>
    <mergeCell ref="A29:B29"/>
    <mergeCell ref="A30:B30"/>
    <mergeCell ref="A22:B22"/>
    <mergeCell ref="A12:B12"/>
    <mergeCell ref="A13:B13"/>
    <mergeCell ref="O8:O10"/>
    <mergeCell ref="H91:I91"/>
    <mergeCell ref="O89:P89"/>
    <mergeCell ref="H92:I92"/>
    <mergeCell ref="O88:P88"/>
    <mergeCell ref="H80:I80"/>
    <mergeCell ref="O84:P84"/>
    <mergeCell ref="O83:P83"/>
    <mergeCell ref="O90:P90"/>
    <mergeCell ref="O80:P80"/>
    <mergeCell ref="H85:I85"/>
    <mergeCell ref="H86:I86"/>
    <mergeCell ref="H90:I90"/>
    <mergeCell ref="O81:P81"/>
    <mergeCell ref="K8:K10"/>
    <mergeCell ref="O82:P82"/>
    <mergeCell ref="O79:P79"/>
    <mergeCell ref="S67:U67"/>
    <mergeCell ref="H87:I87"/>
    <mergeCell ref="O85:P85"/>
    <mergeCell ref="O86:P86"/>
    <mergeCell ref="H84:I84"/>
    <mergeCell ref="H82:I82"/>
    <mergeCell ref="H83:I83"/>
    <mergeCell ref="K76:N76"/>
    <mergeCell ref="O78:P78"/>
    <mergeCell ref="O87:P87"/>
    <mergeCell ref="O106:P107"/>
    <mergeCell ref="H105:I105"/>
    <mergeCell ref="H88:I88"/>
    <mergeCell ref="H89:I89"/>
    <mergeCell ref="H96:I96"/>
    <mergeCell ref="H97:I97"/>
    <mergeCell ref="H98:I98"/>
    <mergeCell ref="H104:I104"/>
    <mergeCell ref="O92:P92"/>
    <mergeCell ref="O91:P91"/>
    <mergeCell ref="O102:P102"/>
    <mergeCell ref="O93:P93"/>
    <mergeCell ref="O94:P94"/>
    <mergeCell ref="O101:P101"/>
    <mergeCell ref="O100:P100"/>
    <mergeCell ref="O95:P95"/>
    <mergeCell ref="O96:P96"/>
    <mergeCell ref="O97:P97"/>
    <mergeCell ref="O98:P98"/>
    <mergeCell ref="O99:P99"/>
    <mergeCell ref="H102:I102"/>
    <mergeCell ref="H103:I103"/>
    <mergeCell ref="H93:I93"/>
    <mergeCell ref="H100:I100"/>
    <mergeCell ref="Q66:R66"/>
    <mergeCell ref="S62:U62"/>
    <mergeCell ref="Q62:R62"/>
    <mergeCell ref="Q63:R63"/>
    <mergeCell ref="Q64:R64"/>
    <mergeCell ref="A38:B38"/>
    <mergeCell ref="A41:B41"/>
    <mergeCell ref="A52:B52"/>
    <mergeCell ref="A58:C58"/>
    <mergeCell ref="A49:B49"/>
    <mergeCell ref="A43:B43"/>
    <mergeCell ref="A50:B50"/>
    <mergeCell ref="A44:B44"/>
    <mergeCell ref="A53:B53"/>
    <mergeCell ref="A55:B55"/>
    <mergeCell ref="A51:B51"/>
    <mergeCell ref="A54:B54"/>
    <mergeCell ref="A47:B47"/>
    <mergeCell ref="A48:B48"/>
    <mergeCell ref="A39:B39"/>
    <mergeCell ref="A40:B40"/>
  </mergeCells>
  <printOptions gridLines="1"/>
  <pageMargins left="0.44" right="0.21" top="0.52" bottom="0.16" header="0.17" footer="0.18"/>
  <pageSetup paperSize="5" scale="65" orientation="landscape" horizontalDpi="4294967294" r:id="rId1"/>
  <headerFooter alignWithMargins="0">
    <oddHeader>&amp;L&amp;"Arial,Bold"&amp;16&amp;A&amp;C&amp;"Arial,Bold"&amp;16&amp;F&amp;R&amp;16&amp;D</oddHeader>
  </headerFooter>
  <rowBreaks count="1" manualBreakCount="1">
    <brk id="66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FD61"/>
  <sheetViews>
    <sheetView topLeftCell="L1" zoomScaleNormal="100" workbookViewId="0">
      <selection activeCell="Y9" sqref="Y9"/>
    </sheetView>
  </sheetViews>
  <sheetFormatPr defaultColWidth="8.7265625" defaultRowHeight="12.5" x14ac:dyDescent="0.25"/>
  <cols>
    <col min="1" max="1" width="9.1796875" style="629" customWidth="1"/>
    <col min="2" max="2" width="10.6328125" style="629" customWidth="1"/>
    <col min="3" max="3" width="23.26953125" style="629" customWidth="1"/>
    <col min="4" max="4" width="16.81640625" style="629" customWidth="1"/>
    <col min="5" max="5" width="10.453125" style="629" customWidth="1"/>
    <col min="6" max="6" width="11" style="629" customWidth="1"/>
    <col min="7" max="10" width="11.26953125" style="629" bestFit="1" customWidth="1"/>
    <col min="11" max="11" width="14.7265625" style="629" customWidth="1"/>
    <col min="12" max="12" width="19.453125" style="629" customWidth="1"/>
    <col min="13" max="13" width="30.1796875" style="629" bestFit="1" customWidth="1"/>
    <col min="14" max="14" width="10.1796875" style="638" bestFit="1" customWidth="1"/>
    <col min="15" max="15" width="18.453125" style="629" customWidth="1"/>
    <col min="16" max="33" width="8.7265625" customWidth="1"/>
    <col min="34" max="16383" width="8.7265625" style="629"/>
    <col min="16384" max="16384" width="11.08984375" style="629" customWidth="1"/>
  </cols>
  <sheetData>
    <row r="1" spans="1:34" ht="138" customHeight="1" thickBot="1" x14ac:dyDescent="0.3">
      <c r="A1" s="634" t="s">
        <v>165</v>
      </c>
      <c r="B1" s="635"/>
      <c r="C1" s="635" t="s">
        <v>166</v>
      </c>
      <c r="D1" s="635" t="s">
        <v>900</v>
      </c>
      <c r="E1" s="636" t="s">
        <v>125</v>
      </c>
      <c r="F1" s="619" t="s">
        <v>838</v>
      </c>
      <c r="G1" s="619" t="s">
        <v>895</v>
      </c>
      <c r="H1" s="619" t="s">
        <v>888</v>
      </c>
      <c r="I1" s="619" t="s">
        <v>1022</v>
      </c>
      <c r="J1" s="619" t="s">
        <v>836</v>
      </c>
      <c r="K1" s="619" t="s">
        <v>1064</v>
      </c>
      <c r="L1" s="619"/>
      <c r="M1" s="637" t="s">
        <v>1055</v>
      </c>
      <c r="N1" s="629"/>
      <c r="O1" s="638"/>
      <c r="P1" s="629"/>
      <c r="AH1"/>
    </row>
    <row r="2" spans="1:34" ht="13.5" thickTop="1" x14ac:dyDescent="0.3">
      <c r="A2" s="1335" t="str">
        <f>IF(F2=F3,A3,IF(F2=F4,A4,IF(F2=F5,A5,IF(F2=F6,A6,0))))</f>
        <v>Martin Marrieta</v>
      </c>
      <c r="B2" s="1336"/>
      <c r="C2" s="1336"/>
      <c r="D2" s="1336"/>
      <c r="E2" s="1337"/>
      <c r="F2" s="1338">
        <f t="shared" ref="F2:L2" si="0">MIN(IF(F3&gt;0,F3,1000),IF(F4&gt;0,F4,1000),IF(F5&gt;0,F5,1000),IF(F6&gt;0,F6,1000),IF(F7&gt;0,F7,1000),IF(F8&gt;0,F8,1000))</f>
        <v>147</v>
      </c>
      <c r="G2" s="1338">
        <f t="shared" si="0"/>
        <v>152</v>
      </c>
      <c r="H2" s="1338">
        <f t="shared" si="0"/>
        <v>157</v>
      </c>
      <c r="I2" s="1338">
        <f t="shared" si="0"/>
        <v>162</v>
      </c>
      <c r="J2" s="1338">
        <f t="shared" si="0"/>
        <v>167</v>
      </c>
      <c r="K2" s="1338">
        <f t="shared" si="0"/>
        <v>147</v>
      </c>
      <c r="L2" s="1338">
        <f t="shared" si="0"/>
        <v>1000</v>
      </c>
      <c r="M2" s="1339" t="s">
        <v>196</v>
      </c>
      <c r="N2" s="1340" t="s">
        <v>7</v>
      </c>
      <c r="O2" s="1341" t="s">
        <v>5</v>
      </c>
      <c r="P2" s="277" t="s">
        <v>17</v>
      </c>
      <c r="T2" t="s">
        <v>309</v>
      </c>
      <c r="AH2"/>
    </row>
    <row r="3" spans="1:34" ht="15.5" x14ac:dyDescent="0.35">
      <c r="A3" s="2192" t="s">
        <v>1065</v>
      </c>
      <c r="B3" s="2193"/>
      <c r="C3" s="639" t="s">
        <v>1066</v>
      </c>
      <c r="D3" s="639"/>
      <c r="E3" s="640"/>
      <c r="F3" s="641">
        <v>147</v>
      </c>
      <c r="G3" s="641">
        <f>F3+5</f>
        <v>152</v>
      </c>
      <c r="H3" s="641">
        <f>G3+5</f>
        <v>157</v>
      </c>
      <c r="I3" s="641">
        <f>H3+5</f>
        <v>162</v>
      </c>
      <c r="J3" s="641">
        <f>I3+5</f>
        <v>167</v>
      </c>
      <c r="K3" s="641">
        <f>F3</f>
        <v>147</v>
      </c>
      <c r="L3" s="642"/>
      <c r="M3" s="629" t="s">
        <v>203</v>
      </c>
      <c r="N3" s="641">
        <f>9/16</f>
        <v>0.5625</v>
      </c>
      <c r="O3" s="401" t="s">
        <v>787</v>
      </c>
      <c r="P3" s="639"/>
      <c r="T3" t="s">
        <v>477</v>
      </c>
      <c r="U3" t="s">
        <v>478</v>
      </c>
      <c r="V3" t="s">
        <v>479</v>
      </c>
      <c r="W3" t="s">
        <v>480</v>
      </c>
      <c r="X3" t="s">
        <v>481</v>
      </c>
      <c r="Y3" t="s">
        <v>482</v>
      </c>
      <c r="AH3"/>
    </row>
    <row r="4" spans="1:34" ht="15.5" x14ac:dyDescent="0.35">
      <c r="A4" s="2192"/>
      <c r="B4" s="2193"/>
      <c r="C4" s="639"/>
      <c r="D4" s="639"/>
      <c r="E4" s="640"/>
      <c r="F4" s="641"/>
      <c r="G4" s="643"/>
      <c r="H4" s="641"/>
      <c r="I4" s="641"/>
      <c r="J4" s="641"/>
      <c r="K4" s="641"/>
      <c r="L4" s="644"/>
      <c r="M4" s="629" t="s">
        <v>204</v>
      </c>
      <c r="N4" s="645">
        <f>10.5/16</f>
        <v>0.65625</v>
      </c>
      <c r="O4" s="401" t="s">
        <v>787</v>
      </c>
      <c r="P4" s="639"/>
      <c r="S4" t="s">
        <v>483</v>
      </c>
      <c r="T4">
        <f>'Mono Slab on Grade Garden Style'!BK105</f>
        <v>0</v>
      </c>
      <c r="U4">
        <f>'Mono Slab on Grade Garden Style'!BM105</f>
        <v>0</v>
      </c>
      <c r="V4">
        <f>'Mono Slab on Grade Garden Style'!BQ105</f>
        <v>0</v>
      </c>
      <c r="W4">
        <f>'Mono Slab on Grade Garden Style'!BR105</f>
        <v>0</v>
      </c>
      <c r="X4">
        <f>'Mono Slab on Grade Garden Style'!BS105</f>
        <v>0</v>
      </c>
      <c r="Y4">
        <f>'Mono Slab on Grade Garden Style'!BT105</f>
        <v>0</v>
      </c>
      <c r="AH4"/>
    </row>
    <row r="5" spans="1:34" ht="15.5" x14ac:dyDescent="0.35">
      <c r="A5" s="2192"/>
      <c r="B5" s="2193"/>
      <c r="C5" s="639"/>
      <c r="D5" s="639"/>
      <c r="E5" s="640"/>
      <c r="F5" s="641"/>
      <c r="G5" s="643"/>
      <c r="H5" s="641"/>
      <c r="I5" s="641"/>
      <c r="J5" s="641"/>
      <c r="K5" s="641"/>
      <c r="L5" s="644"/>
      <c r="M5" s="629" t="s">
        <v>206</v>
      </c>
      <c r="N5" s="645">
        <v>1</v>
      </c>
      <c r="O5" s="401" t="s">
        <v>787</v>
      </c>
      <c r="P5" s="639"/>
      <c r="S5" t="s">
        <v>484</v>
      </c>
      <c r="T5">
        <f>'Gd Beams'!AN36</f>
        <v>0</v>
      </c>
      <c r="U5">
        <f>'Gd Beams'!AO36</f>
        <v>0</v>
      </c>
      <c r="V5">
        <f>'Gd Beams'!AP36</f>
        <v>0</v>
      </c>
      <c r="W5">
        <f>'Gd Beams'!AQ36</f>
        <v>0</v>
      </c>
      <c r="X5">
        <f>'Gd Beams'!AR36</f>
        <v>0</v>
      </c>
      <c r="Y5">
        <f>'Gd Beams'!AS36</f>
        <v>0</v>
      </c>
      <c r="AA5" t="b">
        <f>IF(F5&gt;0,F5)</f>
        <v>0</v>
      </c>
      <c r="AH5"/>
    </row>
    <row r="6" spans="1:34" ht="15.5" x14ac:dyDescent="0.35">
      <c r="A6" s="2192"/>
      <c r="B6" s="2193"/>
      <c r="E6" s="640"/>
      <c r="F6" s="641"/>
      <c r="G6" s="643"/>
      <c r="H6" s="641"/>
      <c r="I6" s="641"/>
      <c r="J6" s="641"/>
      <c r="K6" s="641"/>
      <c r="L6" s="644"/>
      <c r="M6" s="629" t="s">
        <v>205</v>
      </c>
      <c r="N6" s="645">
        <f>20/16</f>
        <v>1.25</v>
      </c>
      <c r="O6" s="401" t="s">
        <v>787</v>
      </c>
      <c r="P6" s="639"/>
      <c r="S6" t="s">
        <v>485</v>
      </c>
      <c r="T6">
        <f>'SLAB ON DECK'!AL27</f>
        <v>0</v>
      </c>
      <c r="U6">
        <f>'SLAB ON DECK'!AM27</f>
        <v>0</v>
      </c>
      <c r="V6">
        <f>'SLAB ON DECK'!AN27</f>
        <v>0</v>
      </c>
      <c r="W6">
        <f>'SLAB ON DECK'!AO27</f>
        <v>0</v>
      </c>
      <c r="X6">
        <f>'SLAB ON DECK'!AP27</f>
        <v>0</v>
      </c>
      <c r="Y6">
        <f>'SLAB ON DECK'!AQ27</f>
        <v>0</v>
      </c>
      <c r="AH6"/>
    </row>
    <row r="7" spans="1:34" x14ac:dyDescent="0.25">
      <c r="A7" s="2192"/>
      <c r="B7" s="2193"/>
      <c r="E7" s="640"/>
      <c r="F7" s="641"/>
      <c r="G7" s="643"/>
      <c r="H7" s="641"/>
      <c r="I7" s="641"/>
      <c r="J7" s="641"/>
      <c r="K7" s="641"/>
      <c r="L7" s="644"/>
      <c r="M7" s="629" t="s">
        <v>207</v>
      </c>
      <c r="N7" s="645">
        <v>50</v>
      </c>
      <c r="O7" s="646" t="s">
        <v>290</v>
      </c>
      <c r="P7" s="639"/>
      <c r="S7" t="s">
        <v>486</v>
      </c>
      <c r="T7">
        <f>'Private Paving'!AI27</f>
        <v>0</v>
      </c>
      <c r="U7">
        <f>'Private Paving'!AJ27</f>
        <v>0</v>
      </c>
      <c r="V7">
        <f>'Private Paving'!AK27</f>
        <v>0</v>
      </c>
      <c r="W7">
        <f>'Private Paving'!AL27</f>
        <v>0</v>
      </c>
      <c r="X7">
        <f>'Private Paving'!AM27</f>
        <v>0</v>
      </c>
      <c r="Y7">
        <f>'Private Paving'!AN27</f>
        <v>0</v>
      </c>
      <c r="AH7"/>
    </row>
    <row r="8" spans="1:34" ht="13" thickBot="1" x14ac:dyDescent="0.3">
      <c r="A8" s="2192"/>
      <c r="B8" s="2193"/>
      <c r="C8" s="637"/>
      <c r="D8" s="637"/>
      <c r="E8" s="647"/>
      <c r="F8" s="648"/>
      <c r="G8" s="649"/>
      <c r="H8" s="648"/>
      <c r="I8" s="648"/>
      <c r="J8" s="648"/>
      <c r="K8" s="648"/>
      <c r="L8" s="650"/>
      <c r="M8" s="629" t="s">
        <v>377</v>
      </c>
      <c r="N8" s="645">
        <v>19</v>
      </c>
      <c r="O8" s="646" t="s">
        <v>290</v>
      </c>
      <c r="P8" s="639"/>
      <c r="S8" t="s">
        <v>26</v>
      </c>
      <c r="T8">
        <f>PIERS!AS34</f>
        <v>0</v>
      </c>
      <c r="U8">
        <f>PIERS!AT34</f>
        <v>0</v>
      </c>
      <c r="V8">
        <f>PIERS!AU34</f>
        <v>0</v>
      </c>
      <c r="W8">
        <f>PIERS!AV34</f>
        <v>0</v>
      </c>
      <c r="X8">
        <f>PIERS!AW34</f>
        <v>0</v>
      </c>
      <c r="Y8">
        <f>PIERS!AX34</f>
        <v>0</v>
      </c>
      <c r="AH8"/>
    </row>
    <row r="9" spans="1:34" ht="16" thickBot="1" x14ac:dyDescent="0.4">
      <c r="A9" s="2204" t="s">
        <v>23</v>
      </c>
      <c r="B9" s="2205"/>
      <c r="C9" s="2205"/>
      <c r="D9" s="2205"/>
      <c r="E9" s="1342">
        <v>1.5</v>
      </c>
      <c r="F9" s="1343"/>
      <c r="G9" s="1343"/>
      <c r="H9" s="1344"/>
      <c r="M9" s="629" t="s">
        <v>379</v>
      </c>
      <c r="N9" s="645">
        <v>0.15</v>
      </c>
      <c r="O9" s="401" t="s">
        <v>787</v>
      </c>
      <c r="P9" s="639"/>
      <c r="S9" t="s">
        <v>487</v>
      </c>
      <c r="T9">
        <f>SIDEWALKS!AE27</f>
        <v>0</v>
      </c>
      <c r="U9">
        <f>SIDEWALKS!AF27</f>
        <v>0</v>
      </c>
      <c r="V9">
        <f>SIDEWALKS!AG27</f>
        <v>0</v>
      </c>
      <c r="W9">
        <f>SIDEWALKS!AH27</f>
        <v>0</v>
      </c>
      <c r="X9">
        <f>SIDEWALKS!AI27</f>
        <v>0</v>
      </c>
      <c r="Y9">
        <f>SIDEWALKS!AJ27</f>
        <v>0</v>
      </c>
      <c r="AH9"/>
    </row>
    <row r="10" spans="1:34" ht="16" thickBot="1" x14ac:dyDescent="0.4">
      <c r="A10" s="2201" t="s">
        <v>427</v>
      </c>
      <c r="B10" s="2202"/>
      <c r="C10" s="2202"/>
      <c r="D10" s="2202"/>
      <c r="E10" s="2202"/>
      <c r="F10" s="2202"/>
      <c r="G10" s="2202"/>
      <c r="H10" s="2203"/>
      <c r="M10" s="629" t="s">
        <v>380</v>
      </c>
      <c r="N10" s="645">
        <v>1</v>
      </c>
      <c r="O10" s="401" t="s">
        <v>787</v>
      </c>
      <c r="P10" s="639"/>
      <c r="S10" t="s">
        <v>51</v>
      </c>
      <c r="T10">
        <f t="shared" ref="T10:Y10" si="1">IF(T4&lt;T5,T4,T5)</f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AH10"/>
    </row>
    <row r="11" spans="1:34" ht="15.5" x14ac:dyDescent="0.35">
      <c r="A11" s="1357">
        <v>12</v>
      </c>
      <c r="B11" s="1356">
        <v>18</v>
      </c>
      <c r="C11" s="1356">
        <v>24</v>
      </c>
      <c r="D11" s="1356">
        <v>30</v>
      </c>
      <c r="E11" s="1356">
        <v>36</v>
      </c>
      <c r="F11" s="751">
        <v>42</v>
      </c>
      <c r="G11" s="1356">
        <v>48</v>
      </c>
      <c r="H11" s="1358">
        <v>54</v>
      </c>
      <c r="M11" s="629" t="s">
        <v>363</v>
      </c>
      <c r="N11" s="645">
        <v>1.25</v>
      </c>
      <c r="O11" s="401" t="s">
        <v>787</v>
      </c>
      <c r="P11" s="639"/>
      <c r="AH11"/>
    </row>
    <row r="12" spans="1:34" ht="16" thickBot="1" x14ac:dyDescent="0.4">
      <c r="A12" s="1345">
        <v>6</v>
      </c>
      <c r="B12" s="1346">
        <v>9</v>
      </c>
      <c r="C12" s="1346">
        <v>10</v>
      </c>
      <c r="D12" s="1346">
        <v>12</v>
      </c>
      <c r="E12" s="1346">
        <v>15</v>
      </c>
      <c r="F12" s="1347">
        <v>18</v>
      </c>
      <c r="G12" s="1348">
        <v>21</v>
      </c>
      <c r="H12" s="1348">
        <v>36</v>
      </c>
      <c r="M12" s="629" t="s">
        <v>367</v>
      </c>
      <c r="N12" s="645">
        <v>0.9</v>
      </c>
      <c r="O12" s="401" t="s">
        <v>787</v>
      </c>
      <c r="P12" s="639"/>
      <c r="T12">
        <f t="shared" ref="T12:Y12" si="2">IF(T6&lt;T7,T6,T7)</f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AH12"/>
    </row>
    <row r="13" spans="1:34" ht="16" thickBot="1" x14ac:dyDescent="0.4">
      <c r="A13" s="2195" t="s">
        <v>424</v>
      </c>
      <c r="B13" s="2196"/>
      <c r="C13" s="2196"/>
      <c r="D13" s="2196"/>
      <c r="E13" s="2196"/>
      <c r="F13" s="2196"/>
      <c r="G13" s="2196"/>
      <c r="H13" s="2197"/>
      <c r="K13" s="629">
        <v>6</v>
      </c>
      <c r="L13" s="629">
        <f>K13/16</f>
        <v>0.375</v>
      </c>
      <c r="M13" s="629" t="s">
        <v>285</v>
      </c>
      <c r="N13" s="645">
        <v>0.04</v>
      </c>
      <c r="O13" s="646" t="s">
        <v>88</v>
      </c>
      <c r="P13" s="639"/>
      <c r="AH13"/>
    </row>
    <row r="14" spans="1:34" ht="16" thickBot="1" x14ac:dyDescent="0.4">
      <c r="A14" s="1349">
        <v>10</v>
      </c>
      <c r="B14" s="1350">
        <v>12</v>
      </c>
      <c r="C14" s="1350">
        <v>14</v>
      </c>
      <c r="D14" s="1350">
        <v>16</v>
      </c>
      <c r="E14" s="1350">
        <v>18</v>
      </c>
      <c r="F14" s="1351">
        <v>12</v>
      </c>
      <c r="G14" s="1350">
        <v>15</v>
      </c>
      <c r="H14" s="1352">
        <v>18</v>
      </c>
      <c r="K14" s="629">
        <v>7.2</v>
      </c>
      <c r="L14" s="629">
        <f t="shared" ref="L14:L21" si="3">K14/16</f>
        <v>0.45</v>
      </c>
      <c r="M14" s="629" t="s">
        <v>773</v>
      </c>
      <c r="N14" s="645">
        <v>18</v>
      </c>
      <c r="O14" s="646" t="s">
        <v>763</v>
      </c>
      <c r="P14" s="639"/>
      <c r="Q14" t="s">
        <v>83</v>
      </c>
      <c r="R14" t="s">
        <v>163</v>
      </c>
      <c r="T14">
        <f t="shared" ref="T14:Y14" si="4">IF(T8&lt;T9,T8,T9)</f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4"/>
        <v>0</v>
      </c>
      <c r="AH14"/>
    </row>
    <row r="15" spans="1:34" ht="13.5" thickBot="1" x14ac:dyDescent="0.35">
      <c r="A15" s="2198" t="s">
        <v>425</v>
      </c>
      <c r="B15" s="2199"/>
      <c r="C15" s="2199"/>
      <c r="D15" s="2199"/>
      <c r="E15" s="2199"/>
      <c r="F15" s="2199"/>
      <c r="G15" s="2199"/>
      <c r="H15" s="2200"/>
      <c r="K15" s="629">
        <v>9.4600000000000009</v>
      </c>
      <c r="L15" s="629">
        <f t="shared" si="3"/>
        <v>0.59125000000000005</v>
      </c>
      <c r="M15" s="629" t="s">
        <v>0</v>
      </c>
      <c r="N15" s="645">
        <v>42</v>
      </c>
      <c r="O15" s="646" t="s">
        <v>292</v>
      </c>
      <c r="P15" s="639"/>
      <c r="Q15">
        <v>7</v>
      </c>
      <c r="R15">
        <v>0.17929999999999999</v>
      </c>
      <c r="T15">
        <f t="shared" ref="T15:Y17" si="5">IF(T10&lt;T12,T10,T12)</f>
        <v>0</v>
      </c>
      <c r="U15">
        <f t="shared" si="5"/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 t="shared" si="5"/>
        <v>0</v>
      </c>
      <c r="AH15"/>
    </row>
    <row r="16" spans="1:34" ht="13" thickBot="1" x14ac:dyDescent="0.3">
      <c r="A16" s="1353">
        <v>0</v>
      </c>
      <c r="B16" s="1354"/>
      <c r="C16" s="1354">
        <v>0</v>
      </c>
      <c r="D16" s="1354">
        <v>0</v>
      </c>
      <c r="E16" s="1354">
        <v>0</v>
      </c>
      <c r="F16" s="1354"/>
      <c r="G16" s="1354"/>
      <c r="H16" s="1355"/>
      <c r="K16" s="629">
        <v>11.34</v>
      </c>
      <c r="L16" s="629">
        <f t="shared" si="3"/>
        <v>0.70874999999999999</v>
      </c>
      <c r="M16" s="629" t="s">
        <v>2</v>
      </c>
      <c r="N16" s="645">
        <v>42</v>
      </c>
      <c r="O16" s="646" t="s">
        <v>292</v>
      </c>
      <c r="P16" s="639"/>
      <c r="Q16">
        <v>8</v>
      </c>
      <c r="R16">
        <v>0.16439999999999999</v>
      </c>
      <c r="T16">
        <f t="shared" si="5"/>
        <v>0</v>
      </c>
      <c r="U16">
        <f t="shared" si="5"/>
        <v>0</v>
      </c>
      <c r="V16">
        <f t="shared" si="5"/>
        <v>0</v>
      </c>
      <c r="W16">
        <f t="shared" si="5"/>
        <v>0</v>
      </c>
      <c r="X16">
        <f t="shared" si="5"/>
        <v>0</v>
      </c>
      <c r="Y16">
        <f t="shared" si="5"/>
        <v>0</v>
      </c>
      <c r="AH16"/>
    </row>
    <row r="17" spans="1:34" x14ac:dyDescent="0.25">
      <c r="F17" s="651"/>
      <c r="M17" s="629" t="s">
        <v>1</v>
      </c>
      <c r="N17" s="645">
        <v>42</v>
      </c>
      <c r="O17" s="646" t="s">
        <v>292</v>
      </c>
      <c r="P17" s="639"/>
      <c r="Q17">
        <v>9</v>
      </c>
      <c r="R17">
        <v>0.14949999999999999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AH17"/>
    </row>
    <row r="18" spans="1:34" x14ac:dyDescent="0.25">
      <c r="A18" s="652" t="s">
        <v>8</v>
      </c>
      <c r="D18" s="653">
        <v>25</v>
      </c>
      <c r="E18" s="646" t="s">
        <v>124</v>
      </c>
      <c r="K18" s="629">
        <v>6.6</v>
      </c>
      <c r="L18" s="629">
        <f t="shared" si="3"/>
        <v>0.41249999999999998</v>
      </c>
      <c r="M18" s="629" t="s">
        <v>236</v>
      </c>
      <c r="N18" s="645">
        <v>0.78</v>
      </c>
      <c r="O18" s="654" t="s">
        <v>787</v>
      </c>
      <c r="P18" s="639"/>
      <c r="AH18"/>
    </row>
    <row r="19" spans="1:34" x14ac:dyDescent="0.25">
      <c r="A19" s="652" t="s">
        <v>9</v>
      </c>
      <c r="D19" s="653">
        <v>40</v>
      </c>
      <c r="E19" s="646" t="s">
        <v>124</v>
      </c>
      <c r="K19" s="629">
        <v>8.75</v>
      </c>
      <c r="L19" s="629">
        <f t="shared" si="3"/>
        <v>0.546875</v>
      </c>
      <c r="M19" s="629" t="s">
        <v>119</v>
      </c>
      <c r="N19" s="645">
        <v>0.16</v>
      </c>
      <c r="O19" s="654" t="s">
        <v>787</v>
      </c>
      <c r="P19" s="639"/>
      <c r="Q19">
        <v>10</v>
      </c>
      <c r="R19">
        <v>0.13450000000000001</v>
      </c>
      <c r="T19">
        <f t="shared" ref="T19:Y19" si="6">IF(T15&lt;T17,T15,T17)</f>
        <v>0</v>
      </c>
      <c r="U19">
        <f t="shared" si="6"/>
        <v>0</v>
      </c>
      <c r="V19">
        <f t="shared" si="6"/>
        <v>0</v>
      </c>
      <c r="W19">
        <f t="shared" si="6"/>
        <v>0</v>
      </c>
      <c r="X19">
        <f t="shared" si="6"/>
        <v>0</v>
      </c>
      <c r="Y19">
        <f t="shared" si="6"/>
        <v>0</v>
      </c>
      <c r="AH19"/>
    </row>
    <row r="20" spans="1:34" ht="13" x14ac:dyDescent="0.3">
      <c r="A20" s="1582" t="s">
        <v>10</v>
      </c>
      <c r="B20" s="1336"/>
      <c r="C20" s="1336"/>
      <c r="D20" s="1336"/>
      <c r="E20" s="1583"/>
      <c r="K20" s="629">
        <v>9.59</v>
      </c>
      <c r="L20" s="629">
        <f t="shared" si="3"/>
        <v>0.59937499999999999</v>
      </c>
      <c r="M20" s="629" t="s">
        <v>218</v>
      </c>
      <c r="N20" s="645">
        <v>45</v>
      </c>
      <c r="O20" s="646" t="s">
        <v>762</v>
      </c>
      <c r="P20" s="639"/>
      <c r="AH20"/>
    </row>
    <row r="21" spans="1:34" x14ac:dyDescent="0.25">
      <c r="A21" s="652" t="s">
        <v>43</v>
      </c>
      <c r="D21" s="655">
        <v>0.6</v>
      </c>
      <c r="E21" s="646" t="s">
        <v>88</v>
      </c>
      <c r="K21" s="629">
        <v>11.45</v>
      </c>
      <c r="L21" s="629">
        <f t="shared" si="3"/>
        <v>0.71562499999999996</v>
      </c>
      <c r="M21" s="629" t="s">
        <v>470</v>
      </c>
      <c r="N21" s="645">
        <v>8</v>
      </c>
      <c r="O21" s="656" t="s">
        <v>471</v>
      </c>
      <c r="P21" s="639"/>
      <c r="AH21"/>
    </row>
    <row r="22" spans="1:34" ht="13" x14ac:dyDescent="0.3">
      <c r="A22" s="652" t="s">
        <v>11</v>
      </c>
      <c r="D22" s="655">
        <v>0.6</v>
      </c>
      <c r="E22" s="646" t="s">
        <v>88</v>
      </c>
      <c r="F22" s="2194">
        <f>Summary!J56</f>
        <v>0</v>
      </c>
      <c r="G22" s="2194"/>
      <c r="M22" s="1582" t="s">
        <v>597</v>
      </c>
      <c r="N22" s="1586"/>
      <c r="O22" s="1587"/>
      <c r="P22" s="639"/>
      <c r="AH22"/>
    </row>
    <row r="23" spans="1:34" x14ac:dyDescent="0.25">
      <c r="A23" s="652" t="s">
        <v>12</v>
      </c>
      <c r="D23" s="655">
        <v>0.55000000000000004</v>
      </c>
      <c r="E23" s="646" t="s">
        <v>88</v>
      </c>
      <c r="F23" s="2194"/>
      <c r="G23" s="2194"/>
      <c r="M23" s="652" t="s">
        <v>122</v>
      </c>
      <c r="N23" s="655">
        <v>45</v>
      </c>
      <c r="O23" s="646" t="s">
        <v>769</v>
      </c>
      <c r="P23" s="639"/>
      <c r="AH23"/>
    </row>
    <row r="24" spans="1:34" x14ac:dyDescent="0.25">
      <c r="A24" s="652" t="s">
        <v>774</v>
      </c>
      <c r="B24" s="657"/>
      <c r="C24" s="658"/>
      <c r="D24" s="655">
        <v>2</v>
      </c>
      <c r="E24" s="646" t="s">
        <v>121</v>
      </c>
      <c r="M24" s="652" t="s">
        <v>120</v>
      </c>
      <c r="N24" s="655">
        <v>12</v>
      </c>
      <c r="O24" s="646" t="s">
        <v>121</v>
      </c>
      <c r="P24" s="639"/>
      <c r="AH24"/>
    </row>
    <row r="25" spans="1:34" x14ac:dyDescent="0.25">
      <c r="A25" s="652" t="s">
        <v>86</v>
      </c>
      <c r="B25" s="657"/>
      <c r="C25" s="658" t="s">
        <v>101</v>
      </c>
      <c r="D25" s="655">
        <v>0.4</v>
      </c>
      <c r="E25" s="646" t="s">
        <v>69</v>
      </c>
      <c r="M25" s="629" t="s">
        <v>219</v>
      </c>
      <c r="N25" s="645">
        <v>0.25</v>
      </c>
      <c r="O25" s="646" t="s">
        <v>121</v>
      </c>
      <c r="P25" s="639"/>
      <c r="AH25"/>
    </row>
    <row r="26" spans="1:34" x14ac:dyDescent="0.25">
      <c r="A26" s="652" t="s">
        <v>181</v>
      </c>
      <c r="B26" s="657"/>
      <c r="C26" s="658" t="s">
        <v>182</v>
      </c>
      <c r="D26" s="655">
        <v>0.4</v>
      </c>
      <c r="E26" s="646" t="s">
        <v>69</v>
      </c>
      <c r="M26" s="629" t="s">
        <v>233</v>
      </c>
      <c r="N26" s="645">
        <v>0.75</v>
      </c>
      <c r="O26" s="646" t="s">
        <v>121</v>
      </c>
      <c r="P26" s="639"/>
      <c r="R26">
        <f>R19*0.5</f>
        <v>6.7250000000000004E-2</v>
      </c>
      <c r="S26">
        <f>R19*0.5</f>
        <v>6.7250000000000004E-2</v>
      </c>
      <c r="T26">
        <v>3.145</v>
      </c>
      <c r="U26">
        <v>0.28360000000000002</v>
      </c>
      <c r="V26">
        <v>240</v>
      </c>
      <c r="W26">
        <v>12</v>
      </c>
      <c r="X26">
        <f>R26*S26*T26*U26*V26*W26</f>
        <v>11.617266211560002</v>
      </c>
      <c r="AH26"/>
    </row>
    <row r="27" spans="1:34" x14ac:dyDescent="0.25">
      <c r="A27" s="652" t="s">
        <v>86</v>
      </c>
      <c r="C27" s="629" t="s">
        <v>100</v>
      </c>
      <c r="D27" s="655">
        <v>0.4</v>
      </c>
      <c r="E27" s="646" t="s">
        <v>69</v>
      </c>
      <c r="M27" s="629" t="s">
        <v>336</v>
      </c>
      <c r="N27" s="645">
        <v>15</v>
      </c>
      <c r="O27" s="656" t="s">
        <v>293</v>
      </c>
      <c r="P27" s="639"/>
      <c r="AH27"/>
    </row>
    <row r="28" spans="1:34" x14ac:dyDescent="0.25">
      <c r="A28" s="652" t="s">
        <v>94</v>
      </c>
      <c r="D28" s="655">
        <v>0.65</v>
      </c>
      <c r="E28" s="646" t="s">
        <v>69</v>
      </c>
      <c r="M28" s="629" t="s">
        <v>436</v>
      </c>
      <c r="N28" s="645">
        <v>1.7</v>
      </c>
      <c r="O28" s="646" t="s">
        <v>121</v>
      </c>
      <c r="P28" s="639"/>
      <c r="Q28" t="s">
        <v>164</v>
      </c>
      <c r="R28">
        <f>R19/2*R19/2*3.145*0.2836*20*6</f>
        <v>0.48405275881500009</v>
      </c>
      <c r="AH28"/>
    </row>
    <row r="29" spans="1:34" x14ac:dyDescent="0.25">
      <c r="A29" s="652" t="s">
        <v>782</v>
      </c>
      <c r="B29" s="657"/>
      <c r="C29" s="658"/>
      <c r="D29" s="655">
        <v>1.75</v>
      </c>
      <c r="E29" s="646" t="s">
        <v>121</v>
      </c>
      <c r="M29" s="629" t="s">
        <v>564</v>
      </c>
      <c r="N29" s="645">
        <v>2.7</v>
      </c>
      <c r="O29" s="646" t="s">
        <v>121</v>
      </c>
      <c r="P29" s="639"/>
      <c r="AH29"/>
    </row>
    <row r="30" spans="1:34" ht="13" x14ac:dyDescent="0.3">
      <c r="A30" s="1339" t="s">
        <v>13</v>
      </c>
      <c r="B30" s="1336"/>
      <c r="C30" s="1336"/>
      <c r="D30" s="1584" t="s">
        <v>71</v>
      </c>
      <c r="E30" s="1585"/>
      <c r="G30" s="638"/>
      <c r="M30" s="629" t="s">
        <v>287</v>
      </c>
      <c r="N30" s="645">
        <v>27</v>
      </c>
      <c r="O30" s="646" t="s">
        <v>293</v>
      </c>
      <c r="P30" s="639"/>
      <c r="AH30"/>
    </row>
    <row r="31" spans="1:34" x14ac:dyDescent="0.25">
      <c r="A31" s="629" t="s">
        <v>14</v>
      </c>
      <c r="D31" s="630">
        <v>385</v>
      </c>
      <c r="E31" s="631" t="s">
        <v>68</v>
      </c>
      <c r="G31" s="630"/>
      <c r="M31" s="629" t="s">
        <v>286</v>
      </c>
      <c r="N31" s="645">
        <v>1.25</v>
      </c>
      <c r="O31" s="654" t="s">
        <v>787</v>
      </c>
      <c r="P31" s="629"/>
      <c r="AH31"/>
    </row>
    <row r="32" spans="1:34" x14ac:dyDescent="0.25">
      <c r="A32" s="629" t="s">
        <v>15</v>
      </c>
      <c r="D32" s="630">
        <v>245</v>
      </c>
      <c r="E32" s="631" t="s">
        <v>68</v>
      </c>
      <c r="G32" s="630"/>
      <c r="M32" s="652" t="s">
        <v>112</v>
      </c>
      <c r="N32" s="655">
        <v>8</v>
      </c>
      <c r="P32" s="629"/>
      <c r="AH32"/>
    </row>
    <row r="33" spans="1:34" x14ac:dyDescent="0.25">
      <c r="A33" s="629" t="s">
        <v>768</v>
      </c>
      <c r="D33" s="630">
        <v>350</v>
      </c>
      <c r="E33" s="631" t="s">
        <v>68</v>
      </c>
      <c r="G33" s="630"/>
      <c r="M33" s="629" t="s">
        <v>210</v>
      </c>
      <c r="N33" s="645">
        <v>25.5</v>
      </c>
      <c r="O33" s="646" t="s">
        <v>292</v>
      </c>
      <c r="P33" s="629"/>
      <c r="AH33"/>
    </row>
    <row r="34" spans="1:34" x14ac:dyDescent="0.25">
      <c r="A34" s="629" t="s">
        <v>16</v>
      </c>
      <c r="D34" s="630">
        <v>300</v>
      </c>
      <c r="E34" s="631" t="s">
        <v>68</v>
      </c>
      <c r="G34" s="630"/>
      <c r="M34" s="629" t="s">
        <v>361</v>
      </c>
      <c r="N34" s="645">
        <v>4</v>
      </c>
      <c r="O34" s="656" t="s">
        <v>294</v>
      </c>
      <c r="P34" s="629"/>
      <c r="AH34"/>
    </row>
    <row r="35" spans="1:34" ht="13" x14ac:dyDescent="0.3">
      <c r="A35" s="629" t="s">
        <v>19</v>
      </c>
      <c r="D35" s="630">
        <v>50</v>
      </c>
      <c r="E35" s="631" t="s">
        <v>68</v>
      </c>
      <c r="G35" s="630"/>
      <c r="M35" s="1582" t="s">
        <v>596</v>
      </c>
      <c r="N35" s="1588"/>
      <c r="O35" s="1589"/>
      <c r="P35" s="629"/>
      <c r="AH35"/>
    </row>
    <row r="36" spans="1:34" x14ac:dyDescent="0.25">
      <c r="A36" s="629" t="s">
        <v>20</v>
      </c>
      <c r="D36" s="630">
        <v>150</v>
      </c>
      <c r="E36" s="631" t="s">
        <v>68</v>
      </c>
      <c r="G36" s="630"/>
      <c r="M36" s="652" t="s">
        <v>775</v>
      </c>
      <c r="N36" s="655">
        <v>20</v>
      </c>
      <c r="O36" s="646" t="s">
        <v>293</v>
      </c>
      <c r="P36" s="658"/>
      <c r="AH36"/>
    </row>
    <row r="37" spans="1:34" x14ac:dyDescent="0.25">
      <c r="A37" s="629" t="s">
        <v>21</v>
      </c>
      <c r="D37" s="630">
        <v>65</v>
      </c>
      <c r="E37" s="631" t="s">
        <v>68</v>
      </c>
      <c r="G37" s="630"/>
      <c r="I37" s="659"/>
      <c r="J37" s="659"/>
      <c r="M37" s="652" t="s">
        <v>771</v>
      </c>
      <c r="N37" s="655">
        <v>35</v>
      </c>
      <c r="O37" s="646" t="s">
        <v>293</v>
      </c>
      <c r="P37" s="658"/>
      <c r="AH37"/>
    </row>
    <row r="38" spans="1:34" x14ac:dyDescent="0.25">
      <c r="A38" s="629" t="s">
        <v>22</v>
      </c>
      <c r="D38" s="630">
        <v>32</v>
      </c>
      <c r="E38" s="631" t="s">
        <v>68</v>
      </c>
      <c r="G38" s="630"/>
      <c r="I38" s="660"/>
      <c r="J38" s="660"/>
      <c r="M38" s="652" t="s">
        <v>777</v>
      </c>
      <c r="N38" s="655">
        <v>20</v>
      </c>
      <c r="O38" s="646" t="s">
        <v>292</v>
      </c>
      <c r="P38" s="629"/>
      <c r="AH38"/>
    </row>
    <row r="39" spans="1:34" x14ac:dyDescent="0.25">
      <c r="A39" s="629" t="s">
        <v>175</v>
      </c>
      <c r="D39" s="630">
        <v>420</v>
      </c>
      <c r="E39" s="631" t="s">
        <v>68</v>
      </c>
      <c r="I39" s="660"/>
      <c r="J39" s="660"/>
      <c r="M39" s="652" t="s">
        <v>776</v>
      </c>
      <c r="N39" s="655">
        <v>1</v>
      </c>
      <c r="O39" s="646" t="s">
        <v>121</v>
      </c>
      <c r="P39" s="629"/>
      <c r="AH39"/>
    </row>
    <row r="40" spans="1:34" ht="13" x14ac:dyDescent="0.3">
      <c r="A40" s="1" t="s">
        <v>651</v>
      </c>
      <c r="D40" s="630">
        <v>1260</v>
      </c>
      <c r="E40" s="631" t="s">
        <v>68</v>
      </c>
      <c r="M40" s="652" t="s">
        <v>760</v>
      </c>
      <c r="N40" s="655">
        <v>40</v>
      </c>
      <c r="O40" s="646" t="s">
        <v>292</v>
      </c>
      <c r="P40" s="629"/>
      <c r="AH40"/>
    </row>
    <row r="41" spans="1:34" x14ac:dyDescent="0.25">
      <c r="A41" s="629" t="s">
        <v>1053</v>
      </c>
      <c r="D41" s="630">
        <v>16</v>
      </c>
      <c r="E41" s="631" t="s">
        <v>124</v>
      </c>
      <c r="M41" s="629" t="s">
        <v>813</v>
      </c>
      <c r="N41" s="645">
        <v>100</v>
      </c>
      <c r="O41" s="646" t="s">
        <v>294</v>
      </c>
      <c r="P41" s="639"/>
      <c r="AH41"/>
    </row>
    <row r="42" spans="1:34" ht="15.5" x14ac:dyDescent="0.35">
      <c r="A42" s="1979" t="s">
        <v>662</v>
      </c>
      <c r="B42" s="1980"/>
      <c r="C42" s="1981"/>
      <c r="D42" s="630">
        <v>200</v>
      </c>
      <c r="E42" s="631" t="s">
        <v>68</v>
      </c>
      <c r="M42" s="629" t="s">
        <v>211</v>
      </c>
      <c r="N42" s="645">
        <v>540</v>
      </c>
      <c r="O42" s="646" t="s">
        <v>295</v>
      </c>
      <c r="P42" s="639"/>
      <c r="AH42"/>
    </row>
    <row r="43" spans="1:34" ht="13" thickBot="1" x14ac:dyDescent="0.3">
      <c r="M43" s="629" t="s">
        <v>212</v>
      </c>
      <c r="N43" s="641">
        <v>542</v>
      </c>
      <c r="O43" s="646" t="s">
        <v>295</v>
      </c>
      <c r="P43" s="639"/>
      <c r="AH43"/>
    </row>
    <row r="44" spans="1:34" ht="13" x14ac:dyDescent="0.3">
      <c r="A44" s="557" t="s">
        <v>861</v>
      </c>
      <c r="B44" s="661"/>
      <c r="C44" s="662">
        <v>39222</v>
      </c>
      <c r="D44" s="661"/>
      <c r="E44" s="661"/>
      <c r="F44" s="661"/>
      <c r="G44" s="661"/>
      <c r="H44" s="663"/>
      <c r="M44" s="629" t="s">
        <v>628</v>
      </c>
      <c r="N44" s="664">
        <v>635</v>
      </c>
      <c r="O44" s="646" t="s">
        <v>295</v>
      </c>
      <c r="P44" s="639"/>
      <c r="AH44"/>
    </row>
    <row r="45" spans="1:34" ht="13" x14ac:dyDescent="0.3">
      <c r="A45" s="665" t="s">
        <v>850</v>
      </c>
      <c r="C45" s="641">
        <v>0.35</v>
      </c>
      <c r="H45" s="644"/>
      <c r="M45" s="1339" t="s">
        <v>598</v>
      </c>
      <c r="N45" s="1590"/>
      <c r="O45" s="1582"/>
      <c r="P45" s="639"/>
      <c r="AH45"/>
    </row>
    <row r="46" spans="1:34" x14ac:dyDescent="0.25">
      <c r="A46" s="665" t="s">
        <v>851</v>
      </c>
      <c r="C46" s="641">
        <v>0.75</v>
      </c>
      <c r="H46" s="644"/>
      <c r="M46" s="652" t="s">
        <v>3</v>
      </c>
      <c r="N46" s="664">
        <v>60</v>
      </c>
      <c r="O46" s="646" t="s">
        <v>294</v>
      </c>
      <c r="P46" s="639"/>
      <c r="AH46"/>
    </row>
    <row r="47" spans="1:34" x14ac:dyDescent="0.25">
      <c r="A47" s="665" t="s">
        <v>852</v>
      </c>
      <c r="C47" s="641">
        <v>0.7</v>
      </c>
      <c r="H47" s="644"/>
      <c r="M47" s="652" t="s">
        <v>4</v>
      </c>
      <c r="N47" s="664">
        <v>80</v>
      </c>
      <c r="O47" s="646" t="s">
        <v>294</v>
      </c>
      <c r="P47" s="639"/>
      <c r="AH47"/>
    </row>
    <row r="48" spans="1:34" ht="12.75" customHeight="1" x14ac:dyDescent="0.25">
      <c r="A48" s="665" t="s">
        <v>853</v>
      </c>
      <c r="C48" s="641">
        <v>1.45</v>
      </c>
      <c r="H48" s="644"/>
      <c r="M48" s="652" t="s">
        <v>109</v>
      </c>
      <c r="N48" s="645">
        <v>120</v>
      </c>
      <c r="O48" s="646" t="s">
        <v>294</v>
      </c>
      <c r="P48" s="639"/>
      <c r="AH48"/>
    </row>
    <row r="49" spans="1:34" ht="17.25" customHeight="1" x14ac:dyDescent="0.25">
      <c r="A49" s="665"/>
      <c r="C49" s="641"/>
      <c r="F49" s="629" t="s">
        <v>857</v>
      </c>
      <c r="G49" s="629" t="s">
        <v>859</v>
      </c>
      <c r="H49" s="644" t="s">
        <v>860</v>
      </c>
      <c r="K49" s="527" t="s">
        <v>1056</v>
      </c>
      <c r="L49" s="666">
        <v>45789</v>
      </c>
      <c r="M49" s="629" t="s">
        <v>778</v>
      </c>
      <c r="N49" s="645">
        <v>400</v>
      </c>
      <c r="O49" s="646" t="s">
        <v>294</v>
      </c>
      <c r="P49" s="639"/>
      <c r="AH49"/>
    </row>
    <row r="50" spans="1:34" ht="18" customHeight="1" x14ac:dyDescent="0.25">
      <c r="A50" s="665" t="s">
        <v>854</v>
      </c>
      <c r="C50" s="641">
        <v>0.25</v>
      </c>
      <c r="D50" s="631" t="s">
        <v>855</v>
      </c>
      <c r="F50" s="667">
        <v>150</v>
      </c>
      <c r="G50" s="667">
        <v>600</v>
      </c>
      <c r="H50" s="668">
        <v>800</v>
      </c>
      <c r="M50" s="629" t="s">
        <v>779</v>
      </c>
      <c r="N50" s="664">
        <f>325+30</f>
        <v>355</v>
      </c>
      <c r="O50" s="646" t="s">
        <v>294</v>
      </c>
      <c r="P50" s="639"/>
      <c r="AH50"/>
    </row>
    <row r="51" spans="1:34" x14ac:dyDescent="0.25">
      <c r="A51" s="665" t="s">
        <v>854</v>
      </c>
      <c r="C51" s="641">
        <v>0.35</v>
      </c>
      <c r="D51" s="629" t="s">
        <v>856</v>
      </c>
      <c r="F51" s="667">
        <v>250</v>
      </c>
      <c r="H51" s="644"/>
      <c r="N51" s="645"/>
      <c r="O51" s="646"/>
      <c r="P51" s="639"/>
      <c r="AH51"/>
    </row>
    <row r="52" spans="1:34" x14ac:dyDescent="0.25">
      <c r="A52" s="665" t="s">
        <v>858</v>
      </c>
      <c r="C52" s="641"/>
      <c r="F52" s="667">
        <v>150</v>
      </c>
      <c r="H52" s="644"/>
      <c r="M52" s="629" t="s">
        <v>761</v>
      </c>
      <c r="N52" s="645">
        <v>22.76</v>
      </c>
      <c r="O52" s="646" t="s">
        <v>750</v>
      </c>
      <c r="P52" s="639"/>
      <c r="AH52"/>
    </row>
    <row r="53" spans="1:34" x14ac:dyDescent="0.25">
      <c r="A53" s="665"/>
      <c r="C53" s="641"/>
      <c r="H53" s="644"/>
      <c r="M53" s="629" t="s">
        <v>761</v>
      </c>
      <c r="N53" s="645">
        <v>1.65</v>
      </c>
      <c r="O53" s="656" t="s">
        <v>751</v>
      </c>
      <c r="P53" s="669"/>
      <c r="AH53"/>
    </row>
    <row r="54" spans="1:34" ht="13" thickBot="1" x14ac:dyDescent="0.3">
      <c r="A54" s="670" t="s">
        <v>862</v>
      </c>
      <c r="B54" s="637"/>
      <c r="C54" s="648">
        <v>6</v>
      </c>
      <c r="D54" s="671" t="s">
        <v>855</v>
      </c>
      <c r="E54" s="637"/>
      <c r="F54" s="637"/>
      <c r="G54" s="637"/>
      <c r="H54" s="650"/>
      <c r="N54" s="645"/>
      <c r="O54" s="646"/>
      <c r="P54" s="629"/>
      <c r="AH54"/>
    </row>
    <row r="55" spans="1:34" x14ac:dyDescent="0.25">
      <c r="M55" s="645"/>
      <c r="N55" s="646"/>
    </row>
    <row r="56" spans="1:34" x14ac:dyDescent="0.25">
      <c r="M56" s="645"/>
      <c r="N56" s="646"/>
    </row>
    <row r="57" spans="1:34" x14ac:dyDescent="0.25">
      <c r="M57" s="645"/>
      <c r="N57" s="646"/>
      <c r="O57" s="639"/>
    </row>
    <row r="58" spans="1:34" x14ac:dyDescent="0.25">
      <c r="M58" s="645"/>
      <c r="N58" s="646"/>
      <c r="O58" s="639"/>
    </row>
    <row r="59" spans="1:34" x14ac:dyDescent="0.25">
      <c r="L59" s="652"/>
      <c r="M59" s="645"/>
      <c r="N59" s="646"/>
      <c r="O59" s="639"/>
    </row>
    <row r="60" spans="1:34" x14ac:dyDescent="0.25">
      <c r="L60" s="652"/>
      <c r="M60" s="645"/>
      <c r="N60" s="646"/>
    </row>
    <row r="61" spans="1:34" x14ac:dyDescent="0.25">
      <c r="M61" s="641"/>
      <c r="N61" s="672"/>
    </row>
  </sheetData>
  <mergeCells count="12">
    <mergeCell ref="F22:G23"/>
    <mergeCell ref="A13:H13"/>
    <mergeCell ref="A15:H15"/>
    <mergeCell ref="A10:H10"/>
    <mergeCell ref="A9:D9"/>
    <mergeCell ref="A42:C42"/>
    <mergeCell ref="A8:B8"/>
    <mergeCell ref="A3:B3"/>
    <mergeCell ref="A5:B5"/>
    <mergeCell ref="A4:B4"/>
    <mergeCell ref="A6:B6"/>
    <mergeCell ref="A7:B7"/>
  </mergeCells>
  <pageMargins left="0.36" right="0.54" top="0.67" bottom="0.19" header="0.4" footer="0.14000000000000001"/>
  <pageSetup scale="59" orientation="landscape" horizontalDpi="4294967293" verticalDpi="1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T285"/>
  <sheetViews>
    <sheetView workbookViewId="0">
      <selection activeCell="B29" sqref="B29"/>
    </sheetView>
  </sheetViews>
  <sheetFormatPr defaultColWidth="0" defaultRowHeight="12.5" zeroHeight="1" x14ac:dyDescent="0.25"/>
  <cols>
    <col min="1" max="1" width="7.81640625" customWidth="1"/>
    <col min="2" max="2" width="20.7265625" customWidth="1"/>
    <col min="3" max="3" width="12.54296875" customWidth="1"/>
    <col min="4" max="4" width="9.453125" customWidth="1"/>
    <col min="5" max="5" width="9.81640625" customWidth="1"/>
    <col min="6" max="6" width="10.7265625" customWidth="1"/>
    <col min="7" max="7" width="6.7265625" customWidth="1"/>
    <col min="8" max="8" width="13.26953125" customWidth="1"/>
    <col min="9" max="9" width="7.7265625" customWidth="1"/>
    <col min="10" max="19" width="0" hidden="1" customWidth="1"/>
    <col min="20" max="20" width="9.1796875" customWidth="1"/>
    <col min="21" max="16384" width="9.1796875" hidden="1"/>
  </cols>
  <sheetData>
    <row r="1" spans="1:16" s="42" customFormat="1" ht="15.5" x14ac:dyDescent="0.35">
      <c r="A1" s="482" t="s">
        <v>1015</v>
      </c>
      <c r="B1" s="483"/>
      <c r="C1" s="483"/>
      <c r="D1" s="483"/>
      <c r="E1" s="483"/>
      <c r="F1" s="298"/>
      <c r="G1" s="298"/>
      <c r="H1" s="298"/>
      <c r="I1" s="298"/>
      <c r="J1" s="298"/>
    </row>
    <row r="2" spans="1:16" s="42" customFormat="1" ht="15.5" x14ac:dyDescent="0.35">
      <c r="A2" s="482" t="s">
        <v>1016</v>
      </c>
      <c r="B2" s="483"/>
      <c r="C2" s="483"/>
      <c r="D2" s="483"/>
      <c r="E2" s="483"/>
      <c r="F2" s="298"/>
      <c r="G2" s="298"/>
      <c r="H2" s="298"/>
      <c r="I2" s="298"/>
      <c r="J2" s="298"/>
    </row>
    <row r="3" spans="1:16" s="42" customFormat="1" ht="15.5" x14ac:dyDescent="0.35">
      <c r="A3" s="482" t="s">
        <v>1017</v>
      </c>
      <c r="B3" s="483"/>
      <c r="C3" s="483"/>
      <c r="D3" s="2211">
        <f ca="1">NOW()</f>
        <v>46139.547962268516</v>
      </c>
      <c r="E3" s="2211"/>
      <c r="F3" s="298"/>
      <c r="G3" s="298"/>
      <c r="H3" s="298"/>
      <c r="I3" s="298"/>
      <c r="J3" s="298"/>
    </row>
    <row r="4" spans="1:16" s="42" customFormat="1" ht="15.5" x14ac:dyDescent="0.35">
      <c r="A4" s="321"/>
      <c r="B4" s="298"/>
      <c r="C4" s="298"/>
      <c r="D4" s="298"/>
      <c r="E4" s="298"/>
      <c r="F4" s="298"/>
      <c r="G4" s="298"/>
      <c r="H4" s="298"/>
      <c r="I4" s="298"/>
      <c r="J4" s="298"/>
    </row>
    <row r="5" spans="1:16" s="42" customFormat="1" ht="15.5" x14ac:dyDescent="0.35">
      <c r="A5" s="484"/>
      <c r="B5" s="484"/>
      <c r="C5" s="484"/>
      <c r="D5" s="484"/>
      <c r="E5" s="484"/>
      <c r="F5" s="484"/>
      <c r="G5" s="484"/>
      <c r="H5" s="2212"/>
      <c r="I5" s="2212"/>
      <c r="J5" s="299"/>
    </row>
    <row r="6" spans="1:16" s="42" customFormat="1" ht="16" thickBot="1" x14ac:dyDescent="0.4">
      <c r="A6" s="485"/>
      <c r="B6" s="485"/>
      <c r="C6" s="485"/>
      <c r="D6" s="485"/>
      <c r="E6" s="485"/>
      <c r="F6" s="485"/>
      <c r="G6" s="485"/>
      <c r="H6" s="2213"/>
      <c r="I6" s="2213"/>
      <c r="J6" s="299"/>
    </row>
    <row r="7" spans="1:16" s="42" customFormat="1" ht="16" thickTop="1" x14ac:dyDescent="0.35">
      <c r="A7" s="298"/>
      <c r="B7" s="298"/>
      <c r="C7" s="298"/>
      <c r="D7" s="298"/>
      <c r="E7" s="298"/>
      <c r="F7" s="298"/>
      <c r="G7" s="298"/>
      <c r="H7" s="298"/>
      <c r="I7" s="298"/>
      <c r="J7" s="298"/>
    </row>
    <row r="8" spans="1:16" s="42" customFormat="1" ht="15.5" x14ac:dyDescent="0.35">
      <c r="A8" s="298" t="s">
        <v>687</v>
      </c>
      <c r="B8" s="298" t="str">
        <f>Information!C8</f>
        <v>Chad McKinney</v>
      </c>
      <c r="C8" s="298"/>
      <c r="D8" s="298"/>
      <c r="E8" s="298" t="s">
        <v>688</v>
      </c>
      <c r="F8" s="298"/>
      <c r="G8" s="298"/>
      <c r="H8" s="298"/>
      <c r="I8" s="298"/>
      <c r="J8" s="298"/>
    </row>
    <row r="9" spans="1:16" s="42" customFormat="1" ht="15.5" x14ac:dyDescent="0.35">
      <c r="A9" s="298"/>
      <c r="B9" s="298"/>
      <c r="C9" s="298"/>
      <c r="D9" s="298"/>
      <c r="E9" s="298" t="s">
        <v>689</v>
      </c>
      <c r="F9" s="298"/>
      <c r="G9" s="298"/>
      <c r="H9" s="298"/>
      <c r="I9" s="298"/>
      <c r="J9" s="298"/>
    </row>
    <row r="10" spans="1:16" s="42" customFormat="1" ht="15.5" x14ac:dyDescent="0.35">
      <c r="A10" s="298"/>
      <c r="B10" s="298"/>
      <c r="C10" s="298"/>
      <c r="D10" s="298"/>
      <c r="E10" s="298"/>
      <c r="F10" s="298"/>
      <c r="G10" s="298"/>
      <c r="H10" s="298"/>
      <c r="I10" s="298"/>
      <c r="J10" s="298"/>
    </row>
    <row r="11" spans="1:16" s="42" customFormat="1" ht="15.5" x14ac:dyDescent="0.35">
      <c r="A11" s="298" t="s">
        <v>690</v>
      </c>
      <c r="B11" s="298" t="s">
        <v>691</v>
      </c>
      <c r="C11" s="298"/>
      <c r="D11" s="298"/>
      <c r="E11" s="298"/>
      <c r="F11" s="298"/>
      <c r="G11" s="298"/>
      <c r="H11" s="298"/>
      <c r="I11" s="298"/>
      <c r="J11" s="298"/>
    </row>
    <row r="12" spans="1:16" s="42" customFormat="1" ht="15.5" x14ac:dyDescent="0.35">
      <c r="A12" s="298"/>
      <c r="B12" s="346"/>
      <c r="C12" s="298"/>
      <c r="D12" s="298"/>
      <c r="E12" s="298"/>
      <c r="F12" s="298"/>
      <c r="G12" s="298"/>
      <c r="H12" s="298"/>
      <c r="I12" s="298"/>
      <c r="J12" s="298"/>
    </row>
    <row r="13" spans="1:16" s="42" customFormat="1" ht="15.5" x14ac:dyDescent="0.35">
      <c r="A13" s="298"/>
      <c r="B13" s="298"/>
      <c r="C13" s="298"/>
      <c r="D13" s="298"/>
      <c r="E13" s="298"/>
      <c r="F13" s="298"/>
      <c r="G13" s="298"/>
      <c r="H13" s="298"/>
      <c r="I13" s="298"/>
      <c r="J13" s="298"/>
    </row>
    <row r="14" spans="1:16" s="42" customFormat="1" ht="15.5" x14ac:dyDescent="0.35">
      <c r="A14" s="486" t="s">
        <v>692</v>
      </c>
      <c r="B14" s="298"/>
      <c r="C14" s="298"/>
      <c r="D14" s="298"/>
      <c r="E14" s="298"/>
      <c r="F14" s="298"/>
      <c r="G14" s="298"/>
      <c r="H14" s="298"/>
      <c r="I14" s="298"/>
      <c r="J14" s="298"/>
    </row>
    <row r="15" spans="1:16" s="42" customFormat="1" ht="16" thickBot="1" x14ac:dyDescent="0.4">
      <c r="A15" s="298"/>
      <c r="B15" s="487" t="s">
        <v>693</v>
      </c>
      <c r="C15" s="298"/>
      <c r="D15" s="298"/>
      <c r="E15" s="487" t="s">
        <v>694</v>
      </c>
      <c r="F15" s="298"/>
      <c r="G15" s="487" t="s">
        <v>695</v>
      </c>
      <c r="H15" s="298"/>
      <c r="I15" s="298"/>
      <c r="J15" s="298"/>
    </row>
    <row r="16" spans="1:16" s="42" customFormat="1" ht="19.5" customHeight="1" thickBot="1" x14ac:dyDescent="0.4">
      <c r="A16" s="298"/>
      <c r="B16" s="2208">
        <f>Information!C2</f>
        <v>0</v>
      </c>
      <c r="C16" s="2208"/>
      <c r="D16" s="2208"/>
      <c r="E16" s="2208">
        <f>Information!C4</f>
        <v>0</v>
      </c>
      <c r="F16" s="2208"/>
      <c r="G16" s="2207">
        <f>Information!C3</f>
        <v>0</v>
      </c>
      <c r="H16" s="2207"/>
      <c r="I16" s="2207"/>
      <c r="J16" s="298"/>
      <c r="L16" s="65" t="s">
        <v>696</v>
      </c>
      <c r="M16" s="65" t="s">
        <v>697</v>
      </c>
      <c r="N16" s="65" t="s">
        <v>698</v>
      </c>
      <c r="O16" s="65" t="s">
        <v>699</v>
      </c>
      <c r="P16" s="66" t="s">
        <v>649</v>
      </c>
    </row>
    <row r="17" spans="1:10" s="42" customFormat="1" ht="16" thickTop="1" x14ac:dyDescent="0.35">
      <c r="A17" s="298"/>
      <c r="B17" s="488"/>
      <c r="C17" s="298"/>
      <c r="D17" s="298"/>
      <c r="E17" s="478" t="s">
        <v>439</v>
      </c>
      <c r="F17" s="298"/>
      <c r="G17" s="2207"/>
      <c r="H17" s="2207"/>
      <c r="I17" s="2207"/>
      <c r="J17" s="298"/>
    </row>
    <row r="18" spans="1:10" s="42" customFormat="1" ht="15.5" x14ac:dyDescent="0.35">
      <c r="A18" s="298"/>
      <c r="B18" s="478" t="s">
        <v>439</v>
      </c>
      <c r="C18" s="298"/>
      <c r="D18" s="298"/>
      <c r="E18" s="487"/>
      <c r="F18" s="298"/>
      <c r="G18" s="298"/>
      <c r="H18" s="298"/>
      <c r="I18" s="298"/>
      <c r="J18" s="298"/>
    </row>
    <row r="19" spans="1:10" s="42" customFormat="1" ht="15.5" x14ac:dyDescent="0.35">
      <c r="A19" s="298"/>
      <c r="B19" s="2209" t="str">
        <f>Pricing!F1</f>
        <v>3000 PSI W/ ASH PIERS, SOG</v>
      </c>
      <c r="C19" s="2209"/>
      <c r="D19" s="2209"/>
      <c r="E19" s="489">
        <f>PIERS!AT39+'SLAB ON GRADE'!AJ27+'Mono Slab on Grade Building 1'!BI49+'CIP EL. DECK'!AU41+'Gd Beams'!AO37+'SLAB ON DECK'!AK27+COLUMNS!AO37+'Site Walls'!AI43+SIDEWALKS!AH27+'Private Paving'!AJ28+PANELS!AK120</f>
        <v>0</v>
      </c>
      <c r="F19" s="298" t="s">
        <v>136</v>
      </c>
      <c r="G19" s="2210"/>
      <c r="H19" s="2210"/>
      <c r="I19" s="298"/>
      <c r="J19" s="298"/>
    </row>
    <row r="20" spans="1:10" s="42" customFormat="1" ht="15.5" x14ac:dyDescent="0.35">
      <c r="A20" s="298"/>
      <c r="B20" s="321"/>
      <c r="C20" s="298"/>
      <c r="D20" s="298"/>
      <c r="E20" s="308"/>
      <c r="F20" s="298" t="s">
        <v>439</v>
      </c>
      <c r="G20" s="491" t="s">
        <v>439</v>
      </c>
      <c r="H20" s="298"/>
      <c r="I20" s="298"/>
      <c r="J20" s="298"/>
    </row>
    <row r="21" spans="1:10" s="42" customFormat="1" ht="15.5" x14ac:dyDescent="0.35">
      <c r="A21" s="298"/>
      <c r="B21" s="300" t="str">
        <f>Pricing!G1</f>
        <v>3500 Psi</v>
      </c>
      <c r="C21" s="298"/>
      <c r="D21" s="298"/>
      <c r="E21" s="489">
        <f>PIERS!AU39+'SLAB ON GRADE'!AK27+'Mono Slab on Grade Building 1'!BJ49+'CIP EL. DECK'!AV41+'Gd Beams'!AP37+'SLAB ON DECK'!AL27+COLUMNS!AP37+'Site Walls'!AJ43+SIDEWALKS!AI27+'Private Paving'!AK28+PANELS!AL120</f>
        <v>0</v>
      </c>
      <c r="F21" s="298" t="s">
        <v>136</v>
      </c>
      <c r="G21" s="2210"/>
      <c r="H21" s="2210"/>
      <c r="I21" s="298"/>
      <c r="J21" s="298"/>
    </row>
    <row r="22" spans="1:10" s="42" customFormat="1" ht="15.5" x14ac:dyDescent="0.35">
      <c r="A22" s="298"/>
      <c r="B22" s="298" t="s">
        <v>439</v>
      </c>
      <c r="C22" s="298"/>
      <c r="D22" s="308"/>
      <c r="E22" s="298"/>
      <c r="F22" s="298" t="s">
        <v>439</v>
      </c>
      <c r="G22" s="491" t="s">
        <v>439</v>
      </c>
      <c r="H22" s="298"/>
      <c r="I22" s="298"/>
      <c r="J22" s="298"/>
    </row>
    <row r="23" spans="1:10" s="42" customFormat="1" ht="15.5" x14ac:dyDescent="0.35">
      <c r="A23" s="298"/>
      <c r="B23" s="300" t="str">
        <f>Pricing!H1</f>
        <v>4000 psi</v>
      </c>
      <c r="C23" s="298"/>
      <c r="D23" s="298"/>
      <c r="E23" s="489">
        <f>PIERS!AV39+'SLAB ON GRADE'!AL27+'Mono Slab on Grade Building 1'!BK49+'CIP EL. DECK'!AW41+'Gd Beams'!AQ37+'SLAB ON DECK'!AM27+COLUMNS!AQ37+'Site Walls'!AK43+SIDEWALKS!AJ27+'Private Paving'!AL28+PANELS!AM120</f>
        <v>0</v>
      </c>
      <c r="F23" s="298" t="s">
        <v>136</v>
      </c>
      <c r="G23" s="2210"/>
      <c r="H23" s="2210"/>
      <c r="I23" s="298"/>
      <c r="J23" s="298"/>
    </row>
    <row r="24" spans="1:10" s="42" customFormat="1" ht="15.5" x14ac:dyDescent="0.35">
      <c r="A24" s="298"/>
      <c r="B24" s="298" t="s">
        <v>439</v>
      </c>
      <c r="C24" s="298"/>
      <c r="D24" s="298"/>
      <c r="E24" s="308"/>
      <c r="F24" s="298" t="s">
        <v>439</v>
      </c>
      <c r="G24" s="491" t="s">
        <v>439</v>
      </c>
      <c r="H24" s="298"/>
      <c r="I24" s="298"/>
      <c r="J24" s="298"/>
    </row>
    <row r="25" spans="1:10" s="42" customFormat="1" ht="15.5" x14ac:dyDescent="0.35">
      <c r="A25" s="298"/>
      <c r="B25" s="300" t="str">
        <f>Pricing!I1</f>
        <v>4500 psi</v>
      </c>
      <c r="C25" s="298"/>
      <c r="D25" s="492"/>
      <c r="E25" s="489">
        <f>PIERS!AW39+'SLAB ON GRADE'!AM27+'Mono Slab on Grade Building 1'!BL49+'CIP EL. DECK'!AX41+'Gd Beams'!AR7+'SLAB ON DECK'!AN27+COLUMNS!AR37+'Site Walls'!AL43+SIDEWALKS!AK27+'Private Paving'!AM28+PANELS!AN120</f>
        <v>0</v>
      </c>
      <c r="F25" s="298" t="s">
        <v>136</v>
      </c>
      <c r="G25" s="2210"/>
      <c r="H25" s="2210"/>
      <c r="I25" s="298"/>
      <c r="J25" s="298"/>
    </row>
    <row r="26" spans="1:10" s="42" customFormat="1" ht="15.5" x14ac:dyDescent="0.35">
      <c r="A26" s="298"/>
      <c r="B26" s="298"/>
      <c r="C26" s="298"/>
      <c r="D26" s="298"/>
      <c r="E26" s="493"/>
      <c r="F26" s="298" t="s">
        <v>439</v>
      </c>
      <c r="G26" s="494" t="s">
        <v>439</v>
      </c>
      <c r="H26" s="495"/>
      <c r="I26" s="298"/>
      <c r="J26" s="298"/>
    </row>
    <row r="27" spans="1:10" s="42" customFormat="1" ht="15.5" x14ac:dyDescent="0.35">
      <c r="A27" s="298"/>
      <c r="B27" s="298" t="str">
        <f>Pricing!J1</f>
        <v>5000 psi</v>
      </c>
      <c r="C27" s="298"/>
      <c r="D27" s="298"/>
      <c r="E27" s="489">
        <f>PIERS!AX39+'SLAB ON GRADE'!AN27+'Mono Slab on Grade Building 1'!BM49+'CIP EL. DECK'!AY41+'Gd Beams'!AS7+'SLAB ON DECK'!AO27+COLUMNS!AS37+'Site Walls'!AM43+SIDEWALKS!AL27+'Private Paving'!AN28+PANELS!AO120</f>
        <v>0</v>
      </c>
      <c r="F27" s="298" t="s">
        <v>136</v>
      </c>
      <c r="G27" s="2210"/>
      <c r="H27" s="2210"/>
      <c r="I27" s="298"/>
      <c r="J27" s="298"/>
    </row>
    <row r="28" spans="1:10" s="42" customFormat="1" ht="15.5" x14ac:dyDescent="0.35">
      <c r="A28" s="298"/>
      <c r="B28" s="298" t="s">
        <v>439</v>
      </c>
      <c r="C28" s="298"/>
      <c r="D28" s="298"/>
      <c r="E28" s="308"/>
      <c r="F28" s="298" t="s">
        <v>439</v>
      </c>
      <c r="G28" s="491" t="s">
        <v>439</v>
      </c>
      <c r="H28" s="298"/>
      <c r="I28" s="298"/>
      <c r="J28" s="298"/>
    </row>
    <row r="29" spans="1:10" s="42" customFormat="1" ht="15.5" x14ac:dyDescent="0.35">
      <c r="A29" s="298"/>
      <c r="B29" s="298" t="str">
        <f>Pricing!K1</f>
        <v>3000 PSI Sidewalk and Hardscape</v>
      </c>
      <c r="C29" s="298"/>
      <c r="D29" s="298"/>
      <c r="E29" s="489">
        <f>PIERS!AY39+'SLAB ON GRADE'!AO27+'Mono Slab on Grade Building 1'!BN49+'CIP EL. DECK'!AZ41+'Gd Beams'!AT7+'SLAB ON DECK'!AP27+COLUMNS!AT37+'Site Walls'!AN43+SIDEWALKS!AM27+'Private Paving'!AO28+PANELS!AP120</f>
        <v>0</v>
      </c>
      <c r="F29" s="298" t="s">
        <v>136</v>
      </c>
      <c r="G29" s="2210"/>
      <c r="H29" s="2210"/>
      <c r="I29" s="298"/>
      <c r="J29" s="298"/>
    </row>
    <row r="30" spans="1:10" s="42" customFormat="1" ht="15.5" x14ac:dyDescent="0.35">
      <c r="A30" s="298"/>
      <c r="B30" s="298"/>
      <c r="C30" s="298"/>
      <c r="D30" s="298"/>
      <c r="E30" s="496">
        <f>SUM(E19:E29)</f>
        <v>0</v>
      </c>
      <c r="F30" s="298"/>
      <c r="G30" s="298"/>
      <c r="H30" s="298"/>
      <c r="I30" s="298"/>
      <c r="J30" s="298"/>
    </row>
    <row r="31" spans="1:10" s="42" customFormat="1" ht="18" x14ac:dyDescent="0.4">
      <c r="A31" s="298" t="s">
        <v>700</v>
      </c>
      <c r="B31" s="497" t="s">
        <v>701</v>
      </c>
      <c r="C31" s="497"/>
      <c r="D31" s="497"/>
      <c r="F31" s="298"/>
      <c r="G31" s="298"/>
      <c r="I31" s="298"/>
      <c r="J31" s="298"/>
    </row>
    <row r="32" spans="1:10" s="42" customFormat="1" ht="18" x14ac:dyDescent="0.4">
      <c r="A32" s="298"/>
      <c r="B32" s="497"/>
      <c r="C32" s="483"/>
      <c r="D32" s="483"/>
      <c r="E32" s="326" t="s">
        <v>764</v>
      </c>
      <c r="G32" s="2210"/>
      <c r="H32" s="2210"/>
      <c r="I32" s="298"/>
      <c r="J32" s="298"/>
    </row>
    <row r="33" spans="1:10" s="42" customFormat="1" ht="18" x14ac:dyDescent="0.4">
      <c r="A33" s="298"/>
      <c r="B33" s="497"/>
      <c r="C33" s="483"/>
      <c r="D33" s="483"/>
      <c r="E33" s="326" t="s">
        <v>802</v>
      </c>
      <c r="G33" s="536"/>
      <c r="H33" s="491"/>
      <c r="I33" s="298"/>
      <c r="J33" s="298"/>
    </row>
    <row r="34" spans="1:10" s="42" customFormat="1" ht="18" x14ac:dyDescent="0.4">
      <c r="A34" s="298"/>
      <c r="B34" s="497"/>
      <c r="C34" s="483"/>
      <c r="D34" s="483"/>
      <c r="E34" s="483"/>
      <c r="F34" s="483"/>
      <c r="G34" s="483"/>
      <c r="H34" s="298"/>
      <c r="I34" s="298"/>
      <c r="J34" s="298"/>
    </row>
    <row r="35" spans="1:10" s="7" customFormat="1" x14ac:dyDescent="0.25">
      <c r="A35" s="326"/>
      <c r="B35" s="326" t="s">
        <v>765</v>
      </c>
      <c r="C35" s="525"/>
      <c r="D35" s="525"/>
      <c r="E35" s="525"/>
      <c r="F35" s="326" t="s">
        <v>766</v>
      </c>
      <c r="G35" s="326"/>
      <c r="H35" s="326"/>
      <c r="I35" s="326"/>
      <c r="J35" s="326"/>
    </row>
    <row r="36" spans="1:10" s="42" customFormat="1" ht="15.5" x14ac:dyDescent="0.35">
      <c r="A36" s="298"/>
      <c r="B36" s="298"/>
      <c r="C36" s="298"/>
      <c r="D36" s="526" t="s">
        <v>702</v>
      </c>
      <c r="E36" s="298"/>
      <c r="F36" s="483"/>
      <c r="G36" s="483"/>
      <c r="H36" s="483"/>
      <c r="I36" s="298"/>
      <c r="J36" s="298"/>
    </row>
    <row r="37" spans="1:10" s="42" customFormat="1" ht="15.5" x14ac:dyDescent="0.35">
      <c r="A37" s="483"/>
      <c r="B37" s="298"/>
      <c r="C37" s="298"/>
      <c r="D37" s="298"/>
      <c r="E37" s="298"/>
      <c r="F37" s="483"/>
      <c r="G37" s="483"/>
      <c r="H37" s="483"/>
      <c r="I37" s="298"/>
      <c r="J37" s="298"/>
    </row>
    <row r="38" spans="1:10" s="42" customFormat="1" ht="15.5" x14ac:dyDescent="0.35">
      <c r="A38" s="483"/>
      <c r="B38" s="298"/>
      <c r="C38" s="298"/>
      <c r="D38" s="298"/>
      <c r="E38" s="298"/>
      <c r="F38" s="483"/>
      <c r="G38" s="483"/>
      <c r="H38" s="483"/>
      <c r="I38" s="298"/>
      <c r="J38" s="298"/>
    </row>
    <row r="39" spans="1:10" s="42" customFormat="1" ht="15.5" x14ac:dyDescent="0.35">
      <c r="A39" s="483"/>
      <c r="B39" s="490"/>
      <c r="C39" s="490"/>
      <c r="D39" s="490"/>
      <c r="E39" s="490" t="s">
        <v>439</v>
      </c>
      <c r="F39" s="483"/>
      <c r="G39" s="483"/>
      <c r="H39" s="483"/>
      <c r="I39" s="298"/>
      <c r="J39" s="298"/>
    </row>
    <row r="40" spans="1:10" s="42" customFormat="1" ht="15.5" x14ac:dyDescent="0.35">
      <c r="A40" s="483"/>
      <c r="B40" s="2206" t="s">
        <v>703</v>
      </c>
      <c r="C40" s="2206"/>
      <c r="D40" s="2206"/>
      <c r="E40" s="2206"/>
      <c r="F40" s="483"/>
      <c r="G40" s="483"/>
      <c r="H40" s="483"/>
      <c r="I40" s="298"/>
      <c r="J40" s="298"/>
    </row>
    <row r="41" spans="1:10" s="42" customFormat="1" ht="15.5" x14ac:dyDescent="0.35">
      <c r="A41" s="298"/>
      <c r="B41" s="298"/>
      <c r="C41" s="298"/>
      <c r="D41" s="298"/>
      <c r="E41" s="298"/>
      <c r="F41" s="298"/>
      <c r="G41" s="298"/>
      <c r="H41" s="483"/>
      <c r="I41" s="298"/>
      <c r="J41" s="298"/>
    </row>
    <row r="42" spans="1:10" s="42" customFormat="1" ht="15.5" x14ac:dyDescent="0.35">
      <c r="A42" s="298"/>
      <c r="B42" s="490"/>
      <c r="C42" s="490"/>
      <c r="D42" s="490"/>
      <c r="E42" s="490"/>
      <c r="F42" s="298"/>
      <c r="G42" s="298"/>
      <c r="H42" s="483"/>
      <c r="I42" s="298"/>
      <c r="J42" s="298"/>
    </row>
    <row r="43" spans="1:10" s="42" customFormat="1" ht="15.5" x14ac:dyDescent="0.35">
      <c r="A43" s="298"/>
      <c r="B43" s="2206" t="s">
        <v>704</v>
      </c>
      <c r="C43" s="2206"/>
      <c r="D43" s="2206"/>
      <c r="E43" s="2206"/>
      <c r="F43" s="298"/>
      <c r="G43" s="298"/>
      <c r="H43" s="298"/>
      <c r="I43" s="298"/>
      <c r="J43" s="298"/>
    </row>
    <row r="44" spans="1:10" s="42" customFormat="1" ht="15.5" hidden="1" x14ac:dyDescent="0.35"/>
    <row r="45" spans="1:10" s="42" customFormat="1" ht="15.5" hidden="1" x14ac:dyDescent="0.35"/>
    <row r="46" spans="1:10" s="42" customFormat="1" ht="15.5" hidden="1" x14ac:dyDescent="0.35"/>
    <row r="47" spans="1:10" s="42" customFormat="1" ht="15.5" hidden="1" x14ac:dyDescent="0.35"/>
    <row r="48" spans="1:10" s="42" customFormat="1" ht="15.5" hidden="1" x14ac:dyDescent="0.35"/>
    <row r="49" s="42" customFormat="1" ht="15.5" hidden="1" x14ac:dyDescent="0.35"/>
    <row r="50" s="42" customFormat="1" ht="15.5" hidden="1" x14ac:dyDescent="0.35"/>
    <row r="51" s="42" customFormat="1" ht="15.5" hidden="1" x14ac:dyDescent="0.35"/>
    <row r="52" s="42" customFormat="1" ht="15.5" hidden="1" x14ac:dyDescent="0.35"/>
    <row r="53" s="42" customFormat="1" ht="15.5" hidden="1" x14ac:dyDescent="0.35"/>
    <row r="54" s="42" customFormat="1" ht="15.5" hidden="1" x14ac:dyDescent="0.35"/>
    <row r="55" s="42" customFormat="1" ht="15.5" hidden="1" x14ac:dyDescent="0.35"/>
    <row r="56" s="42" customFormat="1" ht="15.5" hidden="1" x14ac:dyDescent="0.35"/>
    <row r="57" s="42" customFormat="1" ht="15.5" hidden="1" x14ac:dyDescent="0.35"/>
    <row r="58" s="42" customFormat="1" ht="15.5" hidden="1" x14ac:dyDescent="0.35"/>
    <row r="59" s="42" customFormat="1" ht="15.5" hidden="1" x14ac:dyDescent="0.35"/>
    <row r="60" s="42" customFormat="1" ht="15.5" hidden="1" x14ac:dyDescent="0.35"/>
    <row r="61" s="42" customFormat="1" ht="15.5" hidden="1" x14ac:dyDescent="0.35"/>
    <row r="62" s="42" customFormat="1" ht="15.5" hidden="1" x14ac:dyDescent="0.35"/>
    <row r="63" s="42" customFormat="1" ht="15.5" hidden="1" x14ac:dyDescent="0.35"/>
    <row r="64" s="42" customFormat="1" ht="15.5" hidden="1" x14ac:dyDescent="0.35"/>
    <row r="65" s="42" customFormat="1" ht="15.5" hidden="1" x14ac:dyDescent="0.35"/>
    <row r="66" s="42" customFormat="1" ht="15.5" hidden="1" x14ac:dyDescent="0.35"/>
    <row r="67" s="42" customFormat="1" ht="15.5" hidden="1" x14ac:dyDescent="0.35"/>
    <row r="68" s="42" customFormat="1" ht="15.5" hidden="1" x14ac:dyDescent="0.35"/>
    <row r="69" s="42" customFormat="1" ht="15.5" hidden="1" x14ac:dyDescent="0.35"/>
    <row r="70" s="42" customFormat="1" ht="15.5" hidden="1" x14ac:dyDescent="0.35"/>
    <row r="71" s="42" customFormat="1" ht="15.5" hidden="1" x14ac:dyDescent="0.35"/>
    <row r="72" s="42" customFormat="1" ht="15.5" hidden="1" x14ac:dyDescent="0.35"/>
    <row r="73" s="42" customFormat="1" ht="15.5" hidden="1" x14ac:dyDescent="0.35"/>
    <row r="74" s="42" customFormat="1" ht="15.5" hidden="1" x14ac:dyDescent="0.35"/>
    <row r="75" s="42" customFormat="1" ht="15.5" hidden="1" x14ac:dyDescent="0.35"/>
    <row r="76" s="42" customFormat="1" ht="15.5" hidden="1" x14ac:dyDescent="0.35"/>
    <row r="77" s="42" customFormat="1" ht="15.5" hidden="1" x14ac:dyDescent="0.35"/>
    <row r="78" s="42" customFormat="1" ht="15.5" hidden="1" x14ac:dyDescent="0.35"/>
    <row r="79" s="42" customFormat="1" ht="15.5" hidden="1" x14ac:dyDescent="0.35"/>
    <row r="80" s="42" customFormat="1" ht="15.5" hidden="1" x14ac:dyDescent="0.35"/>
    <row r="81" s="42" customFormat="1" ht="15.5" hidden="1" x14ac:dyDescent="0.35"/>
    <row r="82" s="42" customFormat="1" ht="15.5" hidden="1" x14ac:dyDescent="0.35"/>
    <row r="83" s="42" customFormat="1" ht="15.5" hidden="1" x14ac:dyDescent="0.35"/>
    <row r="84" s="42" customFormat="1" ht="15.5" hidden="1" x14ac:dyDescent="0.35"/>
    <row r="85" s="42" customFormat="1" ht="15.5" hidden="1" x14ac:dyDescent="0.35"/>
    <row r="86" s="42" customFormat="1" ht="15.5" hidden="1" x14ac:dyDescent="0.35"/>
    <row r="87" s="42" customFormat="1" ht="15.5" hidden="1" x14ac:dyDescent="0.35"/>
    <row r="88" s="42" customFormat="1" ht="15.5" hidden="1" x14ac:dyDescent="0.35"/>
    <row r="89" s="42" customFormat="1" ht="15.5" hidden="1" x14ac:dyDescent="0.35"/>
    <row r="90" s="42" customFormat="1" ht="15.5" hidden="1" x14ac:dyDescent="0.35"/>
    <row r="91" s="42" customFormat="1" ht="15.5" hidden="1" x14ac:dyDescent="0.35"/>
    <row r="92" s="42" customFormat="1" ht="15.5" hidden="1" x14ac:dyDescent="0.35"/>
    <row r="93" s="42" customFormat="1" ht="15.5" hidden="1" x14ac:dyDescent="0.35"/>
    <row r="94" s="42" customFormat="1" ht="15.5" hidden="1" x14ac:dyDescent="0.35"/>
    <row r="95" s="42" customFormat="1" ht="15.5" hidden="1" x14ac:dyDescent="0.35"/>
    <row r="96" s="42" customFormat="1" ht="15.5" hidden="1" x14ac:dyDescent="0.35"/>
    <row r="97" s="42" customFormat="1" ht="15.5" hidden="1" x14ac:dyDescent="0.35"/>
    <row r="98" s="42" customFormat="1" ht="15.5" hidden="1" x14ac:dyDescent="0.35"/>
    <row r="99" s="42" customFormat="1" ht="15.5" hidden="1" x14ac:dyDescent="0.35"/>
    <row r="100" s="42" customFormat="1" ht="15.5" hidden="1" x14ac:dyDescent="0.35"/>
    <row r="101" s="42" customFormat="1" ht="15.5" hidden="1" x14ac:dyDescent="0.35"/>
    <row r="102" s="42" customFormat="1" ht="15.5" hidden="1" x14ac:dyDescent="0.35"/>
    <row r="103" s="42" customFormat="1" ht="15.5" hidden="1" x14ac:dyDescent="0.35"/>
    <row r="104" s="42" customFormat="1" ht="15.5" hidden="1" x14ac:dyDescent="0.35"/>
    <row r="105" s="42" customFormat="1" ht="15.5" hidden="1" x14ac:dyDescent="0.35"/>
    <row r="106" s="42" customFormat="1" ht="15.5" hidden="1" x14ac:dyDescent="0.35"/>
    <row r="107" s="42" customFormat="1" ht="15.5" hidden="1" x14ac:dyDescent="0.35"/>
    <row r="108" s="42" customFormat="1" ht="15.5" hidden="1" x14ac:dyDescent="0.35"/>
    <row r="109" s="42" customFormat="1" ht="15.5" hidden="1" x14ac:dyDescent="0.35"/>
    <row r="110" s="42" customFormat="1" ht="15.5" hidden="1" x14ac:dyDescent="0.35"/>
    <row r="111" s="42" customFormat="1" ht="15.5" hidden="1" x14ac:dyDescent="0.35"/>
    <row r="112" s="42" customFormat="1" ht="15.5" hidden="1" x14ac:dyDescent="0.35"/>
    <row r="113" s="42" customFormat="1" ht="15.5" hidden="1" x14ac:dyDescent="0.35"/>
    <row r="114" s="42" customFormat="1" ht="15.5" hidden="1" x14ac:dyDescent="0.35"/>
    <row r="115" s="42" customFormat="1" ht="15.5" hidden="1" x14ac:dyDescent="0.35"/>
    <row r="116" s="42" customFormat="1" ht="15.5" hidden="1" x14ac:dyDescent="0.35"/>
    <row r="117" s="42" customFormat="1" ht="15.5" hidden="1" x14ac:dyDescent="0.35"/>
    <row r="118" s="42" customFormat="1" ht="15.5" hidden="1" x14ac:dyDescent="0.35"/>
    <row r="119" s="42" customFormat="1" ht="15.5" hidden="1" x14ac:dyDescent="0.35"/>
    <row r="120" s="42" customFormat="1" ht="15.5" hidden="1" x14ac:dyDescent="0.35"/>
    <row r="121" s="42" customFormat="1" ht="15.5" hidden="1" x14ac:dyDescent="0.35"/>
    <row r="122" s="42" customFormat="1" ht="15.5" hidden="1" x14ac:dyDescent="0.35"/>
    <row r="123" s="42" customFormat="1" ht="15.5" hidden="1" x14ac:dyDescent="0.35"/>
    <row r="124" s="42" customFormat="1" ht="15.5" hidden="1" x14ac:dyDescent="0.35"/>
    <row r="125" s="42" customFormat="1" ht="15.5" hidden="1" x14ac:dyDescent="0.35"/>
    <row r="126" s="42" customFormat="1" ht="15.5" hidden="1" x14ac:dyDescent="0.35"/>
    <row r="127" s="42" customFormat="1" ht="15.5" hidden="1" x14ac:dyDescent="0.35"/>
    <row r="128" s="42" customFormat="1" ht="15.5" hidden="1" x14ac:dyDescent="0.35"/>
    <row r="129" s="42" customFormat="1" ht="15.5" hidden="1" x14ac:dyDescent="0.35"/>
    <row r="130" s="42" customFormat="1" ht="15.5" hidden="1" x14ac:dyDescent="0.35"/>
    <row r="131" s="42" customFormat="1" ht="15.5" hidden="1" x14ac:dyDescent="0.35"/>
    <row r="132" s="42" customFormat="1" ht="15.5" hidden="1" x14ac:dyDescent="0.35"/>
    <row r="133" s="42" customFormat="1" ht="15.5" hidden="1" x14ac:dyDescent="0.35"/>
    <row r="134" s="42" customFormat="1" ht="15.5" hidden="1" x14ac:dyDescent="0.35"/>
    <row r="135" s="42" customFormat="1" ht="15.5" hidden="1" x14ac:dyDescent="0.35"/>
    <row r="136" s="42" customFormat="1" ht="15.5" hidden="1" x14ac:dyDescent="0.35"/>
    <row r="137" s="42" customFormat="1" ht="15.5" hidden="1" x14ac:dyDescent="0.35"/>
    <row r="138" s="42" customFormat="1" ht="15.5" hidden="1" x14ac:dyDescent="0.35"/>
    <row r="139" s="42" customFormat="1" ht="15.5" hidden="1" x14ac:dyDescent="0.35"/>
    <row r="140" s="42" customFormat="1" ht="15.5" hidden="1" x14ac:dyDescent="0.35"/>
    <row r="141" s="42" customFormat="1" ht="15.5" hidden="1" x14ac:dyDescent="0.35"/>
    <row r="142" s="42" customFormat="1" ht="15.5" hidden="1" x14ac:dyDescent="0.35"/>
    <row r="143" s="42" customFormat="1" ht="15.5" hidden="1" x14ac:dyDescent="0.35"/>
    <row r="144" s="42" customFormat="1" ht="15.5" hidden="1" x14ac:dyDescent="0.35"/>
    <row r="145" s="42" customFormat="1" ht="15.5" hidden="1" x14ac:dyDescent="0.35"/>
    <row r="146" s="42" customFormat="1" ht="15.5" hidden="1" x14ac:dyDescent="0.35"/>
    <row r="147" s="42" customFormat="1" ht="15.5" hidden="1" x14ac:dyDescent="0.35"/>
    <row r="148" s="42" customFormat="1" ht="15.5" hidden="1" x14ac:dyDescent="0.35"/>
    <row r="149" s="42" customFormat="1" ht="15.5" hidden="1" x14ac:dyDescent="0.35"/>
    <row r="150" s="42" customFormat="1" ht="15.5" hidden="1" x14ac:dyDescent="0.35"/>
    <row r="151" s="42" customFormat="1" ht="15.5" hidden="1" x14ac:dyDescent="0.35"/>
    <row r="152" s="42" customFormat="1" ht="15.5" hidden="1" x14ac:dyDescent="0.35"/>
    <row r="153" s="42" customFormat="1" ht="15.5" hidden="1" x14ac:dyDescent="0.35"/>
    <row r="154" s="42" customFormat="1" ht="15.5" hidden="1" x14ac:dyDescent="0.35"/>
    <row r="155" s="42" customFormat="1" ht="15.5" hidden="1" x14ac:dyDescent="0.35"/>
    <row r="156" s="42" customFormat="1" ht="15.5" hidden="1" x14ac:dyDescent="0.35"/>
    <row r="157" s="42" customFormat="1" ht="15.5" hidden="1" x14ac:dyDescent="0.35"/>
    <row r="158" s="42" customFormat="1" ht="15.5" hidden="1" x14ac:dyDescent="0.35"/>
    <row r="159" s="42" customFormat="1" ht="15.5" hidden="1" x14ac:dyDescent="0.35"/>
    <row r="160" s="42" customFormat="1" ht="15.5" hidden="1" x14ac:dyDescent="0.35"/>
    <row r="161" s="42" customFormat="1" ht="15.5" hidden="1" x14ac:dyDescent="0.35"/>
    <row r="162" s="42" customFormat="1" ht="15.5" hidden="1" x14ac:dyDescent="0.35"/>
    <row r="163" s="42" customFormat="1" ht="15.5" hidden="1" x14ac:dyDescent="0.35"/>
    <row r="164" s="42" customFormat="1" ht="15.5" hidden="1" x14ac:dyDescent="0.35"/>
    <row r="165" s="42" customFormat="1" ht="15.5" hidden="1" x14ac:dyDescent="0.35"/>
    <row r="166" s="42" customFormat="1" ht="15.5" hidden="1" x14ac:dyDescent="0.35"/>
    <row r="167" s="42" customFormat="1" ht="15.5" hidden="1" x14ac:dyDescent="0.35"/>
    <row r="168" s="42" customFormat="1" ht="15.5" hidden="1" x14ac:dyDescent="0.35"/>
    <row r="169" s="42" customFormat="1" ht="15.5" hidden="1" x14ac:dyDescent="0.35"/>
    <row r="170" s="42" customFormat="1" ht="15.5" hidden="1" x14ac:dyDescent="0.35"/>
    <row r="171" s="42" customFormat="1" ht="15.5" hidden="1" x14ac:dyDescent="0.35"/>
    <row r="172" s="42" customFormat="1" ht="15.5" hidden="1" x14ac:dyDescent="0.35"/>
    <row r="173" s="42" customFormat="1" ht="15.5" hidden="1" x14ac:dyDescent="0.35"/>
    <row r="174" s="42" customFormat="1" ht="15.5" hidden="1" x14ac:dyDescent="0.35"/>
    <row r="175" s="42" customFormat="1" ht="15.5" hidden="1" x14ac:dyDescent="0.35"/>
    <row r="176" s="42" customFormat="1" ht="15.5" hidden="1" x14ac:dyDescent="0.35"/>
    <row r="177" s="42" customFormat="1" ht="15.5" hidden="1" x14ac:dyDescent="0.35"/>
    <row r="178" s="42" customFormat="1" ht="15.5" hidden="1" x14ac:dyDescent="0.35"/>
    <row r="179" s="42" customFormat="1" ht="15.5" hidden="1" x14ac:dyDescent="0.35"/>
    <row r="180" s="42" customFormat="1" ht="15.5" hidden="1" x14ac:dyDescent="0.35"/>
    <row r="181" s="42" customFormat="1" ht="15.5" hidden="1" x14ac:dyDescent="0.35"/>
    <row r="182" s="42" customFormat="1" ht="15.5" hidden="1" x14ac:dyDescent="0.35"/>
    <row r="183" s="42" customFormat="1" ht="15.5" hidden="1" x14ac:dyDescent="0.35"/>
    <row r="184" s="42" customFormat="1" ht="15.5" hidden="1" x14ac:dyDescent="0.35"/>
    <row r="185" s="42" customFormat="1" ht="15.5" hidden="1" x14ac:dyDescent="0.35"/>
    <row r="186" s="42" customFormat="1" ht="15.5" hidden="1" x14ac:dyDescent="0.35"/>
    <row r="187" s="42" customFormat="1" ht="15.5" hidden="1" x14ac:dyDescent="0.35"/>
    <row r="188" s="42" customFormat="1" ht="15.5" hidden="1" x14ac:dyDescent="0.35"/>
    <row r="189" s="42" customFormat="1" ht="15.5" hidden="1" x14ac:dyDescent="0.35"/>
    <row r="190" s="42" customFormat="1" ht="15.5" hidden="1" x14ac:dyDescent="0.35"/>
    <row r="191" s="42" customFormat="1" ht="15.5" hidden="1" x14ac:dyDescent="0.35"/>
    <row r="192" s="42" customFormat="1" ht="15.5" hidden="1" x14ac:dyDescent="0.35"/>
    <row r="193" s="42" customFormat="1" ht="15.5" hidden="1" x14ac:dyDescent="0.35"/>
    <row r="194" s="42" customFormat="1" ht="15.5" hidden="1" x14ac:dyDescent="0.35"/>
    <row r="195" s="42" customFormat="1" ht="15.5" hidden="1" x14ac:dyDescent="0.35"/>
    <row r="196" s="42" customFormat="1" ht="15.5" hidden="1" x14ac:dyDescent="0.35"/>
    <row r="197" s="42" customFormat="1" ht="15.5" hidden="1" x14ac:dyDescent="0.35"/>
    <row r="198" s="42" customFormat="1" ht="15.5" hidden="1" x14ac:dyDescent="0.35"/>
    <row r="199" s="42" customFormat="1" ht="15.5" hidden="1" x14ac:dyDescent="0.35"/>
    <row r="200" s="42" customFormat="1" ht="15.5" hidden="1" x14ac:dyDescent="0.35"/>
    <row r="201" s="42" customFormat="1" ht="15.5" hidden="1" x14ac:dyDescent="0.35"/>
    <row r="202" s="42" customFormat="1" ht="15.5" hidden="1" x14ac:dyDescent="0.35"/>
    <row r="203" s="42" customFormat="1" ht="15.5" hidden="1" x14ac:dyDescent="0.35"/>
    <row r="204" s="42" customFormat="1" ht="15.5" hidden="1" x14ac:dyDescent="0.35"/>
    <row r="205" s="42" customFormat="1" ht="15.5" hidden="1" x14ac:dyDescent="0.35"/>
    <row r="206" s="42" customFormat="1" ht="15.5" hidden="1" x14ac:dyDescent="0.35"/>
    <row r="207" s="42" customFormat="1" ht="15.5" hidden="1" x14ac:dyDescent="0.35"/>
    <row r="208" s="42" customFormat="1" ht="15.5" hidden="1" x14ac:dyDescent="0.35"/>
    <row r="209" s="42" customFormat="1" ht="15.5" hidden="1" x14ac:dyDescent="0.35"/>
    <row r="210" s="42" customFormat="1" ht="15.5" hidden="1" x14ac:dyDescent="0.35"/>
    <row r="211" s="42" customFormat="1" ht="15.5" hidden="1" x14ac:dyDescent="0.35"/>
    <row r="212" s="42" customFormat="1" ht="15.5" hidden="1" x14ac:dyDescent="0.35"/>
    <row r="213" s="42" customFormat="1" ht="15.5" hidden="1" x14ac:dyDescent="0.35"/>
    <row r="214" s="42" customFormat="1" ht="15.5" hidden="1" x14ac:dyDescent="0.35"/>
    <row r="215" s="42" customFormat="1" ht="15.5" hidden="1" x14ac:dyDescent="0.35"/>
    <row r="216" s="42" customFormat="1" ht="15.5" hidden="1" x14ac:dyDescent="0.35"/>
    <row r="217" s="42" customFormat="1" ht="15.5" hidden="1" x14ac:dyDescent="0.35"/>
    <row r="218" s="42" customFormat="1" ht="15.5" hidden="1" x14ac:dyDescent="0.35"/>
    <row r="219" s="42" customFormat="1" ht="15.5" hidden="1" x14ac:dyDescent="0.35"/>
    <row r="220" s="42" customFormat="1" ht="15.5" hidden="1" x14ac:dyDescent="0.35"/>
    <row r="221" s="42" customFormat="1" ht="15.5" hidden="1" x14ac:dyDescent="0.35"/>
    <row r="222" s="42" customFormat="1" ht="15.5" hidden="1" x14ac:dyDescent="0.35"/>
    <row r="223" s="42" customFormat="1" ht="15.5" hidden="1" x14ac:dyDescent="0.35"/>
    <row r="224" s="42" customFormat="1" ht="15.5" hidden="1" x14ac:dyDescent="0.35"/>
    <row r="225" s="42" customFormat="1" ht="15.5" hidden="1" x14ac:dyDescent="0.35"/>
    <row r="226" s="42" customFormat="1" ht="15.5" hidden="1" x14ac:dyDescent="0.35"/>
    <row r="227" s="42" customFormat="1" ht="15.5" hidden="1" x14ac:dyDescent="0.35"/>
    <row r="228" s="42" customFormat="1" ht="15.5" hidden="1" x14ac:dyDescent="0.35"/>
    <row r="229" s="42" customFormat="1" ht="15.5" hidden="1" x14ac:dyDescent="0.35"/>
    <row r="230" s="42" customFormat="1" ht="15.5" hidden="1" x14ac:dyDescent="0.35"/>
    <row r="231" s="42" customFormat="1" ht="15.5" hidden="1" x14ac:dyDescent="0.35"/>
    <row r="232" s="42" customFormat="1" ht="15.5" hidden="1" x14ac:dyDescent="0.35"/>
    <row r="233" s="42" customFormat="1" ht="15.5" hidden="1" x14ac:dyDescent="0.35"/>
    <row r="234" s="42" customFormat="1" ht="15.5" hidden="1" x14ac:dyDescent="0.35"/>
    <row r="235" s="42" customFormat="1" ht="15.5" hidden="1" x14ac:dyDescent="0.35"/>
    <row r="236" s="42" customFormat="1" ht="15.5" hidden="1" x14ac:dyDescent="0.35"/>
    <row r="237" s="42" customFormat="1" ht="15.5" hidden="1" x14ac:dyDescent="0.35"/>
    <row r="238" s="42" customFormat="1" ht="15.5" hidden="1" x14ac:dyDescent="0.35"/>
    <row r="239" s="42" customFormat="1" ht="15.5" hidden="1" x14ac:dyDescent="0.35"/>
    <row r="240" s="42" customFormat="1" ht="15.5" hidden="1" x14ac:dyDescent="0.35"/>
    <row r="241" spans="2:4" s="42" customFormat="1" ht="15.5" hidden="1" x14ac:dyDescent="0.35"/>
    <row r="242" spans="2:4" s="42" customFormat="1" ht="15.5" hidden="1" x14ac:dyDescent="0.35"/>
    <row r="243" spans="2:4" s="42" customFormat="1" ht="15.5" hidden="1" x14ac:dyDescent="0.35"/>
    <row r="244" spans="2:4" s="42" customFormat="1" ht="15.5" hidden="1" x14ac:dyDescent="0.35"/>
    <row r="245" spans="2:4" s="42" customFormat="1" ht="15.5" hidden="1" x14ac:dyDescent="0.35"/>
    <row r="246" spans="2:4" s="42" customFormat="1" ht="15.5" hidden="1" x14ac:dyDescent="0.35"/>
    <row r="247" spans="2:4" s="42" customFormat="1" ht="15.5" hidden="1" x14ac:dyDescent="0.35"/>
    <row r="248" spans="2:4" s="42" customFormat="1" ht="15.5" hidden="1" x14ac:dyDescent="0.35"/>
    <row r="249" spans="2:4" s="42" customFormat="1" ht="15.5" hidden="1" x14ac:dyDescent="0.35"/>
    <row r="250" spans="2:4" s="42" customFormat="1" ht="15.5" hidden="1" x14ac:dyDescent="0.35"/>
    <row r="251" spans="2:4" s="42" customFormat="1" ht="15.5" hidden="1" x14ac:dyDescent="0.35"/>
    <row r="252" spans="2:4" s="42" customFormat="1" ht="15.5" hidden="1" x14ac:dyDescent="0.35">
      <c r="B252"/>
      <c r="C252"/>
    </row>
    <row r="253" spans="2:4" s="42" customFormat="1" ht="15.5" hidden="1" x14ac:dyDescent="0.35">
      <c r="B253"/>
      <c r="C253"/>
      <c r="D253"/>
    </row>
    <row r="254" spans="2:4" s="42" customFormat="1" ht="15.5" hidden="1" x14ac:dyDescent="0.35">
      <c r="B254"/>
      <c r="C254"/>
      <c r="D254"/>
    </row>
    <row r="255" spans="2:4" s="42" customFormat="1" ht="15.5" hidden="1" x14ac:dyDescent="0.35">
      <c r="B255"/>
      <c r="C255"/>
      <c r="D255"/>
    </row>
    <row r="256" spans="2:4" s="42" customFormat="1" ht="15.5" hidden="1" x14ac:dyDescent="0.35">
      <c r="B256"/>
      <c r="C256"/>
      <c r="D256"/>
    </row>
    <row r="257" spans="1:5" s="42" customFormat="1" ht="15.5" hidden="1" x14ac:dyDescent="0.35">
      <c r="B257"/>
      <c r="C257"/>
      <c r="D257"/>
    </row>
    <row r="258" spans="1:5" s="42" customFormat="1" ht="15.5" hidden="1" x14ac:dyDescent="0.35">
      <c r="B258"/>
      <c r="C258"/>
      <c r="D258"/>
      <c r="E258"/>
    </row>
    <row r="259" spans="1:5" s="42" customFormat="1" ht="15.5" hidden="1" x14ac:dyDescent="0.35">
      <c r="B259"/>
      <c r="C259"/>
      <c r="D259"/>
      <c r="E259"/>
    </row>
    <row r="260" spans="1:5" s="42" customFormat="1" ht="15.5" hidden="1" x14ac:dyDescent="0.35">
      <c r="B260"/>
      <c r="C260"/>
      <c r="D260"/>
      <c r="E260"/>
    </row>
    <row r="261" spans="1:5" s="42" customFormat="1" ht="15.5" hidden="1" x14ac:dyDescent="0.35">
      <c r="B261"/>
      <c r="C261"/>
      <c r="D261"/>
      <c r="E261"/>
    </row>
    <row r="262" spans="1:5" s="42" customFormat="1" ht="15.5" hidden="1" x14ac:dyDescent="0.35">
      <c r="B262"/>
      <c r="C262"/>
      <c r="D262"/>
      <c r="E262"/>
    </row>
    <row r="263" spans="1:5" s="42" customFormat="1" ht="15.5" hidden="1" x14ac:dyDescent="0.35">
      <c r="B263"/>
      <c r="C263"/>
      <c r="D263"/>
      <c r="E263"/>
    </row>
    <row r="264" spans="1:5" s="42" customFormat="1" ht="15.5" hidden="1" x14ac:dyDescent="0.35">
      <c r="A264"/>
      <c r="B264"/>
      <c r="C264"/>
      <c r="D264"/>
      <c r="E264"/>
    </row>
    <row r="265" spans="1:5" s="42" customFormat="1" ht="15.5" hidden="1" x14ac:dyDescent="0.35">
      <c r="A265"/>
      <c r="B265"/>
      <c r="C265"/>
      <c r="D265"/>
      <c r="E265"/>
    </row>
    <row r="266" spans="1:5" s="42" customFormat="1" ht="15.5" hidden="1" x14ac:dyDescent="0.35">
      <c r="A266"/>
      <c r="B266"/>
      <c r="C266"/>
      <c r="D266"/>
      <c r="E266"/>
    </row>
    <row r="267" spans="1:5" s="42" customFormat="1" ht="15.5" hidden="1" x14ac:dyDescent="0.35">
      <c r="A267"/>
      <c r="B267"/>
      <c r="C267"/>
      <c r="D267"/>
      <c r="E267"/>
    </row>
    <row r="268" spans="1:5" s="42" customFormat="1" ht="15.5" hidden="1" x14ac:dyDescent="0.35">
      <c r="A268"/>
      <c r="B268"/>
      <c r="C268"/>
      <c r="D268"/>
      <c r="E268"/>
    </row>
    <row r="269" spans="1:5" s="42" customFormat="1" ht="15.5" hidden="1" x14ac:dyDescent="0.35">
      <c r="A269"/>
      <c r="B269"/>
      <c r="C269"/>
      <c r="D269"/>
      <c r="E269"/>
    </row>
    <row r="270" spans="1:5" s="42" customFormat="1" ht="15.5" hidden="1" x14ac:dyDescent="0.35">
      <c r="A270"/>
      <c r="B270"/>
      <c r="C270"/>
      <c r="D270"/>
      <c r="E270"/>
    </row>
    <row r="271" spans="1:5" s="42" customFormat="1" ht="15.5" hidden="1" x14ac:dyDescent="0.35">
      <c r="A271"/>
      <c r="B271"/>
      <c r="C271"/>
      <c r="D271"/>
      <c r="E271"/>
    </row>
    <row r="272" spans="1:5" s="42" customFormat="1" ht="15.5" hidden="1" x14ac:dyDescent="0.35">
      <c r="A272"/>
      <c r="B272"/>
      <c r="C272"/>
      <c r="D272"/>
      <c r="E272"/>
    </row>
    <row r="273" spans="1:12" s="42" customFormat="1" ht="15.5" hidden="1" x14ac:dyDescent="0.35">
      <c r="A273"/>
      <c r="B273"/>
      <c r="C273"/>
      <c r="D273"/>
      <c r="E273"/>
    </row>
    <row r="274" spans="1:12" s="42" customFormat="1" ht="15.5" hidden="1" x14ac:dyDescent="0.35">
      <c r="A274"/>
      <c r="B274"/>
      <c r="C274"/>
      <c r="D274"/>
      <c r="E274"/>
    </row>
    <row r="275" spans="1:12" s="42" customFormat="1" ht="15.5" hidden="1" x14ac:dyDescent="0.35">
      <c r="A275"/>
      <c r="B275"/>
      <c r="C275"/>
      <c r="D275"/>
      <c r="E275"/>
    </row>
    <row r="276" spans="1:12" s="42" customFormat="1" ht="15.5" hidden="1" x14ac:dyDescent="0.35">
      <c r="A276"/>
      <c r="B276"/>
      <c r="C276"/>
      <c r="D276"/>
      <c r="E276"/>
      <c r="F276"/>
      <c r="G276"/>
    </row>
    <row r="277" spans="1:12" s="42" customFormat="1" ht="15.5" hidden="1" x14ac:dyDescent="0.35">
      <c r="A277"/>
      <c r="B277"/>
      <c r="C277"/>
      <c r="D277"/>
      <c r="E277"/>
      <c r="F277"/>
      <c r="G277"/>
    </row>
    <row r="278" spans="1:12" s="42" customFormat="1" ht="15.5" hidden="1" x14ac:dyDescent="0.35">
      <c r="A278"/>
      <c r="B278"/>
      <c r="C278"/>
      <c r="D278"/>
      <c r="E278"/>
      <c r="F278"/>
      <c r="G278"/>
      <c r="H278"/>
    </row>
    <row r="279" spans="1:12" s="42" customFormat="1" ht="15.5" hidden="1" x14ac:dyDescent="0.35">
      <c r="A279"/>
      <c r="B279"/>
      <c r="C279"/>
      <c r="D279"/>
      <c r="E279"/>
      <c r="F279"/>
      <c r="G279"/>
      <c r="H279"/>
    </row>
    <row r="280" spans="1:12" s="42" customFormat="1" ht="15.5" hidden="1" x14ac:dyDescent="0.35">
      <c r="A280"/>
      <c r="B280"/>
      <c r="C280"/>
      <c r="D280"/>
      <c r="E280"/>
      <c r="F280"/>
      <c r="G280"/>
      <c r="H280"/>
    </row>
    <row r="281" spans="1:12" s="42" customFormat="1" ht="15.5" hidden="1" x14ac:dyDescent="0.35">
      <c r="A281"/>
      <c r="B281"/>
      <c r="C281"/>
      <c r="D281"/>
      <c r="E281"/>
      <c r="F281"/>
      <c r="G281"/>
      <c r="H281"/>
      <c r="I281"/>
    </row>
    <row r="282" spans="1:12" s="42" customFormat="1" ht="15.5" hidden="1" x14ac:dyDescent="0.35">
      <c r="A282"/>
      <c r="B282"/>
      <c r="C282"/>
      <c r="D282"/>
      <c r="E282"/>
      <c r="F282"/>
      <c r="G282"/>
      <c r="H282"/>
      <c r="I282"/>
    </row>
    <row r="283" spans="1:12" s="42" customFormat="1" ht="15.5" hidden="1" x14ac:dyDescent="0.35">
      <c r="A283"/>
      <c r="B283"/>
      <c r="C283"/>
      <c r="D283"/>
      <c r="E283"/>
      <c r="F283"/>
      <c r="G283"/>
      <c r="H283"/>
      <c r="I283"/>
      <c r="J283"/>
    </row>
    <row r="284" spans="1:12" s="42" customFormat="1" ht="15.5" hidden="1" x14ac:dyDescent="0.35">
      <c r="A284"/>
      <c r="B284"/>
      <c r="C284"/>
      <c r="D284"/>
      <c r="E284"/>
      <c r="F284"/>
      <c r="G284"/>
      <c r="H284"/>
      <c r="I284"/>
      <c r="J284"/>
    </row>
    <row r="285" spans="1:12" s="42" customFormat="1" ht="15.5" hidden="1" x14ac:dyDescent="0.35">
      <c r="A285"/>
      <c r="B285"/>
      <c r="C285"/>
      <c r="D285"/>
      <c r="E285"/>
      <c r="F285"/>
      <c r="G285"/>
      <c r="H285"/>
      <c r="I285"/>
      <c r="J285"/>
      <c r="K285"/>
      <c r="L285"/>
    </row>
  </sheetData>
  <mergeCells count="16">
    <mergeCell ref="D3:E3"/>
    <mergeCell ref="H5:I5"/>
    <mergeCell ref="H6:I6"/>
    <mergeCell ref="G32:H32"/>
    <mergeCell ref="B40:E40"/>
    <mergeCell ref="B43:E43"/>
    <mergeCell ref="G16:I17"/>
    <mergeCell ref="E16:F16"/>
    <mergeCell ref="B16:D16"/>
    <mergeCell ref="B19:D19"/>
    <mergeCell ref="G25:H25"/>
    <mergeCell ref="G23:H23"/>
    <mergeCell ref="G21:H21"/>
    <mergeCell ref="G27:H27"/>
    <mergeCell ref="G29:H29"/>
    <mergeCell ref="G19:H19"/>
  </mergeCells>
  <pageMargins left="0.4" right="0.25" top="1" bottom="1" header="0.5" footer="0.5"/>
  <pageSetup orientation="portrait" verticalDpi="1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654A-AEFC-43E7-921E-126DCEF7E5B6}">
  <dimension ref="A1:ID202"/>
  <sheetViews>
    <sheetView topLeftCell="A17" zoomScale="85" zoomScaleNormal="85" workbookViewId="0">
      <selection activeCell="B92" sqref="B92:P96"/>
    </sheetView>
  </sheetViews>
  <sheetFormatPr defaultColWidth="4" defaultRowHeight="15.5" zeroHeight="1" x14ac:dyDescent="0.35"/>
  <cols>
    <col min="1" max="1" width="3.54296875" style="702" customWidth="1"/>
    <col min="2" max="2" width="18.7265625" style="702" customWidth="1"/>
    <col min="3" max="3" width="8.1796875" style="702" customWidth="1"/>
    <col min="4" max="4" width="11.7265625" style="702" customWidth="1"/>
    <col min="5" max="5" width="13.26953125" style="702" customWidth="1"/>
    <col min="6" max="6" width="9.7265625" style="702" customWidth="1"/>
    <col min="7" max="7" width="10.1796875" style="702" bestFit="1" customWidth="1"/>
    <col min="8" max="8" width="9.6328125" style="702" bestFit="1" customWidth="1"/>
    <col min="9" max="9" width="9.7265625" style="702" customWidth="1"/>
    <col min="10" max="10" width="9.90625" style="702" bestFit="1" customWidth="1"/>
    <col min="11" max="11" width="10.81640625" style="702" bestFit="1" customWidth="1"/>
    <col min="12" max="12" width="8.90625" style="702" bestFit="1" customWidth="1"/>
    <col min="13" max="13" width="8.26953125" style="702" bestFit="1" customWidth="1"/>
    <col min="14" max="14" width="7.7265625" style="702" customWidth="1"/>
    <col min="15" max="15" width="6.81640625" style="702" customWidth="1"/>
    <col min="16" max="16" width="8.453125" style="702" customWidth="1"/>
    <col min="17" max="17" width="6.6328125" style="702" bestFit="1" customWidth="1"/>
    <col min="18" max="18" width="6.1796875" style="702" customWidth="1"/>
    <col min="19" max="19" width="9.453125" style="702" customWidth="1"/>
    <col min="20" max="20" width="8.453125" style="702" bestFit="1" customWidth="1"/>
    <col min="21" max="21" width="8.6328125" style="702" customWidth="1"/>
    <col min="22" max="22" width="6.54296875" style="702" customWidth="1"/>
    <col min="23" max="23" width="7.1796875" style="702" customWidth="1"/>
    <col min="24" max="24" width="5.81640625" style="702" customWidth="1"/>
    <col min="25" max="25" width="7.36328125" style="702" customWidth="1"/>
    <col min="26" max="26" width="6.81640625" style="702" customWidth="1"/>
    <col min="27" max="27" width="5.81640625" style="702" customWidth="1"/>
    <col min="28" max="28" width="13.7265625" style="702" customWidth="1"/>
    <col min="29" max="29" width="15.26953125" style="702" customWidth="1"/>
    <col min="30" max="30" width="12.453125" style="702" customWidth="1"/>
    <col min="31" max="31" width="15.81640625" style="769" customWidth="1"/>
    <col min="32" max="32" width="20.26953125" style="769" customWidth="1"/>
    <col min="33" max="33" width="13.81640625" style="769" customWidth="1"/>
    <col min="34" max="34" width="14" style="42" customWidth="1"/>
    <col min="35" max="35" width="4.90625" style="42" customWidth="1"/>
    <col min="36" max="36" width="12.6328125" style="42" bestFit="1" customWidth="1"/>
    <col min="37" max="37" width="30.90625" style="42" bestFit="1" customWidth="1"/>
    <col min="38" max="38" width="4" style="42"/>
    <col min="39" max="39" width="10" style="42" bestFit="1" customWidth="1"/>
    <col min="40" max="40" width="4" style="42"/>
    <col min="41" max="42" width="14.08984375" style="42" bestFit="1" customWidth="1"/>
    <col min="43" max="43" width="29.90625" style="42" bestFit="1" customWidth="1"/>
    <col min="44" max="44" width="14.08984375" style="42" bestFit="1" customWidth="1"/>
    <col min="45" max="45" width="2.1796875" style="42" bestFit="1" customWidth="1"/>
    <col min="46" max="47" width="6.90625" style="42" bestFit="1" customWidth="1"/>
    <col min="48" max="48" width="18.6328125" style="42" bestFit="1" customWidth="1"/>
    <col min="49" max="49" width="10.81640625" style="42" bestFit="1" customWidth="1"/>
    <col min="50" max="50" width="4.54296875" style="42" bestFit="1" customWidth="1"/>
    <col min="51" max="51" width="19.7265625" style="42" bestFit="1" customWidth="1"/>
    <col min="52" max="52" width="6.90625" style="42" bestFit="1" customWidth="1"/>
    <col min="53" max="53" width="2.1796875" style="42" bestFit="1" customWidth="1"/>
    <col min="54" max="55" width="5.7265625" style="42" bestFit="1" customWidth="1"/>
    <col min="56" max="56" width="15.36328125" style="42" bestFit="1" customWidth="1"/>
    <col min="57" max="57" width="14.54296875" style="42" bestFit="1" customWidth="1"/>
    <col min="58" max="58" width="20.08984375" style="42" bestFit="1" customWidth="1"/>
    <col min="59" max="59" width="13.08984375" style="42" bestFit="1" customWidth="1"/>
    <col min="60" max="60" width="9" style="593" bestFit="1" customWidth="1"/>
    <col min="61" max="61" width="9" style="42" bestFit="1" customWidth="1"/>
    <col min="62" max="64" width="7.81640625" style="42" bestFit="1" customWidth="1"/>
    <col min="65" max="65" width="7.1796875" style="42" bestFit="1" customWidth="1"/>
    <col min="66" max="66" width="7.81640625" style="42" bestFit="1" customWidth="1"/>
    <col min="67" max="67" width="12" style="42" bestFit="1" customWidth="1"/>
    <col min="68" max="68" width="16.6328125" style="42" bestFit="1" customWidth="1"/>
    <col min="69" max="69" width="20.1796875" style="42" bestFit="1" customWidth="1"/>
    <col min="70" max="70" width="12.7265625" style="42" bestFit="1" customWidth="1"/>
    <col min="71" max="71" width="9" style="42" bestFit="1" customWidth="1"/>
    <col min="72" max="72" width="15" style="42" bestFit="1" customWidth="1"/>
    <col min="73" max="73" width="6.90625" style="42" bestFit="1" customWidth="1"/>
    <col min="74" max="74" width="10.1796875" style="42" bestFit="1" customWidth="1"/>
    <col min="75" max="75" width="21.26953125" style="42" bestFit="1" customWidth="1"/>
    <col min="76" max="76" width="20.7265625" style="42" bestFit="1" customWidth="1"/>
    <col min="77" max="77" width="15.36328125" style="42" bestFit="1" customWidth="1"/>
    <col min="78" max="78" width="16.08984375" style="42" bestFit="1" customWidth="1"/>
    <col min="79" max="79" width="12" style="42" bestFit="1" customWidth="1"/>
    <col min="80" max="80" width="14.26953125" style="42" bestFit="1" customWidth="1"/>
    <col min="81" max="81" width="8.54296875" style="42" bestFit="1" customWidth="1"/>
    <col min="82" max="82" width="11.7265625" style="42" bestFit="1" customWidth="1"/>
    <col min="83" max="83" width="10.81640625" style="42" bestFit="1" customWidth="1"/>
    <col min="84" max="84" width="12" style="42" bestFit="1" customWidth="1"/>
    <col min="85" max="85" width="10.81640625" style="42" bestFit="1" customWidth="1"/>
    <col min="86" max="86" width="14.08984375" style="42" bestFit="1" customWidth="1"/>
    <col min="87" max="87" width="10.81640625" style="42" bestFit="1" customWidth="1"/>
    <col min="88" max="88" width="14.08984375" style="42" bestFit="1" customWidth="1"/>
    <col min="89" max="89" width="11.453125" style="42" bestFit="1" customWidth="1"/>
    <col min="90" max="90" width="13.54296875" style="42" bestFit="1" customWidth="1"/>
    <col min="91" max="91" width="14.08984375" style="42" bestFit="1" customWidth="1"/>
    <col min="92" max="92" width="2.1796875" style="42" bestFit="1" customWidth="1"/>
    <col min="93" max="96" width="14.08984375" style="42" bestFit="1" customWidth="1"/>
    <col min="97" max="99" width="10" style="42" bestFit="1" customWidth="1"/>
    <col min="100" max="100" width="10.81640625" style="42" bestFit="1" customWidth="1"/>
    <col min="101" max="101" width="10.1796875" style="42" bestFit="1" customWidth="1"/>
    <col min="102" max="182" width="4" style="42"/>
    <col min="239" max="16383" width="4" style="42"/>
    <col min="16384" max="16384" width="6" style="42" customWidth="1"/>
  </cols>
  <sheetData>
    <row r="1" spans="2:238" s="702" customFormat="1" ht="13" customHeight="1" x14ac:dyDescent="0.35">
      <c r="AE1" s="769"/>
      <c r="AF1" s="769"/>
      <c r="AG1" s="769"/>
      <c r="GA1" s="769"/>
      <c r="GB1" s="769"/>
      <c r="GC1" s="769"/>
      <c r="GD1" s="769"/>
      <c r="GE1" s="769"/>
      <c r="GF1" s="769"/>
      <c r="GG1" s="769"/>
      <c r="GH1" s="769"/>
      <c r="GI1" s="769"/>
      <c r="GJ1" s="769"/>
      <c r="GK1" s="769"/>
      <c r="GL1" s="769"/>
      <c r="GM1" s="769"/>
      <c r="GN1" s="769"/>
      <c r="GO1" s="769"/>
      <c r="GP1" s="769"/>
      <c r="GQ1" s="769"/>
      <c r="GR1" s="769"/>
      <c r="GS1" s="769"/>
      <c r="GT1" s="769"/>
      <c r="GU1" s="769"/>
      <c r="GV1" s="769"/>
      <c r="GW1" s="769"/>
      <c r="GX1" s="769"/>
      <c r="GY1" s="769"/>
      <c r="GZ1" s="769"/>
      <c r="HA1" s="769"/>
      <c r="HB1" s="769"/>
      <c r="HC1" s="769"/>
      <c r="HD1" s="769"/>
      <c r="HE1" s="769"/>
      <c r="HF1" s="769"/>
      <c r="HG1" s="769"/>
      <c r="HH1" s="769"/>
      <c r="HI1" s="769"/>
      <c r="HJ1" s="769"/>
      <c r="HK1" s="769"/>
      <c r="HL1" s="769"/>
      <c r="HM1" s="769"/>
      <c r="HN1" s="769"/>
      <c r="HO1" s="769"/>
      <c r="HP1" s="769"/>
      <c r="HQ1" s="769"/>
      <c r="HR1" s="769"/>
      <c r="HS1" s="769"/>
      <c r="HT1" s="769"/>
      <c r="HU1" s="769"/>
      <c r="HV1" s="769"/>
      <c r="HW1" s="769"/>
      <c r="HX1" s="769"/>
      <c r="HY1" s="769"/>
      <c r="HZ1" s="769"/>
      <c r="IA1" s="769"/>
      <c r="IB1" s="769"/>
      <c r="IC1" s="769"/>
      <c r="ID1" s="769"/>
    </row>
    <row r="2" spans="2:238" ht="16" thickBot="1" x14ac:dyDescent="0.4">
      <c r="B2" s="937" t="s">
        <v>303</v>
      </c>
      <c r="C2" s="897"/>
      <c r="D2" s="897"/>
      <c r="E2" s="897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1916" t="s">
        <v>305</v>
      </c>
      <c r="AB2" s="1916"/>
      <c r="AC2" s="1911">
        <v>37456</v>
      </c>
      <c r="AD2" s="1911"/>
      <c r="AE2" s="299"/>
      <c r="AF2" s="299"/>
      <c r="AH2" s="769"/>
      <c r="AI2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8"/>
      <c r="BA2" s="298"/>
      <c r="BB2" s="298"/>
      <c r="BC2" s="298"/>
      <c r="BD2" s="298"/>
      <c r="BE2" s="298"/>
      <c r="BF2" s="298"/>
      <c r="BG2" s="298"/>
      <c r="BI2" s="298"/>
      <c r="BJ2" s="298"/>
      <c r="BK2" s="298"/>
      <c r="BL2" s="298"/>
      <c r="BM2" s="298"/>
      <c r="BN2" s="298"/>
      <c r="BO2" s="298"/>
      <c r="BP2" s="298"/>
      <c r="BQ2" s="298"/>
      <c r="BR2" s="298"/>
      <c r="BS2" s="298"/>
      <c r="BT2" s="298"/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298"/>
      <c r="CI2" s="298"/>
      <c r="CJ2" s="298"/>
      <c r="CK2" s="298"/>
      <c r="CL2" s="298"/>
      <c r="CM2" s="298"/>
      <c r="CN2" s="298"/>
      <c r="CO2" s="298"/>
      <c r="CP2" s="298"/>
      <c r="CQ2" s="298"/>
      <c r="CR2" s="298"/>
      <c r="CS2" s="298"/>
      <c r="CT2" s="298"/>
      <c r="CU2" s="298"/>
      <c r="CV2" s="298"/>
      <c r="CW2" s="298"/>
      <c r="CX2" s="298"/>
      <c r="CY2" s="298"/>
      <c r="CZ2" s="298"/>
      <c r="DA2" s="298"/>
      <c r="DB2" s="298"/>
    </row>
    <row r="3" spans="2:238" ht="16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880"/>
      <c r="R3" s="880"/>
      <c r="S3" s="1950" t="s">
        <v>306</v>
      </c>
      <c r="T3" s="1951"/>
      <c r="U3" s="298"/>
      <c r="V3" s="298"/>
      <c r="W3" s="298"/>
      <c r="X3" s="298"/>
      <c r="Y3" s="298"/>
      <c r="Z3" s="298"/>
      <c r="AA3" s="792" t="s">
        <v>304</v>
      </c>
      <c r="AB3" s="942"/>
      <c r="AC3" s="943" t="str">
        <f>Information!C8</f>
        <v>Chad McKinney</v>
      </c>
      <c r="AD3" s="944"/>
      <c r="AE3" s="299"/>
      <c r="AF3" s="299"/>
      <c r="AH3" s="769"/>
      <c r="AI3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8"/>
      <c r="BA3" s="298"/>
      <c r="BB3" s="298"/>
      <c r="BC3" s="298"/>
      <c r="BD3" s="298"/>
      <c r="BE3" s="298"/>
      <c r="BF3" s="298"/>
      <c r="BG3" s="298"/>
      <c r="BI3" s="298"/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  <c r="BU3" s="298"/>
      <c r="BV3" s="298"/>
      <c r="BW3" s="298"/>
      <c r="BX3" s="298"/>
      <c r="BY3" s="298"/>
      <c r="BZ3" s="298"/>
      <c r="CA3" s="298"/>
      <c r="CB3" s="298"/>
      <c r="CC3" s="298"/>
      <c r="CD3" s="298"/>
      <c r="CE3" s="298"/>
      <c r="CF3" s="298"/>
      <c r="CG3" s="298"/>
      <c r="CH3" s="298"/>
      <c r="CI3" s="298"/>
      <c r="CJ3" s="298"/>
      <c r="CK3" s="298"/>
      <c r="CL3" s="298"/>
      <c r="CM3" s="298"/>
      <c r="CN3" s="298"/>
      <c r="CO3" s="298"/>
      <c r="CP3" s="298"/>
      <c r="CQ3" s="298"/>
      <c r="CR3" s="298"/>
      <c r="CS3" s="298"/>
      <c r="CT3" s="298"/>
      <c r="CU3" s="298"/>
      <c r="CV3" s="298"/>
      <c r="CW3" s="298"/>
      <c r="CX3" s="298"/>
      <c r="CY3" s="298"/>
      <c r="CZ3" s="298"/>
      <c r="DA3" s="298"/>
      <c r="DB3" s="298"/>
    </row>
    <row r="4" spans="2:238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1947">
        <f>Summary!K3</f>
        <v>0</v>
      </c>
      <c r="K4" s="1948"/>
      <c r="L4" s="1948"/>
      <c r="M4" s="1948"/>
      <c r="N4" s="1948"/>
      <c r="O4" s="1964">
        <f>Summary!O3</f>
        <v>0</v>
      </c>
      <c r="P4" s="1964"/>
      <c r="Q4" s="885"/>
      <c r="R4" s="885"/>
      <c r="S4" s="1964">
        <f>Summary!P3</f>
        <v>0</v>
      </c>
      <c r="T4" s="1965"/>
      <c r="U4" s="298"/>
      <c r="V4" s="298"/>
      <c r="W4" s="298"/>
      <c r="X4" s="298"/>
      <c r="Y4" s="298"/>
      <c r="Z4" s="298"/>
      <c r="AA4" s="790"/>
      <c r="AB4" s="770"/>
      <c r="AC4" s="770"/>
      <c r="AD4" s="876"/>
      <c r="AE4" s="299"/>
      <c r="AF4" s="299"/>
      <c r="AH4" s="769"/>
      <c r="AI4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</row>
    <row r="5" spans="2:238" ht="20.149999999999999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1952">
        <f>Summary!K4</f>
        <v>0</v>
      </c>
      <c r="K5" s="1953"/>
      <c r="L5" s="1953"/>
      <c r="M5" s="1953"/>
      <c r="N5" s="1953"/>
      <c r="O5" s="1927">
        <f>Summary!O4</f>
        <v>0</v>
      </c>
      <c r="P5" s="1927"/>
      <c r="Q5" s="887"/>
      <c r="R5" s="887"/>
      <c r="S5" s="1927">
        <f>Summary!P4</f>
        <v>0</v>
      </c>
      <c r="T5" s="1928"/>
      <c r="U5" s="298"/>
      <c r="V5" s="298"/>
      <c r="W5" s="298"/>
      <c r="X5" s="298"/>
      <c r="Y5" s="298"/>
      <c r="Z5" s="298"/>
      <c r="AA5" s="1929" t="str">
        <f>Information!H5</f>
        <v>Approved by Chad:</v>
      </c>
      <c r="AB5" s="1930"/>
      <c r="AC5" s="945"/>
      <c r="AD5" s="946"/>
      <c r="AE5" s="299"/>
      <c r="AF5" s="299"/>
      <c r="AH5" s="769"/>
      <c r="AI5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298"/>
      <c r="BX5" s="298"/>
      <c r="BY5" s="298"/>
      <c r="BZ5" s="298"/>
      <c r="CA5" s="298"/>
      <c r="CB5" s="298"/>
      <c r="CC5" s="298"/>
      <c r="CD5" s="298"/>
      <c r="CE5" s="298"/>
      <c r="CF5" s="298"/>
      <c r="CG5" s="298"/>
      <c r="CH5" s="298"/>
      <c r="CI5" s="298"/>
      <c r="CJ5" s="298"/>
      <c r="CK5" s="298"/>
      <c r="CL5" s="298"/>
      <c r="CM5" s="298"/>
      <c r="CN5" s="298"/>
      <c r="CO5" s="298"/>
      <c r="CP5" s="298"/>
      <c r="CQ5" s="298"/>
      <c r="CR5" s="298"/>
      <c r="CS5" s="298"/>
      <c r="CT5" s="298"/>
      <c r="CU5" s="298"/>
      <c r="CV5" s="298"/>
      <c r="CW5" s="298"/>
      <c r="CX5" s="298"/>
      <c r="CY5" s="298"/>
      <c r="CZ5" s="298"/>
      <c r="DA5" s="298"/>
      <c r="DB5" s="298"/>
    </row>
    <row r="6" spans="2:238" ht="20.149999999999999" customHeight="1" x14ac:dyDescent="0.35">
      <c r="B6" s="57" t="s">
        <v>115</v>
      </c>
      <c r="C6" s="42"/>
      <c r="D6" s="1959" t="s">
        <v>125</v>
      </c>
      <c r="E6" s="1959"/>
      <c r="F6" s="298"/>
      <c r="G6" s="298"/>
      <c r="H6" s="938"/>
      <c r="I6" s="939" t="s">
        <v>134</v>
      </c>
      <c r="J6" s="1952">
        <f>Summary!K5</f>
        <v>0</v>
      </c>
      <c r="K6" s="1953"/>
      <c r="L6" s="1953"/>
      <c r="M6" s="1953"/>
      <c r="N6" s="1953"/>
      <c r="O6" s="1927">
        <f>Summary!O5</f>
        <v>0</v>
      </c>
      <c r="P6" s="1927"/>
      <c r="Q6" s="887"/>
      <c r="R6" s="887"/>
      <c r="S6" s="1927">
        <f>Summary!P5</f>
        <v>0</v>
      </c>
      <c r="T6" s="1928"/>
      <c r="U6" s="298"/>
      <c r="V6" s="298"/>
      <c r="W6" s="298"/>
      <c r="X6" s="298"/>
      <c r="Y6" s="298"/>
      <c r="Z6" s="298"/>
      <c r="AA6" s="790"/>
      <c r="AB6" s="770"/>
      <c r="AC6" s="770"/>
      <c r="AD6" s="876"/>
      <c r="AE6" s="299"/>
      <c r="AF6" s="299"/>
      <c r="AH6" s="769"/>
      <c r="AI6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I6" s="298"/>
      <c r="BJ6" s="298"/>
      <c r="BK6" s="298"/>
      <c r="BL6" s="298"/>
      <c r="BM6" s="298"/>
      <c r="BN6" s="298"/>
      <c r="BO6" s="298"/>
      <c r="BP6" s="298"/>
      <c r="BQ6" s="298"/>
      <c r="BR6" s="298"/>
      <c r="BS6" s="298"/>
      <c r="BT6" s="298"/>
      <c r="BU6" s="298"/>
      <c r="BV6" s="298"/>
      <c r="BW6" s="298"/>
      <c r="BX6" s="298"/>
      <c r="BY6" s="298"/>
      <c r="BZ6" s="298"/>
      <c r="CA6" s="298"/>
      <c r="CB6" s="298"/>
      <c r="CC6" s="298"/>
      <c r="CD6" s="298"/>
      <c r="CE6" s="298"/>
      <c r="CF6" s="298"/>
      <c r="CG6" s="298"/>
      <c r="CH6" s="298"/>
      <c r="CI6" s="298"/>
      <c r="CJ6" s="298"/>
      <c r="CK6" s="298"/>
      <c r="CL6" s="298"/>
      <c r="CM6" s="298"/>
      <c r="CN6" s="298"/>
      <c r="CO6" s="298"/>
      <c r="CP6" s="298"/>
      <c r="CQ6" s="298"/>
      <c r="CR6" s="298"/>
      <c r="CS6" s="298"/>
      <c r="CT6" s="298"/>
      <c r="CU6" s="298"/>
      <c r="CV6" s="298"/>
      <c r="CW6" s="298"/>
      <c r="CX6" s="298"/>
      <c r="CY6" s="298"/>
      <c r="CZ6" s="298"/>
      <c r="DA6" s="298"/>
      <c r="DB6" s="298"/>
    </row>
    <row r="7" spans="2:238" ht="20.149999999999999" customHeight="1" thickBot="1" x14ac:dyDescent="0.4">
      <c r="B7" s="775">
        <v>0</v>
      </c>
      <c r="C7" s="42"/>
      <c r="D7" s="1969">
        <v>0</v>
      </c>
      <c r="E7" s="1969"/>
      <c r="F7" s="298"/>
      <c r="G7" s="298"/>
      <c r="H7" s="889"/>
      <c r="I7" s="940" t="s">
        <v>135</v>
      </c>
      <c r="J7" s="1966">
        <f>Summary!K6</f>
        <v>0</v>
      </c>
      <c r="K7" s="1967"/>
      <c r="L7" s="1967"/>
      <c r="M7" s="1967"/>
      <c r="N7" s="1967"/>
      <c r="O7" s="1970">
        <f>Summary!O6</f>
        <v>0</v>
      </c>
      <c r="P7" s="1970"/>
      <c r="Q7" s="818"/>
      <c r="R7" s="818"/>
      <c r="S7" s="1970">
        <f>Summary!P6</f>
        <v>0</v>
      </c>
      <c r="T7" s="1971"/>
      <c r="U7" s="298"/>
      <c r="V7" s="298"/>
      <c r="W7" s="298"/>
      <c r="X7" s="298"/>
      <c r="Y7" s="298"/>
      <c r="Z7" s="298"/>
      <c r="AA7" s="791" t="str">
        <f>Information!H6</f>
        <v>Approved by Edward:</v>
      </c>
      <c r="AB7" s="947"/>
      <c r="AC7" s="947"/>
      <c r="AD7" s="948"/>
      <c r="AE7" s="299"/>
      <c r="AF7" s="299"/>
      <c r="AH7" s="769"/>
      <c r="AI7"/>
      <c r="AN7" s="298"/>
      <c r="AO7" s="298"/>
      <c r="AP7" s="298"/>
      <c r="AQ7" s="298"/>
      <c r="AR7" s="298"/>
      <c r="AS7" s="298"/>
      <c r="AT7" s="298"/>
      <c r="AU7" s="298"/>
      <c r="AV7" s="298"/>
      <c r="AW7" s="298"/>
      <c r="AX7" s="298"/>
      <c r="AY7" s="298"/>
      <c r="AZ7" s="298"/>
      <c r="BA7" s="298"/>
      <c r="BB7" s="298"/>
      <c r="BC7" s="298"/>
      <c r="BD7" s="298"/>
      <c r="BE7" s="298"/>
      <c r="BF7" s="298"/>
      <c r="BG7" s="298"/>
      <c r="BI7" s="298"/>
      <c r="BJ7" s="298"/>
      <c r="BK7" s="298"/>
      <c r="BL7" s="298"/>
      <c r="BM7" s="298"/>
      <c r="BN7" s="298"/>
      <c r="BO7" s="298"/>
      <c r="BP7" s="298"/>
      <c r="BQ7" s="298"/>
      <c r="BR7" s="298"/>
      <c r="BS7" s="298"/>
      <c r="BT7" s="298"/>
      <c r="BU7" s="298"/>
      <c r="BV7" s="298"/>
      <c r="BW7" s="298"/>
      <c r="BX7" s="298"/>
      <c r="BY7" s="298"/>
      <c r="BZ7" s="298"/>
      <c r="CA7" s="298"/>
      <c r="CB7" s="298"/>
      <c r="CC7" s="298"/>
      <c r="CD7" s="298"/>
      <c r="CE7" s="298"/>
      <c r="CF7" s="298"/>
      <c r="CG7" s="298"/>
      <c r="CH7" s="298"/>
      <c r="CI7" s="298"/>
      <c r="CJ7" s="298"/>
      <c r="CK7" s="298"/>
      <c r="CL7" s="298"/>
      <c r="CM7" s="298"/>
      <c r="CN7" s="298"/>
      <c r="CO7" s="298"/>
      <c r="CP7" s="298"/>
      <c r="CQ7" s="298"/>
      <c r="CR7" s="298"/>
      <c r="CS7" s="298"/>
      <c r="CT7" s="298"/>
      <c r="CU7" s="298"/>
      <c r="CV7" s="298"/>
      <c r="CW7" s="298"/>
      <c r="CX7" s="298"/>
      <c r="CY7" s="298"/>
      <c r="CZ7" s="298"/>
      <c r="DA7" s="298"/>
      <c r="DB7" s="298"/>
    </row>
    <row r="8" spans="2:238" ht="20.149999999999999" customHeight="1" thickBot="1" x14ac:dyDescent="0.4">
      <c r="B8" s="776">
        <v>0</v>
      </c>
      <c r="C8" s="288"/>
      <c r="D8" s="1960">
        <v>0</v>
      </c>
      <c r="E8" s="1961"/>
      <c r="F8" s="306"/>
      <c r="G8" s="1962" t="s">
        <v>308</v>
      </c>
      <c r="H8" s="1963"/>
      <c r="I8" s="1963"/>
      <c r="J8" s="1972" t="str">
        <f>Pricing!A2</f>
        <v>Martin Marrieta</v>
      </c>
      <c r="K8" s="1972"/>
      <c r="L8" s="1972"/>
      <c r="M8" s="1972"/>
      <c r="N8" s="1972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9"/>
      <c r="AF8" s="299"/>
      <c r="AH8" s="769"/>
      <c r="AI8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I8" s="298"/>
      <c r="BJ8" s="298"/>
      <c r="BK8" s="298"/>
      <c r="BL8" s="298"/>
      <c r="BM8" s="298"/>
      <c r="BN8" s="298"/>
      <c r="BO8" s="298"/>
      <c r="BP8" s="298"/>
      <c r="BQ8" s="298"/>
      <c r="BR8" s="298"/>
      <c r="BS8" s="298"/>
      <c r="BT8" s="298"/>
      <c r="BU8" s="298"/>
      <c r="BV8" s="298"/>
      <c r="BW8" s="298"/>
      <c r="BX8" s="298"/>
      <c r="BY8" s="298"/>
      <c r="BZ8" s="298"/>
      <c r="CA8" s="298"/>
      <c r="CB8" s="298"/>
      <c r="CC8" s="298"/>
      <c r="CD8" s="298"/>
      <c r="CE8" s="298"/>
      <c r="CF8" s="298"/>
      <c r="CG8" s="298"/>
      <c r="CH8" s="298"/>
      <c r="CI8" s="298"/>
      <c r="CJ8" s="298"/>
      <c r="CK8" s="298"/>
      <c r="CL8" s="298"/>
      <c r="CM8" s="298"/>
      <c r="CN8" s="298"/>
      <c r="CO8" s="298"/>
      <c r="CP8" s="298"/>
      <c r="CQ8" s="298"/>
      <c r="CR8" s="298"/>
      <c r="CS8" s="298"/>
      <c r="CT8" s="298"/>
      <c r="CU8" s="298"/>
      <c r="CV8" s="298"/>
      <c r="CW8" s="298"/>
      <c r="CX8" s="298"/>
      <c r="CY8" s="298"/>
      <c r="CZ8" s="298"/>
      <c r="DA8" s="298"/>
      <c r="DB8" s="298"/>
    </row>
    <row r="9" spans="2:238" s="702" customFormat="1" ht="39" customHeight="1" x14ac:dyDescent="0.35">
      <c r="B9" s="1955" t="s">
        <v>47</v>
      </c>
      <c r="C9" s="1957" t="s">
        <v>648</v>
      </c>
      <c r="D9" s="1870" t="s">
        <v>346</v>
      </c>
      <c r="E9" s="1871"/>
      <c r="F9" s="1866" t="s">
        <v>569</v>
      </c>
      <c r="G9" s="1053" t="s">
        <v>586</v>
      </c>
      <c r="H9" s="1973" t="s">
        <v>568</v>
      </c>
      <c r="I9" s="1975" t="s">
        <v>35</v>
      </c>
      <c r="J9" s="1866" t="s">
        <v>600</v>
      </c>
      <c r="K9" s="1866" t="s">
        <v>493</v>
      </c>
      <c r="L9" s="1933" t="s">
        <v>53</v>
      </c>
      <c r="M9" s="1934"/>
      <c r="N9" s="1860" t="s">
        <v>725</v>
      </c>
      <c r="O9" s="2217" t="s">
        <v>1113</v>
      </c>
      <c r="P9" s="1982"/>
      <c r="Q9" s="1917" t="s">
        <v>1059</v>
      </c>
      <c r="R9" s="1918"/>
      <c r="S9" s="1917" t="s">
        <v>48</v>
      </c>
      <c r="T9" s="1917"/>
      <c r="U9" s="1917"/>
      <c r="V9" s="1917"/>
      <c r="W9" s="1917"/>
      <c r="X9" s="1917"/>
      <c r="Y9" s="1917"/>
      <c r="Z9" s="1917"/>
      <c r="AA9" s="1917"/>
      <c r="AB9" s="1918"/>
      <c r="AC9" s="1914" t="s">
        <v>349</v>
      </c>
      <c r="AD9" s="1912" t="s">
        <v>599</v>
      </c>
      <c r="AE9" s="1858" t="s">
        <v>410</v>
      </c>
      <c r="AF9" s="1840" t="s">
        <v>588</v>
      </c>
      <c r="AG9" s="1840" t="s">
        <v>1054</v>
      </c>
      <c r="AH9" s="1757"/>
      <c r="AI9" s="769"/>
      <c r="AV9" s="702" t="s">
        <v>519</v>
      </c>
      <c r="BI9" s="1063"/>
      <c r="CB9" s="702">
        <f>SUM(BZ29:CD29)</f>
        <v>0</v>
      </c>
      <c r="CO9" s="1058" t="s">
        <v>906</v>
      </c>
      <c r="CP9" s="1059" t="s">
        <v>1072</v>
      </c>
      <c r="CQ9" s="1059" t="s">
        <v>907</v>
      </c>
      <c r="CR9" s="1059" t="s">
        <v>908</v>
      </c>
      <c r="CS9" s="1059" t="s">
        <v>909</v>
      </c>
      <c r="CT9" s="1059" t="s">
        <v>1080</v>
      </c>
      <c r="CU9" s="1059" t="s">
        <v>1081</v>
      </c>
      <c r="CV9" s="1060" t="s">
        <v>910</v>
      </c>
      <c r="CW9" s="702" t="s">
        <v>92</v>
      </c>
      <c r="GA9" s="769"/>
      <c r="GB9" s="769"/>
      <c r="GC9" s="769"/>
      <c r="GD9" s="769"/>
      <c r="GE9" s="769"/>
      <c r="GF9" s="769"/>
      <c r="GG9" s="769"/>
      <c r="GH9" s="769"/>
      <c r="GI9" s="769"/>
      <c r="GJ9" s="769"/>
      <c r="GK9" s="769"/>
      <c r="GL9" s="769"/>
      <c r="GM9" s="769"/>
      <c r="GN9" s="769"/>
      <c r="GO9" s="769"/>
      <c r="GP9" s="769"/>
      <c r="GQ9" s="769"/>
      <c r="GR9" s="769"/>
      <c r="GS9" s="769"/>
      <c r="GT9" s="769"/>
      <c r="GU9" s="769"/>
      <c r="GV9" s="769"/>
      <c r="GW9" s="769"/>
      <c r="GX9" s="769"/>
      <c r="GY9" s="769"/>
      <c r="GZ9" s="769"/>
      <c r="HA9" s="769"/>
      <c r="HB9" s="769"/>
      <c r="HC9" s="769"/>
      <c r="HD9" s="769"/>
      <c r="HE9" s="769"/>
      <c r="HF9" s="769"/>
      <c r="HG9" s="769"/>
      <c r="HH9" s="769"/>
      <c r="HI9" s="769"/>
      <c r="HJ9" s="769"/>
      <c r="HK9" s="769"/>
      <c r="HL9" s="769"/>
      <c r="HM9" s="769"/>
      <c r="HN9" s="769"/>
      <c r="HO9" s="769"/>
      <c r="HP9" s="769"/>
      <c r="HQ9" s="769"/>
      <c r="HR9" s="769"/>
      <c r="HS9" s="769"/>
      <c r="HT9" s="769"/>
      <c r="HU9" s="769"/>
      <c r="HV9" s="769"/>
      <c r="HW9" s="769"/>
      <c r="HX9" s="769"/>
      <c r="HY9" s="769"/>
      <c r="HZ9" s="769"/>
      <c r="IA9" s="769"/>
      <c r="IB9" s="769"/>
      <c r="IC9" s="769"/>
      <c r="ID9" s="769"/>
    </row>
    <row r="10" spans="2:238" s="702" customFormat="1" ht="20.149999999999999" customHeight="1" thickBot="1" x14ac:dyDescent="0.4">
      <c r="B10" s="1956"/>
      <c r="C10" s="1958"/>
      <c r="D10" s="2218"/>
      <c r="E10" s="2219"/>
      <c r="F10" s="1867"/>
      <c r="G10" s="1634" t="s">
        <v>499</v>
      </c>
      <c r="H10" s="1974"/>
      <c r="I10" s="1976"/>
      <c r="J10" s="1867"/>
      <c r="K10" s="1867"/>
      <c r="L10" s="1398" t="s">
        <v>28</v>
      </c>
      <c r="M10" s="871" t="s">
        <v>576</v>
      </c>
      <c r="N10" s="1861"/>
      <c r="O10" s="1635" t="s">
        <v>47</v>
      </c>
      <c r="P10" s="871" t="s">
        <v>42</v>
      </c>
      <c r="Q10" s="1331" t="s">
        <v>47</v>
      </c>
      <c r="R10" s="1636" t="s">
        <v>42</v>
      </c>
      <c r="S10" s="1399" t="s">
        <v>47</v>
      </c>
      <c r="T10" s="1400" t="s">
        <v>42</v>
      </c>
      <c r="U10" s="1401" t="s">
        <v>47</v>
      </c>
      <c r="V10" s="1400" t="s">
        <v>42</v>
      </c>
      <c r="W10" s="1401" t="s">
        <v>47</v>
      </c>
      <c r="X10" s="1400" t="s">
        <v>42</v>
      </c>
      <c r="Y10" s="1401" t="s">
        <v>47</v>
      </c>
      <c r="Z10" s="1400" t="s">
        <v>42</v>
      </c>
      <c r="AA10" s="1399" t="s">
        <v>496</v>
      </c>
      <c r="AB10" s="1402" t="s">
        <v>42</v>
      </c>
      <c r="AC10" s="1915"/>
      <c r="AD10" s="1913"/>
      <c r="AE10" s="1859"/>
      <c r="AF10" s="1841"/>
      <c r="AG10" s="1841"/>
      <c r="AH10" s="1760"/>
      <c r="AI10" s="769"/>
      <c r="AO10" s="1839" t="s">
        <v>1059</v>
      </c>
      <c r="AP10" s="1839"/>
      <c r="AQ10" s="702" t="s">
        <v>582</v>
      </c>
      <c r="AY10" s="702" t="s">
        <v>516</v>
      </c>
      <c r="BD10" s="702" t="s">
        <v>82</v>
      </c>
      <c r="BE10" s="702" t="s">
        <v>580</v>
      </c>
      <c r="BF10" s="702" t="s">
        <v>578</v>
      </c>
      <c r="BG10" s="702" t="s">
        <v>587</v>
      </c>
      <c r="BH10" s="702" t="s">
        <v>386</v>
      </c>
      <c r="BI10" s="702" t="s">
        <v>227</v>
      </c>
      <c r="BJ10" s="702" t="s">
        <v>228</v>
      </c>
      <c r="BK10" s="702" t="s">
        <v>229</v>
      </c>
      <c r="BL10" s="702" t="s">
        <v>230</v>
      </c>
      <c r="BM10" s="702" t="s">
        <v>231</v>
      </c>
      <c r="BN10" s="702" t="s">
        <v>232</v>
      </c>
      <c r="BO10" s="702" t="s">
        <v>114</v>
      </c>
      <c r="BP10" s="702" t="s">
        <v>497</v>
      </c>
      <c r="BQ10" s="702" t="s">
        <v>590</v>
      </c>
      <c r="BR10" s="702" t="s">
        <v>585</v>
      </c>
      <c r="BT10" s="702" t="s">
        <v>98</v>
      </c>
      <c r="BU10" s="702" t="s">
        <v>80</v>
      </c>
      <c r="BW10" s="702" t="s">
        <v>589</v>
      </c>
      <c r="BX10" s="702" t="s">
        <v>106</v>
      </c>
      <c r="BY10" s="702" t="s">
        <v>82</v>
      </c>
      <c r="BZ10" s="702" t="s">
        <v>1073</v>
      </c>
      <c r="CA10" s="702" t="s">
        <v>222</v>
      </c>
      <c r="CB10" s="702" t="s">
        <v>355</v>
      </c>
      <c r="CC10" s="702" t="s">
        <v>405</v>
      </c>
      <c r="CD10" s="702" t="s">
        <v>33</v>
      </c>
      <c r="CE10" s="702" t="s">
        <v>360</v>
      </c>
      <c r="CF10" s="702" t="s">
        <v>67</v>
      </c>
      <c r="CG10" s="702" t="s">
        <v>148</v>
      </c>
      <c r="CH10" s="702" t="s">
        <v>370</v>
      </c>
      <c r="CI10" s="702" t="s">
        <v>500</v>
      </c>
      <c r="CJ10" s="702" t="s">
        <v>492</v>
      </c>
      <c r="CK10" s="702" t="s">
        <v>409</v>
      </c>
      <c r="CL10" s="702" t="s">
        <v>86</v>
      </c>
      <c r="CM10" s="702" t="s">
        <v>80</v>
      </c>
      <c r="CO10" s="1061" t="s">
        <v>904</v>
      </c>
      <c r="CP10" s="702" t="s">
        <v>904</v>
      </c>
      <c r="CQ10" s="702" t="s">
        <v>904</v>
      </c>
      <c r="CR10" s="702" t="s">
        <v>905</v>
      </c>
      <c r="CS10" s="702" t="s">
        <v>905</v>
      </c>
      <c r="CT10" s="702" t="s">
        <v>905</v>
      </c>
      <c r="CU10" s="702" t="s">
        <v>905</v>
      </c>
      <c r="CV10" s="1062"/>
      <c r="GA10" s="769"/>
      <c r="GB10" s="769"/>
      <c r="GC10" s="769"/>
      <c r="GD10" s="769"/>
      <c r="GE10" s="769"/>
      <c r="GF10" s="769"/>
      <c r="GG10" s="769"/>
      <c r="GH10" s="769"/>
      <c r="GI10" s="769"/>
      <c r="GJ10" s="769"/>
      <c r="GK10" s="769"/>
      <c r="GL10" s="769"/>
      <c r="GM10" s="769"/>
      <c r="GN10" s="769"/>
      <c r="GO10" s="769"/>
      <c r="GP10" s="769"/>
      <c r="GQ10" s="769"/>
      <c r="GR10" s="769"/>
      <c r="GS10" s="769"/>
      <c r="GT10" s="769"/>
      <c r="GU10" s="769"/>
      <c r="GV10" s="769"/>
      <c r="GW10" s="769"/>
      <c r="GX10" s="769"/>
      <c r="GY10" s="769"/>
      <c r="GZ10" s="769"/>
      <c r="HA10" s="769"/>
      <c r="HB10" s="769"/>
      <c r="HC10" s="769"/>
      <c r="HD10" s="769"/>
      <c r="HE10" s="769"/>
      <c r="HF10" s="769"/>
      <c r="HG10" s="769"/>
      <c r="HH10" s="769"/>
      <c r="HI10" s="769"/>
      <c r="HJ10" s="769"/>
      <c r="HK10" s="769"/>
      <c r="HL10" s="769"/>
      <c r="HM10" s="769"/>
      <c r="HN10" s="769"/>
      <c r="HO10" s="769"/>
      <c r="HP10" s="769"/>
      <c r="HQ10" s="769"/>
      <c r="HR10" s="769"/>
      <c r="HS10" s="769"/>
      <c r="HT10" s="769"/>
      <c r="HU10" s="769"/>
      <c r="HV10" s="769"/>
      <c r="HW10" s="769"/>
      <c r="HX10" s="769"/>
      <c r="HY10" s="769"/>
      <c r="HZ10" s="769"/>
      <c r="IA10" s="769"/>
      <c r="IB10" s="769"/>
      <c r="IC10" s="769"/>
      <c r="ID10" s="769"/>
    </row>
    <row r="11" spans="2:238" s="702" customFormat="1" ht="20.149999999999999" customHeight="1" x14ac:dyDescent="0.35">
      <c r="B11" s="193"/>
      <c r="C11" s="393"/>
      <c r="D11" s="1810"/>
      <c r="E11" s="1811"/>
      <c r="F11" s="121"/>
      <c r="G11" s="777"/>
      <c r="H11" s="214"/>
      <c r="I11" s="779"/>
      <c r="J11" s="127"/>
      <c r="K11" s="781"/>
      <c r="L11" s="30"/>
      <c r="M11" s="121"/>
      <c r="N11" s="394"/>
      <c r="O11" s="1788">
        <v>9</v>
      </c>
      <c r="P11" s="470"/>
      <c r="Q11" s="1789">
        <v>10</v>
      </c>
      <c r="R11" s="1782"/>
      <c r="S11" s="176">
        <v>1</v>
      </c>
      <c r="T11" s="555">
        <f t="shared" ref="T11:T26" si="0">K11</f>
        <v>0</v>
      </c>
      <c r="U11" s="1783">
        <v>2</v>
      </c>
      <c r="V11" s="1785"/>
      <c r="W11" s="1783">
        <v>3</v>
      </c>
      <c r="X11" s="1785"/>
      <c r="Y11" s="30">
        <v>4</v>
      </c>
      <c r="Z11" s="377"/>
      <c r="AA11" s="176">
        <v>5</v>
      </c>
      <c r="AB11" s="278"/>
      <c r="AC11" s="1380">
        <f>IF(BG11=0,0,SUM(BD11:BE11)/BG11)</f>
        <v>0</v>
      </c>
      <c r="AD11" s="906">
        <f>((D11*F11/324)*(1+K$71)+AV11)</f>
        <v>0</v>
      </c>
      <c r="AE11" s="1633">
        <f>IF(D11=0,0,AF11/D11)</f>
        <v>0</v>
      </c>
      <c r="AF11" s="155">
        <f>SUM(BW11)*(1+M$64+Summary!P$64)</f>
        <v>0</v>
      </c>
      <c r="AG11" s="632" t="e">
        <f t="shared" ref="AG11:AG48" si="1">D11/AD11</f>
        <v>#DIV/0!</v>
      </c>
      <c r="AH11" s="1758">
        <f>AF11*G11</f>
        <v>0</v>
      </c>
      <c r="AI11" s="769"/>
      <c r="AO11" s="702">
        <f t="shared" ref="AO11:AO48" si="2">IF(O11=1,P11*$T$52,0)+IF(O11=2,P11*$T$53,0)+IF(O11=3,P11*$T$54,0)+IF(O11=4,P11*$T$55,0)+IF(O11=5,P11*$T$56,0)+IF(O11=6,P11*$T$57,0)+IF(O11=7,P11*$T$58,0)+IF(O11=8,P11*$T$59,0)+IF(O11=9,P11*$T$60,0)+IF(O11=10,P11*$T$61,0)</f>
        <v>0</v>
      </c>
      <c r="AP11" s="702">
        <f>IF(Q11=1,R11*$T$52,0)+IF(Q11=2,R11*$T$53,0)+IF(Q11=3,R11*$T$54,0)+IF(Q11=4,R11*$T$55,0)+IF(Q11=5,R11*$T$56,0)+IF(Q11=6,R11*$T$57,0)+IF(Q11=7,R11*$T$58,0)+IF(Q11=8,R11*$T$59,0)+IF(Q11=9,R11*$T$60,0)+IF(Q11=10,R11*$T$61,0)</f>
        <v>0</v>
      </c>
      <c r="AQ11" s="702">
        <f t="shared" ref="AQ11:AQ48" si="3">IF(S11=1,T11*$T$52,0)+IF(S11=2,T11*$T$53,0)+IF(S11=3,T11*$T$54,0)+IF(S11=4,T11*$T$55,0)+IF(S11=5,T11*$T$56,0)+IF(S11=6,T11*$T$57,0)+IF(S11=7,T11*$T$58,0)+IF(S11=8,T11*$T$59,0)+IF(S11=9,T11*$T$60,0)+IF(S11=10,T11*$T$61,0)</f>
        <v>0</v>
      </c>
      <c r="AR11" s="702">
        <f t="shared" ref="AR11:AR48" si="4">IF(U11=1,V11*$T$52,0)+IF(U11=2,V11*$T$53,0)+IF(U11=3,V11*$T$54,0)+IF(U11=4,V11*$T$55,0)+IF(U11=5,V11*$T$56,0)+IF(U11=6,V11*$T$57,0)+IF(U11=7,V11*$T$58,0)+IF(U11=8,V11*$T$59,0)+IF(U11=9,V11*$T$60,0)+IF(U11=10,V11*$T$61,0)</f>
        <v>0</v>
      </c>
      <c r="AS11" s="702">
        <f t="shared" ref="AS11:AS48" si="5">IF(W11=1,X11*$T$52,0)+IF(W11=2,X11*$T$53,0)+IF(W11=3,X11*$T$54,0)+IF(W11=4,X11*$T$55,0)+IF(W11=5,X11*$T$56,0)+IF(W11=6,X11*$T$57,0)+IF(W11=7,X11*$T$58,0)+IF(W11=8,X11*$T$59,0)+IF(W11=9,X11*$T$60,0)+IF(W11=10,X11*$T$61,0)</f>
        <v>0</v>
      </c>
      <c r="AT11" s="702">
        <f t="shared" ref="AT11:AT48" si="6">IF(Y11=1,Z11*$T$52,0)+IF(Y11=2,Z11*$T$53,0)+IF(Y11=3,Z11*$T$54,0)+IF(Y11=4,Z11*$T$55,0)+IF(Y11=5,Z11*$T$56,0)+IF(Y11=6,Z11*$T$57,0)+IF(Y11=7,Z11*$T$58,0)+IF(Y11=8,Z11*$T$59,0)+IF(Y11=9,Z11*$T$60,0)+IF(Y11=10,Z11*$T$61,0)</f>
        <v>0</v>
      </c>
      <c r="AU11" s="702">
        <f t="shared" ref="AU11:AU48" si="7">IF(AA11=1,AB11*$T$52,0)+IF(AA11=2,AB11*$T$53,0)+IF(AA11=3,AB11*$T$54,0)+IF(AA11=4,AB11*$T$55,0)+IF(AA11=5,AB11*$T$56,0)+IF(AA11=6,AB11*$T$57,0)+IF(AA11=7,AB11*$T$58,0)+IF(AA11=8,AB11*$T$59,0)+IF(AA11=9,AB11*$T$60,0)+IF(AA11=10,AB11*$T$61,0)</f>
        <v>0</v>
      </c>
      <c r="AV11" s="1063">
        <f>SUM(AO11:AU11)</f>
        <v>0</v>
      </c>
      <c r="AW11" s="1063">
        <f t="shared" ref="AW11:AW48" si="8">ROUNDUP(IF(O11=1,P11*$P$52,0)+IF(O11=2,P11*$P$53,0)+IF(O11=3,P11*$P$54,0)+IF(O11=4,P11*$P$55,0)+IF(O11=5,P11*$P$56,0)+IF(O11=6,P11*$P$57,0)+IF(O11=7,P11*$P$58,0)+IF(O11=8,P11*$P$59,0)+IF(O11=9,P11*$P$60,0)+IF(O11=10,P11*$P$61,0),0)*BG11</f>
        <v>0</v>
      </c>
      <c r="AX11" s="702">
        <f>ROUNDUP(IF(Q11=1,R11*$P$52,0)+IF(Q11=2,R11*$P$53,0)+IF(Q11=3,R11*$P$54,0)+IF(Q11=4,R11*$P$55,0)+IF(Q11=5,R11*$P$56,0)+IF(Q11=6,R11*$P$57,0)+IF(Q11=7,R11*$P$58,0)+IF(Q11=8,R11*$P$59,0)+IF(Q11=9,R11*$P$60,0)+IF(Q11=10,R11*$P$61,0),0)</f>
        <v>0</v>
      </c>
      <c r="AY11" s="702">
        <f t="shared" ref="AY11:AY48" si="9">ROUNDUP(IF(S11=1,T11*$P$52,0)+IF(S11=2,T11*$P$53,0)+IF(S11=3,T11*$P$54,0)+IF(S11=4,T11*$P$55,0)+IF(S11=5,T11*$P$56,0)+IF(S11=6,T11*$P$57,0)+IF(S11=7,T11*$P$58,0)+IF(S11=8,T11*$P$59,0)+IF(S11=9,T11*$P$60,0)+IF(S11=10,T11*$P$61,0),0)</f>
        <v>0</v>
      </c>
      <c r="AZ11" s="702">
        <f t="shared" ref="AZ11:AZ48" si="10">ROUNDUP(IF(U11=1,V11*$P$52,0)+IF(U11=2,V11*$P$53,0)+IF(U11=3,V11*$P$54,0)+IF(U11=4,V11*$P$55,0)+IF(U11=5,V11*$P$56,0)+IF(U11=6,V11*$P$57,0)+IF(U11=7,V11*$P$58,0)+IF(U11=8,V11*$P$59,0)+IF(U11=9,V11*$P$60,0)+IF(U11=10,V11*$P$61,0),0)</f>
        <v>0</v>
      </c>
      <c r="BA11" s="702">
        <f t="shared" ref="BA11:BA48" si="11">ROUNDUP(IF(W11=1,X11*$P$52,0)+IF(W11=2,X11*$P$53,0)+IF(W11=3,X11*$P$54,0)+IF(W11=4,X11*$P$55,0)+IF(W11=5,X11*$P$56,0)+IF(W11=6,X11*$P$57,0)+IF(W11=7,X11*$P$58,0)+IF(W11=8,X11*$P$59,0)+IF(W11=9,X11*$P$60,0)+IF(W11=10,X11*$P$61,0),0)</f>
        <v>0</v>
      </c>
      <c r="BB11" s="702">
        <f t="shared" ref="BB11:BB48" si="12">ROUNDUP(IF(Y11=1,Z11*$P$52,0)+IF(Y11=2,Z11*$P$53,0)+IF(Y11=3,Z11*$P$54,0)+IF(Y11=4,Z11*$P$55,0)+IF(Y11=5,Z11*$P$56,0)+IF(Y11=6,Z11*$P$57,0)+IF(Y11=7,Z11*$P$58,0)+IF(Y11=8,Z11*$P$59,0)+IF(Y11=9,Z11*$P$60,0)+IF(Y11=10,Z11*$P$61,0),0)</f>
        <v>0</v>
      </c>
      <c r="BC11" s="702">
        <f t="shared" ref="BC11:BC48" si="13">ROUNDUP(IF(AA11=1,AB11*$P$52,0)+IF(AA11=2,AB11*$P$53,0)+IF(AA11=3,AB11*$P$54,0)+IF(AA11=4,AB11*$P$55,0)+IF(AA11=5,AB11*$P$56,0)+IF(AA11=6,AB11*$P$57,0)+IF(AA11=7,AB11*$P$58,0)+IF(AA11=8,AB11*$P$59,0)+IF(AA11=9,AB11*$P$60,0)+IF(AA11=10,AB11*$P$61,0),0)</f>
        <v>0</v>
      </c>
      <c r="BD11" s="1063">
        <f>SUM(AW11:BC11)*BG11</f>
        <v>0</v>
      </c>
      <c r="BE11" s="1064">
        <f t="shared" ref="BE11:BE48" si="14">IF(M11=0,0,(M11/12+M11/12)/(M11/12*M11/12)*D11*((L11/16*L11/16)*10.6870159))*(1+K$74)*BG11</f>
        <v>0</v>
      </c>
      <c r="BF11" s="1063">
        <f t="shared" ref="BF11:BF48" si="15">IF(N11="Y",D11*(1+K$75)*BG11,0)</f>
        <v>0</v>
      </c>
      <c r="BG11" s="1065">
        <f t="shared" ref="BG11:BG48" si="16">G11</f>
        <v>0</v>
      </c>
      <c r="BH11" s="702">
        <f t="shared" ref="BH11:BH48" si="17">IF(N11="y",D11,0)</f>
        <v>0</v>
      </c>
      <c r="BI11" s="1063">
        <f>IF($I11=1,$AD11,0)*BG11</f>
        <v>0</v>
      </c>
      <c r="BJ11" s="1063">
        <f t="shared" ref="BJ11:BJ48" si="18">IF($I11=2,$AD11,0)*BG11</f>
        <v>0</v>
      </c>
      <c r="BK11" s="1063">
        <f t="shared" ref="BK11:BK48" si="19">IF($I11=3,$AD11,0)*BG11</f>
        <v>0</v>
      </c>
      <c r="BL11" s="1063">
        <f t="shared" ref="BL11:BL48" si="20">IF($I11=4,$AD11,0)*BG11</f>
        <v>0</v>
      </c>
      <c r="BM11" s="1063">
        <f t="shared" ref="BM11:BM48" si="21">IF($I11=5,$AD11,0)*BG11</f>
        <v>0</v>
      </c>
      <c r="BN11" s="1064">
        <f>IF($I11=6,$AD11,0)*BG11</f>
        <v>0</v>
      </c>
      <c r="BO11" s="1761">
        <f>SUM(BI11:BN11)</f>
        <v>0</v>
      </c>
      <c r="BP11" s="1063">
        <f>IF(H11="N",0,D11)*BG11</f>
        <v>0</v>
      </c>
      <c r="BQ11" s="1064">
        <f t="shared" ref="BQ11:BQ48" si="22">K11*BG11</f>
        <v>0</v>
      </c>
      <c r="BR11" s="1063">
        <f t="shared" ref="BR11:BR48" si="23">IF(O11=1,D$52*P11/12,IF(O11=2,D$53*P11/12,IF(O11=3,D$54*P11/12,IF(O11=4,D$55*P11/12,IF(O11=5,D$56*P11/12,IF(O11=6,D$57*P11/12,IF(O11=7,D$58*P11/12,IF(O11=8,D$59*P11/12,IF(O11=9,D$60*P11/12,IF(O11=10,D$61*P11/12,0))))))*BG11))))</f>
        <v>0</v>
      </c>
      <c r="BS11" s="1063">
        <f>IF(Q11=1,D$52*R11/12,IF(Q11=2,D$53*R11/12,IF(Q11=3,D$54*R11/12,IF(Q11=4,D$55*R11/12,IF(Q11=5,D$56*R11/12,IF(Q11=6,D$57*R11/12,IF(Q11=7,D$58*R11/12,IF(Q11=8,D$59*R11/12,IF(Q11=9,D$60*R11/12,IF(Q11=10,D$61*R11/12,0))))))*BG11))))</f>
        <v>0</v>
      </c>
      <c r="BT11" s="1064">
        <f t="shared" ref="BT11:BT48" si="24">D11*BG11</f>
        <v>0</v>
      </c>
      <c r="BU11" s="1064">
        <f t="shared" ref="BU11:BU48" si="25">D11*J11/324*(1+K$77)*BG11</f>
        <v>0</v>
      </c>
      <c r="BV11" s="1064">
        <f>AC11*BG11</f>
        <v>0</v>
      </c>
      <c r="BW11" s="1066">
        <f>IF(BG11=0,0,SUM(BX11:CM11)/BG11)</f>
        <v>0</v>
      </c>
      <c r="BX11" s="1063">
        <f>(BI11*Pricing!F$2+BJ11*Pricing!G$2+BK11*Pricing!H$2+BL11*Pricing!I$2+BM11*Pricing!J$2+BN11*Pricing!K$2)*IF(AC$63="N",(1+AE$63),1)</f>
        <v>0</v>
      </c>
      <c r="BY11" s="1063">
        <f>AC11*G$74*IF(AC$63="n",1+AE$63,1)*BG11</f>
        <v>0</v>
      </c>
      <c r="BZ11" s="1063">
        <f>IF(I$83=0,0,D11*(SUM(L$83:M$86)+L$88)/I$83*BG11)</f>
        <v>0</v>
      </c>
      <c r="CA11" s="1063">
        <f>IF(I$83=0,0,D11*(SUM(O$83:P$86)+O$88)/I$83*BG11)</f>
        <v>0</v>
      </c>
      <c r="CB11" s="1067">
        <f>BR11+BS11*E$87</f>
        <v>0</v>
      </c>
      <c r="CD11" s="702">
        <f>BD11/2000*E$89</f>
        <v>0</v>
      </c>
      <c r="CE11" s="1063">
        <f t="shared" ref="CE11:CE48" si="26">IF(D$49=0,0,SUM(O$92:P$96)/D$49*D11)*BG11</f>
        <v>0</v>
      </c>
      <c r="CF11" s="1063">
        <f t="shared" ref="CF11:CF48" si="27">IF(D$49=0,0,SUM(AF$72:AF$99)/D$49*D11*BG11)</f>
        <v>0</v>
      </c>
      <c r="CG11" s="1063">
        <f t="shared" ref="CG11:CG48" si="28">IF(D$49=0,0,SUM(O$98:P$103)/D$49*D11)*BG11</f>
        <v>0</v>
      </c>
      <c r="CH11" s="702">
        <f t="shared" ref="CH11:CH48" si="29">IF(D$49=0,0,SUM(O$105:O$111)/D$49)*D11*BG11</f>
        <v>0</v>
      </c>
      <c r="CI11" s="1063">
        <f t="shared" ref="CI11:CI48" si="30">IF(D$49=0,0,SUM(AF$100:AF$111)/D$49*D11*BG11)</f>
        <v>0</v>
      </c>
      <c r="CJ11" s="702">
        <f t="shared" ref="CJ11:CJ48" si="31">IF(J$76&gt;0,J$76/D$49*D11*G11,BP11*(G$76*(1+AE$63)))</f>
        <v>0</v>
      </c>
      <c r="CK11" s="1063">
        <f t="shared" ref="CK11:CK48" si="32">IF(L$78=0,0,O$78/L$78)*AW11+IF(L$79=0,0,O$79/L$79)*BC11+IF(L$80=0,0,O$80/L$80)*BC11</f>
        <v>0</v>
      </c>
      <c r="CL11" s="704">
        <f t="shared" ref="CL11:CL48" si="33">BF11*G$75*IF(AC$63="Y",1,1+AE$63)</f>
        <v>0</v>
      </c>
      <c r="CM11" s="702">
        <f t="shared" ref="CM11:CM48" si="34">BU11*G$77*IF(AC$63="Y",1,1+AE$63)</f>
        <v>0</v>
      </c>
      <c r="CO11" s="1061">
        <f>IF(O11=1,P11*$AM$52,0)+IF(O11=2,P11*$AM$53,0)+IF(O11=3,P11*$AM$54,0)+IF(O11=4,P11*$AM$55,0)+IF(O11=5,P11*$AM$56,0)+IF(O11=6,P11*$AM$57,0)+IF(O11=7,P11*$AM$58,0)+IF(O11=8,P11*$AM$59,0)+IF(O11=9,P11*$AM$60,0)+IF(O11=10,P11*$AM$61,0)</f>
        <v>0</v>
      </c>
      <c r="CP11" s="702">
        <f>IF(Q11=1,R11*$AM$52,0)+IF(Q11=2,R11*$AM$53,0)+IF(Q11=3,R11*$AM$54,0)+IF(Q11=4,R11*$AM$55,0)+IF(Q11=5,R11*$AM$56,0)+IF(Q11=6,R11*$AM$57,0)+IF(Q11=7,R11*$AM$58,0)+IF(Q11=8,R11*$AM$59,0)+IF(Q11=9,R11*$AM$60,0)+IF(Q11=10,R11*$AM$61,0)</f>
        <v>0</v>
      </c>
      <c r="CQ11" s="702">
        <f>IF(S11=1,T11*$AM$52,0)+IF(S11=2,T11*$AM$53,0)+IF(S11=3,T11*$AM$54,0)+IF(S11=4,T11*$AM$55,0)+IF(S11=5,T11*$AM$56,0)+IF(S11=6,T11*$AM$57,0)+IF(S11=7,T11*$AM$58,0)+IF(S11=8,T11*$AM$59,0)+IF(S11=9,T11*$AM$60,0)+IF(S11=10,T11*$AM$61,0)</f>
        <v>0</v>
      </c>
      <c r="CR11" s="702">
        <f>IF(U11=1,V11*$AM$52,0)+IF(U11=2,V11*$AM$53,0)+IF(U11=3,V11*$AM$54,0)+IF(U11=4,V11*$AM$55,0)+IF(U11=5,V11*$AM$56,0)+IF(U11=6,V11*$AM$57,0)+IF(U11=7,V11*$AM$58,0)+IF(U11=8,V11*$AM$59,0)+IF(U11=9,V11*$AM$60,0)+IF(U11=10,V11*$AM$61,0)</f>
        <v>0</v>
      </c>
      <c r="CS11" s="702">
        <f>IF(W11=1,X11*$AM$52,0)+IF(W11=2,X11*$AM$53,0)+IF(W11=3,X11*$AM$54,0)+IF(W11=4,X11*$AM$55,0)+IF(W11=5,X11*$AM$56,0)+IF(W11=6,X11*$AM$57,0)+IF(W11=7,X11*$AM$58,0)+IF(W11=8,X11*$AM$59,0)+IF(W11=9,X11*$AM$60,0)+IF(W11=10,X11*$AM$61,0)</f>
        <v>0</v>
      </c>
      <c r="CT11" s="702">
        <f>IF(Y11=1,Z11*$AM$52,0)+IF(Y11=2,Z11*$AM$53,0)+IF(Y11=3,Z11*$AM$54,0)+IF(Y11=4,Z11*$AM$55,0)+IF(Y11=5,Z11*$AM$56,0)+IF(Y11=6,Z11*$AM$57,0)+IF(Y11=7,Z11*$AM$58,0)+IF(Y11=8,Z11*$AM$59,0)+IF(Y11=9,Z11*$AM$60,0)+IF(Y11=10,Z11*$AM$61,0)</f>
        <v>0</v>
      </c>
      <c r="CU11" s="702">
        <f>IF(AA11=1,AB11*$AM$52,0)+IF(AA11=2,AB11*$AM$53,0)+IF(AA11=3,AB11*$AM$54,0)+IF(AA11=4,AB11*$AM$55,0)+IF(AA11=5,AB11*$AM$56,0)+IF(AA11=6,AB11*$AM$57,0)+IF(AA11=7,AB11*$AM$58,0)+IF(AA11=8,AB11*$AM$59,0)+IF(AA11=9,AB11*$AM$60,0)+IF(AA11=10,AB11*$AM$61,0)</f>
        <v>0</v>
      </c>
      <c r="CV11" s="1068">
        <f t="shared" ref="CV11:CV48" si="35">D11</f>
        <v>0</v>
      </c>
      <c r="CW11" s="1064">
        <f>SUM(CO11:CV11)*BG11</f>
        <v>0</v>
      </c>
      <c r="FU11" s="701"/>
      <c r="FV11" s="701"/>
      <c r="FW11" s="701"/>
      <c r="FX11" s="701"/>
      <c r="FY11" s="701"/>
      <c r="FZ11" s="701"/>
      <c r="GA11" s="701"/>
      <c r="GB11" s="701"/>
      <c r="GC11" s="701"/>
      <c r="GD11" s="701"/>
      <c r="GE11" s="701"/>
      <c r="GF11" s="701"/>
      <c r="GG11" s="701"/>
      <c r="GH11" s="701"/>
      <c r="GI11" s="701"/>
      <c r="GJ11" s="701"/>
      <c r="GK11" s="701"/>
      <c r="GL11" s="701"/>
      <c r="GM11" s="701"/>
      <c r="GN11" s="701"/>
      <c r="GO11" s="701"/>
      <c r="GP11" s="701"/>
      <c r="GQ11" s="701"/>
      <c r="GR11" s="701"/>
      <c r="GS11" s="701"/>
      <c r="GT11" s="701"/>
      <c r="GU11" s="701"/>
      <c r="GV11" s="701"/>
      <c r="GW11" s="701"/>
      <c r="GX11" s="701"/>
      <c r="GY11" s="701"/>
      <c r="GZ11" s="701"/>
      <c r="HA11" s="701"/>
      <c r="HB11" s="701"/>
      <c r="HC11" s="701"/>
      <c r="HD11" s="701"/>
      <c r="HE11" s="701"/>
      <c r="HF11" s="701"/>
      <c r="HG11" s="701"/>
      <c r="HH11" s="701"/>
      <c r="HI11" s="701"/>
      <c r="HJ11" s="701"/>
      <c r="HK11" s="701"/>
      <c r="HL11" s="701"/>
      <c r="HM11" s="701"/>
      <c r="HN11" s="701"/>
      <c r="HO11" s="701"/>
      <c r="HP11" s="701"/>
      <c r="HQ11" s="701"/>
      <c r="HR11" s="701"/>
      <c r="HS11" s="701"/>
      <c r="HT11" s="701"/>
      <c r="HU11" s="701"/>
      <c r="HV11" s="701"/>
      <c r="HW11" s="701"/>
      <c r="HX11" s="701"/>
    </row>
    <row r="12" spans="2:238" s="702" customFormat="1" ht="20.149999999999999" customHeight="1" x14ac:dyDescent="0.35">
      <c r="B12" s="398"/>
      <c r="C12" s="396"/>
      <c r="D12" s="1812"/>
      <c r="E12" s="1813"/>
      <c r="F12" s="211"/>
      <c r="G12" s="777"/>
      <c r="H12" s="97"/>
      <c r="I12" s="779"/>
      <c r="J12" s="97"/>
      <c r="K12" s="781"/>
      <c r="L12" s="32"/>
      <c r="M12" s="211"/>
      <c r="N12" s="397"/>
      <c r="O12" s="1788">
        <v>9</v>
      </c>
      <c r="P12" s="470"/>
      <c r="Q12" s="1789">
        <v>10</v>
      </c>
      <c r="R12" s="1782"/>
      <c r="S12" s="180">
        <v>1</v>
      </c>
      <c r="T12" s="554">
        <f t="shared" si="0"/>
        <v>0</v>
      </c>
      <c r="U12" s="810">
        <v>2</v>
      </c>
      <c r="V12" s="1784"/>
      <c r="W12" s="810">
        <v>3</v>
      </c>
      <c r="X12" s="1784"/>
      <c r="Y12" s="32">
        <v>4</v>
      </c>
      <c r="Z12" s="371"/>
      <c r="AA12" s="180">
        <v>5</v>
      </c>
      <c r="AB12" s="280"/>
      <c r="AC12" s="1380">
        <f>IF(BG12=0,0,SUM(BD12:BE12)/BG12)</f>
        <v>0</v>
      </c>
      <c r="AD12" s="906">
        <f t="shared" ref="AD12:AD48" si="36">(D12*F12/324)*(1+K$71)+AV12</f>
        <v>0</v>
      </c>
      <c r="AE12" s="794">
        <f t="shared" ref="AE12:AE48" si="37">IF(D12=0,0,AF12/D12)</f>
        <v>0</v>
      </c>
      <c r="AF12" s="155">
        <f>SUM(BW12)*(1+M$64+Summary!P$64)</f>
        <v>0</v>
      </c>
      <c r="AG12" s="632" t="e">
        <f t="shared" si="1"/>
        <v>#DIV/0!</v>
      </c>
      <c r="AH12" s="1758">
        <f t="shared" ref="AH12:AH48" si="38">AF12*G12</f>
        <v>0</v>
      </c>
      <c r="AI12" s="769"/>
      <c r="AO12" s="702">
        <f t="shared" si="2"/>
        <v>0</v>
      </c>
      <c r="AP12" s="702">
        <f t="shared" ref="AP12:AP48" si="39">IF(Q12=1,R12*$T$52,0)+IF(Q12=2,R12*$T$53,0)+IF(Q12=3,R12*$T$54,0)+IF(Q12=4,R12*$T$55,0)+IF(Q12=5,R12*$T$56,0)+IF(Q12=6,R12*$T$57,0)+IF(Q12=7,R12*$T$58,0)+IF(Q12=8,R12*$T$59,0)+IF(Q12=9,R12*$T$60,0)+IF(Q12=10,R12*$T$61,0)</f>
        <v>0</v>
      </c>
      <c r="AQ12" s="702">
        <f t="shared" si="3"/>
        <v>0</v>
      </c>
      <c r="AR12" s="702">
        <f t="shared" si="4"/>
        <v>0</v>
      </c>
      <c r="AS12" s="702">
        <f t="shared" si="5"/>
        <v>0</v>
      </c>
      <c r="AT12" s="702">
        <f t="shared" si="6"/>
        <v>0</v>
      </c>
      <c r="AU12" s="702">
        <f t="shared" si="7"/>
        <v>0</v>
      </c>
      <c r="AV12" s="1063">
        <f t="shared" ref="AV12:AV48" si="40">SUM(AO12:AU12)</f>
        <v>0</v>
      </c>
      <c r="AW12" s="1063">
        <f t="shared" si="8"/>
        <v>0</v>
      </c>
      <c r="AX12" s="702">
        <f t="shared" ref="AX12:AX48" si="41">ROUNDUP(IF(Q12=1,R12*$P$52,0)+IF(Q12=2,R12*$P$53,0)+IF(Q12=3,R12*$P$54,0)+IF(Q12=4,R12*$P$55,0)+IF(Q12=5,R12*$P$56,0)+IF(Q12=6,R12*$P$57,0)+IF(Q12=7,R12*$P$58,0)+IF(Q12=8,R12*$P$59,0)+IF(Q12=9,R12*$P$60,0)+IF(Q12=10,R12*$P$61,0),0)</f>
        <v>0</v>
      </c>
      <c r="AY12" s="702">
        <f t="shared" si="9"/>
        <v>0</v>
      </c>
      <c r="AZ12" s="702">
        <f t="shared" si="10"/>
        <v>0</v>
      </c>
      <c r="BA12" s="702">
        <f t="shared" si="11"/>
        <v>0</v>
      </c>
      <c r="BB12" s="702">
        <f t="shared" si="12"/>
        <v>0</v>
      </c>
      <c r="BC12" s="702">
        <f t="shared" si="13"/>
        <v>0</v>
      </c>
      <c r="BD12" s="1063">
        <f t="shared" ref="BD12:BD48" si="42">SUM(AW12:BC12)*BG12</f>
        <v>0</v>
      </c>
      <c r="BE12" s="1064">
        <f t="shared" si="14"/>
        <v>0</v>
      </c>
      <c r="BF12" s="1063">
        <f t="shared" si="15"/>
        <v>0</v>
      </c>
      <c r="BG12" s="1065">
        <f t="shared" si="16"/>
        <v>0</v>
      </c>
      <c r="BH12" s="702">
        <f t="shared" si="17"/>
        <v>0</v>
      </c>
      <c r="BI12" s="1063">
        <f t="shared" ref="BI12:BI48" si="43">IF($I12=1,$AD12,0)*BG12</f>
        <v>0</v>
      </c>
      <c r="BJ12" s="1063">
        <f t="shared" si="18"/>
        <v>0</v>
      </c>
      <c r="BK12" s="1063">
        <f t="shared" si="19"/>
        <v>0</v>
      </c>
      <c r="BL12" s="1063">
        <f t="shared" si="20"/>
        <v>0</v>
      </c>
      <c r="BM12" s="1063">
        <f t="shared" si="21"/>
        <v>0</v>
      </c>
      <c r="BN12" s="1064">
        <f t="shared" ref="BN12:BN48" si="44">IF($I12=6,$AD12,0)*BG12</f>
        <v>0</v>
      </c>
      <c r="BO12" s="1761">
        <f t="shared" ref="BO12:BO48" si="45">SUM(BI12:BN12)</f>
        <v>0</v>
      </c>
      <c r="BP12" s="1063">
        <f t="shared" ref="BP12:BP48" si="46">IF(H12="N",0,D12)*BG12</f>
        <v>0</v>
      </c>
      <c r="BQ12" s="1064">
        <f t="shared" si="22"/>
        <v>0</v>
      </c>
      <c r="BR12" s="1063">
        <f t="shared" si="23"/>
        <v>0</v>
      </c>
      <c r="BS12" s="1063">
        <f t="shared" ref="BS12:BS48" si="47">IF(Q12=1,D$52*R12/12,IF(Q12=2,D$53*R12/12,IF(Q12=3,D$54*R12/12,IF(Q12=4,D$55*R12/12,IF(Q12=5,D$56*R12/12,IF(Q12=6,D$57*R12/12,IF(Q12=7,D$58*R12/12,IF(Q12=8,D$59*R12/12,IF(Q12=9,D$60*R12/12,IF(Q12=10,D$61*R12/12,0))))))*BG12))))</f>
        <v>0</v>
      </c>
      <c r="BT12" s="1064">
        <f t="shared" si="24"/>
        <v>0</v>
      </c>
      <c r="BU12" s="1064">
        <f t="shared" si="25"/>
        <v>0</v>
      </c>
      <c r="BV12" s="1064">
        <f t="shared" ref="BV12:BV48" si="48">AC12*BG12</f>
        <v>0</v>
      </c>
      <c r="BW12" s="1066">
        <f t="shared" ref="BW12:BW48" si="49">IF(BG12=0,0,SUM(BX12:CM12)/BG12)</f>
        <v>0</v>
      </c>
      <c r="BX12" s="1063">
        <f>(BI12*Pricing!F$2+BJ12*Pricing!G$2+BK12*Pricing!H$2+BL12*Pricing!I$2+BM12*Pricing!J$2+BN12*Pricing!K$2)*IF(AC$63="N",(1+AE$63),1)</f>
        <v>0</v>
      </c>
      <c r="BY12" s="1063">
        <f t="shared" ref="BY12:BY48" si="50">AC12*G$74*IF(AC$63="n",1+AE$63,1)*BG12</f>
        <v>0</v>
      </c>
      <c r="BZ12" s="1063">
        <f t="shared" ref="BZ12:BZ48" si="51">IF(I$83=0,0,D12*(SUM(L$83:M$86)+L$88)/I$83*BG12)</f>
        <v>0</v>
      </c>
      <c r="CA12" s="1063">
        <f t="shared" ref="CA12:CA48" si="52">IF(I$83=0,0,D12*(SUM(O$83:P$86)+O$88)/I$83*BG12)</f>
        <v>0</v>
      </c>
      <c r="CB12" s="1067">
        <f t="shared" ref="CB12:CB48" si="53">BR12+BS12*E$87</f>
        <v>0</v>
      </c>
      <c r="CD12" s="702">
        <f t="shared" ref="CD12:CD48" si="54">BD12/2000*E$89</f>
        <v>0</v>
      </c>
      <c r="CE12" s="1063">
        <f t="shared" si="26"/>
        <v>0</v>
      </c>
      <c r="CF12" s="1063">
        <f t="shared" si="27"/>
        <v>0</v>
      </c>
      <c r="CG12" s="1063">
        <f t="shared" si="28"/>
        <v>0</v>
      </c>
      <c r="CH12" s="702">
        <f t="shared" si="29"/>
        <v>0</v>
      </c>
      <c r="CI12" s="1063">
        <f t="shared" si="30"/>
        <v>0</v>
      </c>
      <c r="CJ12" s="702">
        <f t="shared" si="31"/>
        <v>0</v>
      </c>
      <c r="CK12" s="1063">
        <f t="shared" si="32"/>
        <v>0</v>
      </c>
      <c r="CL12" s="704">
        <f t="shared" si="33"/>
        <v>0</v>
      </c>
      <c r="CM12" s="702">
        <f t="shared" si="34"/>
        <v>0</v>
      </c>
      <c r="CO12" s="1061">
        <f t="shared" ref="CO12:CO48" si="55">IF(O12=1,P12*$AM$52,0)+IF(O12=2,P12*$AM$53,0)+IF(O12=3,P12*$AM$54,0)+IF(O12=4,P12*$AM$55,0)+IF(O12=5,P12*$AM$56,0)+IF(O12=6,P12*$AM$57,0)+IF(O12=7,P12*$AM$58,0)+IF(O12=8,P12*$AM$59,0)+IF(O12=9,P12*$AM$60,0)+IF(O12=10,P12*$AM$61,0)</f>
        <v>0</v>
      </c>
      <c r="CP12" s="702">
        <f t="shared" ref="CP12:CP48" si="56">IF(Q12=1,R12*$AM$52,0)+IF(Q12=2,R12*$AM$53,0)+IF(Q12=3,R12*$AM$54,0)+IF(Q12=4,R12*$AM$55,0)+IF(Q12=5,R12*$AM$56,0)+IF(Q12=6,R12*$AM$57,0)+IF(Q12=7,R12*$AM$58,0)+IF(Q12=8,R12*$AM$59,0)+IF(Q12=9,R12*$AM$60,0)+IF(Q12=10,R12*$AM$61,0)</f>
        <v>0</v>
      </c>
      <c r="CQ12" s="702">
        <f t="shared" ref="CQ12:CQ48" si="57">IF(S12=1,T12*$AM$52,0)+IF(S12=2,T12*$AM$53,0)+IF(S12=3,T12*$AM$54,0)+IF(S12=4,T12*$AM$55,0)+IF(S12=5,T12*$AM$56,0)+IF(S12=6,T12*$AM$57,0)+IF(S12=7,T12*$AM$58,0)+IF(S12=8,T12*$AM$59,0)+IF(S12=9,T12*$AM$60,0)+IF(S12=10,T12*$AM$61,0)</f>
        <v>0</v>
      </c>
      <c r="CR12" s="702">
        <f>IF(U12=1,V12*$AM$52,0)+IF(U12=2,V12*$AM$53,0)+IF(U12=3,V12*$AM$54,0)+IF(U12=4,V12*$AM$55,0)+IF(U12=5,V12*$AM$56,0)+IF(U12=6,V12*$AM$57,0)+IF(U12=7,V12*$AM$58,0)+IF(U12=8,V12*$AM$59,0)+IF(U12=9,V12*$AM$60,0)+IF(U12=10,V12*$AM$61,0)</f>
        <v>0</v>
      </c>
      <c r="CS12" s="702">
        <f t="shared" ref="CS12:CS48" si="58">IF(W12=1,X12*$AM$52,0)+IF(W12=2,X12*$AM$53,0)+IF(W12=3,X12*$AM$54,0)+IF(W12=4,X12*$AM$55,0)+IF(W12=5,X12*$AM$56,0)+IF(W12=6,X12*$AM$57,0)+IF(W12=7,X12*$AM$58,0)+IF(W12=8,X12*$AM$59,0)+IF(W12=9,X12*$AM$60,0)+IF(W12=10,X12*$AM$61,0)</f>
        <v>0</v>
      </c>
      <c r="CT12" s="702">
        <f t="shared" ref="CT12:CT48" si="59">IF(Y12=1,Z12*$AM$52,0)+IF(Y12=2,Z12*$AM$53,0)+IF(Y12=3,Z12*$AM$54,0)+IF(Y12=4,Z12*$AM$55,0)+IF(Y12=5,Z12*$AM$56,0)+IF(Y12=6,Z12*$AM$57,0)+IF(Y12=7,Z12*$AM$58,0)+IF(Y12=8,Z12*$AM$59,0)+IF(Y12=9,Z12*$AM$60,0)+IF(Y12=10,Z12*$AM$61,0)</f>
        <v>0</v>
      </c>
      <c r="CU12" s="702">
        <f t="shared" ref="CU12:CU48" si="60">IF(AA12=1,AB12*$AM$52,0)+IF(AA12=2,AB12*$AM$53,0)+IF(AA12=3,AB12*$AM$54,0)+IF(AA12=4,AB12*$AM$55,0)+IF(AA12=5,AB12*$AM$56,0)+IF(AA12=6,AB12*$AM$57,0)+IF(AA12=7,AB12*$AM$58,0)+IF(AA12=8,AB12*$AM$59,0)+IF(AA12=9,AB12*$AM$60,0)+IF(AA12=10,AB12*$AM$61,0)</f>
        <v>0</v>
      </c>
      <c r="CV12" s="1068">
        <f t="shared" si="35"/>
        <v>0</v>
      </c>
      <c r="CW12" s="1064">
        <f t="shared" ref="CW12:CW48" si="61">SUM(CO12:CV12)*BG12</f>
        <v>0</v>
      </c>
      <c r="FX12" s="701"/>
      <c r="FY12" s="701"/>
      <c r="FZ12" s="701"/>
      <c r="GA12" s="701"/>
      <c r="GB12" s="701"/>
      <c r="GC12" s="701"/>
      <c r="GD12" s="701"/>
      <c r="GE12" s="701"/>
      <c r="GF12" s="701"/>
      <c r="GG12" s="701"/>
      <c r="GH12" s="701"/>
      <c r="GI12" s="701"/>
      <c r="GJ12" s="701"/>
      <c r="GK12" s="701"/>
      <c r="GL12" s="701"/>
      <c r="GM12" s="701"/>
      <c r="GN12" s="701"/>
      <c r="GO12" s="701"/>
      <c r="GP12" s="701"/>
      <c r="GQ12" s="701"/>
      <c r="GR12" s="701"/>
      <c r="GS12" s="701"/>
      <c r="GT12" s="701"/>
      <c r="GU12" s="701"/>
      <c r="GV12" s="701"/>
      <c r="GW12" s="701"/>
      <c r="GX12" s="701"/>
      <c r="GY12" s="701"/>
      <c r="GZ12" s="701"/>
      <c r="HA12" s="701"/>
      <c r="HB12" s="701"/>
      <c r="HC12" s="701"/>
      <c r="HD12" s="701"/>
      <c r="HE12" s="701"/>
      <c r="HF12" s="701"/>
      <c r="HG12" s="701"/>
      <c r="HH12" s="701"/>
      <c r="HI12" s="701"/>
      <c r="HJ12" s="701"/>
      <c r="HK12" s="701"/>
      <c r="HL12" s="701"/>
      <c r="HM12" s="701"/>
      <c r="HN12" s="701"/>
      <c r="HO12" s="701"/>
      <c r="HP12" s="701"/>
      <c r="HQ12" s="701"/>
      <c r="HR12" s="701"/>
      <c r="HS12" s="701"/>
      <c r="HT12" s="701"/>
      <c r="HU12" s="701"/>
      <c r="HV12" s="701"/>
      <c r="HW12" s="701"/>
      <c r="HX12" s="701"/>
      <c r="HY12" s="701"/>
      <c r="HZ12" s="701"/>
      <c r="IA12" s="701"/>
    </row>
    <row r="13" spans="2:238" s="702" customFormat="1" ht="20.149999999999999" customHeight="1" x14ac:dyDescent="0.35">
      <c r="B13" s="193"/>
      <c r="C13" s="393"/>
      <c r="D13" s="1806"/>
      <c r="E13" s="1807"/>
      <c r="F13" s="127"/>
      <c r="G13" s="777"/>
      <c r="H13" s="214"/>
      <c r="I13" s="779"/>
      <c r="J13" s="127"/>
      <c r="K13" s="781"/>
      <c r="L13" s="30"/>
      <c r="M13" s="121"/>
      <c r="N13" s="394"/>
      <c r="O13" s="207">
        <v>9</v>
      </c>
      <c r="P13" s="31"/>
      <c r="Q13" s="1783">
        <v>10</v>
      </c>
      <c r="R13" s="723"/>
      <c r="S13" s="176">
        <v>1</v>
      </c>
      <c r="T13" s="555">
        <f t="shared" si="0"/>
        <v>0</v>
      </c>
      <c r="U13" s="31">
        <v>2</v>
      </c>
      <c r="V13" s="531"/>
      <c r="W13" s="31">
        <v>3</v>
      </c>
      <c r="X13" s="531"/>
      <c r="Y13" s="31">
        <v>4</v>
      </c>
      <c r="Z13" s="531"/>
      <c r="AA13" s="178">
        <v>5</v>
      </c>
      <c r="AB13" s="279"/>
      <c r="AC13" s="1380">
        <f t="shared" ref="AC13:AC31" si="62">IF(BG13=0,0,SUM(BD13:BE13)/BG13)</f>
        <v>0</v>
      </c>
      <c r="AD13" s="906">
        <f t="shared" si="36"/>
        <v>0</v>
      </c>
      <c r="AE13" s="794">
        <f t="shared" si="37"/>
        <v>0</v>
      </c>
      <c r="AF13" s="282">
        <f>SUM(BW13)*(1+M$64+Summary!P$64)</f>
        <v>0</v>
      </c>
      <c r="AG13" s="632" t="e">
        <f t="shared" si="1"/>
        <v>#DIV/0!</v>
      </c>
      <c r="AH13" s="1758">
        <f t="shared" si="38"/>
        <v>0</v>
      </c>
      <c r="AI13" s="769"/>
      <c r="AO13" s="702">
        <f t="shared" si="2"/>
        <v>0</v>
      </c>
      <c r="AP13" s="702">
        <f t="shared" si="39"/>
        <v>0</v>
      </c>
      <c r="AQ13" s="702">
        <f t="shared" si="3"/>
        <v>0</v>
      </c>
      <c r="AR13" s="702">
        <f t="shared" si="4"/>
        <v>0</v>
      </c>
      <c r="AS13" s="702">
        <f t="shared" si="5"/>
        <v>0</v>
      </c>
      <c r="AT13" s="702">
        <f t="shared" si="6"/>
        <v>0</v>
      </c>
      <c r="AU13" s="702">
        <f t="shared" si="7"/>
        <v>0</v>
      </c>
      <c r="AV13" s="1063">
        <f t="shared" si="40"/>
        <v>0</v>
      </c>
      <c r="AW13" s="1063">
        <f t="shared" si="8"/>
        <v>0</v>
      </c>
      <c r="AX13" s="702">
        <f t="shared" si="41"/>
        <v>0</v>
      </c>
      <c r="AY13" s="702">
        <f t="shared" si="9"/>
        <v>0</v>
      </c>
      <c r="AZ13" s="702">
        <f t="shared" si="10"/>
        <v>0</v>
      </c>
      <c r="BA13" s="702">
        <f t="shared" si="11"/>
        <v>0</v>
      </c>
      <c r="BB13" s="702">
        <f t="shared" si="12"/>
        <v>0</v>
      </c>
      <c r="BC13" s="702">
        <f t="shared" si="13"/>
        <v>0</v>
      </c>
      <c r="BD13" s="1063">
        <f t="shared" si="42"/>
        <v>0</v>
      </c>
      <c r="BE13" s="1064">
        <f t="shared" si="14"/>
        <v>0</v>
      </c>
      <c r="BF13" s="1063">
        <f t="shared" si="15"/>
        <v>0</v>
      </c>
      <c r="BG13" s="1065">
        <f t="shared" si="16"/>
        <v>0</v>
      </c>
      <c r="BH13" s="702">
        <f t="shared" si="17"/>
        <v>0</v>
      </c>
      <c r="BI13" s="1063">
        <f t="shared" si="43"/>
        <v>0</v>
      </c>
      <c r="BJ13" s="1063">
        <f t="shared" si="18"/>
        <v>0</v>
      </c>
      <c r="BK13" s="1063">
        <f t="shared" si="19"/>
        <v>0</v>
      </c>
      <c r="BL13" s="1063">
        <f t="shared" si="20"/>
        <v>0</v>
      </c>
      <c r="BM13" s="1063">
        <f t="shared" si="21"/>
        <v>0</v>
      </c>
      <c r="BN13" s="1064">
        <f t="shared" si="44"/>
        <v>0</v>
      </c>
      <c r="BO13" s="1761">
        <f t="shared" si="45"/>
        <v>0</v>
      </c>
      <c r="BP13" s="1063">
        <f t="shared" si="46"/>
        <v>0</v>
      </c>
      <c r="BQ13" s="1064">
        <f t="shared" si="22"/>
        <v>0</v>
      </c>
      <c r="BR13" s="1063">
        <f t="shared" si="23"/>
        <v>0</v>
      </c>
      <c r="BS13" s="1063">
        <f t="shared" si="47"/>
        <v>0</v>
      </c>
      <c r="BT13" s="1064">
        <f t="shared" si="24"/>
        <v>0</v>
      </c>
      <c r="BU13" s="1064">
        <f t="shared" si="25"/>
        <v>0</v>
      </c>
      <c r="BV13" s="1064">
        <f t="shared" si="48"/>
        <v>0</v>
      </c>
      <c r="BW13" s="1066">
        <f t="shared" si="49"/>
        <v>0</v>
      </c>
      <c r="BX13" s="1063">
        <f>(BI13*Pricing!F$2+BJ13*Pricing!G$2+BK13*Pricing!H$2+BL13*Pricing!I$2+BM13*Pricing!J$2+BN13*Pricing!K$2)*IF(AC$63="N",(1+AE$63),1)</f>
        <v>0</v>
      </c>
      <c r="BY13" s="1063">
        <f t="shared" si="50"/>
        <v>0</v>
      </c>
      <c r="BZ13" s="1063">
        <f t="shared" si="51"/>
        <v>0</v>
      </c>
      <c r="CA13" s="1063">
        <f t="shared" si="52"/>
        <v>0</v>
      </c>
      <c r="CB13" s="1067">
        <f t="shared" si="53"/>
        <v>0</v>
      </c>
      <c r="CD13" s="702">
        <f t="shared" si="54"/>
        <v>0</v>
      </c>
      <c r="CE13" s="1063">
        <f t="shared" si="26"/>
        <v>0</v>
      </c>
      <c r="CF13" s="1063">
        <f t="shared" si="27"/>
        <v>0</v>
      </c>
      <c r="CG13" s="1063">
        <f t="shared" si="28"/>
        <v>0</v>
      </c>
      <c r="CH13" s="702">
        <f t="shared" si="29"/>
        <v>0</v>
      </c>
      <c r="CI13" s="1063">
        <f t="shared" si="30"/>
        <v>0</v>
      </c>
      <c r="CJ13" s="702">
        <f t="shared" si="31"/>
        <v>0</v>
      </c>
      <c r="CK13" s="1063">
        <f t="shared" si="32"/>
        <v>0</v>
      </c>
      <c r="CL13" s="704">
        <f t="shared" si="33"/>
        <v>0</v>
      </c>
      <c r="CM13" s="702">
        <f t="shared" si="34"/>
        <v>0</v>
      </c>
      <c r="CO13" s="1061">
        <f t="shared" si="55"/>
        <v>0</v>
      </c>
      <c r="CP13" s="702">
        <f t="shared" si="56"/>
        <v>0</v>
      </c>
      <c r="CQ13" s="702">
        <f t="shared" si="57"/>
        <v>0</v>
      </c>
      <c r="CR13" s="702">
        <f t="shared" ref="CR13:CR48" si="63">IF(U13=1,V13*$AM$52,0)+IF(U13=2,V13*$AM$53,0)+IF(U13=3,V13*$AM$54,0)+IF(U13=4,V13*$AM$55,0)+IF(U13=5,V13*$AM$56,0)+IF(U13=6,V13*$AM$57,0)+IF(U13=7,V13*$AM$58,0)+IF(U13=8,V13*$AM$59,0)+IF(U13=9,V13*$AM$60,0)+IF(U13=10,V13*$AM$61,0)</f>
        <v>0</v>
      </c>
      <c r="CS13" s="702">
        <f t="shared" si="58"/>
        <v>0</v>
      </c>
      <c r="CT13" s="702">
        <f t="shared" si="59"/>
        <v>0</v>
      </c>
      <c r="CU13" s="702">
        <f t="shared" si="60"/>
        <v>0</v>
      </c>
      <c r="CV13" s="1068">
        <f t="shared" si="35"/>
        <v>0</v>
      </c>
      <c r="CW13" s="1064">
        <f t="shared" si="61"/>
        <v>0</v>
      </c>
      <c r="FX13" s="701"/>
      <c r="FY13" s="701"/>
      <c r="FZ13" s="701"/>
      <c r="GA13" s="701"/>
      <c r="GB13" s="701"/>
      <c r="GC13" s="701"/>
      <c r="GD13" s="701"/>
      <c r="GE13" s="701"/>
      <c r="GF13" s="701"/>
      <c r="GG13" s="701"/>
      <c r="GH13" s="701"/>
      <c r="GI13" s="701"/>
      <c r="GJ13" s="701"/>
      <c r="GK13" s="701"/>
      <c r="GL13" s="701"/>
      <c r="GM13" s="701"/>
      <c r="GN13" s="701"/>
      <c r="GO13" s="701"/>
      <c r="GP13" s="701"/>
      <c r="GQ13" s="701"/>
      <c r="GR13" s="701"/>
      <c r="GS13" s="701"/>
      <c r="GT13" s="701"/>
      <c r="GU13" s="701"/>
      <c r="GV13" s="701"/>
      <c r="GW13" s="701"/>
      <c r="GX13" s="701"/>
      <c r="GY13" s="701"/>
      <c r="GZ13" s="701"/>
      <c r="HA13" s="701"/>
      <c r="HB13" s="701"/>
      <c r="HC13" s="701"/>
      <c r="HD13" s="701"/>
      <c r="HE13" s="701"/>
      <c r="HF13" s="701"/>
      <c r="HG13" s="701"/>
      <c r="HH13" s="701"/>
      <c r="HI13" s="701"/>
      <c r="HJ13" s="701"/>
      <c r="HK13" s="701"/>
      <c r="HL13" s="701"/>
      <c r="HM13" s="701"/>
      <c r="HN13" s="701"/>
      <c r="HO13" s="701"/>
      <c r="HP13" s="701"/>
      <c r="HQ13" s="701"/>
      <c r="HR13" s="701"/>
      <c r="HS13" s="701"/>
      <c r="HT13" s="701"/>
      <c r="HU13" s="701"/>
      <c r="HV13" s="701"/>
      <c r="HW13" s="701"/>
      <c r="HX13" s="701"/>
      <c r="HY13" s="701"/>
      <c r="HZ13" s="701"/>
      <c r="IA13" s="701"/>
    </row>
    <row r="14" spans="2:238" s="702" customFormat="1" ht="20.149999999999999" customHeight="1" x14ac:dyDescent="0.35">
      <c r="B14" s="398"/>
      <c r="C14" s="396"/>
      <c r="D14" s="1808"/>
      <c r="E14" s="1809"/>
      <c r="F14" s="97"/>
      <c r="G14" s="777"/>
      <c r="H14" s="97"/>
      <c r="I14" s="779"/>
      <c r="J14" s="97"/>
      <c r="K14" s="781"/>
      <c r="L14" s="32"/>
      <c r="M14" s="211"/>
      <c r="N14" s="397"/>
      <c r="O14" s="212">
        <v>9</v>
      </c>
      <c r="P14" s="32"/>
      <c r="Q14" s="810">
        <v>10</v>
      </c>
      <c r="R14" s="722"/>
      <c r="S14" s="180">
        <v>1</v>
      </c>
      <c r="T14" s="554">
        <f t="shared" si="0"/>
        <v>0</v>
      </c>
      <c r="U14" s="32">
        <v>2</v>
      </c>
      <c r="V14" s="371"/>
      <c r="W14" s="32">
        <v>3</v>
      </c>
      <c r="X14" s="371"/>
      <c r="Y14" s="32">
        <v>4</v>
      </c>
      <c r="Z14" s="371"/>
      <c r="AA14" s="180">
        <v>5</v>
      </c>
      <c r="AB14" s="280"/>
      <c r="AC14" s="1380">
        <f t="shared" si="62"/>
        <v>0</v>
      </c>
      <c r="AD14" s="906">
        <f>(D14*F14/324)*(1+K$71)+AV14</f>
        <v>0</v>
      </c>
      <c r="AE14" s="794">
        <f t="shared" si="37"/>
        <v>0</v>
      </c>
      <c r="AF14" s="282">
        <f>SUM(BW14)*(1+M$64+Summary!P$64)</f>
        <v>0</v>
      </c>
      <c r="AG14" s="632" t="e">
        <f>D14/AD14</f>
        <v>#DIV/0!</v>
      </c>
      <c r="AH14" s="1758">
        <f t="shared" si="38"/>
        <v>0</v>
      </c>
      <c r="AI14" s="769"/>
      <c r="AO14" s="702">
        <f t="shared" si="2"/>
        <v>0</v>
      </c>
      <c r="AP14" s="702">
        <f t="shared" si="39"/>
        <v>0</v>
      </c>
      <c r="AQ14" s="702">
        <f t="shared" si="3"/>
        <v>0</v>
      </c>
      <c r="AR14" s="702">
        <f t="shared" si="4"/>
        <v>0</v>
      </c>
      <c r="AS14" s="702">
        <f t="shared" si="5"/>
        <v>0</v>
      </c>
      <c r="AT14" s="702">
        <f t="shared" si="6"/>
        <v>0</v>
      </c>
      <c r="AU14" s="702">
        <f t="shared" si="7"/>
        <v>0</v>
      </c>
      <c r="AV14" s="1063">
        <f t="shared" si="40"/>
        <v>0</v>
      </c>
      <c r="AW14" s="1063">
        <f t="shared" si="8"/>
        <v>0</v>
      </c>
      <c r="AX14" s="702">
        <f t="shared" si="41"/>
        <v>0</v>
      </c>
      <c r="AY14" s="702">
        <f t="shared" si="9"/>
        <v>0</v>
      </c>
      <c r="AZ14" s="702">
        <f t="shared" si="10"/>
        <v>0</v>
      </c>
      <c r="BA14" s="702">
        <f t="shared" si="11"/>
        <v>0</v>
      </c>
      <c r="BB14" s="702">
        <f t="shared" si="12"/>
        <v>0</v>
      </c>
      <c r="BC14" s="702">
        <f t="shared" si="13"/>
        <v>0</v>
      </c>
      <c r="BD14" s="1063">
        <f t="shared" si="42"/>
        <v>0</v>
      </c>
      <c r="BE14" s="1064">
        <f t="shared" si="14"/>
        <v>0</v>
      </c>
      <c r="BF14" s="1063">
        <f t="shared" si="15"/>
        <v>0</v>
      </c>
      <c r="BG14" s="1065">
        <f t="shared" si="16"/>
        <v>0</v>
      </c>
      <c r="BH14" s="702">
        <f t="shared" si="17"/>
        <v>0</v>
      </c>
      <c r="BI14" s="1063">
        <f t="shared" si="43"/>
        <v>0</v>
      </c>
      <c r="BJ14" s="1063">
        <f t="shared" si="18"/>
        <v>0</v>
      </c>
      <c r="BK14" s="1063">
        <f t="shared" si="19"/>
        <v>0</v>
      </c>
      <c r="BL14" s="1063">
        <f t="shared" si="20"/>
        <v>0</v>
      </c>
      <c r="BM14" s="1063">
        <f t="shared" si="21"/>
        <v>0</v>
      </c>
      <c r="BN14" s="1064">
        <f t="shared" si="44"/>
        <v>0</v>
      </c>
      <c r="BO14" s="1761">
        <f t="shared" si="45"/>
        <v>0</v>
      </c>
      <c r="BP14" s="1063">
        <f t="shared" si="46"/>
        <v>0</v>
      </c>
      <c r="BQ14" s="1064">
        <f t="shared" si="22"/>
        <v>0</v>
      </c>
      <c r="BR14" s="1063">
        <f t="shared" si="23"/>
        <v>0</v>
      </c>
      <c r="BS14" s="1063">
        <f t="shared" si="47"/>
        <v>0</v>
      </c>
      <c r="BT14" s="1064">
        <f t="shared" si="24"/>
        <v>0</v>
      </c>
      <c r="BU14" s="1064">
        <f t="shared" si="25"/>
        <v>0</v>
      </c>
      <c r="BV14" s="1064">
        <f t="shared" si="48"/>
        <v>0</v>
      </c>
      <c r="BW14" s="1066">
        <f t="shared" si="49"/>
        <v>0</v>
      </c>
      <c r="BX14" s="1063">
        <f>(BI14*Pricing!F$2+BJ14*Pricing!G$2+BK14*Pricing!H$2+BL14*Pricing!I$2+BM14*Pricing!J$2+BN14*Pricing!K$2)*IF(AC$63="N",(1+AE$63),1)</f>
        <v>0</v>
      </c>
      <c r="BY14" s="1063">
        <f t="shared" si="50"/>
        <v>0</v>
      </c>
      <c r="BZ14" s="1063">
        <f t="shared" si="51"/>
        <v>0</v>
      </c>
      <c r="CA14" s="1063">
        <f t="shared" si="52"/>
        <v>0</v>
      </c>
      <c r="CB14" s="1067">
        <f t="shared" si="53"/>
        <v>0</v>
      </c>
      <c r="CD14" s="702">
        <f t="shared" si="54"/>
        <v>0</v>
      </c>
      <c r="CE14" s="1063">
        <f t="shared" si="26"/>
        <v>0</v>
      </c>
      <c r="CF14" s="1063">
        <f t="shared" si="27"/>
        <v>0</v>
      </c>
      <c r="CG14" s="1063">
        <f t="shared" si="28"/>
        <v>0</v>
      </c>
      <c r="CH14" s="702">
        <f t="shared" si="29"/>
        <v>0</v>
      </c>
      <c r="CI14" s="1063">
        <f t="shared" si="30"/>
        <v>0</v>
      </c>
      <c r="CJ14" s="702">
        <f t="shared" si="31"/>
        <v>0</v>
      </c>
      <c r="CK14" s="1063">
        <f t="shared" si="32"/>
        <v>0</v>
      </c>
      <c r="CL14" s="704">
        <f t="shared" si="33"/>
        <v>0</v>
      </c>
      <c r="CM14" s="702">
        <f t="shared" si="34"/>
        <v>0</v>
      </c>
      <c r="CO14" s="1061">
        <f t="shared" si="55"/>
        <v>0</v>
      </c>
      <c r="CP14" s="702">
        <f t="shared" si="56"/>
        <v>0</v>
      </c>
      <c r="CQ14" s="702">
        <f t="shared" si="57"/>
        <v>0</v>
      </c>
      <c r="CR14" s="702">
        <f t="shared" si="63"/>
        <v>0</v>
      </c>
      <c r="CS14" s="702">
        <f t="shared" si="58"/>
        <v>0</v>
      </c>
      <c r="CT14" s="702">
        <f t="shared" si="59"/>
        <v>0</v>
      </c>
      <c r="CU14" s="702">
        <f t="shared" si="60"/>
        <v>0</v>
      </c>
      <c r="CV14" s="1068">
        <f t="shared" si="35"/>
        <v>0</v>
      </c>
      <c r="CW14" s="1064">
        <f t="shared" si="61"/>
        <v>0</v>
      </c>
      <c r="FX14" s="701"/>
      <c r="FY14" s="701"/>
      <c r="FZ14" s="701"/>
      <c r="GA14" s="701"/>
      <c r="GB14" s="701"/>
      <c r="GC14" s="701"/>
      <c r="GD14" s="701"/>
      <c r="GE14" s="701"/>
      <c r="GF14" s="701"/>
      <c r="GG14" s="701"/>
      <c r="GH14" s="701"/>
      <c r="GI14" s="701"/>
      <c r="GJ14" s="701"/>
      <c r="GK14" s="701"/>
      <c r="GL14" s="701"/>
      <c r="GM14" s="701"/>
      <c r="GN14" s="701"/>
      <c r="GO14" s="701"/>
      <c r="GP14" s="701"/>
      <c r="GQ14" s="701"/>
      <c r="GR14" s="701"/>
      <c r="GS14" s="701"/>
      <c r="GT14" s="701"/>
      <c r="GU14" s="701"/>
      <c r="GV14" s="701"/>
      <c r="GW14" s="701"/>
      <c r="GX14" s="701"/>
      <c r="GY14" s="701"/>
      <c r="GZ14" s="701"/>
      <c r="HA14" s="701"/>
      <c r="HB14" s="701"/>
      <c r="HC14" s="701"/>
      <c r="HD14" s="701"/>
      <c r="HE14" s="701"/>
      <c r="HF14" s="701"/>
      <c r="HG14" s="701"/>
      <c r="HH14" s="701"/>
      <c r="HI14" s="701"/>
      <c r="HJ14" s="701"/>
      <c r="HK14" s="701"/>
      <c r="HL14" s="701"/>
      <c r="HM14" s="701"/>
      <c r="HN14" s="701"/>
      <c r="HO14" s="701"/>
      <c r="HP14" s="701"/>
      <c r="HQ14" s="701"/>
      <c r="HR14" s="701"/>
      <c r="HS14" s="701"/>
      <c r="HT14" s="701"/>
      <c r="HU14" s="701"/>
      <c r="HV14" s="701"/>
      <c r="HW14" s="701"/>
      <c r="HX14" s="701"/>
      <c r="HY14" s="701"/>
      <c r="HZ14" s="701"/>
      <c r="IA14" s="701"/>
    </row>
    <row r="15" spans="2:238" s="702" customFormat="1" ht="20.149999999999999" customHeight="1" x14ac:dyDescent="0.35">
      <c r="B15" s="193"/>
      <c r="C15" s="393"/>
      <c r="D15" s="1806"/>
      <c r="E15" s="1807"/>
      <c r="F15" s="127"/>
      <c r="G15" s="777"/>
      <c r="H15" s="214"/>
      <c r="I15" s="779"/>
      <c r="J15" s="127"/>
      <c r="K15" s="781"/>
      <c r="L15" s="30"/>
      <c r="M15" s="121"/>
      <c r="N15" s="394"/>
      <c r="O15" s="207">
        <v>9</v>
      </c>
      <c r="P15" s="31"/>
      <c r="Q15" s="1783">
        <v>10</v>
      </c>
      <c r="R15" s="723"/>
      <c r="S15" s="176">
        <v>1</v>
      </c>
      <c r="T15" s="555">
        <f t="shared" si="0"/>
        <v>0</v>
      </c>
      <c r="U15" s="31">
        <v>2</v>
      </c>
      <c r="V15" s="531"/>
      <c r="W15" s="31">
        <v>3</v>
      </c>
      <c r="X15" s="531"/>
      <c r="Y15" s="31">
        <v>4</v>
      </c>
      <c r="Z15" s="531"/>
      <c r="AA15" s="178">
        <v>5</v>
      </c>
      <c r="AB15" s="279"/>
      <c r="AC15" s="1380">
        <f t="shared" si="62"/>
        <v>0</v>
      </c>
      <c r="AD15" s="906">
        <f t="shared" si="36"/>
        <v>0</v>
      </c>
      <c r="AE15" s="794">
        <f t="shared" si="37"/>
        <v>0</v>
      </c>
      <c r="AF15" s="282">
        <f>SUM(BW15)*(1+M$64+Summary!P$64)</f>
        <v>0</v>
      </c>
      <c r="AG15" s="632" t="e">
        <f t="shared" si="1"/>
        <v>#DIV/0!</v>
      </c>
      <c r="AH15" s="1758">
        <f t="shared" si="38"/>
        <v>0</v>
      </c>
      <c r="AI15" s="769"/>
      <c r="AO15" s="702">
        <f t="shared" si="2"/>
        <v>0</v>
      </c>
      <c r="AP15" s="702">
        <f>IF(Q15=1,R14*$T$52,0)+IF(Q15=2,R14*$T$53,0)+IF(Q15=3,R14*$T$54,0)+IF(Q15=4,R14*$T$55,0)+IF(Q15=5,R14*$T$56,0)+IF(Q15=6,R14*$T$57,0)+IF(Q15=7,R14*$T$58,0)+IF(Q15=8,R14*$T$59,0)+IF(Q15=9,R14*$T$60,0)+IF(Q15=10,R14*$T$61,0)</f>
        <v>0</v>
      </c>
      <c r="AQ15" s="702">
        <f t="shared" si="3"/>
        <v>0</v>
      </c>
      <c r="AR15" s="702">
        <f t="shared" si="4"/>
        <v>0</v>
      </c>
      <c r="AS15" s="702">
        <f t="shared" si="5"/>
        <v>0</v>
      </c>
      <c r="AT15" s="702">
        <f t="shared" si="6"/>
        <v>0</v>
      </c>
      <c r="AU15" s="702">
        <f t="shared" si="7"/>
        <v>0</v>
      </c>
      <c r="AV15" s="1063">
        <f t="shared" si="40"/>
        <v>0</v>
      </c>
      <c r="AW15" s="1063">
        <f t="shared" si="8"/>
        <v>0</v>
      </c>
      <c r="AX15" s="702">
        <f>ROUNDUP(IF(Q15=1,R14*$P$52,0)+IF(Q15=2,R14*$P$53,0)+IF(Q15=3,R14*$P$54,0)+IF(Q15=4,R14*$P$55,0)+IF(Q15=5,R14*$P$56,0)+IF(Q15=6,R14*$P$57,0)+IF(Q15=7,R14*$P$58,0)+IF(Q15=8,R14*$P$59,0)+IF(Q15=9,R14*$P$60,0)+IF(Q15=10,R14*$P$61,0),0)</f>
        <v>0</v>
      </c>
      <c r="AY15" s="702">
        <f t="shared" si="9"/>
        <v>0</v>
      </c>
      <c r="AZ15" s="702">
        <f t="shared" si="10"/>
        <v>0</v>
      </c>
      <c r="BA15" s="702">
        <f t="shared" si="11"/>
        <v>0</v>
      </c>
      <c r="BB15" s="702">
        <f t="shared" si="12"/>
        <v>0</v>
      </c>
      <c r="BC15" s="702">
        <f t="shared" si="13"/>
        <v>0</v>
      </c>
      <c r="BD15" s="1063">
        <f t="shared" si="42"/>
        <v>0</v>
      </c>
      <c r="BE15" s="1064">
        <f t="shared" si="14"/>
        <v>0</v>
      </c>
      <c r="BF15" s="1063">
        <f t="shared" si="15"/>
        <v>0</v>
      </c>
      <c r="BG15" s="1065">
        <f t="shared" si="16"/>
        <v>0</v>
      </c>
      <c r="BH15" s="702">
        <f t="shared" si="17"/>
        <v>0</v>
      </c>
      <c r="BI15" s="1063">
        <f t="shared" si="43"/>
        <v>0</v>
      </c>
      <c r="BJ15" s="1063">
        <f t="shared" si="18"/>
        <v>0</v>
      </c>
      <c r="BK15" s="1063">
        <f t="shared" si="19"/>
        <v>0</v>
      </c>
      <c r="BL15" s="1063">
        <f t="shared" si="20"/>
        <v>0</v>
      </c>
      <c r="BM15" s="1063">
        <f t="shared" si="21"/>
        <v>0</v>
      </c>
      <c r="BN15" s="1064">
        <f t="shared" si="44"/>
        <v>0</v>
      </c>
      <c r="BO15" s="1761">
        <f t="shared" si="45"/>
        <v>0</v>
      </c>
      <c r="BP15" s="1063">
        <f t="shared" si="46"/>
        <v>0</v>
      </c>
      <c r="BQ15" s="1064">
        <f t="shared" si="22"/>
        <v>0</v>
      </c>
      <c r="BR15" s="1063">
        <f t="shared" si="23"/>
        <v>0</v>
      </c>
      <c r="BS15" s="1063">
        <f>IF(Q15=1,D$52*R14/12,IF(Q15=2,D$53*R14/12,IF(Q15=3,D$54*R14/12,IF(Q15=4,D$55*R14/12,IF(Q15=5,D$56*R14/12,IF(Q15=6,D$57*R14/12,IF(Q15=7,D$58*R14/12,IF(Q15=8,D$59*R14/12,IF(Q15=9,D$60*R14/12,IF(Q15=10,D$61*R14/12,0))))))*BG15))))</f>
        <v>0</v>
      </c>
      <c r="BT15" s="1064">
        <f t="shared" si="24"/>
        <v>0</v>
      </c>
      <c r="BU15" s="1064">
        <f t="shared" si="25"/>
        <v>0</v>
      </c>
      <c r="BV15" s="1064">
        <f t="shared" si="48"/>
        <v>0</v>
      </c>
      <c r="BW15" s="1066">
        <f t="shared" si="49"/>
        <v>0</v>
      </c>
      <c r="BX15" s="1063">
        <f>(BI15*Pricing!F$2+BJ15*Pricing!G$2+BK15*Pricing!H$2+BL15*Pricing!I$2+BM15*Pricing!J$2+BN15*Pricing!K$2)*IF(AC$63="N",(1+AE$63),1)</f>
        <v>0</v>
      </c>
      <c r="BY15" s="1063">
        <f t="shared" si="50"/>
        <v>0</v>
      </c>
      <c r="BZ15" s="1063">
        <f t="shared" si="51"/>
        <v>0</v>
      </c>
      <c r="CA15" s="1063">
        <f t="shared" si="52"/>
        <v>0</v>
      </c>
      <c r="CB15" s="1067">
        <f t="shared" si="53"/>
        <v>0</v>
      </c>
      <c r="CD15" s="702">
        <f t="shared" si="54"/>
        <v>0</v>
      </c>
      <c r="CE15" s="1063">
        <f t="shared" si="26"/>
        <v>0</v>
      </c>
      <c r="CF15" s="1063">
        <f t="shared" si="27"/>
        <v>0</v>
      </c>
      <c r="CG15" s="1063">
        <f t="shared" si="28"/>
        <v>0</v>
      </c>
      <c r="CH15" s="702">
        <f t="shared" si="29"/>
        <v>0</v>
      </c>
      <c r="CI15" s="1063">
        <f t="shared" si="30"/>
        <v>0</v>
      </c>
      <c r="CJ15" s="702">
        <f t="shared" si="31"/>
        <v>0</v>
      </c>
      <c r="CK15" s="1063">
        <f t="shared" si="32"/>
        <v>0</v>
      </c>
      <c r="CL15" s="704">
        <f t="shared" si="33"/>
        <v>0</v>
      </c>
      <c r="CM15" s="702">
        <f t="shared" si="34"/>
        <v>0</v>
      </c>
      <c r="CO15" s="1061">
        <f t="shared" si="55"/>
        <v>0</v>
      </c>
      <c r="CP15" s="702">
        <f>IF(Q15=1,R14*$AM$52,0)+IF(Q15=2,R14*$AM$53,0)+IF(Q15=3,R14*$AM$54,0)+IF(Q15=4,R14*$AM$55,0)+IF(Q15=5,R14*$AM$56,0)+IF(Q15=6,R14*$AM$57,0)+IF(Q15=7,R14*$AM$58,0)+IF(Q15=8,R14*$AM$59,0)+IF(Q15=9,R14*$AM$60,0)+IF(Q15=10,R14*$AM$61,0)</f>
        <v>0</v>
      </c>
      <c r="CQ15" s="702">
        <f t="shared" si="57"/>
        <v>0</v>
      </c>
      <c r="CR15" s="702">
        <f t="shared" si="63"/>
        <v>0</v>
      </c>
      <c r="CS15" s="702">
        <f t="shared" si="58"/>
        <v>0</v>
      </c>
      <c r="CT15" s="702">
        <f t="shared" si="59"/>
        <v>0</v>
      </c>
      <c r="CU15" s="702">
        <f t="shared" si="60"/>
        <v>0</v>
      </c>
      <c r="CV15" s="1068">
        <f t="shared" si="35"/>
        <v>0</v>
      </c>
      <c r="CW15" s="1064">
        <f t="shared" si="61"/>
        <v>0</v>
      </c>
      <c r="FX15" s="701"/>
      <c r="FY15" s="701"/>
      <c r="FZ15" s="701"/>
      <c r="GA15" s="701"/>
      <c r="GB15" s="701"/>
      <c r="GC15" s="701"/>
      <c r="GD15" s="701"/>
      <c r="GE15" s="701"/>
      <c r="GF15" s="701"/>
      <c r="GG15" s="701"/>
      <c r="GH15" s="701"/>
      <c r="GI15" s="701"/>
      <c r="GJ15" s="701"/>
      <c r="GK15" s="701"/>
      <c r="GL15" s="701"/>
      <c r="GM15" s="701"/>
      <c r="GN15" s="701"/>
      <c r="GO15" s="701"/>
      <c r="GP15" s="701"/>
      <c r="GQ15" s="701"/>
      <c r="GR15" s="701"/>
      <c r="GS15" s="701"/>
      <c r="GT15" s="701"/>
      <c r="GU15" s="701"/>
      <c r="GV15" s="701"/>
      <c r="GW15" s="701"/>
      <c r="GX15" s="701"/>
      <c r="GY15" s="701"/>
      <c r="GZ15" s="701"/>
      <c r="HA15" s="701"/>
      <c r="HB15" s="701"/>
      <c r="HC15" s="701"/>
      <c r="HD15" s="701"/>
      <c r="HE15" s="701"/>
      <c r="HF15" s="701"/>
      <c r="HG15" s="701"/>
      <c r="HH15" s="701"/>
      <c r="HI15" s="701"/>
      <c r="HJ15" s="701"/>
      <c r="HK15" s="701"/>
      <c r="HL15" s="701"/>
      <c r="HM15" s="701"/>
      <c r="HN15" s="701"/>
      <c r="HO15" s="701"/>
      <c r="HP15" s="701"/>
      <c r="HQ15" s="701"/>
      <c r="HR15" s="701"/>
      <c r="HS15" s="701"/>
      <c r="HT15" s="701"/>
      <c r="HU15" s="701"/>
      <c r="HV15" s="701"/>
      <c r="HW15" s="701"/>
      <c r="HX15" s="701"/>
      <c r="HY15" s="701"/>
      <c r="HZ15" s="701"/>
      <c r="IA15" s="701"/>
    </row>
    <row r="16" spans="2:238" s="702" customFormat="1" ht="20.149999999999999" customHeight="1" x14ac:dyDescent="0.35">
      <c r="B16" s="398"/>
      <c r="C16" s="396"/>
      <c r="D16" s="1808"/>
      <c r="E16" s="1809"/>
      <c r="F16" s="97"/>
      <c r="G16" s="777"/>
      <c r="H16" s="97"/>
      <c r="I16" s="779"/>
      <c r="J16" s="97"/>
      <c r="K16" s="781"/>
      <c r="L16" s="32"/>
      <c r="M16" s="211"/>
      <c r="N16" s="397"/>
      <c r="O16" s="212">
        <v>9</v>
      </c>
      <c r="P16" s="32"/>
      <c r="Q16" s="810">
        <v>10</v>
      </c>
      <c r="R16" s="722"/>
      <c r="S16" s="180">
        <v>1</v>
      </c>
      <c r="T16" s="554">
        <f t="shared" si="0"/>
        <v>0</v>
      </c>
      <c r="U16" s="32">
        <v>2</v>
      </c>
      <c r="V16" s="371"/>
      <c r="W16" s="32">
        <v>3</v>
      </c>
      <c r="X16" s="371"/>
      <c r="Y16" s="32">
        <v>4</v>
      </c>
      <c r="Z16" s="371"/>
      <c r="AA16" s="180">
        <v>5</v>
      </c>
      <c r="AB16" s="280"/>
      <c r="AC16" s="1380">
        <f t="shared" si="62"/>
        <v>0</v>
      </c>
      <c r="AD16" s="906">
        <f t="shared" si="36"/>
        <v>0</v>
      </c>
      <c r="AE16" s="794">
        <f t="shared" si="37"/>
        <v>0</v>
      </c>
      <c r="AF16" s="282">
        <f>SUM(BW16)*(1+M$64+Summary!P$64)</f>
        <v>0</v>
      </c>
      <c r="AG16" s="632" t="e">
        <f t="shared" si="1"/>
        <v>#DIV/0!</v>
      </c>
      <c r="AH16" s="1758">
        <f t="shared" si="38"/>
        <v>0</v>
      </c>
      <c r="AI16" s="769"/>
      <c r="AO16" s="702">
        <f t="shared" si="2"/>
        <v>0</v>
      </c>
      <c r="AP16" s="702">
        <f t="shared" si="39"/>
        <v>0</v>
      </c>
      <c r="AQ16" s="702">
        <f t="shared" si="3"/>
        <v>0</v>
      </c>
      <c r="AR16" s="702">
        <f t="shared" si="4"/>
        <v>0</v>
      </c>
      <c r="AS16" s="702">
        <f t="shared" si="5"/>
        <v>0</v>
      </c>
      <c r="AT16" s="702">
        <f t="shared" si="6"/>
        <v>0</v>
      </c>
      <c r="AU16" s="702">
        <f t="shared" si="7"/>
        <v>0</v>
      </c>
      <c r="AV16" s="1063">
        <f t="shared" si="40"/>
        <v>0</v>
      </c>
      <c r="AW16" s="1063">
        <f t="shared" si="8"/>
        <v>0</v>
      </c>
      <c r="AX16" s="702">
        <f t="shared" si="41"/>
        <v>0</v>
      </c>
      <c r="AY16" s="702">
        <f t="shared" si="9"/>
        <v>0</v>
      </c>
      <c r="AZ16" s="702">
        <f t="shared" si="10"/>
        <v>0</v>
      </c>
      <c r="BA16" s="702">
        <f t="shared" si="11"/>
        <v>0</v>
      </c>
      <c r="BB16" s="702">
        <f t="shared" si="12"/>
        <v>0</v>
      </c>
      <c r="BC16" s="702">
        <f t="shared" si="13"/>
        <v>0</v>
      </c>
      <c r="BD16" s="1063">
        <f t="shared" si="42"/>
        <v>0</v>
      </c>
      <c r="BE16" s="1064">
        <f t="shared" si="14"/>
        <v>0</v>
      </c>
      <c r="BF16" s="1063">
        <f t="shared" si="15"/>
        <v>0</v>
      </c>
      <c r="BG16" s="1065">
        <f t="shared" si="16"/>
        <v>0</v>
      </c>
      <c r="BH16" s="702">
        <f t="shared" si="17"/>
        <v>0</v>
      </c>
      <c r="BI16" s="1063">
        <f t="shared" si="43"/>
        <v>0</v>
      </c>
      <c r="BJ16" s="1063">
        <f t="shared" si="18"/>
        <v>0</v>
      </c>
      <c r="BK16" s="1063">
        <f t="shared" si="19"/>
        <v>0</v>
      </c>
      <c r="BL16" s="1063">
        <f t="shared" si="20"/>
        <v>0</v>
      </c>
      <c r="BM16" s="1063">
        <f t="shared" si="21"/>
        <v>0</v>
      </c>
      <c r="BN16" s="1064">
        <f t="shared" si="44"/>
        <v>0</v>
      </c>
      <c r="BO16" s="1761">
        <f t="shared" si="45"/>
        <v>0</v>
      </c>
      <c r="BP16" s="1063">
        <f t="shared" si="46"/>
        <v>0</v>
      </c>
      <c r="BQ16" s="1064">
        <f t="shared" si="22"/>
        <v>0</v>
      </c>
      <c r="BR16" s="1063">
        <f t="shared" si="23"/>
        <v>0</v>
      </c>
      <c r="BS16" s="1063">
        <f t="shared" si="47"/>
        <v>0</v>
      </c>
      <c r="BT16" s="1064">
        <f t="shared" si="24"/>
        <v>0</v>
      </c>
      <c r="BU16" s="1064">
        <f t="shared" si="25"/>
        <v>0</v>
      </c>
      <c r="BV16" s="1064">
        <f t="shared" si="48"/>
        <v>0</v>
      </c>
      <c r="BW16" s="1066">
        <f t="shared" si="49"/>
        <v>0</v>
      </c>
      <c r="BX16" s="1063">
        <f>(BI16*Pricing!F$2+BJ16*Pricing!G$2+BK16*Pricing!H$2+BL16*Pricing!I$2+BM16*Pricing!J$2+BN16*Pricing!K$2)*IF(AC$63="N",(1+AE$63),1)</f>
        <v>0</v>
      </c>
      <c r="BY16" s="1063">
        <f t="shared" si="50"/>
        <v>0</v>
      </c>
      <c r="BZ16" s="1063">
        <f t="shared" si="51"/>
        <v>0</v>
      </c>
      <c r="CA16" s="1063">
        <f t="shared" si="52"/>
        <v>0</v>
      </c>
      <c r="CB16" s="1067">
        <f t="shared" si="53"/>
        <v>0</v>
      </c>
      <c r="CD16" s="702">
        <f t="shared" si="54"/>
        <v>0</v>
      </c>
      <c r="CE16" s="1063">
        <f t="shared" si="26"/>
        <v>0</v>
      </c>
      <c r="CF16" s="1063">
        <f t="shared" si="27"/>
        <v>0</v>
      </c>
      <c r="CG16" s="1063">
        <f t="shared" si="28"/>
        <v>0</v>
      </c>
      <c r="CH16" s="702">
        <f t="shared" si="29"/>
        <v>0</v>
      </c>
      <c r="CI16" s="1063">
        <f t="shared" si="30"/>
        <v>0</v>
      </c>
      <c r="CJ16" s="702">
        <f t="shared" si="31"/>
        <v>0</v>
      </c>
      <c r="CK16" s="1063">
        <f t="shared" si="32"/>
        <v>0</v>
      </c>
      <c r="CL16" s="704">
        <f t="shared" si="33"/>
        <v>0</v>
      </c>
      <c r="CM16" s="702">
        <f t="shared" si="34"/>
        <v>0</v>
      </c>
      <c r="CO16" s="1061">
        <f t="shared" si="55"/>
        <v>0</v>
      </c>
      <c r="CP16" s="702">
        <f t="shared" si="56"/>
        <v>0</v>
      </c>
      <c r="CQ16" s="702">
        <f t="shared" si="57"/>
        <v>0</v>
      </c>
      <c r="CR16" s="702">
        <f t="shared" si="63"/>
        <v>0</v>
      </c>
      <c r="CS16" s="702">
        <f t="shared" si="58"/>
        <v>0</v>
      </c>
      <c r="CT16" s="702">
        <f t="shared" si="59"/>
        <v>0</v>
      </c>
      <c r="CU16" s="702">
        <f t="shared" si="60"/>
        <v>0</v>
      </c>
      <c r="CV16" s="1068">
        <f t="shared" si="35"/>
        <v>0</v>
      </c>
      <c r="CW16" s="1064">
        <f t="shared" si="61"/>
        <v>0</v>
      </c>
      <c r="FX16" s="701"/>
      <c r="FY16" s="701"/>
      <c r="FZ16" s="701"/>
      <c r="GA16" s="701"/>
      <c r="GB16" s="701"/>
      <c r="GC16" s="701"/>
      <c r="GD16" s="701"/>
      <c r="GE16" s="701"/>
      <c r="GF16" s="701"/>
      <c r="GG16" s="701"/>
      <c r="GH16" s="701"/>
      <c r="GI16" s="701"/>
      <c r="GJ16" s="701"/>
      <c r="GK16" s="701"/>
      <c r="GL16" s="701"/>
      <c r="GM16" s="701"/>
      <c r="GN16" s="701"/>
      <c r="GO16" s="701"/>
      <c r="GP16" s="701"/>
      <c r="GQ16" s="701"/>
      <c r="GR16" s="701"/>
      <c r="GS16" s="701"/>
      <c r="GT16" s="701"/>
      <c r="GU16" s="701"/>
      <c r="GV16" s="701"/>
      <c r="GW16" s="701"/>
      <c r="GX16" s="701"/>
      <c r="GY16" s="701"/>
      <c r="GZ16" s="701"/>
      <c r="HA16" s="701"/>
      <c r="HB16" s="701"/>
      <c r="HC16" s="701"/>
      <c r="HD16" s="701"/>
      <c r="HE16" s="701"/>
      <c r="HF16" s="701"/>
      <c r="HG16" s="701"/>
      <c r="HH16" s="701"/>
      <c r="HI16" s="701"/>
      <c r="HJ16" s="701"/>
      <c r="HK16" s="701"/>
      <c r="HL16" s="701"/>
      <c r="HM16" s="701"/>
      <c r="HN16" s="701"/>
      <c r="HO16" s="701"/>
      <c r="HP16" s="701"/>
      <c r="HQ16" s="701"/>
      <c r="HR16" s="701"/>
      <c r="HS16" s="701"/>
      <c r="HT16" s="701"/>
      <c r="HU16" s="701"/>
      <c r="HV16" s="701"/>
      <c r="HW16" s="701"/>
      <c r="HX16" s="701"/>
      <c r="HY16" s="701"/>
      <c r="HZ16" s="701"/>
      <c r="IA16" s="701"/>
    </row>
    <row r="17" spans="2:235" s="702" customFormat="1" ht="18" customHeight="1" x14ac:dyDescent="0.35">
      <c r="B17" s="193"/>
      <c r="C17" s="393"/>
      <c r="D17" s="1806"/>
      <c r="E17" s="1807"/>
      <c r="F17" s="127"/>
      <c r="G17" s="777"/>
      <c r="H17" s="214"/>
      <c r="I17" s="779"/>
      <c r="J17" s="127"/>
      <c r="K17" s="781"/>
      <c r="L17" s="30"/>
      <c r="M17" s="121"/>
      <c r="N17" s="394"/>
      <c r="O17" s="207">
        <v>9</v>
      </c>
      <c r="P17" s="31"/>
      <c r="Q17" s="1783">
        <v>10</v>
      </c>
      <c r="R17" s="723"/>
      <c r="S17" s="176">
        <v>1</v>
      </c>
      <c r="T17" s="555">
        <f t="shared" si="0"/>
        <v>0</v>
      </c>
      <c r="U17" s="31">
        <v>2</v>
      </c>
      <c r="V17" s="531"/>
      <c r="W17" s="31">
        <v>3</v>
      </c>
      <c r="X17" s="531"/>
      <c r="Y17" s="31">
        <v>4</v>
      </c>
      <c r="Z17" s="531"/>
      <c r="AA17" s="178">
        <v>5</v>
      </c>
      <c r="AB17" s="279"/>
      <c r="AC17" s="1380">
        <f t="shared" si="62"/>
        <v>0</v>
      </c>
      <c r="AD17" s="906">
        <f t="shared" si="36"/>
        <v>0</v>
      </c>
      <c r="AE17" s="794">
        <f t="shared" si="37"/>
        <v>0</v>
      </c>
      <c r="AF17" s="282">
        <f>SUM(BW17)*(1+M$64+Summary!P$64)</f>
        <v>0</v>
      </c>
      <c r="AG17" s="632" t="e">
        <f t="shared" si="1"/>
        <v>#DIV/0!</v>
      </c>
      <c r="AH17" s="1758">
        <f t="shared" si="38"/>
        <v>0</v>
      </c>
      <c r="AI17" s="769"/>
      <c r="AO17" s="702">
        <f t="shared" si="2"/>
        <v>0</v>
      </c>
      <c r="AP17" s="702">
        <f t="shared" si="39"/>
        <v>0</v>
      </c>
      <c r="AQ17" s="702">
        <f t="shared" si="3"/>
        <v>0</v>
      </c>
      <c r="AR17" s="702">
        <f t="shared" si="4"/>
        <v>0</v>
      </c>
      <c r="AS17" s="702">
        <f t="shared" si="5"/>
        <v>0</v>
      </c>
      <c r="AT17" s="702">
        <f t="shared" si="6"/>
        <v>0</v>
      </c>
      <c r="AU17" s="702">
        <f t="shared" si="7"/>
        <v>0</v>
      </c>
      <c r="AV17" s="1063">
        <f t="shared" si="40"/>
        <v>0</v>
      </c>
      <c r="AW17" s="1063">
        <f t="shared" si="8"/>
        <v>0</v>
      </c>
      <c r="AX17" s="702">
        <f t="shared" si="41"/>
        <v>0</v>
      </c>
      <c r="AY17" s="702">
        <f t="shared" si="9"/>
        <v>0</v>
      </c>
      <c r="AZ17" s="702">
        <f t="shared" si="10"/>
        <v>0</v>
      </c>
      <c r="BA17" s="702">
        <f t="shared" si="11"/>
        <v>0</v>
      </c>
      <c r="BB17" s="702">
        <f t="shared" si="12"/>
        <v>0</v>
      </c>
      <c r="BC17" s="702">
        <f t="shared" si="13"/>
        <v>0</v>
      </c>
      <c r="BD17" s="1063">
        <f t="shared" si="42"/>
        <v>0</v>
      </c>
      <c r="BE17" s="1064">
        <f t="shared" si="14"/>
        <v>0</v>
      </c>
      <c r="BF17" s="1063">
        <f t="shared" si="15"/>
        <v>0</v>
      </c>
      <c r="BG17" s="1065">
        <f t="shared" si="16"/>
        <v>0</v>
      </c>
      <c r="BH17" s="702">
        <f t="shared" si="17"/>
        <v>0</v>
      </c>
      <c r="BI17" s="1063">
        <f t="shared" si="43"/>
        <v>0</v>
      </c>
      <c r="BJ17" s="1063">
        <f t="shared" si="18"/>
        <v>0</v>
      </c>
      <c r="BK17" s="1063">
        <f t="shared" si="19"/>
        <v>0</v>
      </c>
      <c r="BL17" s="1063">
        <f t="shared" si="20"/>
        <v>0</v>
      </c>
      <c r="BM17" s="1063">
        <f t="shared" si="21"/>
        <v>0</v>
      </c>
      <c r="BN17" s="1064">
        <f t="shared" si="44"/>
        <v>0</v>
      </c>
      <c r="BO17" s="1761">
        <f t="shared" si="45"/>
        <v>0</v>
      </c>
      <c r="BP17" s="1063">
        <f t="shared" si="46"/>
        <v>0</v>
      </c>
      <c r="BQ17" s="1064">
        <f t="shared" si="22"/>
        <v>0</v>
      </c>
      <c r="BR17" s="1063">
        <f t="shared" si="23"/>
        <v>0</v>
      </c>
      <c r="BS17" s="1063">
        <f t="shared" si="47"/>
        <v>0</v>
      </c>
      <c r="BT17" s="1064">
        <f t="shared" si="24"/>
        <v>0</v>
      </c>
      <c r="BU17" s="1064">
        <f t="shared" si="25"/>
        <v>0</v>
      </c>
      <c r="BV17" s="1064">
        <f t="shared" si="48"/>
        <v>0</v>
      </c>
      <c r="BW17" s="1066">
        <f t="shared" si="49"/>
        <v>0</v>
      </c>
      <c r="BX17" s="1063">
        <f>(BI17*Pricing!F$2+BJ17*Pricing!G$2+BK17*Pricing!H$2+BL17*Pricing!I$2+BM17*Pricing!J$2+BN17*Pricing!K$2)*IF(AC$63="N",(1+AE$63),1)</f>
        <v>0</v>
      </c>
      <c r="BY17" s="1063">
        <f t="shared" si="50"/>
        <v>0</v>
      </c>
      <c r="BZ17" s="1063">
        <f t="shared" si="51"/>
        <v>0</v>
      </c>
      <c r="CA17" s="1063">
        <f t="shared" si="52"/>
        <v>0</v>
      </c>
      <c r="CB17" s="1067">
        <f t="shared" si="53"/>
        <v>0</v>
      </c>
      <c r="CD17" s="702">
        <f t="shared" si="54"/>
        <v>0</v>
      </c>
      <c r="CE17" s="1063">
        <f t="shared" si="26"/>
        <v>0</v>
      </c>
      <c r="CF17" s="1063">
        <f t="shared" si="27"/>
        <v>0</v>
      </c>
      <c r="CG17" s="1063">
        <f t="shared" si="28"/>
        <v>0</v>
      </c>
      <c r="CH17" s="702">
        <f t="shared" si="29"/>
        <v>0</v>
      </c>
      <c r="CI17" s="1063">
        <f t="shared" si="30"/>
        <v>0</v>
      </c>
      <c r="CJ17" s="702">
        <f t="shared" si="31"/>
        <v>0</v>
      </c>
      <c r="CK17" s="1063">
        <f t="shared" si="32"/>
        <v>0</v>
      </c>
      <c r="CL17" s="704">
        <f t="shared" si="33"/>
        <v>0</v>
      </c>
      <c r="CM17" s="702">
        <f t="shared" si="34"/>
        <v>0</v>
      </c>
      <c r="CO17" s="1061">
        <f t="shared" si="55"/>
        <v>0</v>
      </c>
      <c r="CP17" s="702">
        <f t="shared" si="56"/>
        <v>0</v>
      </c>
      <c r="CQ17" s="702">
        <f t="shared" si="57"/>
        <v>0</v>
      </c>
      <c r="CR17" s="702">
        <f t="shared" si="63"/>
        <v>0</v>
      </c>
      <c r="CS17" s="702">
        <f t="shared" si="58"/>
        <v>0</v>
      </c>
      <c r="CT17" s="702">
        <f t="shared" si="59"/>
        <v>0</v>
      </c>
      <c r="CU17" s="702">
        <f t="shared" si="60"/>
        <v>0</v>
      </c>
      <c r="CV17" s="1068">
        <f t="shared" si="35"/>
        <v>0</v>
      </c>
      <c r="CW17" s="1064">
        <f t="shared" si="61"/>
        <v>0</v>
      </c>
      <c r="FX17" s="701"/>
      <c r="FY17" s="701"/>
      <c r="FZ17" s="701"/>
      <c r="GA17" s="701"/>
      <c r="GB17" s="701"/>
      <c r="GC17" s="701"/>
      <c r="GD17" s="701"/>
      <c r="GE17" s="701"/>
      <c r="GF17" s="701"/>
      <c r="GG17" s="701"/>
      <c r="GH17" s="701"/>
      <c r="GI17" s="701"/>
      <c r="GJ17" s="701"/>
      <c r="GK17" s="701"/>
      <c r="GL17" s="701"/>
      <c r="GM17" s="701"/>
      <c r="GN17" s="701"/>
      <c r="GO17" s="701"/>
      <c r="GP17" s="701"/>
      <c r="GQ17" s="701"/>
      <c r="GR17" s="701"/>
      <c r="GS17" s="701"/>
      <c r="GT17" s="701"/>
      <c r="GU17" s="701"/>
      <c r="GV17" s="701"/>
      <c r="GW17" s="701"/>
      <c r="GX17" s="701"/>
      <c r="GY17" s="701"/>
      <c r="GZ17" s="701"/>
      <c r="HA17" s="701"/>
      <c r="HB17" s="701"/>
      <c r="HC17" s="701"/>
      <c r="HD17" s="701"/>
      <c r="HE17" s="701"/>
      <c r="HF17" s="701"/>
      <c r="HG17" s="701"/>
      <c r="HH17" s="701"/>
      <c r="HI17" s="701"/>
      <c r="HJ17" s="701"/>
      <c r="HK17" s="701"/>
      <c r="HL17" s="701"/>
      <c r="HM17" s="701"/>
      <c r="HN17" s="701"/>
      <c r="HO17" s="701"/>
      <c r="HP17" s="701"/>
      <c r="HQ17" s="701"/>
      <c r="HR17" s="701"/>
      <c r="HS17" s="701"/>
      <c r="HT17" s="701"/>
      <c r="HU17" s="701"/>
      <c r="HV17" s="701"/>
      <c r="HW17" s="701"/>
      <c r="HX17" s="701"/>
      <c r="HY17" s="701"/>
      <c r="HZ17" s="701"/>
      <c r="IA17" s="701"/>
    </row>
    <row r="18" spans="2:235" s="702" customFormat="1" ht="20.149999999999999" customHeight="1" x14ac:dyDescent="0.35">
      <c r="B18" s="398"/>
      <c r="C18" s="396"/>
      <c r="D18" s="1808"/>
      <c r="E18" s="1809"/>
      <c r="F18" s="97"/>
      <c r="G18" s="777"/>
      <c r="H18" s="97"/>
      <c r="I18" s="779"/>
      <c r="J18" s="97"/>
      <c r="K18" s="781"/>
      <c r="L18" s="32"/>
      <c r="M18" s="211"/>
      <c r="N18" s="397"/>
      <c r="O18" s="212">
        <v>9</v>
      </c>
      <c r="P18" s="32"/>
      <c r="Q18" s="810">
        <v>10</v>
      </c>
      <c r="R18" s="722"/>
      <c r="S18" s="180">
        <v>1</v>
      </c>
      <c r="T18" s="554">
        <f t="shared" si="0"/>
        <v>0</v>
      </c>
      <c r="U18" s="32">
        <v>2</v>
      </c>
      <c r="V18" s="371"/>
      <c r="W18" s="32">
        <v>3</v>
      </c>
      <c r="X18" s="371"/>
      <c r="Y18" s="32">
        <v>4</v>
      </c>
      <c r="Z18" s="371"/>
      <c r="AA18" s="180">
        <v>5</v>
      </c>
      <c r="AB18" s="280"/>
      <c r="AC18" s="1380">
        <f t="shared" si="62"/>
        <v>0</v>
      </c>
      <c r="AD18" s="906">
        <f t="shared" si="36"/>
        <v>0</v>
      </c>
      <c r="AE18" s="794">
        <f t="shared" si="37"/>
        <v>0</v>
      </c>
      <c r="AF18" s="282">
        <f>SUM(BW18)*(1+M$64+Summary!P$64)</f>
        <v>0</v>
      </c>
      <c r="AG18" s="632" t="e">
        <f t="shared" si="1"/>
        <v>#DIV/0!</v>
      </c>
      <c r="AH18" s="1758">
        <f t="shared" si="38"/>
        <v>0</v>
      </c>
      <c r="AI18" s="769"/>
      <c r="AO18" s="702">
        <f t="shared" si="2"/>
        <v>0</v>
      </c>
      <c r="AP18" s="702">
        <f t="shared" si="39"/>
        <v>0</v>
      </c>
      <c r="AQ18" s="702">
        <f t="shared" si="3"/>
        <v>0</v>
      </c>
      <c r="AR18" s="702">
        <f t="shared" si="4"/>
        <v>0</v>
      </c>
      <c r="AS18" s="702">
        <f t="shared" si="5"/>
        <v>0</v>
      </c>
      <c r="AT18" s="702">
        <f t="shared" si="6"/>
        <v>0</v>
      </c>
      <c r="AU18" s="702">
        <f t="shared" si="7"/>
        <v>0</v>
      </c>
      <c r="AV18" s="1063">
        <f t="shared" si="40"/>
        <v>0</v>
      </c>
      <c r="AW18" s="1063">
        <f t="shared" si="8"/>
        <v>0</v>
      </c>
      <c r="AX18" s="702">
        <f t="shared" si="41"/>
        <v>0</v>
      </c>
      <c r="AY18" s="702">
        <f t="shared" si="9"/>
        <v>0</v>
      </c>
      <c r="AZ18" s="702">
        <f t="shared" si="10"/>
        <v>0</v>
      </c>
      <c r="BA18" s="702">
        <f t="shared" si="11"/>
        <v>0</v>
      </c>
      <c r="BB18" s="702">
        <f t="shared" si="12"/>
        <v>0</v>
      </c>
      <c r="BC18" s="702">
        <f t="shared" si="13"/>
        <v>0</v>
      </c>
      <c r="BD18" s="1063">
        <f t="shared" si="42"/>
        <v>0</v>
      </c>
      <c r="BE18" s="1064">
        <f t="shared" si="14"/>
        <v>0</v>
      </c>
      <c r="BF18" s="1063">
        <f t="shared" si="15"/>
        <v>0</v>
      </c>
      <c r="BG18" s="1065">
        <f t="shared" si="16"/>
        <v>0</v>
      </c>
      <c r="BH18" s="702">
        <f t="shared" si="17"/>
        <v>0</v>
      </c>
      <c r="BI18" s="1063">
        <f t="shared" si="43"/>
        <v>0</v>
      </c>
      <c r="BJ18" s="1063">
        <f t="shared" si="18"/>
        <v>0</v>
      </c>
      <c r="BK18" s="1063">
        <f t="shared" si="19"/>
        <v>0</v>
      </c>
      <c r="BL18" s="1063">
        <f t="shared" si="20"/>
        <v>0</v>
      </c>
      <c r="BM18" s="1063">
        <f t="shared" si="21"/>
        <v>0</v>
      </c>
      <c r="BN18" s="1064">
        <f t="shared" si="44"/>
        <v>0</v>
      </c>
      <c r="BO18" s="1761">
        <f t="shared" si="45"/>
        <v>0</v>
      </c>
      <c r="BP18" s="1063">
        <f t="shared" si="46"/>
        <v>0</v>
      </c>
      <c r="BQ18" s="1064">
        <f t="shared" si="22"/>
        <v>0</v>
      </c>
      <c r="BR18" s="1063">
        <f t="shared" si="23"/>
        <v>0</v>
      </c>
      <c r="BS18" s="1063">
        <f t="shared" si="47"/>
        <v>0</v>
      </c>
      <c r="BT18" s="1064">
        <f t="shared" si="24"/>
        <v>0</v>
      </c>
      <c r="BU18" s="1064">
        <f t="shared" si="25"/>
        <v>0</v>
      </c>
      <c r="BV18" s="1064">
        <f t="shared" si="48"/>
        <v>0</v>
      </c>
      <c r="BW18" s="1066">
        <f t="shared" si="49"/>
        <v>0</v>
      </c>
      <c r="BX18" s="1063">
        <f>(BI18*Pricing!F$2+BJ18*Pricing!G$2+BK18*Pricing!H$2+BL18*Pricing!I$2+BM18*Pricing!J$2+BN18*Pricing!K$2)*IF(AC$63="N",(1+AE$63),1)</f>
        <v>0</v>
      </c>
      <c r="BY18" s="1063">
        <f t="shared" si="50"/>
        <v>0</v>
      </c>
      <c r="BZ18" s="1063">
        <f t="shared" si="51"/>
        <v>0</v>
      </c>
      <c r="CA18" s="1063">
        <f t="shared" si="52"/>
        <v>0</v>
      </c>
      <c r="CB18" s="1067">
        <f t="shared" si="53"/>
        <v>0</v>
      </c>
      <c r="CD18" s="702">
        <f t="shared" si="54"/>
        <v>0</v>
      </c>
      <c r="CE18" s="1063">
        <f t="shared" si="26"/>
        <v>0</v>
      </c>
      <c r="CF18" s="1063">
        <f t="shared" si="27"/>
        <v>0</v>
      </c>
      <c r="CG18" s="1063">
        <f t="shared" si="28"/>
        <v>0</v>
      </c>
      <c r="CH18" s="702">
        <f t="shared" si="29"/>
        <v>0</v>
      </c>
      <c r="CI18" s="1063">
        <f t="shared" si="30"/>
        <v>0</v>
      </c>
      <c r="CJ18" s="702">
        <f t="shared" si="31"/>
        <v>0</v>
      </c>
      <c r="CK18" s="1063">
        <f t="shared" si="32"/>
        <v>0</v>
      </c>
      <c r="CL18" s="704">
        <f t="shared" si="33"/>
        <v>0</v>
      </c>
      <c r="CM18" s="702">
        <f t="shared" si="34"/>
        <v>0</v>
      </c>
      <c r="CO18" s="1061">
        <f t="shared" si="55"/>
        <v>0</v>
      </c>
      <c r="CP18" s="702">
        <f t="shared" si="56"/>
        <v>0</v>
      </c>
      <c r="CQ18" s="702">
        <f t="shared" si="57"/>
        <v>0</v>
      </c>
      <c r="CR18" s="702">
        <f t="shared" si="63"/>
        <v>0</v>
      </c>
      <c r="CS18" s="702">
        <f t="shared" si="58"/>
        <v>0</v>
      </c>
      <c r="CT18" s="702">
        <f t="shared" si="59"/>
        <v>0</v>
      </c>
      <c r="CU18" s="702">
        <f t="shared" si="60"/>
        <v>0</v>
      </c>
      <c r="CV18" s="1068">
        <f t="shared" si="35"/>
        <v>0</v>
      </c>
      <c r="CW18" s="1064">
        <f t="shared" si="61"/>
        <v>0</v>
      </c>
      <c r="FX18" s="701"/>
      <c r="FY18" s="701"/>
      <c r="FZ18" s="701"/>
      <c r="GA18" s="701"/>
      <c r="GB18" s="701"/>
      <c r="GC18" s="701"/>
      <c r="GD18" s="701"/>
      <c r="GE18" s="701"/>
      <c r="GF18" s="701"/>
      <c r="GG18" s="701"/>
      <c r="GH18" s="701"/>
      <c r="GI18" s="701"/>
      <c r="GJ18" s="701"/>
      <c r="GK18" s="701"/>
      <c r="GL18" s="701"/>
      <c r="GM18" s="701"/>
      <c r="GN18" s="701"/>
      <c r="GO18" s="701"/>
      <c r="GP18" s="701"/>
      <c r="GQ18" s="701"/>
      <c r="GR18" s="701"/>
      <c r="GS18" s="701"/>
      <c r="GT18" s="701"/>
      <c r="GU18" s="701"/>
      <c r="GV18" s="701"/>
      <c r="GW18" s="701"/>
      <c r="GX18" s="701"/>
      <c r="GY18" s="701"/>
      <c r="GZ18" s="701"/>
      <c r="HA18" s="701"/>
      <c r="HB18" s="701"/>
      <c r="HC18" s="701"/>
      <c r="HD18" s="701"/>
      <c r="HE18" s="701"/>
      <c r="HF18" s="701"/>
      <c r="HG18" s="701"/>
      <c r="HH18" s="701"/>
      <c r="HI18" s="701"/>
      <c r="HJ18" s="701"/>
      <c r="HK18" s="701"/>
      <c r="HL18" s="701"/>
      <c r="HM18" s="701"/>
      <c r="HN18" s="701"/>
      <c r="HO18" s="701"/>
      <c r="HP18" s="701"/>
      <c r="HQ18" s="701"/>
      <c r="HR18" s="701"/>
      <c r="HS18" s="701"/>
      <c r="HT18" s="701"/>
      <c r="HU18" s="701"/>
      <c r="HV18" s="701"/>
      <c r="HW18" s="701"/>
      <c r="HX18" s="701"/>
      <c r="HY18" s="701"/>
      <c r="HZ18" s="701"/>
      <c r="IA18" s="701"/>
    </row>
    <row r="19" spans="2:235" s="702" customFormat="1" ht="20.149999999999999" customHeight="1" x14ac:dyDescent="0.35">
      <c r="B19" s="193"/>
      <c r="C19" s="393"/>
      <c r="D19" s="1806"/>
      <c r="E19" s="1807"/>
      <c r="F19" s="127"/>
      <c r="G19" s="777"/>
      <c r="H19" s="214"/>
      <c r="I19" s="779"/>
      <c r="J19" s="127"/>
      <c r="K19" s="781"/>
      <c r="L19" s="30"/>
      <c r="M19" s="121"/>
      <c r="N19" s="394"/>
      <c r="O19" s="207">
        <v>9</v>
      </c>
      <c r="P19" s="31"/>
      <c r="Q19" s="1783">
        <v>10</v>
      </c>
      <c r="R19" s="723"/>
      <c r="S19" s="176">
        <v>1</v>
      </c>
      <c r="T19" s="555">
        <f t="shared" si="0"/>
        <v>0</v>
      </c>
      <c r="U19" s="31">
        <v>2</v>
      </c>
      <c r="V19" s="531"/>
      <c r="W19" s="31">
        <v>3</v>
      </c>
      <c r="X19" s="531"/>
      <c r="Y19" s="31">
        <v>4</v>
      </c>
      <c r="Z19" s="531"/>
      <c r="AA19" s="178">
        <v>5</v>
      </c>
      <c r="AB19" s="279"/>
      <c r="AC19" s="1380">
        <f t="shared" si="62"/>
        <v>0</v>
      </c>
      <c r="AD19" s="906">
        <f t="shared" si="36"/>
        <v>0</v>
      </c>
      <c r="AE19" s="794">
        <f t="shared" si="37"/>
        <v>0</v>
      </c>
      <c r="AF19" s="282">
        <f>SUM(BW19)*(1+M$64+Summary!P$64)</f>
        <v>0</v>
      </c>
      <c r="AG19" s="632" t="e">
        <f t="shared" si="1"/>
        <v>#DIV/0!</v>
      </c>
      <c r="AH19" s="1758">
        <f t="shared" si="38"/>
        <v>0</v>
      </c>
      <c r="AI19" s="769"/>
      <c r="AO19" s="702">
        <f t="shared" si="2"/>
        <v>0</v>
      </c>
      <c r="AP19" s="702">
        <f t="shared" si="39"/>
        <v>0</v>
      </c>
      <c r="AQ19" s="702">
        <f t="shared" si="3"/>
        <v>0</v>
      </c>
      <c r="AR19" s="702">
        <f t="shared" si="4"/>
        <v>0</v>
      </c>
      <c r="AS19" s="702">
        <f t="shared" si="5"/>
        <v>0</v>
      </c>
      <c r="AT19" s="702">
        <f t="shared" si="6"/>
        <v>0</v>
      </c>
      <c r="AU19" s="702">
        <f t="shared" si="7"/>
        <v>0</v>
      </c>
      <c r="AV19" s="1063">
        <f t="shared" si="40"/>
        <v>0</v>
      </c>
      <c r="AW19" s="1063">
        <f t="shared" si="8"/>
        <v>0</v>
      </c>
      <c r="AX19" s="702">
        <f t="shared" si="41"/>
        <v>0</v>
      </c>
      <c r="AY19" s="702">
        <f t="shared" si="9"/>
        <v>0</v>
      </c>
      <c r="AZ19" s="702">
        <f t="shared" si="10"/>
        <v>0</v>
      </c>
      <c r="BA19" s="702">
        <f t="shared" si="11"/>
        <v>0</v>
      </c>
      <c r="BB19" s="702">
        <f t="shared" si="12"/>
        <v>0</v>
      </c>
      <c r="BC19" s="702">
        <f t="shared" si="13"/>
        <v>0</v>
      </c>
      <c r="BD19" s="1063">
        <f t="shared" si="42"/>
        <v>0</v>
      </c>
      <c r="BE19" s="1064">
        <f t="shared" si="14"/>
        <v>0</v>
      </c>
      <c r="BF19" s="1063">
        <f t="shared" si="15"/>
        <v>0</v>
      </c>
      <c r="BG19" s="1065">
        <f t="shared" si="16"/>
        <v>0</v>
      </c>
      <c r="BH19" s="702">
        <f t="shared" si="17"/>
        <v>0</v>
      </c>
      <c r="BI19" s="1063">
        <f t="shared" si="43"/>
        <v>0</v>
      </c>
      <c r="BJ19" s="1063">
        <f t="shared" si="18"/>
        <v>0</v>
      </c>
      <c r="BK19" s="1063">
        <f t="shared" si="19"/>
        <v>0</v>
      </c>
      <c r="BL19" s="1063">
        <f t="shared" si="20"/>
        <v>0</v>
      </c>
      <c r="BM19" s="1063">
        <f t="shared" si="21"/>
        <v>0</v>
      </c>
      <c r="BN19" s="1064">
        <f t="shared" si="44"/>
        <v>0</v>
      </c>
      <c r="BO19" s="1761">
        <f t="shared" si="45"/>
        <v>0</v>
      </c>
      <c r="BP19" s="1063">
        <f t="shared" si="46"/>
        <v>0</v>
      </c>
      <c r="BQ19" s="1064">
        <f t="shared" si="22"/>
        <v>0</v>
      </c>
      <c r="BR19" s="1063">
        <f t="shared" si="23"/>
        <v>0</v>
      </c>
      <c r="BS19" s="1063">
        <f t="shared" si="47"/>
        <v>0</v>
      </c>
      <c r="BT19" s="1064">
        <f t="shared" si="24"/>
        <v>0</v>
      </c>
      <c r="BU19" s="1064">
        <f t="shared" si="25"/>
        <v>0</v>
      </c>
      <c r="BV19" s="1064">
        <f t="shared" si="48"/>
        <v>0</v>
      </c>
      <c r="BW19" s="1066">
        <f t="shared" si="49"/>
        <v>0</v>
      </c>
      <c r="BX19" s="1063">
        <f>(BI19*Pricing!F$2+BJ19*Pricing!G$2+BK19*Pricing!H$2+BL19*Pricing!I$2+BM19*Pricing!J$2+BN19*Pricing!K$2)*IF(AC$63="N",(1+AE$63),1)</f>
        <v>0</v>
      </c>
      <c r="BY19" s="1063">
        <f t="shared" si="50"/>
        <v>0</v>
      </c>
      <c r="BZ19" s="1063">
        <f t="shared" si="51"/>
        <v>0</v>
      </c>
      <c r="CA19" s="1063">
        <f t="shared" si="52"/>
        <v>0</v>
      </c>
      <c r="CB19" s="1067">
        <f t="shared" si="53"/>
        <v>0</v>
      </c>
      <c r="CD19" s="702">
        <f t="shared" si="54"/>
        <v>0</v>
      </c>
      <c r="CE19" s="1063">
        <f t="shared" si="26"/>
        <v>0</v>
      </c>
      <c r="CF19" s="1063">
        <f t="shared" si="27"/>
        <v>0</v>
      </c>
      <c r="CG19" s="1063">
        <f t="shared" si="28"/>
        <v>0</v>
      </c>
      <c r="CH19" s="702">
        <f t="shared" si="29"/>
        <v>0</v>
      </c>
      <c r="CI19" s="1063">
        <f t="shared" si="30"/>
        <v>0</v>
      </c>
      <c r="CJ19" s="702">
        <f t="shared" si="31"/>
        <v>0</v>
      </c>
      <c r="CK19" s="1063">
        <f t="shared" si="32"/>
        <v>0</v>
      </c>
      <c r="CL19" s="704">
        <f t="shared" si="33"/>
        <v>0</v>
      </c>
      <c r="CM19" s="702">
        <f t="shared" si="34"/>
        <v>0</v>
      </c>
      <c r="CO19" s="1061">
        <f t="shared" si="55"/>
        <v>0</v>
      </c>
      <c r="CP19" s="702">
        <f t="shared" si="56"/>
        <v>0</v>
      </c>
      <c r="CQ19" s="702">
        <f t="shared" si="57"/>
        <v>0</v>
      </c>
      <c r="CR19" s="702">
        <f t="shared" si="63"/>
        <v>0</v>
      </c>
      <c r="CS19" s="702">
        <f t="shared" si="58"/>
        <v>0</v>
      </c>
      <c r="CT19" s="702">
        <f t="shared" si="59"/>
        <v>0</v>
      </c>
      <c r="CU19" s="702">
        <f t="shared" si="60"/>
        <v>0</v>
      </c>
      <c r="CV19" s="1068">
        <f t="shared" si="35"/>
        <v>0</v>
      </c>
      <c r="CW19" s="1064">
        <f t="shared" si="61"/>
        <v>0</v>
      </c>
      <c r="FX19" s="701"/>
      <c r="FY19" s="701"/>
      <c r="FZ19" s="701"/>
      <c r="GA19" s="701"/>
      <c r="GB19" s="701"/>
      <c r="GC19" s="701"/>
      <c r="GD19" s="701"/>
      <c r="GE19" s="701"/>
      <c r="GF19" s="701"/>
      <c r="GG19" s="701"/>
      <c r="GH19" s="701"/>
      <c r="GI19" s="701"/>
      <c r="GJ19" s="701"/>
      <c r="GK19" s="701"/>
      <c r="GL19" s="701"/>
      <c r="GM19" s="701"/>
      <c r="GN19" s="701"/>
      <c r="GO19" s="701"/>
      <c r="GP19" s="701"/>
      <c r="GQ19" s="701"/>
      <c r="GR19" s="701"/>
      <c r="GS19" s="701"/>
      <c r="GT19" s="701"/>
      <c r="GU19" s="701"/>
      <c r="GV19" s="701"/>
      <c r="GW19" s="701"/>
      <c r="GX19" s="701"/>
      <c r="GY19" s="701"/>
      <c r="GZ19" s="701"/>
      <c r="HA19" s="701"/>
      <c r="HB19" s="701"/>
      <c r="HC19" s="701"/>
      <c r="HD19" s="701"/>
      <c r="HE19" s="701"/>
      <c r="HF19" s="701"/>
      <c r="HG19" s="701"/>
      <c r="HH19" s="701"/>
      <c r="HI19" s="701"/>
      <c r="HJ19" s="701"/>
      <c r="HK19" s="701"/>
      <c r="HL19" s="701"/>
      <c r="HM19" s="701"/>
      <c r="HN19" s="701"/>
      <c r="HO19" s="701"/>
      <c r="HP19" s="701"/>
      <c r="HQ19" s="701"/>
      <c r="HR19" s="701"/>
      <c r="HS19" s="701"/>
      <c r="HT19" s="701"/>
      <c r="HU19" s="701"/>
      <c r="HV19" s="701"/>
      <c r="HW19" s="701"/>
      <c r="HX19" s="701"/>
      <c r="HY19" s="701"/>
      <c r="HZ19" s="701"/>
      <c r="IA19" s="701"/>
    </row>
    <row r="20" spans="2:235" s="702" customFormat="1" ht="20.149999999999999" customHeight="1" x14ac:dyDescent="0.35">
      <c r="B20" s="398"/>
      <c r="C20" s="396"/>
      <c r="D20" s="1808"/>
      <c r="E20" s="1809"/>
      <c r="F20" s="97"/>
      <c r="G20" s="777"/>
      <c r="H20" s="97"/>
      <c r="I20" s="779"/>
      <c r="J20" s="97"/>
      <c r="K20" s="781"/>
      <c r="L20" s="32"/>
      <c r="M20" s="211"/>
      <c r="N20" s="397"/>
      <c r="O20" s="212">
        <v>9</v>
      </c>
      <c r="P20" s="32"/>
      <c r="Q20" s="810">
        <v>10</v>
      </c>
      <c r="R20" s="722"/>
      <c r="S20" s="180">
        <v>1</v>
      </c>
      <c r="T20" s="554">
        <f t="shared" si="0"/>
        <v>0</v>
      </c>
      <c r="U20" s="32">
        <v>2</v>
      </c>
      <c r="V20" s="371"/>
      <c r="W20" s="32">
        <v>3</v>
      </c>
      <c r="X20" s="371"/>
      <c r="Y20" s="32">
        <v>4</v>
      </c>
      <c r="Z20" s="371"/>
      <c r="AA20" s="180">
        <v>5</v>
      </c>
      <c r="AB20" s="280"/>
      <c r="AC20" s="1380">
        <f t="shared" si="62"/>
        <v>0</v>
      </c>
      <c r="AD20" s="906">
        <f t="shared" si="36"/>
        <v>0</v>
      </c>
      <c r="AE20" s="794">
        <f t="shared" si="37"/>
        <v>0</v>
      </c>
      <c r="AF20" s="282">
        <f>SUM(BW20)*(1+M$64+Summary!P$64)</f>
        <v>0</v>
      </c>
      <c r="AG20" s="632" t="e">
        <f t="shared" si="1"/>
        <v>#DIV/0!</v>
      </c>
      <c r="AH20" s="1758">
        <f t="shared" si="38"/>
        <v>0</v>
      </c>
      <c r="AI20" s="769"/>
      <c r="AO20" s="702">
        <f t="shared" si="2"/>
        <v>0</v>
      </c>
      <c r="AP20" s="702">
        <f t="shared" si="39"/>
        <v>0</v>
      </c>
      <c r="AQ20" s="702">
        <f t="shared" si="3"/>
        <v>0</v>
      </c>
      <c r="AR20" s="702">
        <f t="shared" si="4"/>
        <v>0</v>
      </c>
      <c r="AS20" s="702">
        <f t="shared" si="5"/>
        <v>0</v>
      </c>
      <c r="AT20" s="702">
        <f t="shared" si="6"/>
        <v>0</v>
      </c>
      <c r="AU20" s="702">
        <f t="shared" si="7"/>
        <v>0</v>
      </c>
      <c r="AV20" s="1063">
        <f t="shared" si="40"/>
        <v>0</v>
      </c>
      <c r="AW20" s="1063">
        <f t="shared" si="8"/>
        <v>0</v>
      </c>
      <c r="AX20" s="702">
        <f t="shared" si="41"/>
        <v>0</v>
      </c>
      <c r="AY20" s="702">
        <f t="shared" si="9"/>
        <v>0</v>
      </c>
      <c r="AZ20" s="702">
        <f t="shared" si="10"/>
        <v>0</v>
      </c>
      <c r="BA20" s="702">
        <f t="shared" si="11"/>
        <v>0</v>
      </c>
      <c r="BB20" s="702">
        <f t="shared" si="12"/>
        <v>0</v>
      </c>
      <c r="BC20" s="702">
        <f t="shared" si="13"/>
        <v>0</v>
      </c>
      <c r="BD20" s="1063">
        <f t="shared" si="42"/>
        <v>0</v>
      </c>
      <c r="BE20" s="1064">
        <f t="shared" si="14"/>
        <v>0</v>
      </c>
      <c r="BF20" s="1063">
        <f t="shared" si="15"/>
        <v>0</v>
      </c>
      <c r="BG20" s="1065">
        <f t="shared" si="16"/>
        <v>0</v>
      </c>
      <c r="BH20" s="702">
        <f t="shared" si="17"/>
        <v>0</v>
      </c>
      <c r="BI20" s="1063">
        <f t="shared" si="43"/>
        <v>0</v>
      </c>
      <c r="BJ20" s="1063">
        <f t="shared" si="18"/>
        <v>0</v>
      </c>
      <c r="BK20" s="1063">
        <f t="shared" si="19"/>
        <v>0</v>
      </c>
      <c r="BL20" s="1063">
        <f t="shared" si="20"/>
        <v>0</v>
      </c>
      <c r="BM20" s="1063">
        <f t="shared" si="21"/>
        <v>0</v>
      </c>
      <c r="BN20" s="1064">
        <f t="shared" si="44"/>
        <v>0</v>
      </c>
      <c r="BO20" s="1761">
        <f t="shared" si="45"/>
        <v>0</v>
      </c>
      <c r="BP20" s="1063">
        <f t="shared" si="46"/>
        <v>0</v>
      </c>
      <c r="BQ20" s="1064">
        <f t="shared" si="22"/>
        <v>0</v>
      </c>
      <c r="BR20" s="1063">
        <f t="shared" si="23"/>
        <v>0</v>
      </c>
      <c r="BS20" s="1063">
        <f t="shared" si="47"/>
        <v>0</v>
      </c>
      <c r="BT20" s="1064">
        <f t="shared" si="24"/>
        <v>0</v>
      </c>
      <c r="BU20" s="1064">
        <f t="shared" si="25"/>
        <v>0</v>
      </c>
      <c r="BV20" s="1064">
        <f t="shared" si="48"/>
        <v>0</v>
      </c>
      <c r="BW20" s="1066">
        <f t="shared" si="49"/>
        <v>0</v>
      </c>
      <c r="BX20" s="1063">
        <f>(BI20*Pricing!F$2+BJ20*Pricing!G$2+BK20*Pricing!H$2+BL20*Pricing!I$2+BM20*Pricing!J$2+BN20*Pricing!K$2)*IF(AC$63="N",(1+AE$63),1)</f>
        <v>0</v>
      </c>
      <c r="BY20" s="1063">
        <f t="shared" si="50"/>
        <v>0</v>
      </c>
      <c r="BZ20" s="1063">
        <f t="shared" si="51"/>
        <v>0</v>
      </c>
      <c r="CA20" s="1063">
        <f t="shared" si="52"/>
        <v>0</v>
      </c>
      <c r="CB20" s="1067">
        <f t="shared" si="53"/>
        <v>0</v>
      </c>
      <c r="CD20" s="702">
        <f t="shared" si="54"/>
        <v>0</v>
      </c>
      <c r="CE20" s="1063">
        <f t="shared" si="26"/>
        <v>0</v>
      </c>
      <c r="CF20" s="1063">
        <f t="shared" si="27"/>
        <v>0</v>
      </c>
      <c r="CG20" s="1063">
        <f t="shared" si="28"/>
        <v>0</v>
      </c>
      <c r="CH20" s="702">
        <f t="shared" si="29"/>
        <v>0</v>
      </c>
      <c r="CI20" s="1063">
        <f t="shared" si="30"/>
        <v>0</v>
      </c>
      <c r="CJ20" s="702">
        <f t="shared" si="31"/>
        <v>0</v>
      </c>
      <c r="CK20" s="1063">
        <f t="shared" si="32"/>
        <v>0</v>
      </c>
      <c r="CL20" s="704">
        <f t="shared" si="33"/>
        <v>0</v>
      </c>
      <c r="CM20" s="702">
        <f t="shared" si="34"/>
        <v>0</v>
      </c>
      <c r="CO20" s="1061">
        <f t="shared" si="55"/>
        <v>0</v>
      </c>
      <c r="CP20" s="702">
        <f t="shared" si="56"/>
        <v>0</v>
      </c>
      <c r="CQ20" s="702">
        <f t="shared" si="57"/>
        <v>0</v>
      </c>
      <c r="CR20" s="702">
        <f t="shared" si="63"/>
        <v>0</v>
      </c>
      <c r="CS20" s="702">
        <f t="shared" si="58"/>
        <v>0</v>
      </c>
      <c r="CT20" s="702">
        <f t="shared" si="59"/>
        <v>0</v>
      </c>
      <c r="CU20" s="702">
        <f t="shared" si="60"/>
        <v>0</v>
      </c>
      <c r="CV20" s="1068">
        <f t="shared" si="35"/>
        <v>0</v>
      </c>
      <c r="CW20" s="1064">
        <f t="shared" si="61"/>
        <v>0</v>
      </c>
      <c r="FX20" s="701"/>
      <c r="FY20" s="701"/>
      <c r="FZ20" s="701"/>
      <c r="GA20" s="701"/>
      <c r="GB20" s="701"/>
      <c r="GC20" s="701"/>
      <c r="GD20" s="701"/>
      <c r="GE20" s="701"/>
      <c r="GF20" s="701"/>
      <c r="GG20" s="701"/>
      <c r="GH20" s="701"/>
      <c r="GI20" s="701"/>
      <c r="GJ20" s="701"/>
      <c r="GK20" s="701"/>
      <c r="GL20" s="701"/>
      <c r="GM20" s="701"/>
      <c r="GN20" s="701"/>
      <c r="GO20" s="701"/>
      <c r="GP20" s="701"/>
      <c r="GQ20" s="701"/>
      <c r="GR20" s="701"/>
      <c r="GS20" s="701"/>
      <c r="GT20" s="701"/>
      <c r="GU20" s="701"/>
      <c r="GV20" s="701"/>
      <c r="GW20" s="701"/>
      <c r="GX20" s="701"/>
      <c r="GY20" s="701"/>
      <c r="GZ20" s="701"/>
      <c r="HA20" s="701"/>
      <c r="HB20" s="701"/>
      <c r="HC20" s="701"/>
      <c r="HD20" s="701"/>
      <c r="HE20" s="701"/>
      <c r="HF20" s="701"/>
      <c r="HG20" s="701"/>
      <c r="HH20" s="701"/>
      <c r="HI20" s="701"/>
      <c r="HJ20" s="701"/>
      <c r="HK20" s="701"/>
      <c r="HL20" s="701"/>
      <c r="HM20" s="701"/>
      <c r="HN20" s="701"/>
      <c r="HO20" s="701"/>
      <c r="HP20" s="701"/>
      <c r="HQ20" s="701"/>
      <c r="HR20" s="701"/>
      <c r="HS20" s="701"/>
      <c r="HT20" s="701"/>
      <c r="HU20" s="701"/>
      <c r="HV20" s="701"/>
      <c r="HW20" s="701"/>
      <c r="HX20" s="701"/>
      <c r="HY20" s="701"/>
      <c r="HZ20" s="701"/>
      <c r="IA20" s="701"/>
    </row>
    <row r="21" spans="2:235" s="702" customFormat="1" ht="20.149999999999999" customHeight="1" x14ac:dyDescent="0.35">
      <c r="B21" s="193"/>
      <c r="C21" s="393"/>
      <c r="D21" s="1806"/>
      <c r="E21" s="1807"/>
      <c r="F21" s="127"/>
      <c r="G21" s="777"/>
      <c r="H21" s="214"/>
      <c r="I21" s="779"/>
      <c r="J21" s="127"/>
      <c r="K21" s="781"/>
      <c r="L21" s="30"/>
      <c r="M21" s="121"/>
      <c r="N21" s="394"/>
      <c r="O21" s="207">
        <v>9</v>
      </c>
      <c r="P21" s="30"/>
      <c r="Q21" s="1783">
        <v>10</v>
      </c>
      <c r="R21" s="266"/>
      <c r="S21" s="176">
        <v>1</v>
      </c>
      <c r="T21" s="555">
        <f t="shared" si="0"/>
        <v>0</v>
      </c>
      <c r="U21" s="31">
        <v>2</v>
      </c>
      <c r="V21" s="531"/>
      <c r="W21" s="31">
        <v>3</v>
      </c>
      <c r="X21" s="531"/>
      <c r="Y21" s="31">
        <v>4</v>
      </c>
      <c r="Z21" s="531"/>
      <c r="AA21" s="178">
        <v>5</v>
      </c>
      <c r="AB21" s="279"/>
      <c r="AC21" s="1380">
        <f t="shared" si="62"/>
        <v>0</v>
      </c>
      <c r="AD21" s="906">
        <f t="shared" si="36"/>
        <v>0</v>
      </c>
      <c r="AE21" s="794">
        <f t="shared" si="37"/>
        <v>0</v>
      </c>
      <c r="AF21" s="282">
        <f>SUM(BW21)*(1+M$64+Summary!P$64)</f>
        <v>0</v>
      </c>
      <c r="AG21" s="632" t="e">
        <f t="shared" si="1"/>
        <v>#DIV/0!</v>
      </c>
      <c r="AH21" s="1758">
        <f t="shared" si="38"/>
        <v>0</v>
      </c>
      <c r="AI21" s="769"/>
      <c r="AO21" s="702">
        <f t="shared" si="2"/>
        <v>0</v>
      </c>
      <c r="AP21" s="702">
        <f t="shared" si="39"/>
        <v>0</v>
      </c>
      <c r="AQ21" s="702">
        <f t="shared" si="3"/>
        <v>0</v>
      </c>
      <c r="AR21" s="702">
        <f t="shared" si="4"/>
        <v>0</v>
      </c>
      <c r="AS21" s="702">
        <f t="shared" si="5"/>
        <v>0</v>
      </c>
      <c r="AT21" s="702">
        <f t="shared" si="6"/>
        <v>0</v>
      </c>
      <c r="AU21" s="702">
        <f t="shared" si="7"/>
        <v>0</v>
      </c>
      <c r="AV21" s="1063">
        <f t="shared" si="40"/>
        <v>0</v>
      </c>
      <c r="AW21" s="1063">
        <f t="shared" si="8"/>
        <v>0</v>
      </c>
      <c r="AX21" s="702">
        <f t="shared" si="41"/>
        <v>0</v>
      </c>
      <c r="AY21" s="702">
        <f t="shared" si="9"/>
        <v>0</v>
      </c>
      <c r="AZ21" s="702">
        <f t="shared" si="10"/>
        <v>0</v>
      </c>
      <c r="BA21" s="702">
        <f t="shared" si="11"/>
        <v>0</v>
      </c>
      <c r="BB21" s="702">
        <f t="shared" si="12"/>
        <v>0</v>
      </c>
      <c r="BC21" s="702">
        <f t="shared" si="13"/>
        <v>0</v>
      </c>
      <c r="BD21" s="1063">
        <f t="shared" si="42"/>
        <v>0</v>
      </c>
      <c r="BE21" s="1064">
        <f t="shared" si="14"/>
        <v>0</v>
      </c>
      <c r="BF21" s="1063">
        <f t="shared" si="15"/>
        <v>0</v>
      </c>
      <c r="BG21" s="1065">
        <f t="shared" si="16"/>
        <v>0</v>
      </c>
      <c r="BH21" s="702">
        <f t="shared" si="17"/>
        <v>0</v>
      </c>
      <c r="BI21" s="1063">
        <f t="shared" si="43"/>
        <v>0</v>
      </c>
      <c r="BJ21" s="1063">
        <f t="shared" si="18"/>
        <v>0</v>
      </c>
      <c r="BK21" s="1063">
        <f t="shared" si="19"/>
        <v>0</v>
      </c>
      <c r="BL21" s="1063">
        <f t="shared" si="20"/>
        <v>0</v>
      </c>
      <c r="BM21" s="1063">
        <f t="shared" si="21"/>
        <v>0</v>
      </c>
      <c r="BN21" s="1064">
        <f t="shared" si="44"/>
        <v>0</v>
      </c>
      <c r="BO21" s="1761">
        <f t="shared" si="45"/>
        <v>0</v>
      </c>
      <c r="BP21" s="1063">
        <f t="shared" si="46"/>
        <v>0</v>
      </c>
      <c r="BQ21" s="1064">
        <f t="shared" si="22"/>
        <v>0</v>
      </c>
      <c r="BR21" s="1063">
        <f t="shared" si="23"/>
        <v>0</v>
      </c>
      <c r="BS21" s="1063">
        <f t="shared" si="47"/>
        <v>0</v>
      </c>
      <c r="BT21" s="1064">
        <f t="shared" si="24"/>
        <v>0</v>
      </c>
      <c r="BU21" s="1064">
        <f t="shared" si="25"/>
        <v>0</v>
      </c>
      <c r="BV21" s="1064">
        <f t="shared" si="48"/>
        <v>0</v>
      </c>
      <c r="BW21" s="1066">
        <f t="shared" si="49"/>
        <v>0</v>
      </c>
      <c r="BX21" s="1063">
        <f>(BI21*Pricing!F$2+BJ21*Pricing!G$2+BK21*Pricing!H$2+BL21*Pricing!I$2+BM21*Pricing!J$2+BN21*Pricing!K$2)*IF(AC$63="N",(1+AE$63),1)</f>
        <v>0</v>
      </c>
      <c r="BY21" s="1063">
        <f t="shared" si="50"/>
        <v>0</v>
      </c>
      <c r="BZ21" s="1063">
        <f t="shared" si="51"/>
        <v>0</v>
      </c>
      <c r="CA21" s="1063">
        <f t="shared" si="52"/>
        <v>0</v>
      </c>
      <c r="CB21" s="1067">
        <f t="shared" si="53"/>
        <v>0</v>
      </c>
      <c r="CD21" s="702">
        <f t="shared" si="54"/>
        <v>0</v>
      </c>
      <c r="CE21" s="1063">
        <f t="shared" si="26"/>
        <v>0</v>
      </c>
      <c r="CF21" s="1063">
        <f t="shared" si="27"/>
        <v>0</v>
      </c>
      <c r="CG21" s="1063">
        <f t="shared" si="28"/>
        <v>0</v>
      </c>
      <c r="CH21" s="702">
        <f t="shared" si="29"/>
        <v>0</v>
      </c>
      <c r="CI21" s="1063">
        <f t="shared" si="30"/>
        <v>0</v>
      </c>
      <c r="CJ21" s="702">
        <f t="shared" si="31"/>
        <v>0</v>
      </c>
      <c r="CK21" s="1063">
        <f t="shared" si="32"/>
        <v>0</v>
      </c>
      <c r="CL21" s="704">
        <f t="shared" si="33"/>
        <v>0</v>
      </c>
      <c r="CM21" s="702">
        <f t="shared" si="34"/>
        <v>0</v>
      </c>
      <c r="CO21" s="1061">
        <f t="shared" si="55"/>
        <v>0</v>
      </c>
      <c r="CP21" s="702">
        <f t="shared" si="56"/>
        <v>0</v>
      </c>
      <c r="CQ21" s="702">
        <f t="shared" si="57"/>
        <v>0</v>
      </c>
      <c r="CR21" s="702">
        <f t="shared" si="63"/>
        <v>0</v>
      </c>
      <c r="CS21" s="702">
        <f t="shared" si="58"/>
        <v>0</v>
      </c>
      <c r="CT21" s="702">
        <f t="shared" si="59"/>
        <v>0</v>
      </c>
      <c r="CU21" s="702">
        <f t="shared" si="60"/>
        <v>0</v>
      </c>
      <c r="CV21" s="1068">
        <f t="shared" si="35"/>
        <v>0</v>
      </c>
      <c r="CW21" s="1064">
        <f t="shared" si="61"/>
        <v>0</v>
      </c>
      <c r="FX21" s="701"/>
      <c r="FY21" s="701"/>
      <c r="FZ21" s="701"/>
      <c r="GA21" s="701"/>
      <c r="GB21" s="701"/>
      <c r="GC21" s="701"/>
      <c r="GD21" s="701"/>
      <c r="GE21" s="701"/>
      <c r="GF21" s="701"/>
      <c r="GG21" s="701"/>
      <c r="GH21" s="701"/>
      <c r="GI21" s="701"/>
      <c r="GJ21" s="701"/>
      <c r="GK21" s="701"/>
      <c r="GL21" s="701"/>
      <c r="GM21" s="701"/>
      <c r="GN21" s="701"/>
      <c r="GO21" s="701"/>
      <c r="GP21" s="701"/>
      <c r="GQ21" s="701"/>
      <c r="GR21" s="701"/>
      <c r="GS21" s="701"/>
      <c r="GT21" s="701"/>
      <c r="GU21" s="701"/>
      <c r="GV21" s="701"/>
      <c r="GW21" s="701"/>
      <c r="GX21" s="701"/>
      <c r="GY21" s="701"/>
      <c r="GZ21" s="701"/>
      <c r="HA21" s="701"/>
      <c r="HB21" s="701"/>
      <c r="HC21" s="701"/>
      <c r="HD21" s="701"/>
      <c r="HE21" s="701"/>
      <c r="HF21" s="701"/>
      <c r="HG21" s="701"/>
      <c r="HH21" s="701"/>
      <c r="HI21" s="701"/>
      <c r="HJ21" s="701"/>
      <c r="HK21" s="701"/>
      <c r="HL21" s="701"/>
      <c r="HM21" s="701"/>
      <c r="HN21" s="701"/>
      <c r="HO21" s="701"/>
      <c r="HP21" s="701"/>
      <c r="HQ21" s="701"/>
      <c r="HR21" s="701"/>
      <c r="HS21" s="701"/>
      <c r="HT21" s="701"/>
      <c r="HU21" s="701"/>
      <c r="HV21" s="701"/>
      <c r="HW21" s="701"/>
      <c r="HX21" s="701"/>
      <c r="HY21" s="701"/>
      <c r="HZ21" s="701"/>
      <c r="IA21" s="701"/>
    </row>
    <row r="22" spans="2:235" s="702" customFormat="1" ht="20.149999999999999" customHeight="1" x14ac:dyDescent="0.35">
      <c r="B22" s="398"/>
      <c r="C22" s="396"/>
      <c r="D22" s="1808"/>
      <c r="E22" s="1809"/>
      <c r="F22" s="97"/>
      <c r="G22" s="777"/>
      <c r="H22" s="97"/>
      <c r="I22" s="779"/>
      <c r="J22" s="97"/>
      <c r="K22" s="781"/>
      <c r="L22" s="32"/>
      <c r="M22" s="211"/>
      <c r="N22" s="397"/>
      <c r="O22" s="212">
        <v>9</v>
      </c>
      <c r="P22" s="32"/>
      <c r="Q22" s="810">
        <v>10</v>
      </c>
      <c r="R22" s="722"/>
      <c r="S22" s="180">
        <v>1</v>
      </c>
      <c r="T22" s="554">
        <f t="shared" si="0"/>
        <v>0</v>
      </c>
      <c r="U22" s="32">
        <v>2</v>
      </c>
      <c r="V22" s="371"/>
      <c r="W22" s="32">
        <v>3</v>
      </c>
      <c r="X22" s="371"/>
      <c r="Y22" s="32">
        <v>4</v>
      </c>
      <c r="Z22" s="371"/>
      <c r="AA22" s="180">
        <v>5</v>
      </c>
      <c r="AB22" s="280"/>
      <c r="AC22" s="1380">
        <f t="shared" si="62"/>
        <v>0</v>
      </c>
      <c r="AD22" s="906">
        <f t="shared" si="36"/>
        <v>0</v>
      </c>
      <c r="AE22" s="794">
        <f t="shared" si="37"/>
        <v>0</v>
      </c>
      <c r="AF22" s="282">
        <f>SUM(BW22)*(1+M$64+Summary!P$64)</f>
        <v>0</v>
      </c>
      <c r="AG22" s="632" t="e">
        <f t="shared" si="1"/>
        <v>#DIV/0!</v>
      </c>
      <c r="AH22" s="1758">
        <f t="shared" si="38"/>
        <v>0</v>
      </c>
      <c r="AI22" s="769"/>
      <c r="AO22" s="702">
        <f t="shared" si="2"/>
        <v>0</v>
      </c>
      <c r="AP22" s="702">
        <f t="shared" si="39"/>
        <v>0</v>
      </c>
      <c r="AQ22" s="702">
        <f t="shared" si="3"/>
        <v>0</v>
      </c>
      <c r="AR22" s="702">
        <f t="shared" si="4"/>
        <v>0</v>
      </c>
      <c r="AS22" s="702">
        <f t="shared" si="5"/>
        <v>0</v>
      </c>
      <c r="AT22" s="702">
        <f t="shared" si="6"/>
        <v>0</v>
      </c>
      <c r="AU22" s="702">
        <f t="shared" si="7"/>
        <v>0</v>
      </c>
      <c r="AV22" s="1063">
        <f t="shared" si="40"/>
        <v>0</v>
      </c>
      <c r="AW22" s="1063">
        <f t="shared" si="8"/>
        <v>0</v>
      </c>
      <c r="AX22" s="702">
        <f t="shared" si="41"/>
        <v>0</v>
      </c>
      <c r="AY22" s="702">
        <f t="shared" si="9"/>
        <v>0</v>
      </c>
      <c r="AZ22" s="702">
        <f t="shared" si="10"/>
        <v>0</v>
      </c>
      <c r="BA22" s="702">
        <f t="shared" si="11"/>
        <v>0</v>
      </c>
      <c r="BB22" s="702">
        <f t="shared" si="12"/>
        <v>0</v>
      </c>
      <c r="BC22" s="702">
        <f t="shared" si="13"/>
        <v>0</v>
      </c>
      <c r="BD22" s="1063">
        <f t="shared" si="42"/>
        <v>0</v>
      </c>
      <c r="BE22" s="1064">
        <f t="shared" si="14"/>
        <v>0</v>
      </c>
      <c r="BF22" s="1063">
        <f t="shared" si="15"/>
        <v>0</v>
      </c>
      <c r="BG22" s="1065">
        <f t="shared" si="16"/>
        <v>0</v>
      </c>
      <c r="BH22" s="702">
        <f t="shared" si="17"/>
        <v>0</v>
      </c>
      <c r="BI22" s="1063">
        <f t="shared" si="43"/>
        <v>0</v>
      </c>
      <c r="BJ22" s="1063">
        <f t="shared" si="18"/>
        <v>0</v>
      </c>
      <c r="BK22" s="1063">
        <f t="shared" si="19"/>
        <v>0</v>
      </c>
      <c r="BL22" s="1063">
        <f t="shared" si="20"/>
        <v>0</v>
      </c>
      <c r="BM22" s="1063">
        <f t="shared" si="21"/>
        <v>0</v>
      </c>
      <c r="BN22" s="1064">
        <f t="shared" si="44"/>
        <v>0</v>
      </c>
      <c r="BO22" s="1761">
        <f t="shared" si="45"/>
        <v>0</v>
      </c>
      <c r="BP22" s="1063">
        <f t="shared" si="46"/>
        <v>0</v>
      </c>
      <c r="BQ22" s="1064">
        <f t="shared" si="22"/>
        <v>0</v>
      </c>
      <c r="BR22" s="1063">
        <f t="shared" si="23"/>
        <v>0</v>
      </c>
      <c r="BS22" s="1063">
        <f t="shared" si="47"/>
        <v>0</v>
      </c>
      <c r="BT22" s="1064">
        <f t="shared" si="24"/>
        <v>0</v>
      </c>
      <c r="BU22" s="1064">
        <f t="shared" si="25"/>
        <v>0</v>
      </c>
      <c r="BV22" s="1064">
        <f t="shared" si="48"/>
        <v>0</v>
      </c>
      <c r="BW22" s="1066">
        <f t="shared" si="49"/>
        <v>0</v>
      </c>
      <c r="BX22" s="1063">
        <f>(BI22*Pricing!F$2+BJ22*Pricing!G$2+BK22*Pricing!H$2+BL22*Pricing!I$2+BM22*Pricing!J$2+BN22*Pricing!K$2)*IF(AC$63="N",(1+AE$63),1)</f>
        <v>0</v>
      </c>
      <c r="BY22" s="1063">
        <f t="shared" si="50"/>
        <v>0</v>
      </c>
      <c r="BZ22" s="1063">
        <f t="shared" si="51"/>
        <v>0</v>
      </c>
      <c r="CA22" s="1063">
        <f t="shared" si="52"/>
        <v>0</v>
      </c>
      <c r="CB22" s="1067">
        <f t="shared" si="53"/>
        <v>0</v>
      </c>
      <c r="CD22" s="702">
        <f t="shared" si="54"/>
        <v>0</v>
      </c>
      <c r="CE22" s="1063">
        <f t="shared" si="26"/>
        <v>0</v>
      </c>
      <c r="CF22" s="1063">
        <f t="shared" si="27"/>
        <v>0</v>
      </c>
      <c r="CG22" s="1063">
        <f t="shared" si="28"/>
        <v>0</v>
      </c>
      <c r="CH22" s="702">
        <f t="shared" si="29"/>
        <v>0</v>
      </c>
      <c r="CI22" s="1063">
        <f t="shared" si="30"/>
        <v>0</v>
      </c>
      <c r="CJ22" s="702">
        <f t="shared" si="31"/>
        <v>0</v>
      </c>
      <c r="CK22" s="1063">
        <f t="shared" si="32"/>
        <v>0</v>
      </c>
      <c r="CL22" s="704">
        <f t="shared" si="33"/>
        <v>0</v>
      </c>
      <c r="CM22" s="702">
        <f t="shared" si="34"/>
        <v>0</v>
      </c>
      <c r="CO22" s="1061">
        <f t="shared" si="55"/>
        <v>0</v>
      </c>
      <c r="CP22" s="702">
        <f t="shared" si="56"/>
        <v>0</v>
      </c>
      <c r="CQ22" s="702">
        <f t="shared" si="57"/>
        <v>0</v>
      </c>
      <c r="CR22" s="702">
        <f t="shared" si="63"/>
        <v>0</v>
      </c>
      <c r="CS22" s="702">
        <f t="shared" si="58"/>
        <v>0</v>
      </c>
      <c r="CT22" s="702">
        <f t="shared" si="59"/>
        <v>0</v>
      </c>
      <c r="CU22" s="702">
        <f t="shared" si="60"/>
        <v>0</v>
      </c>
      <c r="CV22" s="1068">
        <f t="shared" si="35"/>
        <v>0</v>
      </c>
      <c r="CW22" s="1064">
        <f t="shared" si="61"/>
        <v>0</v>
      </c>
      <c r="FX22" s="701"/>
      <c r="FY22" s="701"/>
      <c r="FZ22" s="701"/>
      <c r="GA22" s="701"/>
      <c r="GB22" s="701"/>
      <c r="GC22" s="701"/>
      <c r="GD22" s="701"/>
      <c r="GE22" s="701"/>
      <c r="GF22" s="701"/>
      <c r="GG22" s="701"/>
      <c r="GH22" s="701"/>
      <c r="GI22" s="701"/>
      <c r="GJ22" s="701"/>
      <c r="GK22" s="701"/>
      <c r="GL22" s="701"/>
      <c r="GM22" s="701"/>
      <c r="GN22" s="701"/>
      <c r="GO22" s="701"/>
      <c r="GP22" s="701"/>
      <c r="GQ22" s="701"/>
      <c r="GR22" s="701"/>
      <c r="GS22" s="701"/>
      <c r="GT22" s="701"/>
      <c r="GU22" s="701"/>
      <c r="GV22" s="701"/>
      <c r="GW22" s="701"/>
      <c r="GX22" s="701"/>
      <c r="GY22" s="701"/>
      <c r="GZ22" s="701"/>
      <c r="HA22" s="701"/>
      <c r="HB22" s="701"/>
      <c r="HC22" s="701"/>
      <c r="HD22" s="701"/>
      <c r="HE22" s="701"/>
      <c r="HF22" s="701"/>
      <c r="HG22" s="701"/>
      <c r="HH22" s="701"/>
      <c r="HI22" s="701"/>
      <c r="HJ22" s="701"/>
      <c r="HK22" s="701"/>
      <c r="HL22" s="701"/>
      <c r="HM22" s="701"/>
      <c r="HN22" s="701"/>
      <c r="HO22" s="701"/>
      <c r="HP22" s="701"/>
      <c r="HQ22" s="701"/>
      <c r="HR22" s="701"/>
      <c r="HS22" s="701"/>
      <c r="HT22" s="701"/>
      <c r="HU22" s="701"/>
      <c r="HV22" s="701"/>
      <c r="HW22" s="701"/>
      <c r="HX22" s="701"/>
      <c r="HY22" s="701"/>
      <c r="HZ22" s="701"/>
      <c r="IA22" s="701"/>
    </row>
    <row r="23" spans="2:235" s="702" customFormat="1" ht="20.149999999999999" customHeight="1" x14ac:dyDescent="0.35">
      <c r="B23" s="193"/>
      <c r="C23" s="393"/>
      <c r="D23" s="1806"/>
      <c r="E23" s="1807"/>
      <c r="F23" s="127"/>
      <c r="G23" s="777"/>
      <c r="H23" s="214"/>
      <c r="I23" s="779"/>
      <c r="J23" s="127"/>
      <c r="K23" s="781"/>
      <c r="L23" s="30"/>
      <c r="M23" s="121"/>
      <c r="N23" s="394"/>
      <c r="O23" s="207">
        <v>9</v>
      </c>
      <c r="P23" s="30"/>
      <c r="Q23" s="1783">
        <v>10</v>
      </c>
      <c r="R23" s="266"/>
      <c r="S23" s="176">
        <v>1</v>
      </c>
      <c r="T23" s="555">
        <f t="shared" si="0"/>
        <v>0</v>
      </c>
      <c r="U23" s="31">
        <v>2</v>
      </c>
      <c r="V23" s="531"/>
      <c r="W23" s="31">
        <v>3</v>
      </c>
      <c r="X23" s="531"/>
      <c r="Y23" s="31">
        <v>4</v>
      </c>
      <c r="Z23" s="531"/>
      <c r="AA23" s="178">
        <v>5</v>
      </c>
      <c r="AB23" s="279"/>
      <c r="AC23" s="1380">
        <f t="shared" si="62"/>
        <v>0</v>
      </c>
      <c r="AD23" s="906">
        <f t="shared" si="36"/>
        <v>0</v>
      </c>
      <c r="AE23" s="794">
        <f t="shared" si="37"/>
        <v>0</v>
      </c>
      <c r="AF23" s="282">
        <f>SUM(BW23)*(1+M$64+Summary!P$64)</f>
        <v>0</v>
      </c>
      <c r="AG23" s="632" t="e">
        <f t="shared" si="1"/>
        <v>#DIV/0!</v>
      </c>
      <c r="AH23" s="1758">
        <f t="shared" si="38"/>
        <v>0</v>
      </c>
      <c r="AI23" s="769"/>
      <c r="AO23" s="702">
        <f t="shared" si="2"/>
        <v>0</v>
      </c>
      <c r="AP23" s="702">
        <f t="shared" si="39"/>
        <v>0</v>
      </c>
      <c r="AQ23" s="702">
        <f t="shared" si="3"/>
        <v>0</v>
      </c>
      <c r="AR23" s="702">
        <f t="shared" si="4"/>
        <v>0</v>
      </c>
      <c r="AS23" s="702">
        <f t="shared" si="5"/>
        <v>0</v>
      </c>
      <c r="AT23" s="702">
        <f t="shared" si="6"/>
        <v>0</v>
      </c>
      <c r="AU23" s="702">
        <f t="shared" si="7"/>
        <v>0</v>
      </c>
      <c r="AV23" s="1063">
        <f t="shared" si="40"/>
        <v>0</v>
      </c>
      <c r="AW23" s="1063">
        <f t="shared" si="8"/>
        <v>0</v>
      </c>
      <c r="AX23" s="702">
        <f t="shared" si="41"/>
        <v>0</v>
      </c>
      <c r="AY23" s="702">
        <f t="shared" si="9"/>
        <v>0</v>
      </c>
      <c r="AZ23" s="702">
        <f t="shared" si="10"/>
        <v>0</v>
      </c>
      <c r="BA23" s="702">
        <f t="shared" si="11"/>
        <v>0</v>
      </c>
      <c r="BB23" s="702">
        <f t="shared" si="12"/>
        <v>0</v>
      </c>
      <c r="BC23" s="702">
        <f t="shared" si="13"/>
        <v>0</v>
      </c>
      <c r="BD23" s="1063">
        <f t="shared" si="42"/>
        <v>0</v>
      </c>
      <c r="BE23" s="1064">
        <f t="shared" si="14"/>
        <v>0</v>
      </c>
      <c r="BF23" s="1063">
        <f t="shared" si="15"/>
        <v>0</v>
      </c>
      <c r="BG23" s="1065">
        <f t="shared" si="16"/>
        <v>0</v>
      </c>
      <c r="BH23" s="702">
        <f t="shared" si="17"/>
        <v>0</v>
      </c>
      <c r="BI23" s="1063">
        <f t="shared" si="43"/>
        <v>0</v>
      </c>
      <c r="BJ23" s="1063">
        <f t="shared" si="18"/>
        <v>0</v>
      </c>
      <c r="BK23" s="1063">
        <f t="shared" si="19"/>
        <v>0</v>
      </c>
      <c r="BL23" s="1063">
        <f t="shared" si="20"/>
        <v>0</v>
      </c>
      <c r="BM23" s="1063">
        <f t="shared" si="21"/>
        <v>0</v>
      </c>
      <c r="BN23" s="1064">
        <f t="shared" si="44"/>
        <v>0</v>
      </c>
      <c r="BO23" s="1761">
        <f t="shared" si="45"/>
        <v>0</v>
      </c>
      <c r="BP23" s="1063">
        <f t="shared" si="46"/>
        <v>0</v>
      </c>
      <c r="BQ23" s="1064">
        <f t="shared" si="22"/>
        <v>0</v>
      </c>
      <c r="BR23" s="1063">
        <f t="shared" si="23"/>
        <v>0</v>
      </c>
      <c r="BS23" s="1063">
        <f t="shared" si="47"/>
        <v>0</v>
      </c>
      <c r="BT23" s="1064">
        <f t="shared" si="24"/>
        <v>0</v>
      </c>
      <c r="BU23" s="1064">
        <f t="shared" si="25"/>
        <v>0</v>
      </c>
      <c r="BV23" s="1064">
        <f t="shared" si="48"/>
        <v>0</v>
      </c>
      <c r="BW23" s="1066">
        <f t="shared" si="49"/>
        <v>0</v>
      </c>
      <c r="BX23" s="1063">
        <f>(BI23*Pricing!F$2+BJ23*Pricing!G$2+BK23*Pricing!H$2+BL23*Pricing!I$2+BM23*Pricing!J$2+BN23*Pricing!K$2)*IF(AC$63="N",(1+AE$63),1)</f>
        <v>0</v>
      </c>
      <c r="BY23" s="1063">
        <f t="shared" si="50"/>
        <v>0</v>
      </c>
      <c r="BZ23" s="1063">
        <f t="shared" si="51"/>
        <v>0</v>
      </c>
      <c r="CA23" s="1063">
        <f t="shared" si="52"/>
        <v>0</v>
      </c>
      <c r="CB23" s="1067">
        <f t="shared" si="53"/>
        <v>0</v>
      </c>
      <c r="CD23" s="702">
        <f t="shared" si="54"/>
        <v>0</v>
      </c>
      <c r="CE23" s="1063">
        <f t="shared" si="26"/>
        <v>0</v>
      </c>
      <c r="CF23" s="1063">
        <f t="shared" si="27"/>
        <v>0</v>
      </c>
      <c r="CG23" s="1063">
        <f t="shared" si="28"/>
        <v>0</v>
      </c>
      <c r="CH23" s="702">
        <f t="shared" si="29"/>
        <v>0</v>
      </c>
      <c r="CI23" s="1063">
        <f t="shared" si="30"/>
        <v>0</v>
      </c>
      <c r="CJ23" s="702">
        <f t="shared" si="31"/>
        <v>0</v>
      </c>
      <c r="CK23" s="1063">
        <f t="shared" si="32"/>
        <v>0</v>
      </c>
      <c r="CL23" s="704">
        <f t="shared" si="33"/>
        <v>0</v>
      </c>
      <c r="CM23" s="702">
        <f t="shared" si="34"/>
        <v>0</v>
      </c>
      <c r="CO23" s="1061">
        <f t="shared" si="55"/>
        <v>0</v>
      </c>
      <c r="CP23" s="702">
        <f t="shared" si="56"/>
        <v>0</v>
      </c>
      <c r="CQ23" s="702">
        <f t="shared" si="57"/>
        <v>0</v>
      </c>
      <c r="CR23" s="702">
        <f t="shared" si="63"/>
        <v>0</v>
      </c>
      <c r="CS23" s="702">
        <f t="shared" si="58"/>
        <v>0</v>
      </c>
      <c r="CT23" s="702">
        <f t="shared" si="59"/>
        <v>0</v>
      </c>
      <c r="CU23" s="702">
        <f t="shared" si="60"/>
        <v>0</v>
      </c>
      <c r="CV23" s="1068">
        <f t="shared" si="35"/>
        <v>0</v>
      </c>
      <c r="CW23" s="1064">
        <f t="shared" si="61"/>
        <v>0</v>
      </c>
      <c r="FX23" s="701"/>
      <c r="FY23" s="701"/>
      <c r="FZ23" s="701"/>
      <c r="GA23" s="701"/>
      <c r="GB23" s="701"/>
      <c r="GC23" s="701"/>
      <c r="GD23" s="701"/>
      <c r="GE23" s="701"/>
      <c r="GF23" s="701"/>
      <c r="GG23" s="701"/>
      <c r="GH23" s="701"/>
      <c r="GI23" s="701"/>
      <c r="GJ23" s="701"/>
      <c r="GK23" s="701"/>
      <c r="GL23" s="701"/>
      <c r="GM23" s="701"/>
      <c r="GN23" s="701"/>
      <c r="GO23" s="701"/>
      <c r="GP23" s="701"/>
      <c r="GQ23" s="701"/>
      <c r="GR23" s="701"/>
      <c r="GS23" s="701"/>
      <c r="GT23" s="701"/>
      <c r="GU23" s="701"/>
      <c r="GV23" s="701"/>
      <c r="GW23" s="701"/>
      <c r="GX23" s="701"/>
      <c r="GY23" s="701"/>
      <c r="GZ23" s="701"/>
      <c r="HA23" s="701"/>
      <c r="HB23" s="701"/>
      <c r="HC23" s="701"/>
      <c r="HD23" s="701"/>
      <c r="HE23" s="701"/>
      <c r="HF23" s="701"/>
      <c r="HG23" s="701"/>
      <c r="HH23" s="701"/>
      <c r="HI23" s="701"/>
      <c r="HJ23" s="701"/>
      <c r="HK23" s="701"/>
      <c r="HL23" s="701"/>
      <c r="HM23" s="701"/>
      <c r="HN23" s="701"/>
      <c r="HO23" s="701"/>
      <c r="HP23" s="701"/>
      <c r="HQ23" s="701"/>
      <c r="HR23" s="701"/>
      <c r="HS23" s="701"/>
      <c r="HT23" s="701"/>
      <c r="HU23" s="701"/>
      <c r="HV23" s="701"/>
      <c r="HW23" s="701"/>
      <c r="HX23" s="701"/>
      <c r="HY23" s="701"/>
      <c r="HZ23" s="701"/>
      <c r="IA23" s="701"/>
    </row>
    <row r="24" spans="2:235" s="702" customFormat="1" ht="20.149999999999999" customHeight="1" x14ac:dyDescent="0.35">
      <c r="B24" s="398"/>
      <c r="C24" s="396"/>
      <c r="D24" s="1808"/>
      <c r="E24" s="1809"/>
      <c r="F24" s="97"/>
      <c r="G24" s="777"/>
      <c r="H24" s="97"/>
      <c r="I24" s="779"/>
      <c r="J24" s="97"/>
      <c r="K24" s="781"/>
      <c r="L24" s="32"/>
      <c r="M24" s="211"/>
      <c r="N24" s="397"/>
      <c r="O24" s="212">
        <v>9</v>
      </c>
      <c r="P24" s="32"/>
      <c r="Q24" s="810">
        <v>10</v>
      </c>
      <c r="R24" s="722"/>
      <c r="S24" s="180">
        <v>1</v>
      </c>
      <c r="T24" s="554">
        <f t="shared" si="0"/>
        <v>0</v>
      </c>
      <c r="U24" s="32">
        <v>2</v>
      </c>
      <c r="V24" s="371"/>
      <c r="W24" s="32">
        <v>3</v>
      </c>
      <c r="X24" s="371"/>
      <c r="Y24" s="32">
        <v>4</v>
      </c>
      <c r="Z24" s="371"/>
      <c r="AA24" s="180">
        <v>5</v>
      </c>
      <c r="AB24" s="280"/>
      <c r="AC24" s="1380">
        <f t="shared" si="62"/>
        <v>0</v>
      </c>
      <c r="AD24" s="906">
        <f t="shared" si="36"/>
        <v>0</v>
      </c>
      <c r="AE24" s="794">
        <f t="shared" si="37"/>
        <v>0</v>
      </c>
      <c r="AF24" s="282">
        <f>SUM(BW24)*(1+M$64+Summary!P$64)</f>
        <v>0</v>
      </c>
      <c r="AG24" s="632" t="e">
        <f t="shared" si="1"/>
        <v>#DIV/0!</v>
      </c>
      <c r="AH24" s="1758">
        <f t="shared" si="38"/>
        <v>0</v>
      </c>
      <c r="AI24" s="769"/>
      <c r="AO24" s="702">
        <f t="shared" si="2"/>
        <v>0</v>
      </c>
      <c r="AP24" s="702">
        <f t="shared" si="39"/>
        <v>0</v>
      </c>
      <c r="AQ24" s="702">
        <f t="shared" si="3"/>
        <v>0</v>
      </c>
      <c r="AR24" s="702">
        <f t="shared" si="4"/>
        <v>0</v>
      </c>
      <c r="AS24" s="702">
        <f t="shared" si="5"/>
        <v>0</v>
      </c>
      <c r="AT24" s="702">
        <f t="shared" si="6"/>
        <v>0</v>
      </c>
      <c r="AU24" s="702">
        <f t="shared" si="7"/>
        <v>0</v>
      </c>
      <c r="AV24" s="1063">
        <f t="shared" si="40"/>
        <v>0</v>
      </c>
      <c r="AW24" s="1063">
        <f t="shared" si="8"/>
        <v>0</v>
      </c>
      <c r="AX24" s="702">
        <f t="shared" si="41"/>
        <v>0</v>
      </c>
      <c r="AY24" s="702">
        <f t="shared" si="9"/>
        <v>0</v>
      </c>
      <c r="AZ24" s="702">
        <f t="shared" si="10"/>
        <v>0</v>
      </c>
      <c r="BA24" s="702">
        <f t="shared" si="11"/>
        <v>0</v>
      </c>
      <c r="BB24" s="702">
        <f t="shared" si="12"/>
        <v>0</v>
      </c>
      <c r="BC24" s="702">
        <f t="shared" si="13"/>
        <v>0</v>
      </c>
      <c r="BD24" s="1063">
        <f t="shared" si="42"/>
        <v>0</v>
      </c>
      <c r="BE24" s="1064">
        <f t="shared" si="14"/>
        <v>0</v>
      </c>
      <c r="BF24" s="1063">
        <f t="shared" si="15"/>
        <v>0</v>
      </c>
      <c r="BG24" s="1065">
        <f t="shared" si="16"/>
        <v>0</v>
      </c>
      <c r="BH24" s="702">
        <f t="shared" si="17"/>
        <v>0</v>
      </c>
      <c r="BI24" s="1063">
        <f t="shared" si="43"/>
        <v>0</v>
      </c>
      <c r="BJ24" s="1063">
        <f t="shared" si="18"/>
        <v>0</v>
      </c>
      <c r="BK24" s="1063">
        <f t="shared" si="19"/>
        <v>0</v>
      </c>
      <c r="BL24" s="1063">
        <f t="shared" si="20"/>
        <v>0</v>
      </c>
      <c r="BM24" s="1063">
        <f t="shared" si="21"/>
        <v>0</v>
      </c>
      <c r="BN24" s="1064">
        <f t="shared" si="44"/>
        <v>0</v>
      </c>
      <c r="BO24" s="1761">
        <f t="shared" si="45"/>
        <v>0</v>
      </c>
      <c r="BP24" s="1063">
        <f t="shared" si="46"/>
        <v>0</v>
      </c>
      <c r="BQ24" s="1064">
        <f t="shared" si="22"/>
        <v>0</v>
      </c>
      <c r="BR24" s="1063">
        <f t="shared" si="23"/>
        <v>0</v>
      </c>
      <c r="BS24" s="1063">
        <f t="shared" si="47"/>
        <v>0</v>
      </c>
      <c r="BT24" s="1064">
        <f t="shared" si="24"/>
        <v>0</v>
      </c>
      <c r="BU24" s="1064">
        <f t="shared" si="25"/>
        <v>0</v>
      </c>
      <c r="BV24" s="1064">
        <f t="shared" si="48"/>
        <v>0</v>
      </c>
      <c r="BW24" s="1066">
        <f t="shared" si="49"/>
        <v>0</v>
      </c>
      <c r="BX24" s="1063">
        <f>(BI24*Pricing!F$2+BJ24*Pricing!G$2+BK24*Pricing!H$2+BL24*Pricing!I$2+BM24*Pricing!J$2+BN24*Pricing!K$2)*IF(AC$63="N",(1+AE$63),1)</f>
        <v>0</v>
      </c>
      <c r="BY24" s="1063">
        <f t="shared" si="50"/>
        <v>0</v>
      </c>
      <c r="BZ24" s="1063">
        <f t="shared" si="51"/>
        <v>0</v>
      </c>
      <c r="CA24" s="1063">
        <f t="shared" si="52"/>
        <v>0</v>
      </c>
      <c r="CB24" s="1067">
        <f t="shared" si="53"/>
        <v>0</v>
      </c>
      <c r="CD24" s="702">
        <f t="shared" si="54"/>
        <v>0</v>
      </c>
      <c r="CE24" s="1063">
        <f t="shared" si="26"/>
        <v>0</v>
      </c>
      <c r="CF24" s="1063">
        <f t="shared" si="27"/>
        <v>0</v>
      </c>
      <c r="CG24" s="1063">
        <f t="shared" si="28"/>
        <v>0</v>
      </c>
      <c r="CH24" s="702">
        <f t="shared" si="29"/>
        <v>0</v>
      </c>
      <c r="CI24" s="1063">
        <f t="shared" si="30"/>
        <v>0</v>
      </c>
      <c r="CJ24" s="702">
        <f t="shared" si="31"/>
        <v>0</v>
      </c>
      <c r="CK24" s="1063">
        <f t="shared" si="32"/>
        <v>0</v>
      </c>
      <c r="CL24" s="704">
        <f t="shared" si="33"/>
        <v>0</v>
      </c>
      <c r="CM24" s="702">
        <f t="shared" si="34"/>
        <v>0</v>
      </c>
      <c r="CO24" s="1061">
        <f t="shared" si="55"/>
        <v>0</v>
      </c>
      <c r="CP24" s="702">
        <f t="shared" si="56"/>
        <v>0</v>
      </c>
      <c r="CQ24" s="702">
        <f t="shared" si="57"/>
        <v>0</v>
      </c>
      <c r="CR24" s="702">
        <f t="shared" si="63"/>
        <v>0</v>
      </c>
      <c r="CS24" s="702">
        <f t="shared" si="58"/>
        <v>0</v>
      </c>
      <c r="CT24" s="702">
        <f t="shared" si="59"/>
        <v>0</v>
      </c>
      <c r="CU24" s="702">
        <f t="shared" si="60"/>
        <v>0</v>
      </c>
      <c r="CV24" s="1068">
        <f t="shared" si="35"/>
        <v>0</v>
      </c>
      <c r="CW24" s="1064">
        <f t="shared" si="61"/>
        <v>0</v>
      </c>
      <c r="FX24" s="701"/>
      <c r="FY24" s="701"/>
      <c r="FZ24" s="701"/>
      <c r="GA24" s="701"/>
      <c r="GB24" s="701"/>
      <c r="GC24" s="701"/>
      <c r="GD24" s="701"/>
      <c r="GE24" s="701"/>
      <c r="GF24" s="701"/>
      <c r="GG24" s="701"/>
      <c r="GH24" s="701"/>
      <c r="GI24" s="701"/>
      <c r="GJ24" s="701"/>
      <c r="GK24" s="701"/>
      <c r="GL24" s="701"/>
      <c r="GM24" s="701"/>
      <c r="GN24" s="701"/>
      <c r="GO24" s="701"/>
      <c r="GP24" s="701"/>
      <c r="GQ24" s="701"/>
      <c r="GR24" s="701"/>
      <c r="GS24" s="701"/>
      <c r="GT24" s="701"/>
      <c r="GU24" s="701"/>
      <c r="GV24" s="701"/>
      <c r="GW24" s="701"/>
      <c r="GX24" s="701"/>
      <c r="GY24" s="701"/>
      <c r="GZ24" s="701"/>
      <c r="HA24" s="701"/>
      <c r="HB24" s="701"/>
      <c r="HC24" s="701"/>
      <c r="HD24" s="701"/>
      <c r="HE24" s="701"/>
      <c r="HF24" s="701"/>
      <c r="HG24" s="701"/>
      <c r="HH24" s="701"/>
      <c r="HI24" s="701"/>
      <c r="HJ24" s="701"/>
      <c r="HK24" s="701"/>
      <c r="HL24" s="701"/>
      <c r="HM24" s="701"/>
      <c r="HN24" s="701"/>
      <c r="HO24" s="701"/>
      <c r="HP24" s="701"/>
      <c r="HQ24" s="701"/>
      <c r="HR24" s="701"/>
      <c r="HS24" s="701"/>
      <c r="HT24" s="701"/>
      <c r="HU24" s="701"/>
      <c r="HV24" s="701"/>
      <c r="HW24" s="701"/>
      <c r="HX24" s="701"/>
      <c r="HY24" s="701"/>
      <c r="HZ24" s="701"/>
      <c r="IA24" s="701"/>
    </row>
    <row r="25" spans="2:235" s="702" customFormat="1" ht="20.149999999999999" customHeight="1" x14ac:dyDescent="0.35">
      <c r="B25" s="193"/>
      <c r="C25" s="393"/>
      <c r="D25" s="1806"/>
      <c r="E25" s="1807"/>
      <c r="F25" s="127"/>
      <c r="G25" s="777"/>
      <c r="H25" s="214"/>
      <c r="I25" s="779"/>
      <c r="J25" s="127"/>
      <c r="K25" s="781"/>
      <c r="L25" s="30"/>
      <c r="M25" s="121"/>
      <c r="N25" s="394"/>
      <c r="O25" s="207">
        <v>9</v>
      </c>
      <c r="P25" s="30"/>
      <c r="Q25" s="1783">
        <v>10</v>
      </c>
      <c r="R25" s="266"/>
      <c r="S25" s="176">
        <v>1</v>
      </c>
      <c r="T25" s="555">
        <f t="shared" si="0"/>
        <v>0</v>
      </c>
      <c r="U25" s="31">
        <v>2</v>
      </c>
      <c r="V25" s="531"/>
      <c r="W25" s="31">
        <v>3</v>
      </c>
      <c r="X25" s="531"/>
      <c r="Y25" s="31">
        <v>4</v>
      </c>
      <c r="Z25" s="531"/>
      <c r="AA25" s="178">
        <v>5</v>
      </c>
      <c r="AB25" s="279"/>
      <c r="AC25" s="1380">
        <f t="shared" si="62"/>
        <v>0</v>
      </c>
      <c r="AD25" s="906">
        <f t="shared" si="36"/>
        <v>0</v>
      </c>
      <c r="AE25" s="794">
        <f t="shared" si="37"/>
        <v>0</v>
      </c>
      <c r="AF25" s="282">
        <f>SUM(BW25)*(1+M$64+Summary!P$64)</f>
        <v>0</v>
      </c>
      <c r="AG25" s="632" t="e">
        <f t="shared" si="1"/>
        <v>#DIV/0!</v>
      </c>
      <c r="AH25" s="1758">
        <f t="shared" si="38"/>
        <v>0</v>
      </c>
      <c r="AI25" s="769"/>
      <c r="AO25" s="702">
        <f t="shared" si="2"/>
        <v>0</v>
      </c>
      <c r="AP25" s="702">
        <f t="shared" si="39"/>
        <v>0</v>
      </c>
      <c r="AQ25" s="702">
        <f t="shared" si="3"/>
        <v>0</v>
      </c>
      <c r="AR25" s="702">
        <f t="shared" si="4"/>
        <v>0</v>
      </c>
      <c r="AS25" s="702">
        <f t="shared" si="5"/>
        <v>0</v>
      </c>
      <c r="AT25" s="702">
        <f t="shared" si="6"/>
        <v>0</v>
      </c>
      <c r="AU25" s="702">
        <f t="shared" si="7"/>
        <v>0</v>
      </c>
      <c r="AV25" s="1063">
        <f t="shared" si="40"/>
        <v>0</v>
      </c>
      <c r="AW25" s="1063">
        <f t="shared" si="8"/>
        <v>0</v>
      </c>
      <c r="AX25" s="702">
        <f t="shared" si="41"/>
        <v>0</v>
      </c>
      <c r="AY25" s="702">
        <f t="shared" si="9"/>
        <v>0</v>
      </c>
      <c r="AZ25" s="702">
        <f t="shared" si="10"/>
        <v>0</v>
      </c>
      <c r="BA25" s="702">
        <f t="shared" si="11"/>
        <v>0</v>
      </c>
      <c r="BB25" s="702">
        <f t="shared" si="12"/>
        <v>0</v>
      </c>
      <c r="BC25" s="702">
        <f t="shared" si="13"/>
        <v>0</v>
      </c>
      <c r="BD25" s="1063">
        <f t="shared" si="42"/>
        <v>0</v>
      </c>
      <c r="BE25" s="1064">
        <f t="shared" si="14"/>
        <v>0</v>
      </c>
      <c r="BF25" s="1063">
        <f t="shared" si="15"/>
        <v>0</v>
      </c>
      <c r="BG25" s="1065">
        <f t="shared" si="16"/>
        <v>0</v>
      </c>
      <c r="BH25" s="702">
        <f t="shared" si="17"/>
        <v>0</v>
      </c>
      <c r="BI25" s="1063">
        <f t="shared" si="43"/>
        <v>0</v>
      </c>
      <c r="BJ25" s="1063">
        <f t="shared" si="18"/>
        <v>0</v>
      </c>
      <c r="BK25" s="1063">
        <f t="shared" si="19"/>
        <v>0</v>
      </c>
      <c r="BL25" s="1063">
        <f t="shared" si="20"/>
        <v>0</v>
      </c>
      <c r="BM25" s="1063">
        <f t="shared" si="21"/>
        <v>0</v>
      </c>
      <c r="BN25" s="1064">
        <f t="shared" si="44"/>
        <v>0</v>
      </c>
      <c r="BO25" s="1761">
        <f t="shared" si="45"/>
        <v>0</v>
      </c>
      <c r="BP25" s="1063">
        <f t="shared" si="46"/>
        <v>0</v>
      </c>
      <c r="BQ25" s="1064">
        <f t="shared" si="22"/>
        <v>0</v>
      </c>
      <c r="BR25" s="1063">
        <f t="shared" si="23"/>
        <v>0</v>
      </c>
      <c r="BS25" s="1063">
        <f t="shared" si="47"/>
        <v>0</v>
      </c>
      <c r="BT25" s="1064">
        <f t="shared" si="24"/>
        <v>0</v>
      </c>
      <c r="BU25" s="1064">
        <f t="shared" si="25"/>
        <v>0</v>
      </c>
      <c r="BV25" s="1064">
        <f t="shared" si="48"/>
        <v>0</v>
      </c>
      <c r="BW25" s="1066">
        <f t="shared" si="49"/>
        <v>0</v>
      </c>
      <c r="BX25" s="1063">
        <f>(BI25*Pricing!F$2+BJ25*Pricing!G$2+BK25*Pricing!H$2+BL25*Pricing!I$2+BM25*Pricing!J$2+BN25*Pricing!K$2)*IF(AC$63="N",(1+AE$63),1)</f>
        <v>0</v>
      </c>
      <c r="BY25" s="1063">
        <f t="shared" si="50"/>
        <v>0</v>
      </c>
      <c r="BZ25" s="1063">
        <f t="shared" si="51"/>
        <v>0</v>
      </c>
      <c r="CA25" s="1063">
        <f t="shared" si="52"/>
        <v>0</v>
      </c>
      <c r="CB25" s="1067">
        <f t="shared" si="53"/>
        <v>0</v>
      </c>
      <c r="CD25" s="702">
        <f t="shared" si="54"/>
        <v>0</v>
      </c>
      <c r="CE25" s="1063">
        <f t="shared" si="26"/>
        <v>0</v>
      </c>
      <c r="CF25" s="1063">
        <f t="shared" si="27"/>
        <v>0</v>
      </c>
      <c r="CG25" s="1063">
        <f t="shared" si="28"/>
        <v>0</v>
      </c>
      <c r="CH25" s="702">
        <f t="shared" si="29"/>
        <v>0</v>
      </c>
      <c r="CI25" s="1063">
        <f t="shared" si="30"/>
        <v>0</v>
      </c>
      <c r="CJ25" s="702">
        <f t="shared" si="31"/>
        <v>0</v>
      </c>
      <c r="CK25" s="1063">
        <f t="shared" si="32"/>
        <v>0</v>
      </c>
      <c r="CL25" s="704">
        <f t="shared" si="33"/>
        <v>0</v>
      </c>
      <c r="CM25" s="702">
        <f t="shared" si="34"/>
        <v>0</v>
      </c>
      <c r="CO25" s="1061">
        <f t="shared" si="55"/>
        <v>0</v>
      </c>
      <c r="CP25" s="702">
        <f t="shared" si="56"/>
        <v>0</v>
      </c>
      <c r="CQ25" s="702">
        <f t="shared" si="57"/>
        <v>0</v>
      </c>
      <c r="CR25" s="702">
        <f t="shared" si="63"/>
        <v>0</v>
      </c>
      <c r="CS25" s="702">
        <f t="shared" si="58"/>
        <v>0</v>
      </c>
      <c r="CT25" s="702">
        <f t="shared" si="59"/>
        <v>0</v>
      </c>
      <c r="CU25" s="702">
        <f t="shared" si="60"/>
        <v>0</v>
      </c>
      <c r="CV25" s="1068">
        <f t="shared" si="35"/>
        <v>0</v>
      </c>
      <c r="CW25" s="1064">
        <f t="shared" si="61"/>
        <v>0</v>
      </c>
      <c r="FX25" s="701"/>
      <c r="FY25" s="701"/>
      <c r="FZ25" s="701"/>
      <c r="GA25" s="701"/>
      <c r="GB25" s="701"/>
      <c r="GC25" s="701"/>
      <c r="GD25" s="701"/>
      <c r="GE25" s="701"/>
      <c r="GF25" s="701"/>
      <c r="GG25" s="701"/>
      <c r="GH25" s="701"/>
      <c r="GI25" s="701"/>
      <c r="GJ25" s="701"/>
      <c r="GK25" s="701"/>
      <c r="GL25" s="701"/>
      <c r="GM25" s="701"/>
      <c r="GN25" s="701"/>
      <c r="GO25" s="701"/>
      <c r="GP25" s="701"/>
      <c r="GQ25" s="701"/>
      <c r="GR25" s="701"/>
      <c r="GS25" s="701"/>
      <c r="GT25" s="701"/>
      <c r="GU25" s="701"/>
      <c r="GV25" s="701"/>
      <c r="GW25" s="701"/>
      <c r="GX25" s="701"/>
      <c r="GY25" s="701"/>
      <c r="GZ25" s="701"/>
      <c r="HA25" s="701"/>
      <c r="HB25" s="701"/>
      <c r="HC25" s="701"/>
      <c r="HD25" s="701"/>
      <c r="HE25" s="701"/>
      <c r="HF25" s="701"/>
      <c r="HG25" s="701"/>
      <c r="HH25" s="701"/>
      <c r="HI25" s="701"/>
      <c r="HJ25" s="701"/>
      <c r="HK25" s="701"/>
      <c r="HL25" s="701"/>
      <c r="HM25" s="701"/>
      <c r="HN25" s="701"/>
      <c r="HO25" s="701"/>
      <c r="HP25" s="701"/>
      <c r="HQ25" s="701"/>
      <c r="HR25" s="701"/>
      <c r="HS25" s="701"/>
      <c r="HT25" s="701"/>
      <c r="HU25" s="701"/>
      <c r="HV25" s="701"/>
      <c r="HW25" s="701"/>
      <c r="HX25" s="701"/>
      <c r="HY25" s="701"/>
      <c r="HZ25" s="701"/>
      <c r="IA25" s="701"/>
    </row>
    <row r="26" spans="2:235" s="702" customFormat="1" ht="20.149999999999999" customHeight="1" x14ac:dyDescent="0.35">
      <c r="B26" s="398"/>
      <c r="C26" s="396"/>
      <c r="D26" s="1808"/>
      <c r="E26" s="1809"/>
      <c r="F26" s="97"/>
      <c r="G26" s="777"/>
      <c r="H26" s="97"/>
      <c r="I26" s="779"/>
      <c r="J26" s="97"/>
      <c r="K26" s="781"/>
      <c r="L26" s="32"/>
      <c r="M26" s="211"/>
      <c r="N26" s="397"/>
      <c r="O26" s="212">
        <v>9</v>
      </c>
      <c r="P26" s="32"/>
      <c r="Q26" s="810">
        <v>10</v>
      </c>
      <c r="R26" s="722"/>
      <c r="S26" s="180">
        <v>1</v>
      </c>
      <c r="T26" s="554">
        <f t="shared" si="0"/>
        <v>0</v>
      </c>
      <c r="U26" s="32">
        <v>2</v>
      </c>
      <c r="V26" s="371"/>
      <c r="W26" s="32">
        <v>3</v>
      </c>
      <c r="X26" s="371"/>
      <c r="Y26" s="32">
        <v>4</v>
      </c>
      <c r="Z26" s="371"/>
      <c r="AA26" s="180">
        <v>5</v>
      </c>
      <c r="AB26" s="280"/>
      <c r="AC26" s="1380">
        <f t="shared" si="62"/>
        <v>0</v>
      </c>
      <c r="AD26" s="906">
        <f t="shared" si="36"/>
        <v>0</v>
      </c>
      <c r="AE26" s="794">
        <f t="shared" si="37"/>
        <v>0</v>
      </c>
      <c r="AF26" s="282">
        <f>SUM(BW26)*(1+M$64+Summary!P$64)</f>
        <v>0</v>
      </c>
      <c r="AG26" s="632" t="e">
        <f t="shared" si="1"/>
        <v>#DIV/0!</v>
      </c>
      <c r="AH26" s="1758">
        <f t="shared" si="38"/>
        <v>0</v>
      </c>
      <c r="AI26" s="769"/>
      <c r="AO26" s="702">
        <f t="shared" si="2"/>
        <v>0</v>
      </c>
      <c r="AP26" s="702">
        <f t="shared" si="39"/>
        <v>0</v>
      </c>
      <c r="AQ26" s="702">
        <f t="shared" si="3"/>
        <v>0</v>
      </c>
      <c r="AR26" s="702">
        <f t="shared" si="4"/>
        <v>0</v>
      </c>
      <c r="AS26" s="702">
        <f t="shared" si="5"/>
        <v>0</v>
      </c>
      <c r="AT26" s="702">
        <f t="shared" si="6"/>
        <v>0</v>
      </c>
      <c r="AU26" s="702">
        <f t="shared" si="7"/>
        <v>0</v>
      </c>
      <c r="AV26" s="1063">
        <f t="shared" si="40"/>
        <v>0</v>
      </c>
      <c r="AW26" s="1063">
        <f t="shared" si="8"/>
        <v>0</v>
      </c>
      <c r="AX26" s="702">
        <f t="shared" si="41"/>
        <v>0</v>
      </c>
      <c r="AY26" s="702">
        <f t="shared" si="9"/>
        <v>0</v>
      </c>
      <c r="AZ26" s="702">
        <f t="shared" si="10"/>
        <v>0</v>
      </c>
      <c r="BA26" s="702">
        <f t="shared" si="11"/>
        <v>0</v>
      </c>
      <c r="BB26" s="702">
        <f t="shared" si="12"/>
        <v>0</v>
      </c>
      <c r="BC26" s="702">
        <f t="shared" si="13"/>
        <v>0</v>
      </c>
      <c r="BD26" s="1063">
        <f t="shared" si="42"/>
        <v>0</v>
      </c>
      <c r="BE26" s="1064">
        <f t="shared" si="14"/>
        <v>0</v>
      </c>
      <c r="BF26" s="1063">
        <f t="shared" si="15"/>
        <v>0</v>
      </c>
      <c r="BG26" s="1065">
        <f t="shared" si="16"/>
        <v>0</v>
      </c>
      <c r="BH26" s="702">
        <f t="shared" si="17"/>
        <v>0</v>
      </c>
      <c r="BI26" s="1063">
        <f t="shared" si="43"/>
        <v>0</v>
      </c>
      <c r="BJ26" s="1063">
        <f t="shared" si="18"/>
        <v>0</v>
      </c>
      <c r="BK26" s="1063">
        <f t="shared" si="19"/>
        <v>0</v>
      </c>
      <c r="BL26" s="1063">
        <f t="shared" si="20"/>
        <v>0</v>
      </c>
      <c r="BM26" s="1063">
        <f t="shared" si="21"/>
        <v>0</v>
      </c>
      <c r="BN26" s="1064">
        <f t="shared" si="44"/>
        <v>0</v>
      </c>
      <c r="BO26" s="1761">
        <f t="shared" si="45"/>
        <v>0</v>
      </c>
      <c r="BP26" s="1063">
        <f t="shared" si="46"/>
        <v>0</v>
      </c>
      <c r="BQ26" s="1064">
        <f t="shared" si="22"/>
        <v>0</v>
      </c>
      <c r="BR26" s="1063">
        <f t="shared" si="23"/>
        <v>0</v>
      </c>
      <c r="BS26" s="1063">
        <f t="shared" si="47"/>
        <v>0</v>
      </c>
      <c r="BT26" s="1064">
        <f t="shared" si="24"/>
        <v>0</v>
      </c>
      <c r="BU26" s="1064">
        <f t="shared" si="25"/>
        <v>0</v>
      </c>
      <c r="BV26" s="1064">
        <f t="shared" si="48"/>
        <v>0</v>
      </c>
      <c r="BW26" s="1066">
        <f t="shared" si="49"/>
        <v>0</v>
      </c>
      <c r="BX26" s="1063">
        <f>(BI26*Pricing!F$2+BJ26*Pricing!G$2+BK26*Pricing!H$2+BL26*Pricing!I$2+BM26*Pricing!J$2+BN26*Pricing!K$2)*IF(AC$63="N",(1+AE$63),1)</f>
        <v>0</v>
      </c>
      <c r="BY26" s="1063">
        <f t="shared" si="50"/>
        <v>0</v>
      </c>
      <c r="BZ26" s="1063">
        <f t="shared" si="51"/>
        <v>0</v>
      </c>
      <c r="CA26" s="1063">
        <f t="shared" si="52"/>
        <v>0</v>
      </c>
      <c r="CB26" s="1067">
        <f t="shared" si="53"/>
        <v>0</v>
      </c>
      <c r="CD26" s="702">
        <f t="shared" si="54"/>
        <v>0</v>
      </c>
      <c r="CE26" s="1063">
        <f t="shared" si="26"/>
        <v>0</v>
      </c>
      <c r="CF26" s="1063">
        <f t="shared" si="27"/>
        <v>0</v>
      </c>
      <c r="CG26" s="1063">
        <f t="shared" si="28"/>
        <v>0</v>
      </c>
      <c r="CH26" s="702">
        <f t="shared" si="29"/>
        <v>0</v>
      </c>
      <c r="CI26" s="1063">
        <f t="shared" si="30"/>
        <v>0</v>
      </c>
      <c r="CJ26" s="702">
        <f t="shared" si="31"/>
        <v>0</v>
      </c>
      <c r="CK26" s="1063">
        <f t="shared" si="32"/>
        <v>0</v>
      </c>
      <c r="CL26" s="704">
        <f t="shared" si="33"/>
        <v>0</v>
      </c>
      <c r="CM26" s="702">
        <f t="shared" si="34"/>
        <v>0</v>
      </c>
      <c r="CO26" s="1061">
        <f t="shared" si="55"/>
        <v>0</v>
      </c>
      <c r="CP26" s="702">
        <f t="shared" si="56"/>
        <v>0</v>
      </c>
      <c r="CQ26" s="702">
        <f t="shared" si="57"/>
        <v>0</v>
      </c>
      <c r="CR26" s="702">
        <f t="shared" si="63"/>
        <v>0</v>
      </c>
      <c r="CS26" s="702">
        <f t="shared" si="58"/>
        <v>0</v>
      </c>
      <c r="CT26" s="702">
        <f t="shared" si="59"/>
        <v>0</v>
      </c>
      <c r="CU26" s="702">
        <f t="shared" si="60"/>
        <v>0</v>
      </c>
      <c r="CV26" s="1068">
        <f t="shared" si="35"/>
        <v>0</v>
      </c>
      <c r="CW26" s="1064">
        <f t="shared" si="61"/>
        <v>0</v>
      </c>
      <c r="FX26" s="701"/>
      <c r="FY26" s="701"/>
      <c r="FZ26" s="701"/>
      <c r="GA26" s="701"/>
      <c r="GB26" s="701"/>
      <c r="GC26" s="701"/>
      <c r="GD26" s="701"/>
      <c r="GE26" s="701"/>
      <c r="GF26" s="701"/>
      <c r="GG26" s="701"/>
      <c r="GH26" s="701"/>
      <c r="GI26" s="701"/>
      <c r="GJ26" s="701"/>
      <c r="GK26" s="701"/>
      <c r="GL26" s="701"/>
      <c r="GM26" s="701"/>
      <c r="GN26" s="701"/>
      <c r="GO26" s="701"/>
      <c r="GP26" s="701"/>
      <c r="GQ26" s="701"/>
      <c r="GR26" s="701"/>
      <c r="GS26" s="701"/>
      <c r="GT26" s="701"/>
      <c r="GU26" s="701"/>
      <c r="GV26" s="701"/>
      <c r="GW26" s="701"/>
      <c r="GX26" s="701"/>
      <c r="GY26" s="701"/>
      <c r="GZ26" s="701"/>
      <c r="HA26" s="701"/>
      <c r="HB26" s="701"/>
      <c r="HC26" s="701"/>
      <c r="HD26" s="701"/>
      <c r="HE26" s="701"/>
      <c r="HF26" s="701"/>
      <c r="HG26" s="701"/>
      <c r="HH26" s="701"/>
      <c r="HI26" s="701"/>
      <c r="HJ26" s="701"/>
      <c r="HK26" s="701"/>
      <c r="HL26" s="701"/>
      <c r="HM26" s="701"/>
      <c r="HN26" s="701"/>
      <c r="HO26" s="701"/>
      <c r="HP26" s="701"/>
      <c r="HQ26" s="701"/>
      <c r="HR26" s="701"/>
      <c r="HS26" s="701"/>
      <c r="HT26" s="701"/>
      <c r="HU26" s="701"/>
      <c r="HV26" s="701"/>
      <c r="HW26" s="701"/>
      <c r="HX26" s="701"/>
      <c r="HY26" s="701"/>
      <c r="HZ26" s="701"/>
      <c r="IA26" s="701"/>
    </row>
    <row r="27" spans="2:235" s="702" customFormat="1" ht="20.149999999999999" customHeight="1" x14ac:dyDescent="0.35">
      <c r="B27" s="193"/>
      <c r="C27" s="393"/>
      <c r="D27" s="1985"/>
      <c r="E27" s="1986"/>
      <c r="F27" s="127"/>
      <c r="G27" s="777"/>
      <c r="H27" s="214"/>
      <c r="I27" s="779"/>
      <c r="J27" s="127"/>
      <c r="K27" s="781"/>
      <c r="L27" s="30"/>
      <c r="M27" s="121"/>
      <c r="N27" s="394"/>
      <c r="O27" s="205"/>
      <c r="P27" s="30"/>
      <c r="Q27" s="264"/>
      <c r="R27" s="266"/>
      <c r="S27" s="176">
        <v>1</v>
      </c>
      <c r="T27" s="555">
        <f t="shared" ref="T27:T48" si="64">K27</f>
        <v>0</v>
      </c>
      <c r="U27" s="31">
        <v>2</v>
      </c>
      <c r="V27" s="531"/>
      <c r="W27" s="31"/>
      <c r="X27" s="531"/>
      <c r="Y27" s="31"/>
      <c r="Z27" s="531"/>
      <c r="AA27" s="178"/>
      <c r="AB27" s="279"/>
      <c r="AC27" s="1380">
        <f t="shared" si="62"/>
        <v>0</v>
      </c>
      <c r="AD27" s="906">
        <f t="shared" si="36"/>
        <v>0</v>
      </c>
      <c r="AE27" s="794">
        <f t="shared" si="37"/>
        <v>0</v>
      </c>
      <c r="AF27" s="282">
        <f>SUM(BW27)*(1+M$64+Summary!P$64)</f>
        <v>0</v>
      </c>
      <c r="AG27" s="632" t="e">
        <f t="shared" si="1"/>
        <v>#DIV/0!</v>
      </c>
      <c r="AH27" s="1758">
        <f t="shared" si="38"/>
        <v>0</v>
      </c>
      <c r="AI27" s="769"/>
      <c r="AO27" s="702">
        <f t="shared" si="2"/>
        <v>0</v>
      </c>
      <c r="AP27" s="702">
        <f t="shared" si="39"/>
        <v>0</v>
      </c>
      <c r="AQ27" s="702">
        <f t="shared" si="3"/>
        <v>0</v>
      </c>
      <c r="AR27" s="702">
        <f t="shared" si="4"/>
        <v>0</v>
      </c>
      <c r="AS27" s="702">
        <f t="shared" si="5"/>
        <v>0</v>
      </c>
      <c r="AT27" s="702">
        <f t="shared" si="6"/>
        <v>0</v>
      </c>
      <c r="AU27" s="702">
        <f t="shared" si="7"/>
        <v>0</v>
      </c>
      <c r="AV27" s="1063">
        <f t="shared" si="40"/>
        <v>0</v>
      </c>
      <c r="AW27" s="1063">
        <f t="shared" si="8"/>
        <v>0</v>
      </c>
      <c r="AX27" s="702">
        <f t="shared" si="41"/>
        <v>0</v>
      </c>
      <c r="AY27" s="702">
        <f t="shared" si="9"/>
        <v>0</v>
      </c>
      <c r="AZ27" s="702">
        <f t="shared" si="10"/>
        <v>0</v>
      </c>
      <c r="BA27" s="702">
        <f t="shared" si="11"/>
        <v>0</v>
      </c>
      <c r="BB27" s="702">
        <f t="shared" si="12"/>
        <v>0</v>
      </c>
      <c r="BC27" s="702">
        <f t="shared" si="13"/>
        <v>0</v>
      </c>
      <c r="BD27" s="1063">
        <f t="shared" si="42"/>
        <v>0</v>
      </c>
      <c r="BE27" s="1064">
        <f t="shared" si="14"/>
        <v>0</v>
      </c>
      <c r="BF27" s="1063">
        <f t="shared" si="15"/>
        <v>0</v>
      </c>
      <c r="BG27" s="1065">
        <f t="shared" si="16"/>
        <v>0</v>
      </c>
      <c r="BH27" s="702">
        <f t="shared" si="17"/>
        <v>0</v>
      </c>
      <c r="BI27" s="1063">
        <f t="shared" si="43"/>
        <v>0</v>
      </c>
      <c r="BJ27" s="1063">
        <f t="shared" si="18"/>
        <v>0</v>
      </c>
      <c r="BK27" s="1063">
        <f t="shared" si="19"/>
        <v>0</v>
      </c>
      <c r="BL27" s="1063">
        <f t="shared" si="20"/>
        <v>0</v>
      </c>
      <c r="BM27" s="1063">
        <f t="shared" si="21"/>
        <v>0</v>
      </c>
      <c r="BN27" s="1064">
        <f t="shared" si="44"/>
        <v>0</v>
      </c>
      <c r="BO27" s="1761">
        <f t="shared" si="45"/>
        <v>0</v>
      </c>
      <c r="BP27" s="1063">
        <f t="shared" si="46"/>
        <v>0</v>
      </c>
      <c r="BQ27" s="1064">
        <f t="shared" si="22"/>
        <v>0</v>
      </c>
      <c r="BR27" s="1063">
        <f t="shared" si="23"/>
        <v>0</v>
      </c>
      <c r="BS27" s="1063">
        <f t="shared" si="47"/>
        <v>0</v>
      </c>
      <c r="BT27" s="1064">
        <f t="shared" si="24"/>
        <v>0</v>
      </c>
      <c r="BU27" s="1064">
        <f t="shared" si="25"/>
        <v>0</v>
      </c>
      <c r="BV27" s="1064">
        <f t="shared" si="48"/>
        <v>0</v>
      </c>
      <c r="BW27" s="1066">
        <f t="shared" si="49"/>
        <v>0</v>
      </c>
      <c r="BX27" s="1063">
        <f>(BI27*Pricing!F$2+BJ27*Pricing!G$2+BK27*Pricing!H$2+BL27*Pricing!I$2+BM27*Pricing!J$2+BN27*Pricing!K$2)*IF(AC$63="N",(1+AE$63),1)</f>
        <v>0</v>
      </c>
      <c r="BY27" s="1063">
        <f t="shared" si="50"/>
        <v>0</v>
      </c>
      <c r="BZ27" s="1063">
        <f t="shared" si="51"/>
        <v>0</v>
      </c>
      <c r="CA27" s="1063">
        <f t="shared" si="52"/>
        <v>0</v>
      </c>
      <c r="CB27" s="1067">
        <f t="shared" si="53"/>
        <v>0</v>
      </c>
      <c r="CD27" s="702">
        <f t="shared" si="54"/>
        <v>0</v>
      </c>
      <c r="CE27" s="1063">
        <f t="shared" si="26"/>
        <v>0</v>
      </c>
      <c r="CF27" s="1063">
        <f t="shared" si="27"/>
        <v>0</v>
      </c>
      <c r="CG27" s="1063">
        <f t="shared" si="28"/>
        <v>0</v>
      </c>
      <c r="CH27" s="702">
        <f t="shared" si="29"/>
        <v>0</v>
      </c>
      <c r="CI27" s="1063">
        <f t="shared" si="30"/>
        <v>0</v>
      </c>
      <c r="CJ27" s="702">
        <f t="shared" si="31"/>
        <v>0</v>
      </c>
      <c r="CK27" s="1063">
        <f t="shared" si="32"/>
        <v>0</v>
      </c>
      <c r="CL27" s="704">
        <f t="shared" si="33"/>
        <v>0</v>
      </c>
      <c r="CM27" s="702">
        <f t="shared" si="34"/>
        <v>0</v>
      </c>
      <c r="CO27" s="1061">
        <f t="shared" si="55"/>
        <v>0</v>
      </c>
      <c r="CP27" s="702">
        <f t="shared" si="56"/>
        <v>0</v>
      </c>
      <c r="CQ27" s="702">
        <f t="shared" si="57"/>
        <v>0</v>
      </c>
      <c r="CR27" s="702">
        <f t="shared" si="63"/>
        <v>0</v>
      </c>
      <c r="CS27" s="702">
        <f t="shared" si="58"/>
        <v>0</v>
      </c>
      <c r="CT27" s="702">
        <f t="shared" si="59"/>
        <v>0</v>
      </c>
      <c r="CU27" s="702">
        <f t="shared" si="60"/>
        <v>0</v>
      </c>
      <c r="CV27" s="1068">
        <f t="shared" si="35"/>
        <v>0</v>
      </c>
      <c r="CW27" s="1064">
        <f t="shared" si="61"/>
        <v>0</v>
      </c>
      <c r="FX27" s="701"/>
      <c r="FY27" s="701"/>
      <c r="FZ27" s="701"/>
      <c r="GA27" s="701"/>
      <c r="GB27" s="701"/>
      <c r="GC27" s="701"/>
      <c r="GD27" s="701"/>
      <c r="GE27" s="701"/>
      <c r="GF27" s="701"/>
      <c r="GG27" s="701"/>
      <c r="GH27" s="701"/>
      <c r="GI27" s="701"/>
      <c r="GJ27" s="701"/>
      <c r="GK27" s="701"/>
      <c r="GL27" s="701"/>
      <c r="GM27" s="701"/>
      <c r="GN27" s="701"/>
      <c r="GO27" s="701"/>
      <c r="GP27" s="701"/>
      <c r="GQ27" s="701"/>
      <c r="GR27" s="701"/>
      <c r="GS27" s="701"/>
      <c r="GT27" s="701"/>
      <c r="GU27" s="701"/>
      <c r="GV27" s="701"/>
      <c r="GW27" s="701"/>
      <c r="GX27" s="701"/>
      <c r="GY27" s="701"/>
      <c r="GZ27" s="701"/>
      <c r="HA27" s="701"/>
      <c r="HB27" s="701"/>
      <c r="HC27" s="701"/>
      <c r="HD27" s="701"/>
      <c r="HE27" s="701"/>
      <c r="HF27" s="701"/>
      <c r="HG27" s="701"/>
      <c r="HH27" s="701"/>
      <c r="HI27" s="701"/>
      <c r="HJ27" s="701"/>
      <c r="HK27" s="701"/>
      <c r="HL27" s="701"/>
      <c r="HM27" s="701"/>
      <c r="HN27" s="701"/>
      <c r="HO27" s="701"/>
      <c r="HP27" s="701"/>
      <c r="HQ27" s="701"/>
      <c r="HR27" s="701"/>
      <c r="HS27" s="701"/>
      <c r="HT27" s="701"/>
      <c r="HU27" s="701"/>
      <c r="HV27" s="701"/>
      <c r="HW27" s="701"/>
      <c r="HX27" s="701"/>
      <c r="HY27" s="701"/>
      <c r="HZ27" s="701"/>
      <c r="IA27" s="701"/>
    </row>
    <row r="28" spans="2:235" s="702" customFormat="1" ht="20.149999999999999" customHeight="1" x14ac:dyDescent="0.35">
      <c r="B28" s="398"/>
      <c r="C28" s="396"/>
      <c r="D28" s="1991"/>
      <c r="E28" s="1992"/>
      <c r="F28" s="97"/>
      <c r="G28" s="777"/>
      <c r="H28" s="97"/>
      <c r="I28" s="779"/>
      <c r="J28" s="97"/>
      <c r="K28" s="781"/>
      <c r="L28" s="32"/>
      <c r="M28" s="211"/>
      <c r="N28" s="397"/>
      <c r="O28" s="212"/>
      <c r="P28" s="32"/>
      <c r="Q28" s="810"/>
      <c r="R28" s="722"/>
      <c r="S28" s="180">
        <v>1</v>
      </c>
      <c r="T28" s="554">
        <f t="shared" si="64"/>
        <v>0</v>
      </c>
      <c r="U28" s="32">
        <v>2</v>
      </c>
      <c r="V28" s="371"/>
      <c r="W28" s="32"/>
      <c r="X28" s="371"/>
      <c r="Y28" s="32"/>
      <c r="Z28" s="371"/>
      <c r="AA28" s="180"/>
      <c r="AB28" s="280"/>
      <c r="AC28" s="1380">
        <f t="shared" si="62"/>
        <v>0</v>
      </c>
      <c r="AD28" s="906">
        <f t="shared" si="36"/>
        <v>0</v>
      </c>
      <c r="AE28" s="794">
        <f t="shared" si="37"/>
        <v>0</v>
      </c>
      <c r="AF28" s="282">
        <f>SUM(BW28)*(1+M$64+Summary!P$64)</f>
        <v>0</v>
      </c>
      <c r="AG28" s="632" t="e">
        <f t="shared" si="1"/>
        <v>#DIV/0!</v>
      </c>
      <c r="AH28" s="1758">
        <f t="shared" si="38"/>
        <v>0</v>
      </c>
      <c r="AI28" s="769"/>
      <c r="AO28" s="702">
        <f t="shared" si="2"/>
        <v>0</v>
      </c>
      <c r="AP28" s="702">
        <f t="shared" si="39"/>
        <v>0</v>
      </c>
      <c r="AQ28" s="702">
        <f t="shared" si="3"/>
        <v>0</v>
      </c>
      <c r="AR28" s="702">
        <f t="shared" si="4"/>
        <v>0</v>
      </c>
      <c r="AS28" s="702">
        <f t="shared" si="5"/>
        <v>0</v>
      </c>
      <c r="AT28" s="702">
        <f t="shared" si="6"/>
        <v>0</v>
      </c>
      <c r="AU28" s="702">
        <f t="shared" si="7"/>
        <v>0</v>
      </c>
      <c r="AV28" s="1063">
        <f t="shared" si="40"/>
        <v>0</v>
      </c>
      <c r="AW28" s="1063">
        <f t="shared" si="8"/>
        <v>0</v>
      </c>
      <c r="AX28" s="702">
        <f t="shared" si="41"/>
        <v>0</v>
      </c>
      <c r="AY28" s="702">
        <f t="shared" si="9"/>
        <v>0</v>
      </c>
      <c r="AZ28" s="702">
        <f t="shared" si="10"/>
        <v>0</v>
      </c>
      <c r="BA28" s="702">
        <f t="shared" si="11"/>
        <v>0</v>
      </c>
      <c r="BB28" s="702">
        <f t="shared" si="12"/>
        <v>0</v>
      </c>
      <c r="BC28" s="702">
        <f t="shared" si="13"/>
        <v>0</v>
      </c>
      <c r="BD28" s="1063">
        <f t="shared" si="42"/>
        <v>0</v>
      </c>
      <c r="BE28" s="1064">
        <f t="shared" si="14"/>
        <v>0</v>
      </c>
      <c r="BF28" s="1063">
        <f t="shared" si="15"/>
        <v>0</v>
      </c>
      <c r="BG28" s="1065">
        <f t="shared" si="16"/>
        <v>0</v>
      </c>
      <c r="BH28" s="702">
        <f t="shared" si="17"/>
        <v>0</v>
      </c>
      <c r="BI28" s="1063">
        <f t="shared" si="43"/>
        <v>0</v>
      </c>
      <c r="BJ28" s="1063">
        <f t="shared" si="18"/>
        <v>0</v>
      </c>
      <c r="BK28" s="1063">
        <f t="shared" si="19"/>
        <v>0</v>
      </c>
      <c r="BL28" s="1063">
        <f t="shared" si="20"/>
        <v>0</v>
      </c>
      <c r="BM28" s="1063">
        <f t="shared" si="21"/>
        <v>0</v>
      </c>
      <c r="BN28" s="1064">
        <f t="shared" si="44"/>
        <v>0</v>
      </c>
      <c r="BO28" s="1761">
        <f t="shared" si="45"/>
        <v>0</v>
      </c>
      <c r="BP28" s="1063">
        <f t="shared" si="46"/>
        <v>0</v>
      </c>
      <c r="BQ28" s="1064">
        <f t="shared" si="22"/>
        <v>0</v>
      </c>
      <c r="BR28" s="1063">
        <f t="shared" si="23"/>
        <v>0</v>
      </c>
      <c r="BS28" s="1063">
        <f t="shared" si="47"/>
        <v>0</v>
      </c>
      <c r="BT28" s="1064">
        <f t="shared" si="24"/>
        <v>0</v>
      </c>
      <c r="BU28" s="1064">
        <f t="shared" si="25"/>
        <v>0</v>
      </c>
      <c r="BV28" s="1064">
        <f t="shared" si="48"/>
        <v>0</v>
      </c>
      <c r="BW28" s="1066">
        <f t="shared" si="49"/>
        <v>0</v>
      </c>
      <c r="BX28" s="1063">
        <f>(BI28*Pricing!F$2+BJ28*Pricing!G$2+BK28*Pricing!H$2+BL28*Pricing!I$2+BM28*Pricing!J$2+BN28*Pricing!K$2)*IF(AC$63="N",(1+AE$63),1)</f>
        <v>0</v>
      </c>
      <c r="BY28" s="1063">
        <f t="shared" si="50"/>
        <v>0</v>
      </c>
      <c r="BZ28" s="1063">
        <f t="shared" si="51"/>
        <v>0</v>
      </c>
      <c r="CA28" s="1063">
        <f t="shared" si="52"/>
        <v>0</v>
      </c>
      <c r="CB28" s="1067">
        <f t="shared" si="53"/>
        <v>0</v>
      </c>
      <c r="CD28" s="702">
        <f t="shared" si="54"/>
        <v>0</v>
      </c>
      <c r="CE28" s="1063">
        <f t="shared" si="26"/>
        <v>0</v>
      </c>
      <c r="CF28" s="1063">
        <f t="shared" si="27"/>
        <v>0</v>
      </c>
      <c r="CG28" s="1063">
        <f t="shared" si="28"/>
        <v>0</v>
      </c>
      <c r="CH28" s="702">
        <f t="shared" si="29"/>
        <v>0</v>
      </c>
      <c r="CI28" s="1063">
        <f t="shared" si="30"/>
        <v>0</v>
      </c>
      <c r="CJ28" s="702">
        <f t="shared" si="31"/>
        <v>0</v>
      </c>
      <c r="CK28" s="1063">
        <f t="shared" si="32"/>
        <v>0</v>
      </c>
      <c r="CL28" s="704">
        <f t="shared" si="33"/>
        <v>0</v>
      </c>
      <c r="CM28" s="702">
        <f t="shared" si="34"/>
        <v>0</v>
      </c>
      <c r="CO28" s="1061">
        <f t="shared" si="55"/>
        <v>0</v>
      </c>
      <c r="CP28" s="702">
        <f t="shared" si="56"/>
        <v>0</v>
      </c>
      <c r="CQ28" s="702">
        <f t="shared" si="57"/>
        <v>0</v>
      </c>
      <c r="CR28" s="702">
        <f t="shared" si="63"/>
        <v>0</v>
      </c>
      <c r="CS28" s="702">
        <f t="shared" si="58"/>
        <v>0</v>
      </c>
      <c r="CT28" s="702">
        <f t="shared" si="59"/>
        <v>0</v>
      </c>
      <c r="CU28" s="702">
        <f t="shared" si="60"/>
        <v>0</v>
      </c>
      <c r="CV28" s="1068">
        <f t="shared" si="35"/>
        <v>0</v>
      </c>
      <c r="CW28" s="1064">
        <f t="shared" si="61"/>
        <v>0</v>
      </c>
      <c r="FX28" s="701"/>
      <c r="FY28" s="701"/>
      <c r="FZ28" s="701"/>
      <c r="GA28" s="701"/>
      <c r="GB28" s="701"/>
      <c r="GC28" s="701"/>
      <c r="GD28" s="701"/>
      <c r="GE28" s="701"/>
      <c r="GF28" s="701"/>
      <c r="GG28" s="701"/>
      <c r="GH28" s="701"/>
      <c r="GI28" s="701"/>
      <c r="GJ28" s="701"/>
      <c r="GK28" s="701"/>
      <c r="GL28" s="701"/>
      <c r="GM28" s="701"/>
      <c r="GN28" s="701"/>
      <c r="GO28" s="701"/>
      <c r="GP28" s="701"/>
      <c r="GQ28" s="701"/>
      <c r="GR28" s="701"/>
      <c r="GS28" s="701"/>
      <c r="GT28" s="701"/>
      <c r="GU28" s="701"/>
      <c r="GV28" s="701"/>
      <c r="GW28" s="701"/>
      <c r="GX28" s="701"/>
      <c r="GY28" s="701"/>
      <c r="GZ28" s="701"/>
      <c r="HA28" s="701"/>
      <c r="HB28" s="701"/>
      <c r="HC28" s="701"/>
      <c r="HD28" s="701"/>
      <c r="HE28" s="701"/>
      <c r="HF28" s="701"/>
      <c r="HG28" s="701"/>
      <c r="HH28" s="701"/>
      <c r="HI28" s="701"/>
      <c r="HJ28" s="701"/>
      <c r="HK28" s="701"/>
      <c r="HL28" s="701"/>
      <c r="HM28" s="701"/>
      <c r="HN28" s="701"/>
      <c r="HO28" s="701"/>
      <c r="HP28" s="701"/>
      <c r="HQ28" s="701"/>
      <c r="HR28" s="701"/>
      <c r="HS28" s="701"/>
      <c r="HT28" s="701"/>
      <c r="HU28" s="701"/>
      <c r="HV28" s="701"/>
      <c r="HW28" s="701"/>
      <c r="HX28" s="701"/>
      <c r="HY28" s="701"/>
      <c r="HZ28" s="701"/>
      <c r="IA28" s="701"/>
    </row>
    <row r="29" spans="2:235" s="702" customFormat="1" ht="19.5" customHeight="1" x14ac:dyDescent="0.35">
      <c r="B29" s="193"/>
      <c r="C29" s="393"/>
      <c r="D29" s="1985"/>
      <c r="E29" s="1986"/>
      <c r="F29" s="127"/>
      <c r="G29" s="777"/>
      <c r="H29" s="214"/>
      <c r="I29" s="779"/>
      <c r="J29" s="127"/>
      <c r="K29" s="781"/>
      <c r="L29" s="30"/>
      <c r="M29" s="121"/>
      <c r="N29" s="394"/>
      <c r="O29" s="205"/>
      <c r="P29" s="30"/>
      <c r="Q29" s="264"/>
      <c r="R29" s="266"/>
      <c r="S29" s="176">
        <v>1</v>
      </c>
      <c r="T29" s="555">
        <f t="shared" si="64"/>
        <v>0</v>
      </c>
      <c r="U29" s="31">
        <v>2</v>
      </c>
      <c r="V29" s="531"/>
      <c r="W29" s="31"/>
      <c r="X29" s="531"/>
      <c r="Y29" s="31"/>
      <c r="Z29" s="531"/>
      <c r="AA29" s="178"/>
      <c r="AB29" s="279"/>
      <c r="AC29" s="1380">
        <f t="shared" si="62"/>
        <v>0</v>
      </c>
      <c r="AD29" s="906">
        <f t="shared" si="36"/>
        <v>0</v>
      </c>
      <c r="AE29" s="794">
        <f t="shared" si="37"/>
        <v>0</v>
      </c>
      <c r="AF29" s="282">
        <f>SUM(BW29)*(1+M$64+Summary!P$64)</f>
        <v>0</v>
      </c>
      <c r="AG29" s="632" t="e">
        <f t="shared" si="1"/>
        <v>#DIV/0!</v>
      </c>
      <c r="AH29" s="1758">
        <f t="shared" si="38"/>
        <v>0</v>
      </c>
      <c r="AI29" s="769"/>
      <c r="AO29" s="702">
        <f t="shared" si="2"/>
        <v>0</v>
      </c>
      <c r="AP29" s="702">
        <f t="shared" si="39"/>
        <v>0</v>
      </c>
      <c r="AQ29" s="702">
        <f t="shared" si="3"/>
        <v>0</v>
      </c>
      <c r="AR29" s="702">
        <f t="shared" si="4"/>
        <v>0</v>
      </c>
      <c r="AS29" s="702">
        <f t="shared" si="5"/>
        <v>0</v>
      </c>
      <c r="AT29" s="702">
        <f t="shared" si="6"/>
        <v>0</v>
      </c>
      <c r="AU29" s="702">
        <f t="shared" si="7"/>
        <v>0</v>
      </c>
      <c r="AV29" s="1063">
        <f t="shared" si="40"/>
        <v>0</v>
      </c>
      <c r="AW29" s="1063">
        <f t="shared" si="8"/>
        <v>0</v>
      </c>
      <c r="AX29" s="702">
        <f t="shared" si="41"/>
        <v>0</v>
      </c>
      <c r="AY29" s="702">
        <f t="shared" si="9"/>
        <v>0</v>
      </c>
      <c r="AZ29" s="702">
        <f t="shared" si="10"/>
        <v>0</v>
      </c>
      <c r="BA29" s="702">
        <f t="shared" si="11"/>
        <v>0</v>
      </c>
      <c r="BB29" s="702">
        <f t="shared" si="12"/>
        <v>0</v>
      </c>
      <c r="BC29" s="702">
        <f t="shared" si="13"/>
        <v>0</v>
      </c>
      <c r="BD29" s="1063">
        <f t="shared" si="42"/>
        <v>0</v>
      </c>
      <c r="BE29" s="1064">
        <f t="shared" si="14"/>
        <v>0</v>
      </c>
      <c r="BF29" s="1063">
        <f t="shared" si="15"/>
        <v>0</v>
      </c>
      <c r="BG29" s="1065">
        <f t="shared" si="16"/>
        <v>0</v>
      </c>
      <c r="BH29" s="702">
        <f t="shared" si="17"/>
        <v>0</v>
      </c>
      <c r="BI29" s="1063">
        <f t="shared" si="43"/>
        <v>0</v>
      </c>
      <c r="BJ29" s="1063">
        <f t="shared" si="18"/>
        <v>0</v>
      </c>
      <c r="BK29" s="1063">
        <f t="shared" si="19"/>
        <v>0</v>
      </c>
      <c r="BL29" s="1063">
        <f t="shared" si="20"/>
        <v>0</v>
      </c>
      <c r="BM29" s="1063">
        <f t="shared" si="21"/>
        <v>0</v>
      </c>
      <c r="BN29" s="1064">
        <f t="shared" si="44"/>
        <v>0</v>
      </c>
      <c r="BO29" s="1761">
        <f t="shared" si="45"/>
        <v>0</v>
      </c>
      <c r="BP29" s="1063">
        <f t="shared" si="46"/>
        <v>0</v>
      </c>
      <c r="BQ29" s="1064">
        <f t="shared" si="22"/>
        <v>0</v>
      </c>
      <c r="BR29" s="1063">
        <f t="shared" si="23"/>
        <v>0</v>
      </c>
      <c r="BS29" s="1063">
        <f t="shared" si="47"/>
        <v>0</v>
      </c>
      <c r="BT29" s="1064">
        <f t="shared" si="24"/>
        <v>0</v>
      </c>
      <c r="BU29" s="1064">
        <f t="shared" si="25"/>
        <v>0</v>
      </c>
      <c r="BV29" s="1064">
        <f t="shared" si="48"/>
        <v>0</v>
      </c>
      <c r="BW29" s="1066">
        <f t="shared" si="49"/>
        <v>0</v>
      </c>
      <c r="BX29" s="1063">
        <f>(BI29*Pricing!F$2+BJ29*Pricing!G$2+BK29*Pricing!H$2+BL29*Pricing!I$2+BM29*Pricing!J$2+BN29*Pricing!K$2)*IF(AC$63="N",(1+AE$63),1)</f>
        <v>0</v>
      </c>
      <c r="BY29" s="1063">
        <f t="shared" si="50"/>
        <v>0</v>
      </c>
      <c r="BZ29" s="1063">
        <f t="shared" si="51"/>
        <v>0</v>
      </c>
      <c r="CA29" s="1063">
        <f t="shared" si="52"/>
        <v>0</v>
      </c>
      <c r="CB29" s="1067">
        <f t="shared" si="53"/>
        <v>0</v>
      </c>
      <c r="CD29" s="702">
        <f t="shared" si="54"/>
        <v>0</v>
      </c>
      <c r="CE29" s="1063">
        <f t="shared" si="26"/>
        <v>0</v>
      </c>
      <c r="CF29" s="1063">
        <f t="shared" si="27"/>
        <v>0</v>
      </c>
      <c r="CG29" s="1063">
        <f t="shared" si="28"/>
        <v>0</v>
      </c>
      <c r="CH29" s="702">
        <f t="shared" si="29"/>
        <v>0</v>
      </c>
      <c r="CI29" s="1063">
        <f t="shared" si="30"/>
        <v>0</v>
      </c>
      <c r="CJ29" s="702">
        <f t="shared" si="31"/>
        <v>0</v>
      </c>
      <c r="CK29" s="1063">
        <f t="shared" si="32"/>
        <v>0</v>
      </c>
      <c r="CL29" s="704">
        <f t="shared" si="33"/>
        <v>0</v>
      </c>
      <c r="CM29" s="702">
        <f t="shared" si="34"/>
        <v>0</v>
      </c>
      <c r="CO29" s="1061">
        <f t="shared" si="55"/>
        <v>0</v>
      </c>
      <c r="CP29" s="702">
        <f t="shared" si="56"/>
        <v>0</v>
      </c>
      <c r="CQ29" s="702">
        <f t="shared" si="57"/>
        <v>0</v>
      </c>
      <c r="CR29" s="702">
        <f t="shared" si="63"/>
        <v>0</v>
      </c>
      <c r="CS29" s="702">
        <f t="shared" si="58"/>
        <v>0</v>
      </c>
      <c r="CT29" s="702">
        <f t="shared" si="59"/>
        <v>0</v>
      </c>
      <c r="CU29" s="702">
        <f t="shared" si="60"/>
        <v>0</v>
      </c>
      <c r="CV29" s="1068">
        <f t="shared" si="35"/>
        <v>0</v>
      </c>
      <c r="CW29" s="1064">
        <f t="shared" si="61"/>
        <v>0</v>
      </c>
      <c r="FX29" s="701"/>
      <c r="FY29" s="701"/>
      <c r="FZ29" s="701"/>
      <c r="GA29" s="701"/>
      <c r="GB29" s="701"/>
      <c r="GC29" s="701"/>
      <c r="GD29" s="701"/>
      <c r="GE29" s="701"/>
      <c r="GF29" s="701"/>
      <c r="GG29" s="701"/>
      <c r="GH29" s="701"/>
      <c r="GI29" s="701"/>
      <c r="GJ29" s="701"/>
      <c r="GK29" s="701"/>
      <c r="GL29" s="701"/>
      <c r="GM29" s="701"/>
      <c r="GN29" s="701"/>
      <c r="GO29" s="701"/>
      <c r="GP29" s="701"/>
      <c r="GQ29" s="701"/>
      <c r="GR29" s="701"/>
      <c r="GS29" s="701"/>
      <c r="GT29" s="701"/>
      <c r="GU29" s="701"/>
      <c r="GV29" s="701"/>
      <c r="GW29" s="701"/>
      <c r="GX29" s="701"/>
      <c r="GY29" s="701"/>
      <c r="GZ29" s="701"/>
      <c r="HA29" s="701"/>
      <c r="HB29" s="701"/>
      <c r="HC29" s="701"/>
      <c r="HD29" s="701"/>
      <c r="HE29" s="701"/>
      <c r="HF29" s="701"/>
      <c r="HG29" s="701"/>
      <c r="HH29" s="701"/>
      <c r="HI29" s="701"/>
      <c r="HJ29" s="701"/>
      <c r="HK29" s="701"/>
      <c r="HL29" s="701"/>
      <c r="HM29" s="701"/>
      <c r="HN29" s="701"/>
      <c r="HO29" s="701"/>
      <c r="HP29" s="701"/>
      <c r="HQ29" s="701"/>
      <c r="HR29" s="701"/>
      <c r="HS29" s="701"/>
      <c r="HT29" s="701"/>
      <c r="HU29" s="701"/>
      <c r="HV29" s="701"/>
      <c r="HW29" s="701"/>
      <c r="HX29" s="701"/>
      <c r="HY29" s="701"/>
      <c r="HZ29" s="701"/>
      <c r="IA29" s="701"/>
    </row>
    <row r="30" spans="2:235" s="702" customFormat="1" ht="20.149999999999999" customHeight="1" x14ac:dyDescent="0.35">
      <c r="B30" s="398"/>
      <c r="C30" s="396"/>
      <c r="D30" s="1991"/>
      <c r="E30" s="1992"/>
      <c r="F30" s="97"/>
      <c r="G30" s="777"/>
      <c r="H30" s="97"/>
      <c r="I30" s="779"/>
      <c r="J30" s="97"/>
      <c r="K30" s="781"/>
      <c r="L30" s="32"/>
      <c r="M30" s="211"/>
      <c r="N30" s="397"/>
      <c r="O30" s="212"/>
      <c r="P30" s="32"/>
      <c r="Q30" s="810"/>
      <c r="R30" s="722"/>
      <c r="S30" s="180">
        <v>1</v>
      </c>
      <c r="T30" s="554">
        <f t="shared" si="64"/>
        <v>0</v>
      </c>
      <c r="U30" s="32">
        <v>2</v>
      </c>
      <c r="V30" s="371"/>
      <c r="W30" s="32"/>
      <c r="X30" s="371"/>
      <c r="Y30" s="32"/>
      <c r="Z30" s="371"/>
      <c r="AA30" s="180"/>
      <c r="AB30" s="280"/>
      <c r="AC30" s="1380">
        <f t="shared" si="62"/>
        <v>0</v>
      </c>
      <c r="AD30" s="906">
        <f t="shared" si="36"/>
        <v>0</v>
      </c>
      <c r="AE30" s="794">
        <f t="shared" si="37"/>
        <v>0</v>
      </c>
      <c r="AF30" s="282">
        <f>SUM(BW30)*(1+M$64+Summary!P$64)</f>
        <v>0</v>
      </c>
      <c r="AG30" s="632" t="e">
        <f t="shared" si="1"/>
        <v>#DIV/0!</v>
      </c>
      <c r="AH30" s="1758">
        <f t="shared" si="38"/>
        <v>0</v>
      </c>
      <c r="AI30" s="769"/>
      <c r="AO30" s="702">
        <f t="shared" si="2"/>
        <v>0</v>
      </c>
      <c r="AP30" s="702">
        <f t="shared" si="39"/>
        <v>0</v>
      </c>
      <c r="AQ30" s="702">
        <f t="shared" si="3"/>
        <v>0</v>
      </c>
      <c r="AR30" s="702">
        <f t="shared" si="4"/>
        <v>0</v>
      </c>
      <c r="AS30" s="702">
        <f t="shared" si="5"/>
        <v>0</v>
      </c>
      <c r="AT30" s="702">
        <f t="shared" si="6"/>
        <v>0</v>
      </c>
      <c r="AU30" s="702">
        <f t="shared" si="7"/>
        <v>0</v>
      </c>
      <c r="AV30" s="1063">
        <f t="shared" si="40"/>
        <v>0</v>
      </c>
      <c r="AW30" s="1063">
        <f t="shared" si="8"/>
        <v>0</v>
      </c>
      <c r="AX30" s="702">
        <f t="shared" si="41"/>
        <v>0</v>
      </c>
      <c r="AY30" s="702">
        <f t="shared" si="9"/>
        <v>0</v>
      </c>
      <c r="AZ30" s="702">
        <f t="shared" si="10"/>
        <v>0</v>
      </c>
      <c r="BA30" s="702">
        <f t="shared" si="11"/>
        <v>0</v>
      </c>
      <c r="BB30" s="702">
        <f t="shared" si="12"/>
        <v>0</v>
      </c>
      <c r="BC30" s="702">
        <f t="shared" si="13"/>
        <v>0</v>
      </c>
      <c r="BD30" s="1063">
        <f t="shared" si="42"/>
        <v>0</v>
      </c>
      <c r="BE30" s="1064">
        <f t="shared" si="14"/>
        <v>0</v>
      </c>
      <c r="BF30" s="1063">
        <f t="shared" si="15"/>
        <v>0</v>
      </c>
      <c r="BG30" s="1065">
        <f t="shared" si="16"/>
        <v>0</v>
      </c>
      <c r="BH30" s="702">
        <f t="shared" si="17"/>
        <v>0</v>
      </c>
      <c r="BI30" s="1063">
        <f t="shared" si="43"/>
        <v>0</v>
      </c>
      <c r="BJ30" s="1063">
        <f t="shared" si="18"/>
        <v>0</v>
      </c>
      <c r="BK30" s="1063">
        <f t="shared" si="19"/>
        <v>0</v>
      </c>
      <c r="BL30" s="1063">
        <f t="shared" si="20"/>
        <v>0</v>
      </c>
      <c r="BM30" s="1063">
        <f t="shared" si="21"/>
        <v>0</v>
      </c>
      <c r="BN30" s="1064">
        <f t="shared" si="44"/>
        <v>0</v>
      </c>
      <c r="BO30" s="1761">
        <f t="shared" si="45"/>
        <v>0</v>
      </c>
      <c r="BP30" s="1063">
        <f t="shared" si="46"/>
        <v>0</v>
      </c>
      <c r="BQ30" s="1064">
        <f t="shared" si="22"/>
        <v>0</v>
      </c>
      <c r="BR30" s="1063">
        <f t="shared" si="23"/>
        <v>0</v>
      </c>
      <c r="BS30" s="1063">
        <f t="shared" si="47"/>
        <v>0</v>
      </c>
      <c r="BT30" s="1064">
        <f t="shared" si="24"/>
        <v>0</v>
      </c>
      <c r="BU30" s="1064">
        <f t="shared" si="25"/>
        <v>0</v>
      </c>
      <c r="BV30" s="1064">
        <f t="shared" si="48"/>
        <v>0</v>
      </c>
      <c r="BW30" s="1066">
        <f t="shared" si="49"/>
        <v>0</v>
      </c>
      <c r="BX30" s="1063">
        <f>(BI30*Pricing!F$2+BJ30*Pricing!G$2+BK30*Pricing!H$2+BL30*Pricing!I$2+BM30*Pricing!J$2+BN30*Pricing!K$2)*IF(AC$63="N",(1+AE$63),1)</f>
        <v>0</v>
      </c>
      <c r="BY30" s="1063">
        <f t="shared" si="50"/>
        <v>0</v>
      </c>
      <c r="BZ30" s="1063">
        <f t="shared" si="51"/>
        <v>0</v>
      </c>
      <c r="CA30" s="1063">
        <f t="shared" si="52"/>
        <v>0</v>
      </c>
      <c r="CB30" s="1067">
        <f t="shared" si="53"/>
        <v>0</v>
      </c>
      <c r="CD30" s="702">
        <f t="shared" si="54"/>
        <v>0</v>
      </c>
      <c r="CE30" s="1063">
        <f t="shared" si="26"/>
        <v>0</v>
      </c>
      <c r="CF30" s="1063">
        <f t="shared" si="27"/>
        <v>0</v>
      </c>
      <c r="CG30" s="1063">
        <f t="shared" si="28"/>
        <v>0</v>
      </c>
      <c r="CH30" s="702">
        <f t="shared" si="29"/>
        <v>0</v>
      </c>
      <c r="CI30" s="1063">
        <f t="shared" si="30"/>
        <v>0</v>
      </c>
      <c r="CJ30" s="702">
        <f t="shared" si="31"/>
        <v>0</v>
      </c>
      <c r="CK30" s="1063">
        <f t="shared" si="32"/>
        <v>0</v>
      </c>
      <c r="CL30" s="704">
        <f t="shared" si="33"/>
        <v>0</v>
      </c>
      <c r="CM30" s="702">
        <f t="shared" si="34"/>
        <v>0</v>
      </c>
      <c r="CO30" s="1061">
        <f t="shared" si="55"/>
        <v>0</v>
      </c>
      <c r="CP30" s="702">
        <f t="shared" si="56"/>
        <v>0</v>
      </c>
      <c r="CQ30" s="702">
        <f t="shared" si="57"/>
        <v>0</v>
      </c>
      <c r="CR30" s="702">
        <f t="shared" si="63"/>
        <v>0</v>
      </c>
      <c r="CS30" s="702">
        <f t="shared" si="58"/>
        <v>0</v>
      </c>
      <c r="CT30" s="702">
        <f t="shared" si="59"/>
        <v>0</v>
      </c>
      <c r="CU30" s="702">
        <f t="shared" si="60"/>
        <v>0</v>
      </c>
      <c r="CV30" s="1068">
        <f t="shared" si="35"/>
        <v>0</v>
      </c>
      <c r="CW30" s="1064">
        <f t="shared" si="61"/>
        <v>0</v>
      </c>
      <c r="FX30" s="701"/>
      <c r="FY30" s="701"/>
      <c r="FZ30" s="701"/>
      <c r="GA30" s="701"/>
      <c r="GB30" s="701"/>
      <c r="GC30" s="701"/>
      <c r="GD30" s="701"/>
      <c r="GE30" s="701"/>
      <c r="GF30" s="701"/>
      <c r="GG30" s="701"/>
      <c r="GH30" s="701"/>
      <c r="GI30" s="701"/>
      <c r="GJ30" s="701"/>
      <c r="GK30" s="701"/>
      <c r="GL30" s="701"/>
      <c r="GM30" s="701"/>
      <c r="GN30" s="701"/>
      <c r="GO30" s="701"/>
      <c r="GP30" s="701"/>
      <c r="GQ30" s="701"/>
      <c r="GR30" s="701"/>
      <c r="GS30" s="701"/>
      <c r="GT30" s="701"/>
      <c r="GU30" s="701"/>
      <c r="GV30" s="701"/>
      <c r="GW30" s="701"/>
      <c r="GX30" s="701"/>
      <c r="GY30" s="701"/>
      <c r="GZ30" s="701"/>
      <c r="HA30" s="701"/>
      <c r="HB30" s="701"/>
      <c r="HC30" s="701"/>
      <c r="HD30" s="701"/>
      <c r="HE30" s="701"/>
      <c r="HF30" s="701"/>
      <c r="HG30" s="701"/>
      <c r="HH30" s="701"/>
      <c r="HI30" s="701"/>
      <c r="HJ30" s="701"/>
      <c r="HK30" s="701"/>
      <c r="HL30" s="701"/>
      <c r="HM30" s="701"/>
      <c r="HN30" s="701"/>
      <c r="HO30" s="701"/>
      <c r="HP30" s="701"/>
      <c r="HQ30" s="701"/>
      <c r="HR30" s="701"/>
      <c r="HS30" s="701"/>
      <c r="HT30" s="701"/>
      <c r="HU30" s="701"/>
      <c r="HV30" s="701"/>
      <c r="HW30" s="701"/>
      <c r="HX30" s="701"/>
      <c r="HY30" s="701"/>
      <c r="HZ30" s="701"/>
      <c r="IA30" s="701"/>
    </row>
    <row r="31" spans="2:235" s="702" customFormat="1" ht="20.149999999999999" customHeight="1" x14ac:dyDescent="0.35">
      <c r="B31" s="193"/>
      <c r="C31" s="393"/>
      <c r="D31" s="1985"/>
      <c r="E31" s="1986"/>
      <c r="F31" s="127"/>
      <c r="G31" s="777"/>
      <c r="H31" s="214"/>
      <c r="I31" s="779"/>
      <c r="J31" s="127"/>
      <c r="K31" s="781"/>
      <c r="L31" s="30"/>
      <c r="M31" s="121"/>
      <c r="N31" s="394"/>
      <c r="O31" s="205"/>
      <c r="P31" s="30"/>
      <c r="Q31" s="264"/>
      <c r="R31" s="266"/>
      <c r="S31" s="176">
        <v>1</v>
      </c>
      <c r="T31" s="555">
        <f t="shared" si="64"/>
        <v>0</v>
      </c>
      <c r="U31" s="31">
        <v>2</v>
      </c>
      <c r="V31" s="531"/>
      <c r="W31" s="31"/>
      <c r="X31" s="531"/>
      <c r="Y31" s="31"/>
      <c r="Z31" s="531"/>
      <c r="AA31" s="178"/>
      <c r="AB31" s="279"/>
      <c r="AC31" s="1380">
        <f t="shared" si="62"/>
        <v>0</v>
      </c>
      <c r="AD31" s="906">
        <f t="shared" si="36"/>
        <v>0</v>
      </c>
      <c r="AE31" s="794">
        <f t="shared" si="37"/>
        <v>0</v>
      </c>
      <c r="AF31" s="282">
        <f>SUM(BW31)*(1+M$64+Summary!P$64)</f>
        <v>0</v>
      </c>
      <c r="AG31" s="632" t="e">
        <f t="shared" si="1"/>
        <v>#DIV/0!</v>
      </c>
      <c r="AH31" s="1758">
        <f t="shared" si="38"/>
        <v>0</v>
      </c>
      <c r="AI31" s="769"/>
      <c r="AO31" s="702">
        <f t="shared" si="2"/>
        <v>0</v>
      </c>
      <c r="AP31" s="702">
        <f t="shared" si="39"/>
        <v>0</v>
      </c>
      <c r="AQ31" s="702">
        <f t="shared" si="3"/>
        <v>0</v>
      </c>
      <c r="AR31" s="702">
        <f t="shared" si="4"/>
        <v>0</v>
      </c>
      <c r="AS31" s="702">
        <f t="shared" si="5"/>
        <v>0</v>
      </c>
      <c r="AT31" s="702">
        <f t="shared" si="6"/>
        <v>0</v>
      </c>
      <c r="AU31" s="702">
        <f t="shared" si="7"/>
        <v>0</v>
      </c>
      <c r="AV31" s="1063">
        <f t="shared" si="40"/>
        <v>0</v>
      </c>
      <c r="AW31" s="1063">
        <f t="shared" si="8"/>
        <v>0</v>
      </c>
      <c r="AX31" s="702">
        <f t="shared" si="41"/>
        <v>0</v>
      </c>
      <c r="AY31" s="702">
        <f t="shared" si="9"/>
        <v>0</v>
      </c>
      <c r="AZ31" s="702">
        <f t="shared" si="10"/>
        <v>0</v>
      </c>
      <c r="BA31" s="702">
        <f t="shared" si="11"/>
        <v>0</v>
      </c>
      <c r="BB31" s="702">
        <f t="shared" si="12"/>
        <v>0</v>
      </c>
      <c r="BC31" s="702">
        <f t="shared" si="13"/>
        <v>0</v>
      </c>
      <c r="BD31" s="1063">
        <f t="shared" si="42"/>
        <v>0</v>
      </c>
      <c r="BE31" s="1064">
        <f t="shared" si="14"/>
        <v>0</v>
      </c>
      <c r="BF31" s="1063">
        <f t="shared" si="15"/>
        <v>0</v>
      </c>
      <c r="BG31" s="1065">
        <f t="shared" si="16"/>
        <v>0</v>
      </c>
      <c r="BH31" s="702">
        <f t="shared" si="17"/>
        <v>0</v>
      </c>
      <c r="BI31" s="1063">
        <f t="shared" si="43"/>
        <v>0</v>
      </c>
      <c r="BJ31" s="1063">
        <f t="shared" si="18"/>
        <v>0</v>
      </c>
      <c r="BK31" s="1063">
        <f t="shared" si="19"/>
        <v>0</v>
      </c>
      <c r="BL31" s="1063">
        <f t="shared" si="20"/>
        <v>0</v>
      </c>
      <c r="BM31" s="1063">
        <f t="shared" si="21"/>
        <v>0</v>
      </c>
      <c r="BN31" s="1064">
        <f t="shared" si="44"/>
        <v>0</v>
      </c>
      <c r="BO31" s="1761">
        <f t="shared" si="45"/>
        <v>0</v>
      </c>
      <c r="BP31" s="1063">
        <f t="shared" si="46"/>
        <v>0</v>
      </c>
      <c r="BQ31" s="1064">
        <f t="shared" si="22"/>
        <v>0</v>
      </c>
      <c r="BR31" s="1063">
        <f t="shared" si="23"/>
        <v>0</v>
      </c>
      <c r="BS31" s="1063">
        <f t="shared" si="47"/>
        <v>0</v>
      </c>
      <c r="BT31" s="1064">
        <f t="shared" si="24"/>
        <v>0</v>
      </c>
      <c r="BU31" s="1064">
        <f t="shared" si="25"/>
        <v>0</v>
      </c>
      <c r="BV31" s="1064">
        <f t="shared" si="48"/>
        <v>0</v>
      </c>
      <c r="BW31" s="1066">
        <f t="shared" si="49"/>
        <v>0</v>
      </c>
      <c r="BX31" s="1063">
        <f>(BI31*Pricing!F$2+BJ31*Pricing!G$2+BK31*Pricing!H$2+BL31*Pricing!I$2+BM31*Pricing!J$2+BN31*Pricing!K$2)*IF(AC$63="N",(1+AE$63),1)</f>
        <v>0</v>
      </c>
      <c r="BY31" s="1063">
        <f t="shared" si="50"/>
        <v>0</v>
      </c>
      <c r="BZ31" s="1063">
        <f t="shared" si="51"/>
        <v>0</v>
      </c>
      <c r="CA31" s="1063">
        <f t="shared" si="52"/>
        <v>0</v>
      </c>
      <c r="CB31" s="1067">
        <f t="shared" si="53"/>
        <v>0</v>
      </c>
      <c r="CD31" s="702">
        <f t="shared" si="54"/>
        <v>0</v>
      </c>
      <c r="CE31" s="1063">
        <f t="shared" si="26"/>
        <v>0</v>
      </c>
      <c r="CF31" s="1063">
        <f t="shared" si="27"/>
        <v>0</v>
      </c>
      <c r="CG31" s="1063">
        <f t="shared" si="28"/>
        <v>0</v>
      </c>
      <c r="CH31" s="702">
        <f t="shared" si="29"/>
        <v>0</v>
      </c>
      <c r="CI31" s="1063">
        <f t="shared" si="30"/>
        <v>0</v>
      </c>
      <c r="CJ31" s="702">
        <f t="shared" si="31"/>
        <v>0</v>
      </c>
      <c r="CK31" s="1063">
        <f t="shared" si="32"/>
        <v>0</v>
      </c>
      <c r="CL31" s="704">
        <f t="shared" si="33"/>
        <v>0</v>
      </c>
      <c r="CM31" s="702">
        <f t="shared" si="34"/>
        <v>0</v>
      </c>
      <c r="CO31" s="1061">
        <f t="shared" si="55"/>
        <v>0</v>
      </c>
      <c r="CP31" s="702">
        <f t="shared" si="56"/>
        <v>0</v>
      </c>
      <c r="CQ31" s="702">
        <f t="shared" si="57"/>
        <v>0</v>
      </c>
      <c r="CR31" s="702">
        <f t="shared" si="63"/>
        <v>0</v>
      </c>
      <c r="CS31" s="702">
        <f t="shared" si="58"/>
        <v>0</v>
      </c>
      <c r="CT31" s="702">
        <f t="shared" si="59"/>
        <v>0</v>
      </c>
      <c r="CU31" s="702">
        <f t="shared" si="60"/>
        <v>0</v>
      </c>
      <c r="CV31" s="1068">
        <f t="shared" si="35"/>
        <v>0</v>
      </c>
      <c r="CW31" s="1064">
        <f t="shared" si="61"/>
        <v>0</v>
      </c>
      <c r="FX31" s="701"/>
      <c r="FY31" s="701"/>
      <c r="FZ31" s="701"/>
      <c r="GA31" s="701"/>
      <c r="GB31" s="701"/>
      <c r="GC31" s="701"/>
      <c r="GD31" s="701"/>
      <c r="GE31" s="701"/>
      <c r="GF31" s="701"/>
      <c r="GG31" s="701"/>
      <c r="GH31" s="701"/>
      <c r="GI31" s="701"/>
      <c r="GJ31" s="701"/>
      <c r="GK31" s="701"/>
      <c r="GL31" s="701"/>
      <c r="GM31" s="701"/>
      <c r="GN31" s="701"/>
      <c r="GO31" s="701"/>
      <c r="GP31" s="701"/>
      <c r="GQ31" s="701"/>
      <c r="GR31" s="701"/>
      <c r="GS31" s="701"/>
      <c r="GT31" s="701"/>
      <c r="GU31" s="701"/>
      <c r="GV31" s="701"/>
      <c r="GW31" s="701"/>
      <c r="GX31" s="701"/>
      <c r="GY31" s="701"/>
      <c r="GZ31" s="701"/>
      <c r="HA31" s="701"/>
      <c r="HB31" s="701"/>
      <c r="HC31" s="701"/>
      <c r="HD31" s="701"/>
      <c r="HE31" s="701"/>
      <c r="HF31" s="701"/>
      <c r="HG31" s="701"/>
      <c r="HH31" s="701"/>
      <c r="HI31" s="701"/>
      <c r="HJ31" s="701"/>
      <c r="HK31" s="701"/>
      <c r="HL31" s="701"/>
      <c r="HM31" s="701"/>
      <c r="HN31" s="701"/>
      <c r="HO31" s="701"/>
      <c r="HP31" s="701"/>
      <c r="HQ31" s="701"/>
      <c r="HR31" s="701"/>
      <c r="HS31" s="701"/>
      <c r="HT31" s="701"/>
      <c r="HU31" s="701"/>
      <c r="HV31" s="701"/>
      <c r="HW31" s="701"/>
      <c r="HX31" s="701"/>
      <c r="HY31" s="701"/>
      <c r="HZ31" s="701"/>
      <c r="IA31" s="701"/>
    </row>
    <row r="32" spans="2:235" s="702" customFormat="1" ht="20.149999999999999" customHeight="1" x14ac:dyDescent="0.35">
      <c r="B32" s="398"/>
      <c r="C32" s="396"/>
      <c r="D32" s="1991"/>
      <c r="E32" s="1992"/>
      <c r="F32" s="97"/>
      <c r="G32" s="777"/>
      <c r="H32" s="97"/>
      <c r="I32" s="779"/>
      <c r="J32" s="97"/>
      <c r="K32" s="781"/>
      <c r="L32" s="32"/>
      <c r="M32" s="211"/>
      <c r="N32" s="397"/>
      <c r="O32" s="212"/>
      <c r="P32" s="32"/>
      <c r="Q32" s="810"/>
      <c r="R32" s="722"/>
      <c r="S32" s="180">
        <v>1</v>
      </c>
      <c r="T32" s="554">
        <f t="shared" si="64"/>
        <v>0</v>
      </c>
      <c r="U32" s="32">
        <v>2</v>
      </c>
      <c r="V32" s="371"/>
      <c r="W32" s="32"/>
      <c r="X32" s="371"/>
      <c r="Y32" s="32"/>
      <c r="Z32" s="371"/>
      <c r="AA32" s="180"/>
      <c r="AB32" s="280"/>
      <c r="AC32" s="1380">
        <f t="shared" ref="AC32:AC47" si="65">IF(BG32=0,0,SUM(BD32:BE32)/BG32)</f>
        <v>0</v>
      </c>
      <c r="AD32" s="906">
        <f t="shared" ref="AD32:AD47" si="66">(D32*F32/324)*(1+K$71)+AV32</f>
        <v>0</v>
      </c>
      <c r="AE32" s="794">
        <f t="shared" si="37"/>
        <v>0</v>
      </c>
      <c r="AF32" s="282">
        <f>SUM(BW32)*(1+M$64+Summary!P$64)</f>
        <v>0</v>
      </c>
      <c r="AG32" s="632" t="e">
        <f t="shared" si="1"/>
        <v>#DIV/0!</v>
      </c>
      <c r="AH32" s="1758">
        <f t="shared" si="38"/>
        <v>0</v>
      </c>
      <c r="AI32" s="769"/>
      <c r="AO32" s="702">
        <f t="shared" si="2"/>
        <v>0</v>
      </c>
      <c r="AP32" s="702">
        <f t="shared" si="39"/>
        <v>0</v>
      </c>
      <c r="AQ32" s="702">
        <f t="shared" si="3"/>
        <v>0</v>
      </c>
      <c r="AR32" s="702">
        <f t="shared" si="4"/>
        <v>0</v>
      </c>
      <c r="AS32" s="702">
        <f t="shared" si="5"/>
        <v>0</v>
      </c>
      <c r="AT32" s="702">
        <f t="shared" si="6"/>
        <v>0</v>
      </c>
      <c r="AU32" s="702">
        <f t="shared" si="7"/>
        <v>0</v>
      </c>
      <c r="AV32" s="1063">
        <f t="shared" si="40"/>
        <v>0</v>
      </c>
      <c r="AW32" s="1063">
        <f t="shared" si="8"/>
        <v>0</v>
      </c>
      <c r="AX32" s="702">
        <f t="shared" si="41"/>
        <v>0</v>
      </c>
      <c r="AY32" s="702">
        <f t="shared" si="9"/>
        <v>0</v>
      </c>
      <c r="AZ32" s="702">
        <f t="shared" si="10"/>
        <v>0</v>
      </c>
      <c r="BA32" s="702">
        <f t="shared" si="11"/>
        <v>0</v>
      </c>
      <c r="BB32" s="702">
        <f t="shared" si="12"/>
        <v>0</v>
      </c>
      <c r="BC32" s="702">
        <f t="shared" si="13"/>
        <v>0</v>
      </c>
      <c r="BD32" s="1063">
        <f t="shared" si="42"/>
        <v>0</v>
      </c>
      <c r="BE32" s="1064">
        <f t="shared" si="14"/>
        <v>0</v>
      </c>
      <c r="BF32" s="1063">
        <f t="shared" si="15"/>
        <v>0</v>
      </c>
      <c r="BG32" s="1065">
        <f t="shared" si="16"/>
        <v>0</v>
      </c>
      <c r="BH32" s="702">
        <f t="shared" si="17"/>
        <v>0</v>
      </c>
      <c r="BI32" s="1063">
        <f t="shared" si="43"/>
        <v>0</v>
      </c>
      <c r="BJ32" s="1063">
        <f t="shared" si="18"/>
        <v>0</v>
      </c>
      <c r="BK32" s="1063">
        <f t="shared" si="19"/>
        <v>0</v>
      </c>
      <c r="BL32" s="1063">
        <f t="shared" si="20"/>
        <v>0</v>
      </c>
      <c r="BM32" s="1063">
        <f t="shared" si="21"/>
        <v>0</v>
      </c>
      <c r="BN32" s="1064">
        <f t="shared" si="44"/>
        <v>0</v>
      </c>
      <c r="BO32" s="1761">
        <f t="shared" si="45"/>
        <v>0</v>
      </c>
      <c r="BP32" s="1063">
        <f t="shared" si="46"/>
        <v>0</v>
      </c>
      <c r="BQ32" s="1064">
        <f t="shared" si="22"/>
        <v>0</v>
      </c>
      <c r="BR32" s="1063">
        <f t="shared" si="23"/>
        <v>0</v>
      </c>
      <c r="BS32" s="1063">
        <f t="shared" si="47"/>
        <v>0</v>
      </c>
      <c r="BT32" s="1064">
        <f t="shared" si="24"/>
        <v>0</v>
      </c>
      <c r="BU32" s="1064">
        <f t="shared" si="25"/>
        <v>0</v>
      </c>
      <c r="BV32" s="1064">
        <f t="shared" si="48"/>
        <v>0</v>
      </c>
      <c r="BW32" s="1066">
        <f t="shared" si="49"/>
        <v>0</v>
      </c>
      <c r="BX32" s="1063">
        <f>(BI32*Pricing!F$2+BJ32*Pricing!G$2+BK32*Pricing!H$2+BL32*Pricing!I$2+BM32*Pricing!J$2+BN32*Pricing!K$2)*IF(AC$63="N",(1+AE$63),1)</f>
        <v>0</v>
      </c>
      <c r="BY32" s="1063">
        <f t="shared" si="50"/>
        <v>0</v>
      </c>
      <c r="BZ32" s="1063">
        <f t="shared" si="51"/>
        <v>0</v>
      </c>
      <c r="CA32" s="1063">
        <f t="shared" si="52"/>
        <v>0</v>
      </c>
      <c r="CB32" s="1067">
        <f t="shared" si="53"/>
        <v>0</v>
      </c>
      <c r="CD32" s="702">
        <f t="shared" si="54"/>
        <v>0</v>
      </c>
      <c r="CE32" s="1063">
        <f t="shared" si="26"/>
        <v>0</v>
      </c>
      <c r="CF32" s="1063">
        <f t="shared" si="27"/>
        <v>0</v>
      </c>
      <c r="CG32" s="1063">
        <f t="shared" si="28"/>
        <v>0</v>
      </c>
      <c r="CH32" s="702">
        <f t="shared" si="29"/>
        <v>0</v>
      </c>
      <c r="CI32" s="1063">
        <f t="shared" si="30"/>
        <v>0</v>
      </c>
      <c r="CJ32" s="702">
        <f t="shared" si="31"/>
        <v>0</v>
      </c>
      <c r="CK32" s="1063">
        <f t="shared" si="32"/>
        <v>0</v>
      </c>
      <c r="CL32" s="704">
        <f t="shared" si="33"/>
        <v>0</v>
      </c>
      <c r="CM32" s="702">
        <f t="shared" si="34"/>
        <v>0</v>
      </c>
      <c r="CO32" s="1061">
        <f t="shared" si="55"/>
        <v>0</v>
      </c>
      <c r="CP32" s="702">
        <f t="shared" si="56"/>
        <v>0</v>
      </c>
      <c r="CQ32" s="702">
        <f t="shared" si="57"/>
        <v>0</v>
      </c>
      <c r="CR32" s="702">
        <f t="shared" si="63"/>
        <v>0</v>
      </c>
      <c r="CS32" s="702">
        <f t="shared" si="58"/>
        <v>0</v>
      </c>
      <c r="CT32" s="702">
        <f t="shared" si="59"/>
        <v>0</v>
      </c>
      <c r="CU32" s="702">
        <f t="shared" si="60"/>
        <v>0</v>
      </c>
      <c r="CV32" s="1068">
        <f t="shared" si="35"/>
        <v>0</v>
      </c>
      <c r="CW32" s="1064">
        <f t="shared" si="61"/>
        <v>0</v>
      </c>
      <c r="FX32" s="701"/>
      <c r="FY32" s="701"/>
      <c r="FZ32" s="701"/>
      <c r="GA32" s="701"/>
      <c r="GB32" s="701"/>
      <c r="GC32" s="701"/>
      <c r="GD32" s="701"/>
      <c r="GE32" s="701"/>
      <c r="GF32" s="701"/>
      <c r="GG32" s="701"/>
      <c r="GH32" s="701"/>
      <c r="GI32" s="701"/>
      <c r="GJ32" s="701"/>
      <c r="GK32" s="701"/>
      <c r="GL32" s="701"/>
      <c r="GM32" s="701"/>
      <c r="GN32" s="701"/>
      <c r="GO32" s="701"/>
      <c r="GP32" s="701"/>
      <c r="GQ32" s="701"/>
      <c r="GR32" s="701"/>
      <c r="GS32" s="701"/>
      <c r="GT32" s="701"/>
      <c r="GU32" s="701"/>
      <c r="GV32" s="701"/>
      <c r="GW32" s="701"/>
      <c r="GX32" s="701"/>
      <c r="GY32" s="701"/>
      <c r="GZ32" s="701"/>
      <c r="HA32" s="701"/>
      <c r="HB32" s="701"/>
      <c r="HC32" s="701"/>
      <c r="HD32" s="701"/>
      <c r="HE32" s="701"/>
      <c r="HF32" s="701"/>
      <c r="HG32" s="701"/>
      <c r="HH32" s="701"/>
      <c r="HI32" s="701"/>
      <c r="HJ32" s="701"/>
      <c r="HK32" s="701"/>
      <c r="HL32" s="701"/>
      <c r="HM32" s="701"/>
      <c r="HN32" s="701"/>
      <c r="HO32" s="701"/>
      <c r="HP32" s="701"/>
      <c r="HQ32" s="701"/>
      <c r="HR32" s="701"/>
      <c r="HS32" s="701"/>
      <c r="HT32" s="701"/>
      <c r="HU32" s="701"/>
      <c r="HV32" s="701"/>
      <c r="HW32" s="701"/>
      <c r="HX32" s="701"/>
      <c r="HY32" s="701"/>
      <c r="HZ32" s="701"/>
      <c r="IA32" s="701"/>
    </row>
    <row r="33" spans="2:235" s="702" customFormat="1" ht="20.149999999999999" customHeight="1" x14ac:dyDescent="0.35">
      <c r="B33" s="193"/>
      <c r="C33" s="393"/>
      <c r="D33" s="1985"/>
      <c r="E33" s="1986"/>
      <c r="F33" s="127"/>
      <c r="G33" s="777"/>
      <c r="H33" s="214"/>
      <c r="I33" s="779"/>
      <c r="J33" s="127"/>
      <c r="K33" s="781"/>
      <c r="L33" s="30"/>
      <c r="M33" s="121"/>
      <c r="N33" s="394"/>
      <c r="O33" s="205"/>
      <c r="P33" s="30"/>
      <c r="Q33" s="264"/>
      <c r="R33" s="266"/>
      <c r="S33" s="176">
        <v>1</v>
      </c>
      <c r="T33" s="555">
        <f t="shared" si="64"/>
        <v>0</v>
      </c>
      <c r="U33" s="31">
        <v>2</v>
      </c>
      <c r="V33" s="531"/>
      <c r="W33" s="30"/>
      <c r="X33" s="377"/>
      <c r="Y33" s="30"/>
      <c r="Z33" s="377"/>
      <c r="AA33" s="178"/>
      <c r="AB33" s="279"/>
      <c r="AC33" s="1380">
        <f t="shared" si="65"/>
        <v>0</v>
      </c>
      <c r="AD33" s="906">
        <f t="shared" si="66"/>
        <v>0</v>
      </c>
      <c r="AE33" s="794">
        <f t="shared" si="37"/>
        <v>0</v>
      </c>
      <c r="AF33" s="282">
        <f>SUM(BW33)*(1+M$64+Summary!P$64)</f>
        <v>0</v>
      </c>
      <c r="AG33" s="632" t="e">
        <f t="shared" si="1"/>
        <v>#DIV/0!</v>
      </c>
      <c r="AH33" s="1758">
        <f t="shared" si="38"/>
        <v>0</v>
      </c>
      <c r="AI33" s="769"/>
      <c r="AO33" s="702">
        <f t="shared" si="2"/>
        <v>0</v>
      </c>
      <c r="AP33" s="702">
        <f t="shared" si="39"/>
        <v>0</v>
      </c>
      <c r="AQ33" s="702">
        <f t="shared" si="3"/>
        <v>0</v>
      </c>
      <c r="AR33" s="702">
        <f t="shared" si="4"/>
        <v>0</v>
      </c>
      <c r="AS33" s="702">
        <f t="shared" si="5"/>
        <v>0</v>
      </c>
      <c r="AT33" s="702">
        <f t="shared" si="6"/>
        <v>0</v>
      </c>
      <c r="AU33" s="702">
        <f t="shared" si="7"/>
        <v>0</v>
      </c>
      <c r="AV33" s="1063">
        <f t="shared" si="40"/>
        <v>0</v>
      </c>
      <c r="AW33" s="1063">
        <f t="shared" si="8"/>
        <v>0</v>
      </c>
      <c r="AX33" s="702">
        <f t="shared" si="41"/>
        <v>0</v>
      </c>
      <c r="AY33" s="702">
        <f t="shared" si="9"/>
        <v>0</v>
      </c>
      <c r="AZ33" s="702">
        <f t="shared" si="10"/>
        <v>0</v>
      </c>
      <c r="BA33" s="702">
        <f t="shared" si="11"/>
        <v>0</v>
      </c>
      <c r="BB33" s="702">
        <f t="shared" si="12"/>
        <v>0</v>
      </c>
      <c r="BC33" s="702">
        <f t="shared" si="13"/>
        <v>0</v>
      </c>
      <c r="BD33" s="1063">
        <f t="shared" si="42"/>
        <v>0</v>
      </c>
      <c r="BE33" s="1064">
        <f t="shared" si="14"/>
        <v>0</v>
      </c>
      <c r="BF33" s="1063">
        <f t="shared" si="15"/>
        <v>0</v>
      </c>
      <c r="BG33" s="1065">
        <f t="shared" si="16"/>
        <v>0</v>
      </c>
      <c r="BH33" s="702">
        <f t="shared" si="17"/>
        <v>0</v>
      </c>
      <c r="BI33" s="1063">
        <f t="shared" si="43"/>
        <v>0</v>
      </c>
      <c r="BJ33" s="1063">
        <f t="shared" si="18"/>
        <v>0</v>
      </c>
      <c r="BK33" s="1063">
        <f t="shared" si="19"/>
        <v>0</v>
      </c>
      <c r="BL33" s="1063">
        <f t="shared" si="20"/>
        <v>0</v>
      </c>
      <c r="BM33" s="1063">
        <f t="shared" si="21"/>
        <v>0</v>
      </c>
      <c r="BN33" s="1064">
        <f t="shared" si="44"/>
        <v>0</v>
      </c>
      <c r="BO33" s="1761">
        <f t="shared" si="45"/>
        <v>0</v>
      </c>
      <c r="BP33" s="1063">
        <f t="shared" si="46"/>
        <v>0</v>
      </c>
      <c r="BQ33" s="1064">
        <f t="shared" si="22"/>
        <v>0</v>
      </c>
      <c r="BR33" s="1063">
        <f t="shared" si="23"/>
        <v>0</v>
      </c>
      <c r="BS33" s="1063">
        <f t="shared" si="47"/>
        <v>0</v>
      </c>
      <c r="BT33" s="1064">
        <f t="shared" si="24"/>
        <v>0</v>
      </c>
      <c r="BU33" s="1064">
        <f t="shared" si="25"/>
        <v>0</v>
      </c>
      <c r="BV33" s="1064">
        <f t="shared" si="48"/>
        <v>0</v>
      </c>
      <c r="BW33" s="1066">
        <f t="shared" si="49"/>
        <v>0</v>
      </c>
      <c r="BX33" s="1063">
        <f>(BI33*Pricing!F$2+BJ33*Pricing!G$2+BK33*Pricing!H$2+BL33*Pricing!I$2+BM33*Pricing!J$2+BN33*Pricing!K$2)*IF(AC$63="N",(1+AE$63),1)</f>
        <v>0</v>
      </c>
      <c r="BY33" s="1063">
        <f t="shared" si="50"/>
        <v>0</v>
      </c>
      <c r="BZ33" s="1063">
        <f t="shared" si="51"/>
        <v>0</v>
      </c>
      <c r="CA33" s="1063">
        <f t="shared" si="52"/>
        <v>0</v>
      </c>
      <c r="CB33" s="1067">
        <f t="shared" si="53"/>
        <v>0</v>
      </c>
      <c r="CD33" s="702">
        <f t="shared" si="54"/>
        <v>0</v>
      </c>
      <c r="CE33" s="1063">
        <f t="shared" si="26"/>
        <v>0</v>
      </c>
      <c r="CF33" s="1063">
        <f t="shared" si="27"/>
        <v>0</v>
      </c>
      <c r="CG33" s="1063">
        <f t="shared" si="28"/>
        <v>0</v>
      </c>
      <c r="CH33" s="702">
        <f t="shared" si="29"/>
        <v>0</v>
      </c>
      <c r="CI33" s="1063">
        <f t="shared" si="30"/>
        <v>0</v>
      </c>
      <c r="CJ33" s="702">
        <f t="shared" si="31"/>
        <v>0</v>
      </c>
      <c r="CK33" s="1063">
        <f t="shared" si="32"/>
        <v>0</v>
      </c>
      <c r="CL33" s="704">
        <f t="shared" si="33"/>
        <v>0</v>
      </c>
      <c r="CM33" s="702">
        <f t="shared" si="34"/>
        <v>0</v>
      </c>
      <c r="CO33" s="1061">
        <f t="shared" si="55"/>
        <v>0</v>
      </c>
      <c r="CP33" s="702">
        <f t="shared" si="56"/>
        <v>0</v>
      </c>
      <c r="CQ33" s="702">
        <f t="shared" si="57"/>
        <v>0</v>
      </c>
      <c r="CR33" s="702">
        <f t="shared" si="63"/>
        <v>0</v>
      </c>
      <c r="CS33" s="702">
        <f t="shared" si="58"/>
        <v>0</v>
      </c>
      <c r="CT33" s="702">
        <f t="shared" si="59"/>
        <v>0</v>
      </c>
      <c r="CU33" s="702">
        <f t="shared" si="60"/>
        <v>0</v>
      </c>
      <c r="CV33" s="1068">
        <f t="shared" si="35"/>
        <v>0</v>
      </c>
      <c r="CW33" s="1064">
        <f t="shared" si="61"/>
        <v>0</v>
      </c>
      <c r="FX33" s="701"/>
      <c r="FY33" s="701"/>
      <c r="FZ33" s="701"/>
      <c r="GA33" s="701"/>
      <c r="GB33" s="701"/>
      <c r="GC33" s="701"/>
      <c r="GD33" s="701"/>
      <c r="GE33" s="701"/>
      <c r="GF33" s="701"/>
      <c r="GG33" s="701"/>
      <c r="GH33" s="701"/>
      <c r="GI33" s="701"/>
      <c r="GJ33" s="701"/>
      <c r="GK33" s="701"/>
      <c r="GL33" s="701"/>
      <c r="GM33" s="701"/>
      <c r="GN33" s="701"/>
      <c r="GO33" s="701"/>
      <c r="GP33" s="701"/>
      <c r="GQ33" s="701"/>
      <c r="GR33" s="701"/>
      <c r="GS33" s="701"/>
      <c r="GT33" s="701"/>
      <c r="GU33" s="701"/>
      <c r="GV33" s="701"/>
      <c r="GW33" s="701"/>
      <c r="GX33" s="701"/>
      <c r="GY33" s="701"/>
      <c r="GZ33" s="701"/>
      <c r="HA33" s="701"/>
      <c r="HB33" s="701"/>
      <c r="HC33" s="701"/>
      <c r="HD33" s="701"/>
      <c r="HE33" s="701"/>
      <c r="HF33" s="701"/>
      <c r="HG33" s="701"/>
      <c r="HH33" s="701"/>
      <c r="HI33" s="701"/>
      <c r="HJ33" s="701"/>
      <c r="HK33" s="701"/>
      <c r="HL33" s="701"/>
      <c r="HM33" s="701"/>
      <c r="HN33" s="701"/>
      <c r="HO33" s="701"/>
      <c r="HP33" s="701"/>
      <c r="HQ33" s="701"/>
      <c r="HR33" s="701"/>
      <c r="HS33" s="701"/>
      <c r="HT33" s="701"/>
      <c r="HU33" s="701"/>
      <c r="HV33" s="701"/>
      <c r="HW33" s="701"/>
      <c r="HX33" s="701"/>
      <c r="HY33" s="701"/>
      <c r="HZ33" s="701"/>
      <c r="IA33" s="701"/>
    </row>
    <row r="34" spans="2:235" s="702" customFormat="1" ht="20.149999999999999" customHeight="1" x14ac:dyDescent="0.35">
      <c r="B34" s="398"/>
      <c r="C34" s="396"/>
      <c r="D34" s="1991"/>
      <c r="E34" s="1992"/>
      <c r="F34" s="97"/>
      <c r="G34" s="777"/>
      <c r="H34" s="97"/>
      <c r="I34" s="779"/>
      <c r="J34" s="97"/>
      <c r="K34" s="781"/>
      <c r="L34" s="32"/>
      <c r="M34" s="211"/>
      <c r="N34" s="397"/>
      <c r="O34" s="212"/>
      <c r="P34" s="32"/>
      <c r="Q34" s="810"/>
      <c r="R34" s="722"/>
      <c r="S34" s="180">
        <v>1</v>
      </c>
      <c r="T34" s="554">
        <f t="shared" si="64"/>
        <v>0</v>
      </c>
      <c r="U34" s="32">
        <v>2</v>
      </c>
      <c r="V34" s="371"/>
      <c r="W34" s="32"/>
      <c r="X34" s="371"/>
      <c r="Y34" s="32"/>
      <c r="Z34" s="371"/>
      <c r="AA34" s="180"/>
      <c r="AB34" s="280"/>
      <c r="AC34" s="1380">
        <f t="shared" si="65"/>
        <v>0</v>
      </c>
      <c r="AD34" s="906">
        <f t="shared" si="66"/>
        <v>0</v>
      </c>
      <c r="AE34" s="794">
        <f t="shared" si="37"/>
        <v>0</v>
      </c>
      <c r="AF34" s="282">
        <f>SUM(BW34)*(1+M$64+Summary!P$64)</f>
        <v>0</v>
      </c>
      <c r="AG34" s="632" t="e">
        <f t="shared" si="1"/>
        <v>#DIV/0!</v>
      </c>
      <c r="AH34" s="1758">
        <f t="shared" si="38"/>
        <v>0</v>
      </c>
      <c r="AI34" s="769"/>
      <c r="AO34" s="702">
        <f t="shared" si="2"/>
        <v>0</v>
      </c>
      <c r="AP34" s="702">
        <f t="shared" si="39"/>
        <v>0</v>
      </c>
      <c r="AQ34" s="702">
        <f t="shared" si="3"/>
        <v>0</v>
      </c>
      <c r="AR34" s="702">
        <f t="shared" si="4"/>
        <v>0</v>
      </c>
      <c r="AS34" s="702">
        <f t="shared" si="5"/>
        <v>0</v>
      </c>
      <c r="AT34" s="702">
        <f t="shared" si="6"/>
        <v>0</v>
      </c>
      <c r="AU34" s="702">
        <f t="shared" si="7"/>
        <v>0</v>
      </c>
      <c r="AV34" s="1063">
        <f t="shared" si="40"/>
        <v>0</v>
      </c>
      <c r="AW34" s="1063">
        <f t="shared" si="8"/>
        <v>0</v>
      </c>
      <c r="AX34" s="702">
        <f t="shared" si="41"/>
        <v>0</v>
      </c>
      <c r="AY34" s="702">
        <f t="shared" si="9"/>
        <v>0</v>
      </c>
      <c r="AZ34" s="702">
        <f t="shared" si="10"/>
        <v>0</v>
      </c>
      <c r="BA34" s="702">
        <f t="shared" si="11"/>
        <v>0</v>
      </c>
      <c r="BB34" s="702">
        <f t="shared" si="12"/>
        <v>0</v>
      </c>
      <c r="BC34" s="702">
        <f t="shared" si="13"/>
        <v>0</v>
      </c>
      <c r="BD34" s="1063">
        <f t="shared" si="42"/>
        <v>0</v>
      </c>
      <c r="BE34" s="1064">
        <f t="shared" si="14"/>
        <v>0</v>
      </c>
      <c r="BF34" s="1063">
        <f t="shared" si="15"/>
        <v>0</v>
      </c>
      <c r="BG34" s="1065">
        <f t="shared" si="16"/>
        <v>0</v>
      </c>
      <c r="BH34" s="702">
        <f t="shared" si="17"/>
        <v>0</v>
      </c>
      <c r="BI34" s="1063">
        <f t="shared" si="43"/>
        <v>0</v>
      </c>
      <c r="BJ34" s="1063">
        <f t="shared" si="18"/>
        <v>0</v>
      </c>
      <c r="BK34" s="1063">
        <f t="shared" si="19"/>
        <v>0</v>
      </c>
      <c r="BL34" s="1063">
        <f t="shared" si="20"/>
        <v>0</v>
      </c>
      <c r="BM34" s="1063">
        <f t="shared" si="21"/>
        <v>0</v>
      </c>
      <c r="BN34" s="1064">
        <f t="shared" si="44"/>
        <v>0</v>
      </c>
      <c r="BO34" s="1761">
        <f t="shared" si="45"/>
        <v>0</v>
      </c>
      <c r="BP34" s="1063">
        <f t="shared" si="46"/>
        <v>0</v>
      </c>
      <c r="BQ34" s="1064">
        <f t="shared" si="22"/>
        <v>0</v>
      </c>
      <c r="BR34" s="1063">
        <f t="shared" si="23"/>
        <v>0</v>
      </c>
      <c r="BS34" s="1063">
        <f t="shared" si="47"/>
        <v>0</v>
      </c>
      <c r="BT34" s="1064">
        <f t="shared" si="24"/>
        <v>0</v>
      </c>
      <c r="BU34" s="1064">
        <f t="shared" si="25"/>
        <v>0</v>
      </c>
      <c r="BV34" s="1064">
        <f t="shared" si="48"/>
        <v>0</v>
      </c>
      <c r="BW34" s="1066">
        <f t="shared" si="49"/>
        <v>0</v>
      </c>
      <c r="BX34" s="1063">
        <f>(BI34*Pricing!F$2+BJ34*Pricing!G$2+BK34*Pricing!H$2+BL34*Pricing!I$2+BM34*Pricing!J$2+BN34*Pricing!K$2)*IF(AC$63="N",(1+AE$63),1)</f>
        <v>0</v>
      </c>
      <c r="BY34" s="1063">
        <f t="shared" si="50"/>
        <v>0</v>
      </c>
      <c r="BZ34" s="1063">
        <f t="shared" si="51"/>
        <v>0</v>
      </c>
      <c r="CA34" s="1063">
        <f t="shared" si="52"/>
        <v>0</v>
      </c>
      <c r="CB34" s="1067">
        <f t="shared" si="53"/>
        <v>0</v>
      </c>
      <c r="CD34" s="702">
        <f t="shared" si="54"/>
        <v>0</v>
      </c>
      <c r="CE34" s="1063">
        <f t="shared" si="26"/>
        <v>0</v>
      </c>
      <c r="CF34" s="1063">
        <f t="shared" si="27"/>
        <v>0</v>
      </c>
      <c r="CG34" s="1063">
        <f t="shared" si="28"/>
        <v>0</v>
      </c>
      <c r="CH34" s="702">
        <f t="shared" si="29"/>
        <v>0</v>
      </c>
      <c r="CI34" s="1063">
        <f t="shared" si="30"/>
        <v>0</v>
      </c>
      <c r="CJ34" s="702">
        <f t="shared" si="31"/>
        <v>0</v>
      </c>
      <c r="CK34" s="1063">
        <f t="shared" si="32"/>
        <v>0</v>
      </c>
      <c r="CL34" s="704">
        <f t="shared" si="33"/>
        <v>0</v>
      </c>
      <c r="CM34" s="702">
        <f t="shared" si="34"/>
        <v>0</v>
      </c>
      <c r="CO34" s="1061">
        <f t="shared" si="55"/>
        <v>0</v>
      </c>
      <c r="CP34" s="702">
        <f t="shared" si="56"/>
        <v>0</v>
      </c>
      <c r="CQ34" s="702">
        <f t="shared" si="57"/>
        <v>0</v>
      </c>
      <c r="CR34" s="702">
        <f t="shared" si="63"/>
        <v>0</v>
      </c>
      <c r="CS34" s="702">
        <f t="shared" si="58"/>
        <v>0</v>
      </c>
      <c r="CT34" s="702">
        <f t="shared" si="59"/>
        <v>0</v>
      </c>
      <c r="CU34" s="702">
        <f t="shared" si="60"/>
        <v>0</v>
      </c>
      <c r="CV34" s="1068">
        <f t="shared" si="35"/>
        <v>0</v>
      </c>
      <c r="CW34" s="1064">
        <f t="shared" si="61"/>
        <v>0</v>
      </c>
      <c r="FX34" s="701"/>
      <c r="FY34" s="701"/>
      <c r="FZ34" s="701"/>
      <c r="GA34" s="701"/>
      <c r="GB34" s="701"/>
      <c r="GC34" s="701"/>
      <c r="GD34" s="701"/>
      <c r="GE34" s="701"/>
      <c r="GF34" s="701"/>
      <c r="GG34" s="701"/>
      <c r="GH34" s="701"/>
      <c r="GI34" s="701"/>
      <c r="GJ34" s="701"/>
      <c r="GK34" s="701"/>
      <c r="GL34" s="701"/>
      <c r="GM34" s="701"/>
      <c r="GN34" s="701"/>
      <c r="GO34" s="701"/>
      <c r="GP34" s="701"/>
      <c r="GQ34" s="701"/>
      <c r="GR34" s="701"/>
      <c r="GS34" s="701"/>
      <c r="GT34" s="701"/>
      <c r="GU34" s="701"/>
      <c r="GV34" s="701"/>
      <c r="GW34" s="701"/>
      <c r="GX34" s="701"/>
      <c r="GY34" s="701"/>
      <c r="GZ34" s="701"/>
      <c r="HA34" s="701"/>
      <c r="HB34" s="701"/>
      <c r="HC34" s="701"/>
      <c r="HD34" s="701"/>
      <c r="HE34" s="701"/>
      <c r="HF34" s="701"/>
      <c r="HG34" s="701"/>
      <c r="HH34" s="701"/>
      <c r="HI34" s="701"/>
      <c r="HJ34" s="701"/>
      <c r="HK34" s="701"/>
      <c r="HL34" s="701"/>
      <c r="HM34" s="701"/>
      <c r="HN34" s="701"/>
      <c r="HO34" s="701"/>
      <c r="HP34" s="701"/>
      <c r="HQ34" s="701"/>
      <c r="HR34" s="701"/>
      <c r="HS34" s="701"/>
      <c r="HT34" s="701"/>
      <c r="HU34" s="701"/>
      <c r="HV34" s="701"/>
      <c r="HW34" s="701"/>
      <c r="HX34" s="701"/>
      <c r="HY34" s="701"/>
      <c r="HZ34" s="701"/>
      <c r="IA34" s="701"/>
    </row>
    <row r="35" spans="2:235" s="702" customFormat="1" ht="20.149999999999999" customHeight="1" x14ac:dyDescent="0.35">
      <c r="B35" s="193"/>
      <c r="C35" s="393"/>
      <c r="D35" s="1985"/>
      <c r="E35" s="1986"/>
      <c r="F35" s="127"/>
      <c r="G35" s="777"/>
      <c r="H35" s="214"/>
      <c r="I35" s="779"/>
      <c r="J35" s="127"/>
      <c r="K35" s="781"/>
      <c r="L35" s="30"/>
      <c r="M35" s="121"/>
      <c r="N35" s="394"/>
      <c r="O35" s="205"/>
      <c r="P35" s="30"/>
      <c r="Q35" s="264"/>
      <c r="R35" s="266"/>
      <c r="S35" s="176">
        <v>1</v>
      </c>
      <c r="T35" s="555">
        <f t="shared" si="64"/>
        <v>0</v>
      </c>
      <c r="U35" s="31">
        <v>2</v>
      </c>
      <c r="V35" s="531"/>
      <c r="W35" s="30"/>
      <c r="X35" s="377"/>
      <c r="Y35" s="30"/>
      <c r="Z35" s="377"/>
      <c r="AA35" s="178"/>
      <c r="AB35" s="279"/>
      <c r="AC35" s="1380">
        <f t="shared" si="65"/>
        <v>0</v>
      </c>
      <c r="AD35" s="906">
        <f t="shared" si="66"/>
        <v>0</v>
      </c>
      <c r="AE35" s="794">
        <f t="shared" si="37"/>
        <v>0</v>
      </c>
      <c r="AF35" s="282">
        <f>SUM(BW35)*(1+M$64+Summary!P$64)</f>
        <v>0</v>
      </c>
      <c r="AG35" s="632" t="e">
        <f t="shared" si="1"/>
        <v>#DIV/0!</v>
      </c>
      <c r="AH35" s="1758">
        <f t="shared" si="38"/>
        <v>0</v>
      </c>
      <c r="AI35" s="769"/>
      <c r="AO35" s="702">
        <f t="shared" si="2"/>
        <v>0</v>
      </c>
      <c r="AP35" s="702">
        <f t="shared" si="39"/>
        <v>0</v>
      </c>
      <c r="AQ35" s="702">
        <f t="shared" si="3"/>
        <v>0</v>
      </c>
      <c r="AR35" s="702">
        <f t="shared" si="4"/>
        <v>0</v>
      </c>
      <c r="AS35" s="702">
        <f t="shared" si="5"/>
        <v>0</v>
      </c>
      <c r="AT35" s="702">
        <f t="shared" si="6"/>
        <v>0</v>
      </c>
      <c r="AU35" s="702">
        <f t="shared" si="7"/>
        <v>0</v>
      </c>
      <c r="AV35" s="1063">
        <f t="shared" si="40"/>
        <v>0</v>
      </c>
      <c r="AW35" s="1063">
        <f t="shared" si="8"/>
        <v>0</v>
      </c>
      <c r="AX35" s="702">
        <f t="shared" si="41"/>
        <v>0</v>
      </c>
      <c r="AY35" s="702">
        <f t="shared" si="9"/>
        <v>0</v>
      </c>
      <c r="AZ35" s="702">
        <f t="shared" si="10"/>
        <v>0</v>
      </c>
      <c r="BA35" s="702">
        <f t="shared" si="11"/>
        <v>0</v>
      </c>
      <c r="BB35" s="702">
        <f t="shared" si="12"/>
        <v>0</v>
      </c>
      <c r="BC35" s="702">
        <f t="shared" si="13"/>
        <v>0</v>
      </c>
      <c r="BD35" s="1063">
        <f t="shared" si="42"/>
        <v>0</v>
      </c>
      <c r="BE35" s="1064">
        <f t="shared" si="14"/>
        <v>0</v>
      </c>
      <c r="BF35" s="1063">
        <f t="shared" si="15"/>
        <v>0</v>
      </c>
      <c r="BG35" s="1065">
        <f t="shared" si="16"/>
        <v>0</v>
      </c>
      <c r="BH35" s="702">
        <f t="shared" si="17"/>
        <v>0</v>
      </c>
      <c r="BI35" s="1063">
        <f t="shared" si="43"/>
        <v>0</v>
      </c>
      <c r="BJ35" s="1063">
        <f t="shared" si="18"/>
        <v>0</v>
      </c>
      <c r="BK35" s="1063">
        <f t="shared" si="19"/>
        <v>0</v>
      </c>
      <c r="BL35" s="1063">
        <f t="shared" si="20"/>
        <v>0</v>
      </c>
      <c r="BM35" s="1063">
        <f t="shared" si="21"/>
        <v>0</v>
      </c>
      <c r="BN35" s="1064">
        <f t="shared" si="44"/>
        <v>0</v>
      </c>
      <c r="BO35" s="1761">
        <f t="shared" si="45"/>
        <v>0</v>
      </c>
      <c r="BP35" s="1063">
        <f t="shared" si="46"/>
        <v>0</v>
      </c>
      <c r="BQ35" s="1064">
        <f t="shared" si="22"/>
        <v>0</v>
      </c>
      <c r="BR35" s="1063">
        <f t="shared" si="23"/>
        <v>0</v>
      </c>
      <c r="BS35" s="1063">
        <f t="shared" si="47"/>
        <v>0</v>
      </c>
      <c r="BT35" s="1064">
        <f t="shared" si="24"/>
        <v>0</v>
      </c>
      <c r="BU35" s="1064">
        <f t="shared" si="25"/>
        <v>0</v>
      </c>
      <c r="BV35" s="1064">
        <f t="shared" si="48"/>
        <v>0</v>
      </c>
      <c r="BW35" s="1066">
        <f t="shared" si="49"/>
        <v>0</v>
      </c>
      <c r="BX35" s="1063">
        <f>(BI35*Pricing!F$2+BJ35*Pricing!G$2+BK35*Pricing!H$2+BL35*Pricing!I$2+BM35*Pricing!J$2+BN35*Pricing!K$2)*IF(AC$63="N",(1+AE$63),1)</f>
        <v>0</v>
      </c>
      <c r="BY35" s="1063">
        <f t="shared" si="50"/>
        <v>0</v>
      </c>
      <c r="BZ35" s="1063">
        <f t="shared" si="51"/>
        <v>0</v>
      </c>
      <c r="CA35" s="1063">
        <f t="shared" si="52"/>
        <v>0</v>
      </c>
      <c r="CB35" s="1067">
        <f t="shared" si="53"/>
        <v>0</v>
      </c>
      <c r="CD35" s="702">
        <f t="shared" si="54"/>
        <v>0</v>
      </c>
      <c r="CE35" s="1063">
        <f t="shared" si="26"/>
        <v>0</v>
      </c>
      <c r="CF35" s="1063">
        <f t="shared" si="27"/>
        <v>0</v>
      </c>
      <c r="CG35" s="1063">
        <f t="shared" si="28"/>
        <v>0</v>
      </c>
      <c r="CH35" s="702">
        <f t="shared" si="29"/>
        <v>0</v>
      </c>
      <c r="CI35" s="1063">
        <f t="shared" si="30"/>
        <v>0</v>
      </c>
      <c r="CJ35" s="702">
        <f t="shared" si="31"/>
        <v>0</v>
      </c>
      <c r="CK35" s="1063">
        <f t="shared" si="32"/>
        <v>0</v>
      </c>
      <c r="CL35" s="704">
        <f t="shared" si="33"/>
        <v>0</v>
      </c>
      <c r="CM35" s="702">
        <f t="shared" si="34"/>
        <v>0</v>
      </c>
      <c r="CO35" s="1061">
        <f t="shared" si="55"/>
        <v>0</v>
      </c>
      <c r="CP35" s="702">
        <f t="shared" si="56"/>
        <v>0</v>
      </c>
      <c r="CQ35" s="702">
        <f t="shared" si="57"/>
        <v>0</v>
      </c>
      <c r="CR35" s="702">
        <f t="shared" si="63"/>
        <v>0</v>
      </c>
      <c r="CS35" s="702">
        <f t="shared" si="58"/>
        <v>0</v>
      </c>
      <c r="CT35" s="702">
        <f t="shared" si="59"/>
        <v>0</v>
      </c>
      <c r="CU35" s="702">
        <f t="shared" si="60"/>
        <v>0</v>
      </c>
      <c r="CV35" s="1068">
        <f t="shared" si="35"/>
        <v>0</v>
      </c>
      <c r="CW35" s="1064">
        <f t="shared" si="61"/>
        <v>0</v>
      </c>
      <c r="FX35" s="701"/>
      <c r="FY35" s="701"/>
      <c r="FZ35" s="701"/>
      <c r="GA35" s="701"/>
      <c r="GB35" s="701"/>
      <c r="GC35" s="701"/>
      <c r="GD35" s="701"/>
      <c r="GE35" s="701"/>
      <c r="GF35" s="701"/>
      <c r="GG35" s="701"/>
      <c r="GH35" s="701"/>
      <c r="GI35" s="701"/>
      <c r="GJ35" s="701"/>
      <c r="GK35" s="701"/>
      <c r="GL35" s="701"/>
      <c r="GM35" s="701"/>
      <c r="GN35" s="701"/>
      <c r="GO35" s="701"/>
      <c r="GP35" s="701"/>
      <c r="GQ35" s="701"/>
      <c r="GR35" s="701"/>
      <c r="GS35" s="701"/>
      <c r="GT35" s="701"/>
      <c r="GU35" s="701"/>
      <c r="GV35" s="701"/>
      <c r="GW35" s="701"/>
      <c r="GX35" s="701"/>
      <c r="GY35" s="701"/>
      <c r="GZ35" s="701"/>
      <c r="HA35" s="701"/>
      <c r="HB35" s="701"/>
      <c r="HC35" s="701"/>
      <c r="HD35" s="701"/>
      <c r="HE35" s="701"/>
      <c r="HF35" s="701"/>
      <c r="HG35" s="701"/>
      <c r="HH35" s="701"/>
      <c r="HI35" s="701"/>
      <c r="HJ35" s="701"/>
      <c r="HK35" s="701"/>
      <c r="HL35" s="701"/>
      <c r="HM35" s="701"/>
      <c r="HN35" s="701"/>
      <c r="HO35" s="701"/>
      <c r="HP35" s="701"/>
      <c r="HQ35" s="701"/>
      <c r="HR35" s="701"/>
      <c r="HS35" s="701"/>
      <c r="HT35" s="701"/>
      <c r="HU35" s="701"/>
      <c r="HV35" s="701"/>
      <c r="HW35" s="701"/>
      <c r="HX35" s="701"/>
      <c r="HY35" s="701"/>
      <c r="HZ35" s="701"/>
      <c r="IA35" s="701"/>
    </row>
    <row r="36" spans="2:235" s="702" customFormat="1" ht="20.149999999999999" customHeight="1" x14ac:dyDescent="0.35">
      <c r="B36" s="395"/>
      <c r="C36" s="396"/>
      <c r="D36" s="1991"/>
      <c r="E36" s="1992"/>
      <c r="F36" s="97"/>
      <c r="G36" s="777"/>
      <c r="H36" s="97"/>
      <c r="I36" s="779"/>
      <c r="J36" s="97"/>
      <c r="K36" s="781"/>
      <c r="L36" s="32"/>
      <c r="M36" s="211"/>
      <c r="N36" s="397"/>
      <c r="O36" s="212"/>
      <c r="P36" s="32"/>
      <c r="Q36" s="810"/>
      <c r="R36" s="722"/>
      <c r="S36" s="180">
        <v>1</v>
      </c>
      <c r="T36" s="554">
        <f t="shared" si="64"/>
        <v>0</v>
      </c>
      <c r="U36" s="32">
        <v>2</v>
      </c>
      <c r="V36" s="371"/>
      <c r="W36" s="32"/>
      <c r="X36" s="371"/>
      <c r="Y36" s="32"/>
      <c r="Z36" s="371"/>
      <c r="AA36" s="180"/>
      <c r="AB36" s="280"/>
      <c r="AC36" s="1380">
        <f t="shared" si="65"/>
        <v>0</v>
      </c>
      <c r="AD36" s="906">
        <f t="shared" si="66"/>
        <v>0</v>
      </c>
      <c r="AE36" s="794">
        <f t="shared" si="37"/>
        <v>0</v>
      </c>
      <c r="AF36" s="282">
        <f>SUM(BW36)*(1+M$64+Summary!P$64)</f>
        <v>0</v>
      </c>
      <c r="AG36" s="632" t="e">
        <f t="shared" si="1"/>
        <v>#DIV/0!</v>
      </c>
      <c r="AH36" s="1758">
        <f t="shared" si="38"/>
        <v>0</v>
      </c>
      <c r="AI36" s="769"/>
      <c r="AO36" s="702">
        <f t="shared" si="2"/>
        <v>0</v>
      </c>
      <c r="AP36" s="702">
        <f t="shared" si="39"/>
        <v>0</v>
      </c>
      <c r="AQ36" s="702">
        <f t="shared" si="3"/>
        <v>0</v>
      </c>
      <c r="AR36" s="702">
        <f t="shared" si="4"/>
        <v>0</v>
      </c>
      <c r="AS36" s="702">
        <f t="shared" si="5"/>
        <v>0</v>
      </c>
      <c r="AT36" s="702">
        <f t="shared" si="6"/>
        <v>0</v>
      </c>
      <c r="AU36" s="702">
        <f t="shared" si="7"/>
        <v>0</v>
      </c>
      <c r="AV36" s="1063">
        <f t="shared" si="40"/>
        <v>0</v>
      </c>
      <c r="AW36" s="1063">
        <f t="shared" si="8"/>
        <v>0</v>
      </c>
      <c r="AX36" s="702">
        <f t="shared" si="41"/>
        <v>0</v>
      </c>
      <c r="AY36" s="702">
        <f t="shared" si="9"/>
        <v>0</v>
      </c>
      <c r="AZ36" s="702">
        <f t="shared" si="10"/>
        <v>0</v>
      </c>
      <c r="BA36" s="702">
        <f t="shared" si="11"/>
        <v>0</v>
      </c>
      <c r="BB36" s="702">
        <f t="shared" si="12"/>
        <v>0</v>
      </c>
      <c r="BC36" s="702">
        <f t="shared" si="13"/>
        <v>0</v>
      </c>
      <c r="BD36" s="1063">
        <f t="shared" si="42"/>
        <v>0</v>
      </c>
      <c r="BE36" s="1064">
        <f t="shared" si="14"/>
        <v>0</v>
      </c>
      <c r="BF36" s="1063">
        <f t="shared" si="15"/>
        <v>0</v>
      </c>
      <c r="BG36" s="1065">
        <f t="shared" si="16"/>
        <v>0</v>
      </c>
      <c r="BH36" s="702">
        <f t="shared" si="17"/>
        <v>0</v>
      </c>
      <c r="BI36" s="1063">
        <f t="shared" si="43"/>
        <v>0</v>
      </c>
      <c r="BJ36" s="1063">
        <f t="shared" si="18"/>
        <v>0</v>
      </c>
      <c r="BK36" s="1063">
        <f t="shared" si="19"/>
        <v>0</v>
      </c>
      <c r="BL36" s="1063">
        <f t="shared" si="20"/>
        <v>0</v>
      </c>
      <c r="BM36" s="1063">
        <f t="shared" si="21"/>
        <v>0</v>
      </c>
      <c r="BN36" s="1064">
        <f t="shared" si="44"/>
        <v>0</v>
      </c>
      <c r="BO36" s="1761">
        <f t="shared" si="45"/>
        <v>0</v>
      </c>
      <c r="BP36" s="1063">
        <f t="shared" si="46"/>
        <v>0</v>
      </c>
      <c r="BQ36" s="1064">
        <f t="shared" si="22"/>
        <v>0</v>
      </c>
      <c r="BR36" s="1063">
        <f t="shared" si="23"/>
        <v>0</v>
      </c>
      <c r="BS36" s="1063">
        <f t="shared" si="47"/>
        <v>0</v>
      </c>
      <c r="BT36" s="1064">
        <f t="shared" si="24"/>
        <v>0</v>
      </c>
      <c r="BU36" s="1064">
        <f t="shared" si="25"/>
        <v>0</v>
      </c>
      <c r="BV36" s="1064">
        <f t="shared" si="48"/>
        <v>0</v>
      </c>
      <c r="BW36" s="1066">
        <f t="shared" si="49"/>
        <v>0</v>
      </c>
      <c r="BX36" s="1063">
        <f>(BI36*Pricing!F$2+BJ36*Pricing!G$2+BK36*Pricing!H$2+BL36*Pricing!I$2+BM36*Pricing!J$2+BN36*Pricing!K$2)*IF(AC$63="N",(1+AE$63),1)</f>
        <v>0</v>
      </c>
      <c r="BY36" s="1063">
        <f t="shared" si="50"/>
        <v>0</v>
      </c>
      <c r="BZ36" s="1063">
        <f t="shared" si="51"/>
        <v>0</v>
      </c>
      <c r="CA36" s="1063">
        <f t="shared" si="52"/>
        <v>0</v>
      </c>
      <c r="CB36" s="1067">
        <f t="shared" si="53"/>
        <v>0</v>
      </c>
      <c r="CD36" s="702">
        <f t="shared" si="54"/>
        <v>0</v>
      </c>
      <c r="CE36" s="1063">
        <f t="shared" si="26"/>
        <v>0</v>
      </c>
      <c r="CF36" s="1063">
        <f t="shared" si="27"/>
        <v>0</v>
      </c>
      <c r="CG36" s="1063">
        <f t="shared" si="28"/>
        <v>0</v>
      </c>
      <c r="CH36" s="702">
        <f t="shared" si="29"/>
        <v>0</v>
      </c>
      <c r="CI36" s="1063">
        <f t="shared" si="30"/>
        <v>0</v>
      </c>
      <c r="CJ36" s="702">
        <f t="shared" si="31"/>
        <v>0</v>
      </c>
      <c r="CK36" s="1063">
        <f t="shared" si="32"/>
        <v>0</v>
      </c>
      <c r="CL36" s="704">
        <f t="shared" si="33"/>
        <v>0</v>
      </c>
      <c r="CM36" s="702">
        <f t="shared" si="34"/>
        <v>0</v>
      </c>
      <c r="CO36" s="1061">
        <f t="shared" si="55"/>
        <v>0</v>
      </c>
      <c r="CP36" s="702">
        <f t="shared" si="56"/>
        <v>0</v>
      </c>
      <c r="CQ36" s="702">
        <f t="shared" si="57"/>
        <v>0</v>
      </c>
      <c r="CR36" s="702">
        <f t="shared" si="63"/>
        <v>0</v>
      </c>
      <c r="CS36" s="702">
        <f t="shared" si="58"/>
        <v>0</v>
      </c>
      <c r="CT36" s="702">
        <f t="shared" si="59"/>
        <v>0</v>
      </c>
      <c r="CU36" s="702">
        <f t="shared" si="60"/>
        <v>0</v>
      </c>
      <c r="CV36" s="1068">
        <f t="shared" si="35"/>
        <v>0</v>
      </c>
      <c r="CW36" s="1064">
        <f t="shared" si="61"/>
        <v>0</v>
      </c>
      <c r="FX36" s="701"/>
      <c r="FY36" s="701"/>
      <c r="FZ36" s="701"/>
      <c r="GA36" s="701"/>
      <c r="GB36" s="701"/>
      <c r="GC36" s="701"/>
      <c r="GD36" s="701"/>
      <c r="GE36" s="701"/>
      <c r="GF36" s="701"/>
      <c r="GG36" s="701"/>
      <c r="GH36" s="701"/>
      <c r="GI36" s="701"/>
      <c r="GJ36" s="701"/>
      <c r="GK36" s="701"/>
      <c r="GL36" s="701"/>
      <c r="GM36" s="701"/>
      <c r="GN36" s="701"/>
      <c r="GO36" s="701"/>
      <c r="GP36" s="701"/>
      <c r="GQ36" s="701"/>
      <c r="GR36" s="701"/>
      <c r="GS36" s="701"/>
      <c r="GT36" s="701"/>
      <c r="GU36" s="701"/>
      <c r="GV36" s="701"/>
      <c r="GW36" s="701"/>
      <c r="GX36" s="701"/>
      <c r="GY36" s="701"/>
      <c r="GZ36" s="701"/>
      <c r="HA36" s="701"/>
      <c r="HB36" s="701"/>
      <c r="HC36" s="701"/>
      <c r="HD36" s="701"/>
      <c r="HE36" s="701"/>
      <c r="HF36" s="701"/>
      <c r="HG36" s="701"/>
      <c r="HH36" s="701"/>
      <c r="HI36" s="701"/>
      <c r="HJ36" s="701"/>
      <c r="HK36" s="701"/>
      <c r="HL36" s="701"/>
      <c r="HM36" s="701"/>
      <c r="HN36" s="701"/>
      <c r="HO36" s="701"/>
      <c r="HP36" s="701"/>
      <c r="HQ36" s="701"/>
      <c r="HR36" s="701"/>
      <c r="HS36" s="701"/>
      <c r="HT36" s="701"/>
      <c r="HU36" s="701"/>
      <c r="HV36" s="701"/>
      <c r="HW36" s="701"/>
      <c r="HX36" s="701"/>
      <c r="HY36" s="701"/>
      <c r="HZ36" s="701"/>
      <c r="IA36" s="701"/>
    </row>
    <row r="37" spans="2:235" s="702" customFormat="1" ht="20.149999999999999" customHeight="1" x14ac:dyDescent="0.35">
      <c r="B37" s="193"/>
      <c r="C37" s="396"/>
      <c r="D37" s="1985"/>
      <c r="E37" s="1986"/>
      <c r="F37" s="127"/>
      <c r="G37" s="777"/>
      <c r="H37" s="214"/>
      <c r="I37" s="779"/>
      <c r="J37" s="127"/>
      <c r="K37" s="781"/>
      <c r="L37" s="30"/>
      <c r="M37" s="121"/>
      <c r="N37" s="394"/>
      <c r="O37" s="205"/>
      <c r="P37" s="30"/>
      <c r="Q37" s="264"/>
      <c r="R37" s="266"/>
      <c r="S37" s="176">
        <v>1</v>
      </c>
      <c r="T37" s="555">
        <f t="shared" si="64"/>
        <v>0</v>
      </c>
      <c r="U37" s="31">
        <v>2</v>
      </c>
      <c r="V37" s="531"/>
      <c r="W37" s="31"/>
      <c r="X37" s="372"/>
      <c r="Y37" s="31"/>
      <c r="Z37" s="372"/>
      <c r="AA37" s="178"/>
      <c r="AB37" s="279"/>
      <c r="AC37" s="1380">
        <f t="shared" si="65"/>
        <v>0</v>
      </c>
      <c r="AD37" s="906">
        <f t="shared" si="66"/>
        <v>0</v>
      </c>
      <c r="AE37" s="794">
        <f t="shared" si="37"/>
        <v>0</v>
      </c>
      <c r="AF37" s="282">
        <f>SUM(BW37)*(1+M$64+Summary!P$64)</f>
        <v>0</v>
      </c>
      <c r="AG37" s="632" t="e">
        <f t="shared" si="1"/>
        <v>#DIV/0!</v>
      </c>
      <c r="AH37" s="1758">
        <f t="shared" si="38"/>
        <v>0</v>
      </c>
      <c r="AI37" s="769"/>
      <c r="AO37" s="702">
        <f t="shared" si="2"/>
        <v>0</v>
      </c>
      <c r="AP37" s="702">
        <f t="shared" si="39"/>
        <v>0</v>
      </c>
      <c r="AQ37" s="702">
        <f t="shared" si="3"/>
        <v>0</v>
      </c>
      <c r="AR37" s="702">
        <f t="shared" si="4"/>
        <v>0</v>
      </c>
      <c r="AS37" s="702">
        <f t="shared" si="5"/>
        <v>0</v>
      </c>
      <c r="AT37" s="702">
        <f t="shared" si="6"/>
        <v>0</v>
      </c>
      <c r="AU37" s="702">
        <f t="shared" si="7"/>
        <v>0</v>
      </c>
      <c r="AV37" s="1063">
        <f t="shared" si="40"/>
        <v>0</v>
      </c>
      <c r="AW37" s="1063">
        <f t="shared" si="8"/>
        <v>0</v>
      </c>
      <c r="AX37" s="702">
        <f t="shared" si="41"/>
        <v>0</v>
      </c>
      <c r="AY37" s="702">
        <f t="shared" si="9"/>
        <v>0</v>
      </c>
      <c r="AZ37" s="702">
        <f t="shared" si="10"/>
        <v>0</v>
      </c>
      <c r="BA37" s="702">
        <f t="shared" si="11"/>
        <v>0</v>
      </c>
      <c r="BB37" s="702">
        <f t="shared" si="12"/>
        <v>0</v>
      </c>
      <c r="BC37" s="702">
        <f t="shared" si="13"/>
        <v>0</v>
      </c>
      <c r="BD37" s="1063">
        <f t="shared" si="42"/>
        <v>0</v>
      </c>
      <c r="BE37" s="1064">
        <f t="shared" si="14"/>
        <v>0</v>
      </c>
      <c r="BF37" s="1063">
        <f t="shared" si="15"/>
        <v>0</v>
      </c>
      <c r="BG37" s="1065">
        <f t="shared" si="16"/>
        <v>0</v>
      </c>
      <c r="BH37" s="702">
        <f t="shared" si="17"/>
        <v>0</v>
      </c>
      <c r="BI37" s="1063">
        <f t="shared" si="43"/>
        <v>0</v>
      </c>
      <c r="BJ37" s="1063">
        <f t="shared" si="18"/>
        <v>0</v>
      </c>
      <c r="BK37" s="1063">
        <f t="shared" si="19"/>
        <v>0</v>
      </c>
      <c r="BL37" s="1063">
        <f t="shared" si="20"/>
        <v>0</v>
      </c>
      <c r="BM37" s="1063">
        <f t="shared" si="21"/>
        <v>0</v>
      </c>
      <c r="BN37" s="1064">
        <f t="shared" si="44"/>
        <v>0</v>
      </c>
      <c r="BO37" s="1761">
        <f t="shared" si="45"/>
        <v>0</v>
      </c>
      <c r="BP37" s="1063">
        <f t="shared" si="46"/>
        <v>0</v>
      </c>
      <c r="BQ37" s="1064">
        <f t="shared" si="22"/>
        <v>0</v>
      </c>
      <c r="BR37" s="1063">
        <f t="shared" si="23"/>
        <v>0</v>
      </c>
      <c r="BS37" s="1063">
        <f t="shared" si="47"/>
        <v>0</v>
      </c>
      <c r="BT37" s="1064">
        <f t="shared" si="24"/>
        <v>0</v>
      </c>
      <c r="BU37" s="1064">
        <f t="shared" si="25"/>
        <v>0</v>
      </c>
      <c r="BV37" s="1064">
        <f t="shared" si="48"/>
        <v>0</v>
      </c>
      <c r="BW37" s="1066">
        <f t="shared" si="49"/>
        <v>0</v>
      </c>
      <c r="BX37" s="1063">
        <f>(BI37*Pricing!F$2+BJ37*Pricing!G$2+BK37*Pricing!H$2+BL37*Pricing!I$2+BM37*Pricing!J$2+BN37*Pricing!K$2)*IF(AC$63="N",(1+AE$63),1)</f>
        <v>0</v>
      </c>
      <c r="BY37" s="1063">
        <f t="shared" si="50"/>
        <v>0</v>
      </c>
      <c r="BZ37" s="1063">
        <f t="shared" si="51"/>
        <v>0</v>
      </c>
      <c r="CA37" s="1063">
        <f t="shared" si="52"/>
        <v>0</v>
      </c>
      <c r="CB37" s="1067">
        <f t="shared" si="53"/>
        <v>0</v>
      </c>
      <c r="CD37" s="702">
        <f t="shared" si="54"/>
        <v>0</v>
      </c>
      <c r="CE37" s="1063">
        <f t="shared" si="26"/>
        <v>0</v>
      </c>
      <c r="CF37" s="1063">
        <f t="shared" si="27"/>
        <v>0</v>
      </c>
      <c r="CG37" s="1063">
        <f t="shared" si="28"/>
        <v>0</v>
      </c>
      <c r="CH37" s="702">
        <f t="shared" si="29"/>
        <v>0</v>
      </c>
      <c r="CI37" s="1063">
        <f t="shared" si="30"/>
        <v>0</v>
      </c>
      <c r="CJ37" s="702">
        <f t="shared" si="31"/>
        <v>0</v>
      </c>
      <c r="CK37" s="1063">
        <f t="shared" si="32"/>
        <v>0</v>
      </c>
      <c r="CL37" s="704">
        <f t="shared" si="33"/>
        <v>0</v>
      </c>
      <c r="CM37" s="702">
        <f t="shared" si="34"/>
        <v>0</v>
      </c>
      <c r="CO37" s="1061">
        <f t="shared" si="55"/>
        <v>0</v>
      </c>
      <c r="CP37" s="702">
        <f t="shared" si="56"/>
        <v>0</v>
      </c>
      <c r="CQ37" s="702">
        <f t="shared" si="57"/>
        <v>0</v>
      </c>
      <c r="CR37" s="702">
        <f t="shared" si="63"/>
        <v>0</v>
      </c>
      <c r="CS37" s="702">
        <f t="shared" si="58"/>
        <v>0</v>
      </c>
      <c r="CT37" s="702">
        <f t="shared" si="59"/>
        <v>0</v>
      </c>
      <c r="CU37" s="702">
        <f t="shared" si="60"/>
        <v>0</v>
      </c>
      <c r="CV37" s="1068">
        <f t="shared" si="35"/>
        <v>0</v>
      </c>
      <c r="CW37" s="1064">
        <f t="shared" si="61"/>
        <v>0</v>
      </c>
      <c r="FX37" s="701"/>
      <c r="FY37" s="701"/>
      <c r="FZ37" s="701"/>
      <c r="GA37" s="701"/>
      <c r="GB37" s="701"/>
      <c r="GC37" s="701"/>
      <c r="GD37" s="701"/>
      <c r="GE37" s="701"/>
      <c r="GF37" s="701"/>
      <c r="GG37" s="701"/>
      <c r="GH37" s="701"/>
      <c r="GI37" s="701"/>
      <c r="GJ37" s="701"/>
      <c r="GK37" s="701"/>
      <c r="GL37" s="701"/>
      <c r="GM37" s="701"/>
      <c r="GN37" s="701"/>
      <c r="GO37" s="701"/>
      <c r="GP37" s="701"/>
      <c r="GQ37" s="701"/>
      <c r="GR37" s="701"/>
      <c r="GS37" s="701"/>
      <c r="GT37" s="701"/>
      <c r="GU37" s="701"/>
      <c r="GV37" s="701"/>
      <c r="GW37" s="701"/>
      <c r="GX37" s="701"/>
      <c r="GY37" s="701"/>
      <c r="GZ37" s="701"/>
      <c r="HA37" s="701"/>
      <c r="HB37" s="701"/>
      <c r="HC37" s="701"/>
      <c r="HD37" s="701"/>
      <c r="HE37" s="701"/>
      <c r="HF37" s="701"/>
      <c r="HG37" s="701"/>
      <c r="HH37" s="701"/>
      <c r="HI37" s="701"/>
      <c r="HJ37" s="701"/>
      <c r="HK37" s="701"/>
      <c r="HL37" s="701"/>
      <c r="HM37" s="701"/>
      <c r="HN37" s="701"/>
      <c r="HO37" s="701"/>
      <c r="HP37" s="701"/>
      <c r="HQ37" s="701"/>
      <c r="HR37" s="701"/>
      <c r="HS37" s="701"/>
      <c r="HT37" s="701"/>
      <c r="HU37" s="701"/>
      <c r="HV37" s="701"/>
      <c r="HW37" s="701"/>
      <c r="HX37" s="701"/>
      <c r="HY37" s="701"/>
      <c r="HZ37" s="701"/>
      <c r="IA37" s="701"/>
    </row>
    <row r="38" spans="2:235" s="702" customFormat="1" ht="20.149999999999999" customHeight="1" x14ac:dyDescent="0.35">
      <c r="B38" s="395"/>
      <c r="C38" s="396"/>
      <c r="D38" s="1991"/>
      <c r="E38" s="1992"/>
      <c r="F38" s="97"/>
      <c r="G38" s="777"/>
      <c r="H38" s="97"/>
      <c r="I38" s="779"/>
      <c r="J38" s="97"/>
      <c r="K38" s="781"/>
      <c r="L38" s="32"/>
      <c r="M38" s="211"/>
      <c r="N38" s="397"/>
      <c r="O38" s="212"/>
      <c r="P38" s="32"/>
      <c r="Q38" s="810"/>
      <c r="R38" s="722"/>
      <c r="S38" s="180">
        <v>1</v>
      </c>
      <c r="T38" s="554">
        <f t="shared" si="64"/>
        <v>0</v>
      </c>
      <c r="U38" s="32">
        <v>2</v>
      </c>
      <c r="V38" s="371"/>
      <c r="W38" s="32"/>
      <c r="X38" s="371"/>
      <c r="Y38" s="32"/>
      <c r="Z38" s="371"/>
      <c r="AA38" s="180"/>
      <c r="AB38" s="280"/>
      <c r="AC38" s="1380">
        <f t="shared" si="65"/>
        <v>0</v>
      </c>
      <c r="AD38" s="906">
        <f t="shared" si="66"/>
        <v>0</v>
      </c>
      <c r="AE38" s="794">
        <f t="shared" si="37"/>
        <v>0</v>
      </c>
      <c r="AF38" s="282">
        <f>SUM(BW38)*(1+M$64+Summary!P$64)</f>
        <v>0</v>
      </c>
      <c r="AG38" s="632" t="e">
        <f t="shared" si="1"/>
        <v>#DIV/0!</v>
      </c>
      <c r="AH38" s="1758">
        <f t="shared" si="38"/>
        <v>0</v>
      </c>
      <c r="AI38" s="769"/>
      <c r="AO38" s="702">
        <f t="shared" si="2"/>
        <v>0</v>
      </c>
      <c r="AP38" s="702">
        <f t="shared" si="39"/>
        <v>0</v>
      </c>
      <c r="AQ38" s="702">
        <f t="shared" si="3"/>
        <v>0</v>
      </c>
      <c r="AR38" s="702">
        <f t="shared" si="4"/>
        <v>0</v>
      </c>
      <c r="AS38" s="702">
        <f t="shared" si="5"/>
        <v>0</v>
      </c>
      <c r="AT38" s="702">
        <f t="shared" si="6"/>
        <v>0</v>
      </c>
      <c r="AU38" s="702">
        <f t="shared" si="7"/>
        <v>0</v>
      </c>
      <c r="AV38" s="1063">
        <f t="shared" si="40"/>
        <v>0</v>
      </c>
      <c r="AW38" s="1063">
        <f t="shared" si="8"/>
        <v>0</v>
      </c>
      <c r="AX38" s="702">
        <f t="shared" si="41"/>
        <v>0</v>
      </c>
      <c r="AY38" s="702">
        <f t="shared" si="9"/>
        <v>0</v>
      </c>
      <c r="AZ38" s="702">
        <f t="shared" si="10"/>
        <v>0</v>
      </c>
      <c r="BA38" s="702">
        <f t="shared" si="11"/>
        <v>0</v>
      </c>
      <c r="BB38" s="702">
        <f t="shared" si="12"/>
        <v>0</v>
      </c>
      <c r="BC38" s="702">
        <f t="shared" si="13"/>
        <v>0</v>
      </c>
      <c r="BD38" s="1063">
        <f t="shared" si="42"/>
        <v>0</v>
      </c>
      <c r="BE38" s="1064">
        <f t="shared" si="14"/>
        <v>0</v>
      </c>
      <c r="BF38" s="1063">
        <f t="shared" si="15"/>
        <v>0</v>
      </c>
      <c r="BG38" s="1065">
        <f t="shared" si="16"/>
        <v>0</v>
      </c>
      <c r="BH38" s="702">
        <f t="shared" si="17"/>
        <v>0</v>
      </c>
      <c r="BI38" s="1063">
        <f t="shared" si="43"/>
        <v>0</v>
      </c>
      <c r="BJ38" s="1063">
        <f t="shared" si="18"/>
        <v>0</v>
      </c>
      <c r="BK38" s="1063">
        <f t="shared" si="19"/>
        <v>0</v>
      </c>
      <c r="BL38" s="1063">
        <f t="shared" si="20"/>
        <v>0</v>
      </c>
      <c r="BM38" s="1063">
        <f t="shared" si="21"/>
        <v>0</v>
      </c>
      <c r="BN38" s="1064">
        <f t="shared" si="44"/>
        <v>0</v>
      </c>
      <c r="BO38" s="1761">
        <f t="shared" si="45"/>
        <v>0</v>
      </c>
      <c r="BP38" s="1063">
        <f t="shared" si="46"/>
        <v>0</v>
      </c>
      <c r="BQ38" s="1064">
        <f t="shared" si="22"/>
        <v>0</v>
      </c>
      <c r="BR38" s="1063">
        <f t="shared" si="23"/>
        <v>0</v>
      </c>
      <c r="BS38" s="1063">
        <f t="shared" si="47"/>
        <v>0</v>
      </c>
      <c r="BT38" s="1064">
        <f t="shared" si="24"/>
        <v>0</v>
      </c>
      <c r="BU38" s="1064">
        <f t="shared" si="25"/>
        <v>0</v>
      </c>
      <c r="BV38" s="1064">
        <f t="shared" si="48"/>
        <v>0</v>
      </c>
      <c r="BW38" s="1066">
        <f t="shared" si="49"/>
        <v>0</v>
      </c>
      <c r="BX38" s="1063">
        <f>(BI38*Pricing!F$2+BJ38*Pricing!G$2+BK38*Pricing!H$2+BL38*Pricing!I$2+BM38*Pricing!J$2+BN38*Pricing!K$2)*IF(AC$63="N",(1+AE$63),1)</f>
        <v>0</v>
      </c>
      <c r="BY38" s="1063">
        <f t="shared" si="50"/>
        <v>0</v>
      </c>
      <c r="BZ38" s="1063">
        <f t="shared" si="51"/>
        <v>0</v>
      </c>
      <c r="CA38" s="1063">
        <f t="shared" si="52"/>
        <v>0</v>
      </c>
      <c r="CB38" s="1067">
        <f t="shared" si="53"/>
        <v>0</v>
      </c>
      <c r="CD38" s="702">
        <f t="shared" si="54"/>
        <v>0</v>
      </c>
      <c r="CE38" s="1063">
        <f t="shared" si="26"/>
        <v>0</v>
      </c>
      <c r="CF38" s="1063">
        <f t="shared" si="27"/>
        <v>0</v>
      </c>
      <c r="CG38" s="1063">
        <f t="shared" si="28"/>
        <v>0</v>
      </c>
      <c r="CH38" s="702">
        <f t="shared" si="29"/>
        <v>0</v>
      </c>
      <c r="CI38" s="1063">
        <f t="shared" si="30"/>
        <v>0</v>
      </c>
      <c r="CJ38" s="702">
        <f t="shared" si="31"/>
        <v>0</v>
      </c>
      <c r="CK38" s="1063">
        <f t="shared" si="32"/>
        <v>0</v>
      </c>
      <c r="CL38" s="704">
        <f t="shared" si="33"/>
        <v>0</v>
      </c>
      <c r="CM38" s="702">
        <f t="shared" si="34"/>
        <v>0</v>
      </c>
      <c r="CO38" s="1061">
        <f t="shared" si="55"/>
        <v>0</v>
      </c>
      <c r="CP38" s="702">
        <f t="shared" si="56"/>
        <v>0</v>
      </c>
      <c r="CQ38" s="702">
        <f t="shared" si="57"/>
        <v>0</v>
      </c>
      <c r="CR38" s="702">
        <f t="shared" si="63"/>
        <v>0</v>
      </c>
      <c r="CS38" s="702">
        <f t="shared" si="58"/>
        <v>0</v>
      </c>
      <c r="CT38" s="702">
        <f t="shared" si="59"/>
        <v>0</v>
      </c>
      <c r="CU38" s="702">
        <f t="shared" si="60"/>
        <v>0</v>
      </c>
      <c r="CV38" s="1068">
        <f t="shared" si="35"/>
        <v>0</v>
      </c>
      <c r="CW38" s="1064">
        <f t="shared" si="61"/>
        <v>0</v>
      </c>
      <c r="FX38" s="701"/>
      <c r="FY38" s="701"/>
      <c r="FZ38" s="701"/>
      <c r="GA38" s="701"/>
      <c r="GB38" s="701"/>
      <c r="GC38" s="701"/>
      <c r="GD38" s="701"/>
      <c r="GE38" s="701"/>
      <c r="GF38" s="701"/>
      <c r="GG38" s="701"/>
      <c r="GH38" s="701"/>
      <c r="GI38" s="701"/>
      <c r="GJ38" s="701"/>
      <c r="GK38" s="701"/>
      <c r="GL38" s="701"/>
      <c r="GM38" s="701"/>
      <c r="GN38" s="701"/>
      <c r="GO38" s="701"/>
      <c r="GP38" s="701"/>
      <c r="GQ38" s="701"/>
      <c r="GR38" s="701"/>
      <c r="GS38" s="701"/>
      <c r="GT38" s="701"/>
      <c r="GU38" s="701"/>
      <c r="GV38" s="701"/>
      <c r="GW38" s="701"/>
      <c r="GX38" s="701"/>
      <c r="GY38" s="701"/>
      <c r="GZ38" s="701"/>
      <c r="HA38" s="701"/>
      <c r="HB38" s="701"/>
      <c r="HC38" s="701"/>
      <c r="HD38" s="701"/>
      <c r="HE38" s="701"/>
      <c r="HF38" s="701"/>
      <c r="HG38" s="701"/>
      <c r="HH38" s="701"/>
      <c r="HI38" s="701"/>
      <c r="HJ38" s="701"/>
      <c r="HK38" s="701"/>
      <c r="HL38" s="701"/>
      <c r="HM38" s="701"/>
      <c r="HN38" s="701"/>
      <c r="HO38" s="701"/>
      <c r="HP38" s="701"/>
      <c r="HQ38" s="701"/>
      <c r="HR38" s="701"/>
      <c r="HS38" s="701"/>
      <c r="HT38" s="701"/>
      <c r="HU38" s="701"/>
      <c r="HV38" s="701"/>
      <c r="HW38" s="701"/>
      <c r="HX38" s="701"/>
      <c r="HY38" s="701"/>
      <c r="HZ38" s="701"/>
      <c r="IA38" s="701"/>
    </row>
    <row r="39" spans="2:235" s="702" customFormat="1" ht="20.149999999999999" customHeight="1" x14ac:dyDescent="0.35">
      <c r="B39" s="193"/>
      <c r="C39" s="393"/>
      <c r="D39" s="1985"/>
      <c r="E39" s="1986"/>
      <c r="F39" s="127"/>
      <c r="G39" s="777"/>
      <c r="H39" s="214"/>
      <c r="I39" s="779"/>
      <c r="J39" s="127"/>
      <c r="K39" s="781"/>
      <c r="L39" s="30"/>
      <c r="M39" s="121"/>
      <c r="N39" s="394"/>
      <c r="O39" s="205"/>
      <c r="P39" s="30"/>
      <c r="Q39" s="264"/>
      <c r="R39" s="266"/>
      <c r="S39" s="176">
        <v>1</v>
      </c>
      <c r="T39" s="555">
        <f t="shared" si="64"/>
        <v>0</v>
      </c>
      <c r="U39" s="31">
        <v>2</v>
      </c>
      <c r="V39" s="531"/>
      <c r="W39" s="31"/>
      <c r="X39" s="531"/>
      <c r="Y39" s="31"/>
      <c r="Z39" s="531"/>
      <c r="AA39" s="178"/>
      <c r="AB39" s="279"/>
      <c r="AC39" s="1380">
        <f t="shared" si="65"/>
        <v>0</v>
      </c>
      <c r="AD39" s="906">
        <f t="shared" si="66"/>
        <v>0</v>
      </c>
      <c r="AE39" s="794">
        <f t="shared" si="37"/>
        <v>0</v>
      </c>
      <c r="AF39" s="282">
        <f>SUM(BW39)*(1+M$64+Summary!P$64)</f>
        <v>0</v>
      </c>
      <c r="AG39" s="632" t="e">
        <f t="shared" si="1"/>
        <v>#DIV/0!</v>
      </c>
      <c r="AH39" s="1758">
        <f t="shared" si="38"/>
        <v>0</v>
      </c>
      <c r="AI39" s="769"/>
      <c r="AO39" s="702">
        <f t="shared" si="2"/>
        <v>0</v>
      </c>
      <c r="AP39" s="702">
        <f t="shared" si="39"/>
        <v>0</v>
      </c>
      <c r="AQ39" s="702">
        <f t="shared" si="3"/>
        <v>0</v>
      </c>
      <c r="AR39" s="702">
        <f t="shared" si="4"/>
        <v>0</v>
      </c>
      <c r="AS39" s="702">
        <f t="shared" si="5"/>
        <v>0</v>
      </c>
      <c r="AT39" s="702">
        <f t="shared" si="6"/>
        <v>0</v>
      </c>
      <c r="AU39" s="702">
        <f t="shared" si="7"/>
        <v>0</v>
      </c>
      <c r="AV39" s="1063">
        <f t="shared" si="40"/>
        <v>0</v>
      </c>
      <c r="AW39" s="1063">
        <f t="shared" si="8"/>
        <v>0</v>
      </c>
      <c r="AX39" s="702">
        <f t="shared" si="41"/>
        <v>0</v>
      </c>
      <c r="AY39" s="702">
        <f t="shared" si="9"/>
        <v>0</v>
      </c>
      <c r="AZ39" s="702">
        <f t="shared" si="10"/>
        <v>0</v>
      </c>
      <c r="BA39" s="702">
        <f t="shared" si="11"/>
        <v>0</v>
      </c>
      <c r="BB39" s="702">
        <f t="shared" si="12"/>
        <v>0</v>
      </c>
      <c r="BC39" s="702">
        <f t="shared" si="13"/>
        <v>0</v>
      </c>
      <c r="BD39" s="1063">
        <f t="shared" si="42"/>
        <v>0</v>
      </c>
      <c r="BE39" s="1064">
        <f t="shared" si="14"/>
        <v>0</v>
      </c>
      <c r="BF39" s="1063">
        <f t="shared" si="15"/>
        <v>0</v>
      </c>
      <c r="BG39" s="1065">
        <f t="shared" si="16"/>
        <v>0</v>
      </c>
      <c r="BH39" s="702">
        <f t="shared" si="17"/>
        <v>0</v>
      </c>
      <c r="BI39" s="1063">
        <f t="shared" si="43"/>
        <v>0</v>
      </c>
      <c r="BJ39" s="1063">
        <f t="shared" si="18"/>
        <v>0</v>
      </c>
      <c r="BK39" s="1063">
        <f t="shared" si="19"/>
        <v>0</v>
      </c>
      <c r="BL39" s="1063">
        <f t="shared" si="20"/>
        <v>0</v>
      </c>
      <c r="BM39" s="1063">
        <f t="shared" si="21"/>
        <v>0</v>
      </c>
      <c r="BN39" s="1064">
        <f t="shared" si="44"/>
        <v>0</v>
      </c>
      <c r="BO39" s="1761">
        <f t="shared" si="45"/>
        <v>0</v>
      </c>
      <c r="BP39" s="1063">
        <f t="shared" si="46"/>
        <v>0</v>
      </c>
      <c r="BQ39" s="1064">
        <f t="shared" si="22"/>
        <v>0</v>
      </c>
      <c r="BR39" s="1063">
        <f t="shared" si="23"/>
        <v>0</v>
      </c>
      <c r="BS39" s="1063">
        <f t="shared" si="47"/>
        <v>0</v>
      </c>
      <c r="BT39" s="1064">
        <f t="shared" si="24"/>
        <v>0</v>
      </c>
      <c r="BU39" s="1064">
        <f t="shared" si="25"/>
        <v>0</v>
      </c>
      <c r="BV39" s="1064">
        <f t="shared" si="48"/>
        <v>0</v>
      </c>
      <c r="BW39" s="1066">
        <f t="shared" si="49"/>
        <v>0</v>
      </c>
      <c r="BX39" s="1063">
        <f>(BI39*Pricing!F$2+BJ39*Pricing!G$2+BK39*Pricing!H$2+BL39*Pricing!I$2+BM39*Pricing!J$2+BN39*Pricing!K$2)*IF(AC$63="N",(1+AE$63),1)</f>
        <v>0</v>
      </c>
      <c r="BY39" s="1063">
        <f t="shared" si="50"/>
        <v>0</v>
      </c>
      <c r="BZ39" s="1063">
        <f t="shared" si="51"/>
        <v>0</v>
      </c>
      <c r="CA39" s="1063">
        <f t="shared" si="52"/>
        <v>0</v>
      </c>
      <c r="CB39" s="1067">
        <f t="shared" si="53"/>
        <v>0</v>
      </c>
      <c r="CD39" s="702">
        <f t="shared" si="54"/>
        <v>0</v>
      </c>
      <c r="CE39" s="1063">
        <f t="shared" si="26"/>
        <v>0</v>
      </c>
      <c r="CF39" s="1063">
        <f t="shared" si="27"/>
        <v>0</v>
      </c>
      <c r="CG39" s="1063">
        <f t="shared" si="28"/>
        <v>0</v>
      </c>
      <c r="CH39" s="702">
        <f t="shared" si="29"/>
        <v>0</v>
      </c>
      <c r="CI39" s="1063">
        <f t="shared" si="30"/>
        <v>0</v>
      </c>
      <c r="CJ39" s="702">
        <f t="shared" si="31"/>
        <v>0</v>
      </c>
      <c r="CK39" s="1063">
        <f t="shared" si="32"/>
        <v>0</v>
      </c>
      <c r="CL39" s="704">
        <f t="shared" si="33"/>
        <v>0</v>
      </c>
      <c r="CM39" s="702">
        <f t="shared" si="34"/>
        <v>0</v>
      </c>
      <c r="CO39" s="1061">
        <f t="shared" si="55"/>
        <v>0</v>
      </c>
      <c r="CP39" s="702">
        <f t="shared" si="56"/>
        <v>0</v>
      </c>
      <c r="CQ39" s="702">
        <f t="shared" si="57"/>
        <v>0</v>
      </c>
      <c r="CR39" s="702">
        <f t="shared" si="63"/>
        <v>0</v>
      </c>
      <c r="CS39" s="702">
        <f t="shared" si="58"/>
        <v>0</v>
      </c>
      <c r="CT39" s="702">
        <f t="shared" si="59"/>
        <v>0</v>
      </c>
      <c r="CU39" s="702">
        <f t="shared" si="60"/>
        <v>0</v>
      </c>
      <c r="CV39" s="1068">
        <f t="shared" si="35"/>
        <v>0</v>
      </c>
      <c r="CW39" s="1064">
        <f t="shared" si="61"/>
        <v>0</v>
      </c>
      <c r="FX39" s="701"/>
      <c r="FY39" s="701"/>
      <c r="FZ39" s="701"/>
      <c r="GA39" s="701"/>
      <c r="GB39" s="701"/>
      <c r="GC39" s="701"/>
      <c r="GD39" s="701"/>
      <c r="GE39" s="701"/>
      <c r="GF39" s="701"/>
      <c r="GG39" s="701"/>
      <c r="GH39" s="701"/>
      <c r="GI39" s="701"/>
      <c r="GJ39" s="701"/>
      <c r="GK39" s="701"/>
      <c r="GL39" s="701"/>
      <c r="GM39" s="701"/>
      <c r="GN39" s="701"/>
      <c r="GO39" s="701"/>
      <c r="GP39" s="701"/>
      <c r="GQ39" s="701"/>
      <c r="GR39" s="701"/>
      <c r="GS39" s="701"/>
      <c r="GT39" s="701"/>
      <c r="GU39" s="701"/>
      <c r="GV39" s="701"/>
      <c r="GW39" s="701"/>
      <c r="GX39" s="701"/>
      <c r="GY39" s="701"/>
      <c r="GZ39" s="701"/>
      <c r="HA39" s="701"/>
      <c r="HB39" s="701"/>
      <c r="HC39" s="701"/>
      <c r="HD39" s="701"/>
      <c r="HE39" s="701"/>
      <c r="HF39" s="701"/>
      <c r="HG39" s="701"/>
      <c r="HH39" s="701"/>
      <c r="HI39" s="701"/>
      <c r="HJ39" s="701"/>
      <c r="HK39" s="701"/>
      <c r="HL39" s="701"/>
      <c r="HM39" s="701"/>
      <c r="HN39" s="701"/>
      <c r="HO39" s="701"/>
      <c r="HP39" s="701"/>
      <c r="HQ39" s="701"/>
      <c r="HR39" s="701"/>
      <c r="HS39" s="701"/>
      <c r="HT39" s="701"/>
      <c r="HU39" s="701"/>
      <c r="HV39" s="701"/>
      <c r="HW39" s="701"/>
      <c r="HX39" s="701"/>
      <c r="HY39" s="701"/>
      <c r="HZ39" s="701"/>
      <c r="IA39" s="701"/>
    </row>
    <row r="40" spans="2:235" s="702" customFormat="1" ht="20.149999999999999" customHeight="1" x14ac:dyDescent="0.35">
      <c r="B40" s="398"/>
      <c r="C40" s="396"/>
      <c r="D40" s="1991"/>
      <c r="E40" s="1992"/>
      <c r="F40" s="97"/>
      <c r="G40" s="777"/>
      <c r="H40" s="97"/>
      <c r="I40" s="779"/>
      <c r="J40" s="97"/>
      <c r="K40" s="781"/>
      <c r="L40" s="32"/>
      <c r="M40" s="211"/>
      <c r="N40" s="397"/>
      <c r="O40" s="212"/>
      <c r="P40" s="32"/>
      <c r="Q40" s="810"/>
      <c r="R40" s="722"/>
      <c r="S40" s="180">
        <v>1</v>
      </c>
      <c r="T40" s="554">
        <f t="shared" si="64"/>
        <v>0</v>
      </c>
      <c r="U40" s="32">
        <v>2</v>
      </c>
      <c r="V40" s="371"/>
      <c r="W40" s="32"/>
      <c r="X40" s="371"/>
      <c r="Y40" s="32"/>
      <c r="Z40" s="371"/>
      <c r="AA40" s="180"/>
      <c r="AB40" s="280"/>
      <c r="AC40" s="1380">
        <f t="shared" si="65"/>
        <v>0</v>
      </c>
      <c r="AD40" s="906">
        <f t="shared" si="66"/>
        <v>0</v>
      </c>
      <c r="AE40" s="794">
        <f t="shared" si="37"/>
        <v>0</v>
      </c>
      <c r="AF40" s="282">
        <f>SUM(BW40)*(1+M$64+Summary!P$64)</f>
        <v>0</v>
      </c>
      <c r="AG40" s="632" t="e">
        <f t="shared" si="1"/>
        <v>#DIV/0!</v>
      </c>
      <c r="AH40" s="1758">
        <f t="shared" si="38"/>
        <v>0</v>
      </c>
      <c r="AI40" s="769"/>
      <c r="AO40" s="702">
        <f t="shared" si="2"/>
        <v>0</v>
      </c>
      <c r="AP40" s="702">
        <f t="shared" si="39"/>
        <v>0</v>
      </c>
      <c r="AQ40" s="702">
        <f t="shared" si="3"/>
        <v>0</v>
      </c>
      <c r="AR40" s="702">
        <f t="shared" si="4"/>
        <v>0</v>
      </c>
      <c r="AS40" s="702">
        <f t="shared" si="5"/>
        <v>0</v>
      </c>
      <c r="AT40" s="702">
        <f t="shared" si="6"/>
        <v>0</v>
      </c>
      <c r="AU40" s="702">
        <f t="shared" si="7"/>
        <v>0</v>
      </c>
      <c r="AV40" s="1063">
        <f t="shared" si="40"/>
        <v>0</v>
      </c>
      <c r="AW40" s="1063">
        <f t="shared" si="8"/>
        <v>0</v>
      </c>
      <c r="AX40" s="702">
        <f t="shared" si="41"/>
        <v>0</v>
      </c>
      <c r="AY40" s="702">
        <f t="shared" si="9"/>
        <v>0</v>
      </c>
      <c r="AZ40" s="702">
        <f t="shared" si="10"/>
        <v>0</v>
      </c>
      <c r="BA40" s="702">
        <f t="shared" si="11"/>
        <v>0</v>
      </c>
      <c r="BB40" s="702">
        <f t="shared" si="12"/>
        <v>0</v>
      </c>
      <c r="BC40" s="702">
        <f t="shared" si="13"/>
        <v>0</v>
      </c>
      <c r="BD40" s="1063">
        <f t="shared" si="42"/>
        <v>0</v>
      </c>
      <c r="BE40" s="1064">
        <f t="shared" si="14"/>
        <v>0</v>
      </c>
      <c r="BF40" s="1063">
        <f t="shared" si="15"/>
        <v>0</v>
      </c>
      <c r="BG40" s="1065">
        <f t="shared" si="16"/>
        <v>0</v>
      </c>
      <c r="BH40" s="702">
        <f t="shared" si="17"/>
        <v>0</v>
      </c>
      <c r="BI40" s="1063">
        <f t="shared" si="43"/>
        <v>0</v>
      </c>
      <c r="BJ40" s="1063">
        <f t="shared" si="18"/>
        <v>0</v>
      </c>
      <c r="BK40" s="1063">
        <f t="shared" si="19"/>
        <v>0</v>
      </c>
      <c r="BL40" s="1063">
        <f t="shared" si="20"/>
        <v>0</v>
      </c>
      <c r="BM40" s="1063">
        <f t="shared" si="21"/>
        <v>0</v>
      </c>
      <c r="BN40" s="1064">
        <f t="shared" si="44"/>
        <v>0</v>
      </c>
      <c r="BO40" s="1761">
        <f t="shared" si="45"/>
        <v>0</v>
      </c>
      <c r="BP40" s="1063">
        <f t="shared" si="46"/>
        <v>0</v>
      </c>
      <c r="BQ40" s="1064">
        <f t="shared" si="22"/>
        <v>0</v>
      </c>
      <c r="BR40" s="1063">
        <f t="shared" si="23"/>
        <v>0</v>
      </c>
      <c r="BS40" s="1063">
        <f t="shared" si="47"/>
        <v>0</v>
      </c>
      <c r="BT40" s="1064">
        <f t="shared" si="24"/>
        <v>0</v>
      </c>
      <c r="BU40" s="1064">
        <f t="shared" si="25"/>
        <v>0</v>
      </c>
      <c r="BV40" s="1064">
        <f t="shared" si="48"/>
        <v>0</v>
      </c>
      <c r="BW40" s="1066">
        <f t="shared" si="49"/>
        <v>0</v>
      </c>
      <c r="BX40" s="1063">
        <f>(BI40*Pricing!F$2+BJ40*Pricing!G$2+BK40*Pricing!H$2+BL40*Pricing!I$2+BM40*Pricing!J$2+BN40*Pricing!K$2)*IF(AC$63="N",(1+AE$63),1)</f>
        <v>0</v>
      </c>
      <c r="BY40" s="1063">
        <f t="shared" si="50"/>
        <v>0</v>
      </c>
      <c r="BZ40" s="1063">
        <f t="shared" si="51"/>
        <v>0</v>
      </c>
      <c r="CA40" s="1063">
        <f t="shared" si="52"/>
        <v>0</v>
      </c>
      <c r="CB40" s="1067">
        <f t="shared" si="53"/>
        <v>0</v>
      </c>
      <c r="CD40" s="702">
        <f t="shared" si="54"/>
        <v>0</v>
      </c>
      <c r="CE40" s="1063">
        <f t="shared" si="26"/>
        <v>0</v>
      </c>
      <c r="CF40" s="1063">
        <f t="shared" si="27"/>
        <v>0</v>
      </c>
      <c r="CG40" s="1063">
        <f t="shared" si="28"/>
        <v>0</v>
      </c>
      <c r="CH40" s="702">
        <f t="shared" si="29"/>
        <v>0</v>
      </c>
      <c r="CI40" s="1063">
        <f t="shared" si="30"/>
        <v>0</v>
      </c>
      <c r="CJ40" s="702">
        <f t="shared" si="31"/>
        <v>0</v>
      </c>
      <c r="CK40" s="1063">
        <f t="shared" si="32"/>
        <v>0</v>
      </c>
      <c r="CL40" s="704">
        <f t="shared" si="33"/>
        <v>0</v>
      </c>
      <c r="CM40" s="702">
        <f t="shared" si="34"/>
        <v>0</v>
      </c>
      <c r="CO40" s="1061">
        <f t="shared" si="55"/>
        <v>0</v>
      </c>
      <c r="CP40" s="702">
        <f t="shared" si="56"/>
        <v>0</v>
      </c>
      <c r="CQ40" s="702">
        <f t="shared" si="57"/>
        <v>0</v>
      </c>
      <c r="CR40" s="702">
        <f t="shared" si="63"/>
        <v>0</v>
      </c>
      <c r="CS40" s="702">
        <f t="shared" si="58"/>
        <v>0</v>
      </c>
      <c r="CT40" s="702">
        <f t="shared" si="59"/>
        <v>0</v>
      </c>
      <c r="CU40" s="702">
        <f t="shared" si="60"/>
        <v>0</v>
      </c>
      <c r="CV40" s="1068">
        <f t="shared" si="35"/>
        <v>0</v>
      </c>
      <c r="CW40" s="1064">
        <f t="shared" si="61"/>
        <v>0</v>
      </c>
      <c r="FX40" s="701"/>
      <c r="FY40" s="701"/>
      <c r="FZ40" s="701"/>
      <c r="GA40" s="701"/>
      <c r="GB40" s="701"/>
      <c r="GC40" s="701"/>
      <c r="GD40" s="701"/>
      <c r="GE40" s="701"/>
      <c r="GF40" s="701"/>
      <c r="GG40" s="701"/>
      <c r="GH40" s="701"/>
      <c r="GI40" s="701"/>
      <c r="GJ40" s="701"/>
      <c r="GK40" s="701"/>
      <c r="GL40" s="701"/>
      <c r="GM40" s="701"/>
      <c r="GN40" s="701"/>
      <c r="GO40" s="701"/>
      <c r="GP40" s="701"/>
      <c r="GQ40" s="701"/>
      <c r="GR40" s="701"/>
      <c r="GS40" s="701"/>
      <c r="GT40" s="701"/>
      <c r="GU40" s="701"/>
      <c r="GV40" s="701"/>
      <c r="GW40" s="701"/>
      <c r="GX40" s="701"/>
      <c r="GY40" s="701"/>
      <c r="GZ40" s="701"/>
      <c r="HA40" s="701"/>
      <c r="HB40" s="701"/>
      <c r="HC40" s="701"/>
      <c r="HD40" s="701"/>
      <c r="HE40" s="701"/>
      <c r="HF40" s="701"/>
      <c r="HG40" s="701"/>
      <c r="HH40" s="701"/>
      <c r="HI40" s="701"/>
      <c r="HJ40" s="701"/>
      <c r="HK40" s="701"/>
      <c r="HL40" s="701"/>
      <c r="HM40" s="701"/>
      <c r="HN40" s="701"/>
      <c r="HO40" s="701"/>
      <c r="HP40" s="701"/>
      <c r="HQ40" s="701"/>
      <c r="HR40" s="701"/>
      <c r="HS40" s="701"/>
      <c r="HT40" s="701"/>
      <c r="HU40" s="701"/>
      <c r="HV40" s="701"/>
      <c r="HW40" s="701"/>
      <c r="HX40" s="701"/>
      <c r="HY40" s="701"/>
      <c r="HZ40" s="701"/>
      <c r="IA40" s="701"/>
    </row>
    <row r="41" spans="2:235" s="702" customFormat="1" ht="20.149999999999999" customHeight="1" x14ac:dyDescent="0.35">
      <c r="B41" s="193"/>
      <c r="C41" s="393"/>
      <c r="D41" s="1985"/>
      <c r="E41" s="1986"/>
      <c r="F41" s="127"/>
      <c r="G41" s="777"/>
      <c r="H41" s="214"/>
      <c r="I41" s="779"/>
      <c r="J41" s="127"/>
      <c r="K41" s="781"/>
      <c r="L41" s="30"/>
      <c r="M41" s="121"/>
      <c r="N41" s="394"/>
      <c r="O41" s="205"/>
      <c r="P41" s="30"/>
      <c r="Q41" s="264"/>
      <c r="R41" s="266"/>
      <c r="S41" s="176">
        <v>1</v>
      </c>
      <c r="T41" s="555">
        <f t="shared" si="64"/>
        <v>0</v>
      </c>
      <c r="U41" s="31">
        <v>2</v>
      </c>
      <c r="V41" s="531"/>
      <c r="W41" s="30"/>
      <c r="X41" s="377"/>
      <c r="Y41" s="30"/>
      <c r="Z41" s="377"/>
      <c r="AA41" s="178"/>
      <c r="AB41" s="279"/>
      <c r="AC41" s="1380">
        <f t="shared" si="65"/>
        <v>0</v>
      </c>
      <c r="AD41" s="906">
        <f t="shared" si="66"/>
        <v>0</v>
      </c>
      <c r="AE41" s="794">
        <f t="shared" si="37"/>
        <v>0</v>
      </c>
      <c r="AF41" s="282">
        <f>SUM(BW41)*(1+M$64+Summary!P$64)</f>
        <v>0</v>
      </c>
      <c r="AG41" s="632" t="e">
        <f t="shared" si="1"/>
        <v>#DIV/0!</v>
      </c>
      <c r="AH41" s="1758">
        <f t="shared" si="38"/>
        <v>0</v>
      </c>
      <c r="AI41" s="769"/>
      <c r="AO41" s="702">
        <f t="shared" si="2"/>
        <v>0</v>
      </c>
      <c r="AP41" s="702">
        <f t="shared" si="39"/>
        <v>0</v>
      </c>
      <c r="AQ41" s="702">
        <f t="shared" si="3"/>
        <v>0</v>
      </c>
      <c r="AR41" s="702">
        <f t="shared" si="4"/>
        <v>0</v>
      </c>
      <c r="AS41" s="702">
        <f t="shared" si="5"/>
        <v>0</v>
      </c>
      <c r="AT41" s="702">
        <f t="shared" si="6"/>
        <v>0</v>
      </c>
      <c r="AU41" s="702">
        <f t="shared" si="7"/>
        <v>0</v>
      </c>
      <c r="AV41" s="1063">
        <f t="shared" si="40"/>
        <v>0</v>
      </c>
      <c r="AW41" s="1063">
        <f t="shared" si="8"/>
        <v>0</v>
      </c>
      <c r="AX41" s="702">
        <f t="shared" si="41"/>
        <v>0</v>
      </c>
      <c r="AY41" s="702">
        <f t="shared" si="9"/>
        <v>0</v>
      </c>
      <c r="AZ41" s="702">
        <f t="shared" si="10"/>
        <v>0</v>
      </c>
      <c r="BA41" s="702">
        <f t="shared" si="11"/>
        <v>0</v>
      </c>
      <c r="BB41" s="702">
        <f t="shared" si="12"/>
        <v>0</v>
      </c>
      <c r="BC41" s="702">
        <f t="shared" si="13"/>
        <v>0</v>
      </c>
      <c r="BD41" s="1063">
        <f t="shared" si="42"/>
        <v>0</v>
      </c>
      <c r="BE41" s="1064">
        <f t="shared" si="14"/>
        <v>0</v>
      </c>
      <c r="BF41" s="1063">
        <f t="shared" si="15"/>
        <v>0</v>
      </c>
      <c r="BG41" s="1065">
        <f t="shared" si="16"/>
        <v>0</v>
      </c>
      <c r="BH41" s="702">
        <f t="shared" si="17"/>
        <v>0</v>
      </c>
      <c r="BI41" s="1063">
        <f t="shared" si="43"/>
        <v>0</v>
      </c>
      <c r="BJ41" s="1063">
        <f t="shared" si="18"/>
        <v>0</v>
      </c>
      <c r="BK41" s="1063">
        <f t="shared" si="19"/>
        <v>0</v>
      </c>
      <c r="BL41" s="1063">
        <f t="shared" si="20"/>
        <v>0</v>
      </c>
      <c r="BM41" s="1063">
        <f t="shared" si="21"/>
        <v>0</v>
      </c>
      <c r="BN41" s="1064">
        <f t="shared" si="44"/>
        <v>0</v>
      </c>
      <c r="BO41" s="1761">
        <f t="shared" si="45"/>
        <v>0</v>
      </c>
      <c r="BP41" s="1063">
        <f t="shared" si="46"/>
        <v>0</v>
      </c>
      <c r="BQ41" s="1064">
        <f t="shared" si="22"/>
        <v>0</v>
      </c>
      <c r="BR41" s="1063">
        <f t="shared" si="23"/>
        <v>0</v>
      </c>
      <c r="BS41" s="1063">
        <f t="shared" si="47"/>
        <v>0</v>
      </c>
      <c r="BT41" s="1064">
        <f t="shared" si="24"/>
        <v>0</v>
      </c>
      <c r="BU41" s="1064">
        <f t="shared" si="25"/>
        <v>0</v>
      </c>
      <c r="BV41" s="1064">
        <f t="shared" si="48"/>
        <v>0</v>
      </c>
      <c r="BW41" s="1066">
        <f t="shared" si="49"/>
        <v>0</v>
      </c>
      <c r="BX41" s="1063">
        <f>(BI41*Pricing!F$2+BJ41*Pricing!G$2+BK41*Pricing!H$2+BL41*Pricing!I$2+BM41*Pricing!J$2+BN41*Pricing!K$2)*IF(AC$63="N",(1+AE$63),1)</f>
        <v>0</v>
      </c>
      <c r="BY41" s="1063">
        <f t="shared" si="50"/>
        <v>0</v>
      </c>
      <c r="BZ41" s="1063">
        <f t="shared" si="51"/>
        <v>0</v>
      </c>
      <c r="CA41" s="1063">
        <f t="shared" si="52"/>
        <v>0</v>
      </c>
      <c r="CB41" s="1067">
        <f t="shared" si="53"/>
        <v>0</v>
      </c>
      <c r="CD41" s="702">
        <f t="shared" si="54"/>
        <v>0</v>
      </c>
      <c r="CE41" s="1063">
        <f t="shared" si="26"/>
        <v>0</v>
      </c>
      <c r="CF41" s="1063">
        <f t="shared" si="27"/>
        <v>0</v>
      </c>
      <c r="CG41" s="1063">
        <f t="shared" si="28"/>
        <v>0</v>
      </c>
      <c r="CH41" s="702">
        <f t="shared" si="29"/>
        <v>0</v>
      </c>
      <c r="CI41" s="1063">
        <f t="shared" si="30"/>
        <v>0</v>
      </c>
      <c r="CJ41" s="702">
        <f t="shared" si="31"/>
        <v>0</v>
      </c>
      <c r="CK41" s="1063">
        <f t="shared" si="32"/>
        <v>0</v>
      </c>
      <c r="CL41" s="704">
        <f t="shared" si="33"/>
        <v>0</v>
      </c>
      <c r="CM41" s="702">
        <f t="shared" si="34"/>
        <v>0</v>
      </c>
      <c r="CO41" s="1061">
        <f t="shared" si="55"/>
        <v>0</v>
      </c>
      <c r="CP41" s="702">
        <f t="shared" si="56"/>
        <v>0</v>
      </c>
      <c r="CQ41" s="702">
        <f t="shared" si="57"/>
        <v>0</v>
      </c>
      <c r="CR41" s="702">
        <f t="shared" si="63"/>
        <v>0</v>
      </c>
      <c r="CS41" s="702">
        <f t="shared" si="58"/>
        <v>0</v>
      </c>
      <c r="CT41" s="702">
        <f t="shared" si="59"/>
        <v>0</v>
      </c>
      <c r="CU41" s="702">
        <f t="shared" si="60"/>
        <v>0</v>
      </c>
      <c r="CV41" s="1068">
        <f t="shared" si="35"/>
        <v>0</v>
      </c>
      <c r="CW41" s="1064">
        <f t="shared" si="61"/>
        <v>0</v>
      </c>
      <c r="FX41" s="701"/>
      <c r="FY41" s="701"/>
      <c r="FZ41" s="701"/>
      <c r="GA41" s="701"/>
      <c r="GB41" s="701"/>
      <c r="GC41" s="701"/>
      <c r="GD41" s="701"/>
      <c r="GE41" s="701"/>
      <c r="GF41" s="701"/>
      <c r="GG41" s="701"/>
      <c r="GH41" s="701"/>
      <c r="GI41" s="701"/>
      <c r="GJ41" s="701"/>
      <c r="GK41" s="701"/>
      <c r="GL41" s="701"/>
      <c r="GM41" s="701"/>
      <c r="GN41" s="701"/>
      <c r="GO41" s="701"/>
      <c r="GP41" s="701"/>
      <c r="GQ41" s="701"/>
      <c r="GR41" s="701"/>
      <c r="GS41" s="701"/>
      <c r="GT41" s="701"/>
      <c r="GU41" s="701"/>
      <c r="GV41" s="701"/>
      <c r="GW41" s="701"/>
      <c r="GX41" s="701"/>
      <c r="GY41" s="701"/>
      <c r="GZ41" s="701"/>
      <c r="HA41" s="701"/>
      <c r="HB41" s="701"/>
      <c r="HC41" s="701"/>
      <c r="HD41" s="701"/>
      <c r="HE41" s="701"/>
      <c r="HF41" s="701"/>
      <c r="HG41" s="701"/>
      <c r="HH41" s="701"/>
      <c r="HI41" s="701"/>
      <c r="HJ41" s="701"/>
      <c r="HK41" s="701"/>
      <c r="HL41" s="701"/>
      <c r="HM41" s="701"/>
      <c r="HN41" s="701"/>
      <c r="HO41" s="701"/>
      <c r="HP41" s="701"/>
      <c r="HQ41" s="701"/>
      <c r="HR41" s="701"/>
      <c r="HS41" s="701"/>
      <c r="HT41" s="701"/>
      <c r="HU41" s="701"/>
      <c r="HV41" s="701"/>
      <c r="HW41" s="701"/>
      <c r="HX41" s="701"/>
      <c r="HY41" s="701"/>
      <c r="HZ41" s="701"/>
      <c r="IA41" s="701"/>
    </row>
    <row r="42" spans="2:235" s="702" customFormat="1" ht="20.149999999999999" customHeight="1" x14ac:dyDescent="0.35">
      <c r="B42" s="398"/>
      <c r="C42" s="396"/>
      <c r="D42" s="1991"/>
      <c r="E42" s="1992"/>
      <c r="F42" s="97"/>
      <c r="G42" s="777"/>
      <c r="H42" s="97"/>
      <c r="I42" s="779"/>
      <c r="J42" s="97"/>
      <c r="K42" s="781"/>
      <c r="L42" s="32"/>
      <c r="M42" s="211"/>
      <c r="N42" s="397"/>
      <c r="O42" s="212"/>
      <c r="P42" s="32"/>
      <c r="Q42" s="810"/>
      <c r="R42" s="722"/>
      <c r="S42" s="180">
        <v>1</v>
      </c>
      <c r="T42" s="554">
        <f t="shared" si="64"/>
        <v>0</v>
      </c>
      <c r="U42" s="32">
        <v>2</v>
      </c>
      <c r="V42" s="371"/>
      <c r="W42" s="32"/>
      <c r="X42" s="371"/>
      <c r="Y42" s="32"/>
      <c r="Z42" s="371"/>
      <c r="AA42" s="180"/>
      <c r="AB42" s="280"/>
      <c r="AC42" s="1380">
        <f t="shared" si="65"/>
        <v>0</v>
      </c>
      <c r="AD42" s="906">
        <f t="shared" si="66"/>
        <v>0</v>
      </c>
      <c r="AE42" s="794">
        <f t="shared" si="37"/>
        <v>0</v>
      </c>
      <c r="AF42" s="282">
        <f>SUM(BW42)*(1+M$64+Summary!P$64)</f>
        <v>0</v>
      </c>
      <c r="AG42" s="632" t="e">
        <f t="shared" si="1"/>
        <v>#DIV/0!</v>
      </c>
      <c r="AH42" s="1758">
        <f t="shared" si="38"/>
        <v>0</v>
      </c>
      <c r="AI42" s="769"/>
      <c r="AO42" s="702">
        <f t="shared" si="2"/>
        <v>0</v>
      </c>
      <c r="AP42" s="702">
        <f t="shared" si="39"/>
        <v>0</v>
      </c>
      <c r="AQ42" s="702">
        <f t="shared" si="3"/>
        <v>0</v>
      </c>
      <c r="AR42" s="702">
        <f t="shared" si="4"/>
        <v>0</v>
      </c>
      <c r="AS42" s="702">
        <f t="shared" si="5"/>
        <v>0</v>
      </c>
      <c r="AT42" s="702">
        <f t="shared" si="6"/>
        <v>0</v>
      </c>
      <c r="AU42" s="702">
        <f t="shared" si="7"/>
        <v>0</v>
      </c>
      <c r="AV42" s="1063">
        <f t="shared" si="40"/>
        <v>0</v>
      </c>
      <c r="AW42" s="1063">
        <f t="shared" si="8"/>
        <v>0</v>
      </c>
      <c r="AX42" s="702">
        <f t="shared" si="41"/>
        <v>0</v>
      </c>
      <c r="AY42" s="702">
        <f t="shared" si="9"/>
        <v>0</v>
      </c>
      <c r="AZ42" s="702">
        <f t="shared" si="10"/>
        <v>0</v>
      </c>
      <c r="BA42" s="702">
        <f t="shared" si="11"/>
        <v>0</v>
      </c>
      <c r="BB42" s="702">
        <f t="shared" si="12"/>
        <v>0</v>
      </c>
      <c r="BC42" s="702">
        <f t="shared" si="13"/>
        <v>0</v>
      </c>
      <c r="BD42" s="1063">
        <f t="shared" si="42"/>
        <v>0</v>
      </c>
      <c r="BE42" s="1064">
        <f t="shared" si="14"/>
        <v>0</v>
      </c>
      <c r="BF42" s="1063">
        <f t="shared" si="15"/>
        <v>0</v>
      </c>
      <c r="BG42" s="1065">
        <f t="shared" si="16"/>
        <v>0</v>
      </c>
      <c r="BH42" s="702">
        <f t="shared" si="17"/>
        <v>0</v>
      </c>
      <c r="BI42" s="1063">
        <f t="shared" si="43"/>
        <v>0</v>
      </c>
      <c r="BJ42" s="1063">
        <f t="shared" si="18"/>
        <v>0</v>
      </c>
      <c r="BK42" s="1063">
        <f t="shared" si="19"/>
        <v>0</v>
      </c>
      <c r="BL42" s="1063">
        <f t="shared" si="20"/>
        <v>0</v>
      </c>
      <c r="BM42" s="1063">
        <f t="shared" si="21"/>
        <v>0</v>
      </c>
      <c r="BN42" s="1064">
        <f t="shared" si="44"/>
        <v>0</v>
      </c>
      <c r="BO42" s="1761">
        <f t="shared" si="45"/>
        <v>0</v>
      </c>
      <c r="BP42" s="1063">
        <f t="shared" si="46"/>
        <v>0</v>
      </c>
      <c r="BQ42" s="1064">
        <f t="shared" si="22"/>
        <v>0</v>
      </c>
      <c r="BR42" s="1063">
        <f t="shared" si="23"/>
        <v>0</v>
      </c>
      <c r="BS42" s="1063">
        <f t="shared" si="47"/>
        <v>0</v>
      </c>
      <c r="BT42" s="1064">
        <f t="shared" si="24"/>
        <v>0</v>
      </c>
      <c r="BU42" s="1064">
        <f t="shared" si="25"/>
        <v>0</v>
      </c>
      <c r="BV42" s="1064">
        <f t="shared" si="48"/>
        <v>0</v>
      </c>
      <c r="BW42" s="1066">
        <f t="shared" si="49"/>
        <v>0</v>
      </c>
      <c r="BX42" s="1063">
        <f>(BI42*Pricing!F$2+BJ42*Pricing!G$2+BK42*Pricing!H$2+BL42*Pricing!I$2+BM42*Pricing!J$2+BN42*Pricing!K$2)*IF(AC$63="N",(1+AE$63),1)</f>
        <v>0</v>
      </c>
      <c r="BY42" s="1063">
        <f t="shared" si="50"/>
        <v>0</v>
      </c>
      <c r="BZ42" s="1063">
        <f t="shared" si="51"/>
        <v>0</v>
      </c>
      <c r="CA42" s="1063">
        <f t="shared" si="52"/>
        <v>0</v>
      </c>
      <c r="CB42" s="1067">
        <f t="shared" si="53"/>
        <v>0</v>
      </c>
      <c r="CD42" s="702">
        <f t="shared" si="54"/>
        <v>0</v>
      </c>
      <c r="CE42" s="1063">
        <f t="shared" si="26"/>
        <v>0</v>
      </c>
      <c r="CF42" s="1063">
        <f t="shared" si="27"/>
        <v>0</v>
      </c>
      <c r="CG42" s="1063">
        <f t="shared" si="28"/>
        <v>0</v>
      </c>
      <c r="CH42" s="702">
        <f t="shared" si="29"/>
        <v>0</v>
      </c>
      <c r="CI42" s="1063">
        <f t="shared" si="30"/>
        <v>0</v>
      </c>
      <c r="CJ42" s="702">
        <f t="shared" si="31"/>
        <v>0</v>
      </c>
      <c r="CK42" s="1063">
        <f t="shared" si="32"/>
        <v>0</v>
      </c>
      <c r="CL42" s="704">
        <f t="shared" si="33"/>
        <v>0</v>
      </c>
      <c r="CM42" s="702">
        <f t="shared" si="34"/>
        <v>0</v>
      </c>
      <c r="CO42" s="1061">
        <f t="shared" si="55"/>
        <v>0</v>
      </c>
      <c r="CP42" s="702">
        <f t="shared" si="56"/>
        <v>0</v>
      </c>
      <c r="CQ42" s="702">
        <f t="shared" si="57"/>
        <v>0</v>
      </c>
      <c r="CR42" s="702">
        <f t="shared" si="63"/>
        <v>0</v>
      </c>
      <c r="CS42" s="702">
        <f t="shared" si="58"/>
        <v>0</v>
      </c>
      <c r="CT42" s="702">
        <f t="shared" si="59"/>
        <v>0</v>
      </c>
      <c r="CU42" s="702">
        <f t="shared" si="60"/>
        <v>0</v>
      </c>
      <c r="CV42" s="1068">
        <f t="shared" si="35"/>
        <v>0</v>
      </c>
      <c r="CW42" s="1064">
        <f t="shared" si="61"/>
        <v>0</v>
      </c>
      <c r="FX42" s="701"/>
      <c r="FY42" s="701"/>
      <c r="FZ42" s="701"/>
      <c r="GA42" s="701"/>
      <c r="GB42" s="701"/>
      <c r="GC42" s="701"/>
      <c r="GD42" s="701"/>
      <c r="GE42" s="701"/>
      <c r="GF42" s="701"/>
      <c r="GG42" s="701"/>
      <c r="GH42" s="701"/>
      <c r="GI42" s="701"/>
      <c r="GJ42" s="701"/>
      <c r="GK42" s="701"/>
      <c r="GL42" s="701"/>
      <c r="GM42" s="701"/>
      <c r="GN42" s="701"/>
      <c r="GO42" s="701"/>
      <c r="GP42" s="701"/>
      <c r="GQ42" s="701"/>
      <c r="GR42" s="701"/>
      <c r="GS42" s="701"/>
      <c r="GT42" s="701"/>
      <c r="GU42" s="701"/>
      <c r="GV42" s="701"/>
      <c r="GW42" s="701"/>
      <c r="GX42" s="701"/>
      <c r="GY42" s="701"/>
      <c r="GZ42" s="701"/>
      <c r="HA42" s="701"/>
      <c r="HB42" s="701"/>
      <c r="HC42" s="701"/>
      <c r="HD42" s="701"/>
      <c r="HE42" s="701"/>
      <c r="HF42" s="701"/>
      <c r="HG42" s="701"/>
      <c r="HH42" s="701"/>
      <c r="HI42" s="701"/>
      <c r="HJ42" s="701"/>
      <c r="HK42" s="701"/>
      <c r="HL42" s="701"/>
      <c r="HM42" s="701"/>
      <c r="HN42" s="701"/>
      <c r="HO42" s="701"/>
      <c r="HP42" s="701"/>
      <c r="HQ42" s="701"/>
      <c r="HR42" s="701"/>
      <c r="HS42" s="701"/>
      <c r="HT42" s="701"/>
      <c r="HU42" s="701"/>
      <c r="HV42" s="701"/>
      <c r="HW42" s="701"/>
      <c r="HX42" s="701"/>
      <c r="HY42" s="701"/>
      <c r="HZ42" s="701"/>
      <c r="IA42" s="701"/>
    </row>
    <row r="43" spans="2:235" s="702" customFormat="1" ht="20.149999999999999" customHeight="1" x14ac:dyDescent="0.35">
      <c r="B43" s="193"/>
      <c r="C43" s="393"/>
      <c r="D43" s="1985"/>
      <c r="E43" s="1986"/>
      <c r="F43" s="127"/>
      <c r="G43" s="777"/>
      <c r="H43" s="214"/>
      <c r="I43" s="779"/>
      <c r="J43" s="127"/>
      <c r="K43" s="781"/>
      <c r="L43" s="30"/>
      <c r="M43" s="121"/>
      <c r="N43" s="394"/>
      <c r="O43" s="205"/>
      <c r="P43" s="30"/>
      <c r="Q43" s="264"/>
      <c r="R43" s="266"/>
      <c r="S43" s="176">
        <v>1</v>
      </c>
      <c r="T43" s="555">
        <f t="shared" si="64"/>
        <v>0</v>
      </c>
      <c r="U43" s="31">
        <v>2</v>
      </c>
      <c r="V43" s="531"/>
      <c r="W43" s="30"/>
      <c r="X43" s="377"/>
      <c r="Y43" s="30"/>
      <c r="Z43" s="377"/>
      <c r="AA43" s="178"/>
      <c r="AB43" s="279"/>
      <c r="AC43" s="1380">
        <f t="shared" si="65"/>
        <v>0</v>
      </c>
      <c r="AD43" s="906">
        <f t="shared" si="66"/>
        <v>0</v>
      </c>
      <c r="AE43" s="794">
        <f t="shared" si="37"/>
        <v>0</v>
      </c>
      <c r="AF43" s="282">
        <f>SUM(BW43)*(1+M$64+Summary!P$64)</f>
        <v>0</v>
      </c>
      <c r="AG43" s="632" t="e">
        <f t="shared" si="1"/>
        <v>#DIV/0!</v>
      </c>
      <c r="AH43" s="1758">
        <f t="shared" si="38"/>
        <v>0</v>
      </c>
      <c r="AI43" s="769"/>
      <c r="AO43" s="702">
        <f t="shared" si="2"/>
        <v>0</v>
      </c>
      <c r="AP43" s="702">
        <f t="shared" si="39"/>
        <v>0</v>
      </c>
      <c r="AQ43" s="702">
        <f t="shared" si="3"/>
        <v>0</v>
      </c>
      <c r="AR43" s="702">
        <f t="shared" si="4"/>
        <v>0</v>
      </c>
      <c r="AS43" s="702">
        <f t="shared" si="5"/>
        <v>0</v>
      </c>
      <c r="AT43" s="702">
        <f t="shared" si="6"/>
        <v>0</v>
      </c>
      <c r="AU43" s="702">
        <f t="shared" si="7"/>
        <v>0</v>
      </c>
      <c r="AV43" s="1063">
        <f t="shared" si="40"/>
        <v>0</v>
      </c>
      <c r="AW43" s="1063">
        <f t="shared" si="8"/>
        <v>0</v>
      </c>
      <c r="AX43" s="702">
        <f t="shared" si="41"/>
        <v>0</v>
      </c>
      <c r="AY43" s="702">
        <f t="shared" si="9"/>
        <v>0</v>
      </c>
      <c r="AZ43" s="702">
        <f t="shared" si="10"/>
        <v>0</v>
      </c>
      <c r="BA43" s="702">
        <f t="shared" si="11"/>
        <v>0</v>
      </c>
      <c r="BB43" s="702">
        <f t="shared" si="12"/>
        <v>0</v>
      </c>
      <c r="BC43" s="702">
        <f t="shared" si="13"/>
        <v>0</v>
      </c>
      <c r="BD43" s="1063">
        <f t="shared" si="42"/>
        <v>0</v>
      </c>
      <c r="BE43" s="1064">
        <f t="shared" si="14"/>
        <v>0</v>
      </c>
      <c r="BF43" s="1063">
        <f t="shared" si="15"/>
        <v>0</v>
      </c>
      <c r="BG43" s="1065">
        <f t="shared" si="16"/>
        <v>0</v>
      </c>
      <c r="BH43" s="702">
        <f t="shared" si="17"/>
        <v>0</v>
      </c>
      <c r="BI43" s="1063">
        <f t="shared" si="43"/>
        <v>0</v>
      </c>
      <c r="BJ43" s="1063">
        <f t="shared" si="18"/>
        <v>0</v>
      </c>
      <c r="BK43" s="1063">
        <f t="shared" si="19"/>
        <v>0</v>
      </c>
      <c r="BL43" s="1063">
        <f t="shared" si="20"/>
        <v>0</v>
      </c>
      <c r="BM43" s="1063">
        <f t="shared" si="21"/>
        <v>0</v>
      </c>
      <c r="BN43" s="1064">
        <f t="shared" si="44"/>
        <v>0</v>
      </c>
      <c r="BO43" s="1761">
        <f t="shared" si="45"/>
        <v>0</v>
      </c>
      <c r="BP43" s="1063">
        <f t="shared" si="46"/>
        <v>0</v>
      </c>
      <c r="BQ43" s="1064">
        <f t="shared" si="22"/>
        <v>0</v>
      </c>
      <c r="BR43" s="1063">
        <f t="shared" si="23"/>
        <v>0</v>
      </c>
      <c r="BS43" s="1063">
        <f t="shared" si="47"/>
        <v>0</v>
      </c>
      <c r="BT43" s="1064">
        <f t="shared" si="24"/>
        <v>0</v>
      </c>
      <c r="BU43" s="1064">
        <f t="shared" si="25"/>
        <v>0</v>
      </c>
      <c r="BV43" s="1064">
        <f t="shared" si="48"/>
        <v>0</v>
      </c>
      <c r="BW43" s="1066">
        <f t="shared" si="49"/>
        <v>0</v>
      </c>
      <c r="BX43" s="1063">
        <f>(BI43*Pricing!F$2+BJ43*Pricing!G$2+BK43*Pricing!H$2+BL43*Pricing!I$2+BM43*Pricing!J$2+BN43*Pricing!K$2)*IF(AC$63="N",(1+AE$63),1)</f>
        <v>0</v>
      </c>
      <c r="BY43" s="1063">
        <f t="shared" si="50"/>
        <v>0</v>
      </c>
      <c r="BZ43" s="1063">
        <f t="shared" si="51"/>
        <v>0</v>
      </c>
      <c r="CA43" s="1063">
        <f t="shared" si="52"/>
        <v>0</v>
      </c>
      <c r="CB43" s="1067">
        <f t="shared" si="53"/>
        <v>0</v>
      </c>
      <c r="CD43" s="702">
        <f t="shared" si="54"/>
        <v>0</v>
      </c>
      <c r="CE43" s="1063">
        <f t="shared" si="26"/>
        <v>0</v>
      </c>
      <c r="CF43" s="1063">
        <f t="shared" si="27"/>
        <v>0</v>
      </c>
      <c r="CG43" s="1063">
        <f t="shared" si="28"/>
        <v>0</v>
      </c>
      <c r="CH43" s="702">
        <f t="shared" si="29"/>
        <v>0</v>
      </c>
      <c r="CI43" s="1063">
        <f t="shared" si="30"/>
        <v>0</v>
      </c>
      <c r="CJ43" s="702">
        <f t="shared" si="31"/>
        <v>0</v>
      </c>
      <c r="CK43" s="1063">
        <f t="shared" si="32"/>
        <v>0</v>
      </c>
      <c r="CL43" s="704">
        <f t="shared" si="33"/>
        <v>0</v>
      </c>
      <c r="CM43" s="702">
        <f t="shared" si="34"/>
        <v>0</v>
      </c>
      <c r="CO43" s="1061">
        <f t="shared" si="55"/>
        <v>0</v>
      </c>
      <c r="CP43" s="702">
        <f t="shared" si="56"/>
        <v>0</v>
      </c>
      <c r="CQ43" s="702">
        <f t="shared" si="57"/>
        <v>0</v>
      </c>
      <c r="CR43" s="702">
        <f t="shared" si="63"/>
        <v>0</v>
      </c>
      <c r="CS43" s="702">
        <f t="shared" si="58"/>
        <v>0</v>
      </c>
      <c r="CT43" s="702">
        <f t="shared" si="59"/>
        <v>0</v>
      </c>
      <c r="CU43" s="702">
        <f t="shared" si="60"/>
        <v>0</v>
      </c>
      <c r="CV43" s="1068">
        <f t="shared" si="35"/>
        <v>0</v>
      </c>
      <c r="CW43" s="1064">
        <f t="shared" si="61"/>
        <v>0</v>
      </c>
      <c r="FX43" s="701"/>
      <c r="FY43" s="701"/>
      <c r="FZ43" s="701"/>
      <c r="GA43" s="701"/>
      <c r="GB43" s="701"/>
      <c r="GC43" s="701"/>
      <c r="GD43" s="701"/>
      <c r="GE43" s="701"/>
      <c r="GF43" s="701"/>
      <c r="GG43" s="701"/>
      <c r="GH43" s="701"/>
      <c r="GI43" s="701"/>
      <c r="GJ43" s="701"/>
      <c r="GK43" s="701"/>
      <c r="GL43" s="701"/>
      <c r="GM43" s="701"/>
      <c r="GN43" s="701"/>
      <c r="GO43" s="701"/>
      <c r="GP43" s="701"/>
      <c r="GQ43" s="701"/>
      <c r="GR43" s="701"/>
      <c r="GS43" s="701"/>
      <c r="GT43" s="701"/>
      <c r="GU43" s="701"/>
      <c r="GV43" s="701"/>
      <c r="GW43" s="701"/>
      <c r="GX43" s="701"/>
      <c r="GY43" s="701"/>
      <c r="GZ43" s="701"/>
      <c r="HA43" s="701"/>
      <c r="HB43" s="701"/>
      <c r="HC43" s="701"/>
      <c r="HD43" s="701"/>
      <c r="HE43" s="701"/>
      <c r="HF43" s="701"/>
      <c r="HG43" s="701"/>
      <c r="HH43" s="701"/>
      <c r="HI43" s="701"/>
      <c r="HJ43" s="701"/>
      <c r="HK43" s="701"/>
      <c r="HL43" s="701"/>
      <c r="HM43" s="701"/>
      <c r="HN43" s="701"/>
      <c r="HO43" s="701"/>
      <c r="HP43" s="701"/>
      <c r="HQ43" s="701"/>
      <c r="HR43" s="701"/>
      <c r="HS43" s="701"/>
      <c r="HT43" s="701"/>
      <c r="HU43" s="701"/>
      <c r="HV43" s="701"/>
      <c r="HW43" s="701"/>
      <c r="HX43" s="701"/>
      <c r="HY43" s="701"/>
      <c r="HZ43" s="701"/>
      <c r="IA43" s="701"/>
    </row>
    <row r="44" spans="2:235" s="702" customFormat="1" ht="20.149999999999999" customHeight="1" x14ac:dyDescent="0.35">
      <c r="B44" s="395"/>
      <c r="C44" s="396"/>
      <c r="D44" s="1991"/>
      <c r="E44" s="1992"/>
      <c r="F44" s="97"/>
      <c r="G44" s="777"/>
      <c r="H44" s="97"/>
      <c r="I44" s="779"/>
      <c r="J44" s="97"/>
      <c r="K44" s="781"/>
      <c r="L44" s="32"/>
      <c r="M44" s="211"/>
      <c r="N44" s="397"/>
      <c r="O44" s="212"/>
      <c r="P44" s="32"/>
      <c r="Q44" s="810"/>
      <c r="R44" s="722"/>
      <c r="S44" s="180">
        <v>1</v>
      </c>
      <c r="T44" s="554">
        <f t="shared" si="64"/>
        <v>0</v>
      </c>
      <c r="U44" s="32">
        <v>2</v>
      </c>
      <c r="V44" s="371"/>
      <c r="W44" s="32"/>
      <c r="X44" s="371"/>
      <c r="Y44" s="32"/>
      <c r="Z44" s="371"/>
      <c r="AA44" s="180"/>
      <c r="AB44" s="280"/>
      <c r="AC44" s="1380">
        <f t="shared" si="65"/>
        <v>0</v>
      </c>
      <c r="AD44" s="906">
        <f t="shared" si="66"/>
        <v>0</v>
      </c>
      <c r="AE44" s="794">
        <f t="shared" si="37"/>
        <v>0</v>
      </c>
      <c r="AF44" s="282">
        <f>SUM(BW44)*(1+M$64+Summary!P$64)</f>
        <v>0</v>
      </c>
      <c r="AG44" s="632" t="e">
        <f t="shared" si="1"/>
        <v>#DIV/0!</v>
      </c>
      <c r="AH44" s="1758">
        <f t="shared" si="38"/>
        <v>0</v>
      </c>
      <c r="AI44" s="769"/>
      <c r="AO44" s="702">
        <f t="shared" si="2"/>
        <v>0</v>
      </c>
      <c r="AP44" s="702">
        <f t="shared" si="39"/>
        <v>0</v>
      </c>
      <c r="AQ44" s="702">
        <f t="shared" si="3"/>
        <v>0</v>
      </c>
      <c r="AR44" s="702">
        <f t="shared" si="4"/>
        <v>0</v>
      </c>
      <c r="AS44" s="702">
        <f t="shared" si="5"/>
        <v>0</v>
      </c>
      <c r="AT44" s="702">
        <f t="shared" si="6"/>
        <v>0</v>
      </c>
      <c r="AU44" s="702">
        <f t="shared" si="7"/>
        <v>0</v>
      </c>
      <c r="AV44" s="1063">
        <f t="shared" si="40"/>
        <v>0</v>
      </c>
      <c r="AW44" s="1063">
        <f t="shared" si="8"/>
        <v>0</v>
      </c>
      <c r="AX44" s="702">
        <f t="shared" si="41"/>
        <v>0</v>
      </c>
      <c r="AY44" s="702">
        <f t="shared" si="9"/>
        <v>0</v>
      </c>
      <c r="AZ44" s="702">
        <f t="shared" si="10"/>
        <v>0</v>
      </c>
      <c r="BA44" s="702">
        <f t="shared" si="11"/>
        <v>0</v>
      </c>
      <c r="BB44" s="702">
        <f t="shared" si="12"/>
        <v>0</v>
      </c>
      <c r="BC44" s="702">
        <f t="shared" si="13"/>
        <v>0</v>
      </c>
      <c r="BD44" s="1063">
        <f t="shared" si="42"/>
        <v>0</v>
      </c>
      <c r="BE44" s="1064">
        <f t="shared" si="14"/>
        <v>0</v>
      </c>
      <c r="BF44" s="1063">
        <f t="shared" si="15"/>
        <v>0</v>
      </c>
      <c r="BG44" s="1065">
        <f t="shared" si="16"/>
        <v>0</v>
      </c>
      <c r="BH44" s="702">
        <f t="shared" si="17"/>
        <v>0</v>
      </c>
      <c r="BI44" s="1063">
        <f t="shared" si="43"/>
        <v>0</v>
      </c>
      <c r="BJ44" s="1063">
        <f t="shared" si="18"/>
        <v>0</v>
      </c>
      <c r="BK44" s="1063">
        <f t="shared" si="19"/>
        <v>0</v>
      </c>
      <c r="BL44" s="1063">
        <f t="shared" si="20"/>
        <v>0</v>
      </c>
      <c r="BM44" s="1063">
        <f t="shared" si="21"/>
        <v>0</v>
      </c>
      <c r="BN44" s="1064">
        <f t="shared" si="44"/>
        <v>0</v>
      </c>
      <c r="BO44" s="1761">
        <f t="shared" si="45"/>
        <v>0</v>
      </c>
      <c r="BP44" s="1063">
        <f t="shared" si="46"/>
        <v>0</v>
      </c>
      <c r="BQ44" s="1064">
        <f t="shared" si="22"/>
        <v>0</v>
      </c>
      <c r="BR44" s="1063">
        <f t="shared" si="23"/>
        <v>0</v>
      </c>
      <c r="BS44" s="1063">
        <f t="shared" si="47"/>
        <v>0</v>
      </c>
      <c r="BT44" s="1064">
        <f t="shared" si="24"/>
        <v>0</v>
      </c>
      <c r="BU44" s="1064">
        <f t="shared" si="25"/>
        <v>0</v>
      </c>
      <c r="BV44" s="1064">
        <f t="shared" si="48"/>
        <v>0</v>
      </c>
      <c r="BW44" s="1066">
        <f t="shared" si="49"/>
        <v>0</v>
      </c>
      <c r="BX44" s="1063">
        <f>(BI44*Pricing!F$2+BJ44*Pricing!G$2+BK44*Pricing!H$2+BL44*Pricing!I$2+BM44*Pricing!J$2+BN44*Pricing!K$2)*IF(AC$63="N",(1+AE$63),1)</f>
        <v>0</v>
      </c>
      <c r="BY44" s="1063">
        <f t="shared" si="50"/>
        <v>0</v>
      </c>
      <c r="BZ44" s="1063">
        <f t="shared" si="51"/>
        <v>0</v>
      </c>
      <c r="CA44" s="1063">
        <f t="shared" si="52"/>
        <v>0</v>
      </c>
      <c r="CB44" s="1067">
        <f t="shared" si="53"/>
        <v>0</v>
      </c>
      <c r="CD44" s="702">
        <f t="shared" si="54"/>
        <v>0</v>
      </c>
      <c r="CE44" s="1063">
        <f t="shared" si="26"/>
        <v>0</v>
      </c>
      <c r="CF44" s="1063">
        <f t="shared" si="27"/>
        <v>0</v>
      </c>
      <c r="CG44" s="1063">
        <f t="shared" si="28"/>
        <v>0</v>
      </c>
      <c r="CH44" s="702">
        <f t="shared" si="29"/>
        <v>0</v>
      </c>
      <c r="CI44" s="1063">
        <f t="shared" si="30"/>
        <v>0</v>
      </c>
      <c r="CJ44" s="702">
        <f t="shared" si="31"/>
        <v>0</v>
      </c>
      <c r="CK44" s="1063">
        <f t="shared" si="32"/>
        <v>0</v>
      </c>
      <c r="CL44" s="704">
        <f t="shared" si="33"/>
        <v>0</v>
      </c>
      <c r="CM44" s="702">
        <f t="shared" si="34"/>
        <v>0</v>
      </c>
      <c r="CO44" s="1061">
        <f t="shared" si="55"/>
        <v>0</v>
      </c>
      <c r="CP44" s="702">
        <f t="shared" si="56"/>
        <v>0</v>
      </c>
      <c r="CQ44" s="702">
        <f t="shared" si="57"/>
        <v>0</v>
      </c>
      <c r="CR44" s="702">
        <f t="shared" si="63"/>
        <v>0</v>
      </c>
      <c r="CS44" s="702">
        <f t="shared" si="58"/>
        <v>0</v>
      </c>
      <c r="CT44" s="702">
        <f t="shared" si="59"/>
        <v>0</v>
      </c>
      <c r="CU44" s="702">
        <f t="shared" si="60"/>
        <v>0</v>
      </c>
      <c r="CV44" s="1068">
        <f t="shared" si="35"/>
        <v>0</v>
      </c>
      <c r="CW44" s="1064">
        <f t="shared" si="61"/>
        <v>0</v>
      </c>
      <c r="FX44" s="701"/>
      <c r="FY44" s="701"/>
      <c r="FZ44" s="701"/>
      <c r="GA44" s="701"/>
      <c r="GB44" s="701"/>
      <c r="GC44" s="701"/>
      <c r="GD44" s="701"/>
      <c r="GE44" s="701"/>
      <c r="GF44" s="701"/>
      <c r="GG44" s="701"/>
      <c r="GH44" s="701"/>
      <c r="GI44" s="701"/>
      <c r="GJ44" s="701"/>
      <c r="GK44" s="701"/>
      <c r="GL44" s="701"/>
      <c r="GM44" s="701"/>
      <c r="GN44" s="701"/>
      <c r="GO44" s="701"/>
      <c r="GP44" s="701"/>
      <c r="GQ44" s="701"/>
      <c r="GR44" s="701"/>
      <c r="GS44" s="701"/>
      <c r="GT44" s="701"/>
      <c r="GU44" s="701"/>
      <c r="GV44" s="701"/>
      <c r="GW44" s="701"/>
      <c r="GX44" s="701"/>
      <c r="GY44" s="701"/>
      <c r="GZ44" s="701"/>
      <c r="HA44" s="701"/>
      <c r="HB44" s="701"/>
      <c r="HC44" s="701"/>
      <c r="HD44" s="701"/>
      <c r="HE44" s="701"/>
      <c r="HF44" s="701"/>
      <c r="HG44" s="701"/>
      <c r="HH44" s="701"/>
      <c r="HI44" s="701"/>
      <c r="HJ44" s="701"/>
      <c r="HK44" s="701"/>
      <c r="HL44" s="701"/>
      <c r="HM44" s="701"/>
      <c r="HN44" s="701"/>
      <c r="HO44" s="701"/>
      <c r="HP44" s="701"/>
      <c r="HQ44" s="701"/>
      <c r="HR44" s="701"/>
      <c r="HS44" s="701"/>
      <c r="HT44" s="701"/>
      <c r="HU44" s="701"/>
      <c r="HV44" s="701"/>
      <c r="HW44" s="701"/>
      <c r="HX44" s="701"/>
      <c r="HY44" s="701"/>
      <c r="HZ44" s="701"/>
      <c r="IA44" s="701"/>
    </row>
    <row r="45" spans="2:235" s="702" customFormat="1" ht="20.149999999999999" customHeight="1" x14ac:dyDescent="0.35">
      <c r="B45" s="193"/>
      <c r="C45" s="396"/>
      <c r="D45" s="1985"/>
      <c r="E45" s="1986"/>
      <c r="F45" s="214"/>
      <c r="G45" s="777"/>
      <c r="H45" s="31"/>
      <c r="I45" s="777"/>
      <c r="J45" s="284"/>
      <c r="K45" s="781"/>
      <c r="L45" s="31"/>
      <c r="M45" s="206"/>
      <c r="N45" s="394"/>
      <c r="O45" s="207"/>
      <c r="P45" s="206"/>
      <c r="Q45" s="31"/>
      <c r="R45" s="723"/>
      <c r="S45" s="176">
        <v>1</v>
      </c>
      <c r="T45" s="555">
        <f t="shared" si="64"/>
        <v>0</v>
      </c>
      <c r="U45" s="31">
        <v>2</v>
      </c>
      <c r="V45" s="372"/>
      <c r="W45" s="31"/>
      <c r="X45" s="372"/>
      <c r="Y45" s="31"/>
      <c r="Z45" s="372"/>
      <c r="AA45" s="178"/>
      <c r="AB45" s="279"/>
      <c r="AC45" s="1380">
        <f t="shared" si="65"/>
        <v>0</v>
      </c>
      <c r="AD45" s="906">
        <f t="shared" si="66"/>
        <v>0</v>
      </c>
      <c r="AE45" s="794">
        <f t="shared" si="37"/>
        <v>0</v>
      </c>
      <c r="AF45" s="282">
        <f>SUM(BW45)*(1+M$64+Summary!P$64)</f>
        <v>0</v>
      </c>
      <c r="AG45" s="632" t="e">
        <f t="shared" si="1"/>
        <v>#DIV/0!</v>
      </c>
      <c r="AH45" s="1758">
        <f t="shared" si="38"/>
        <v>0</v>
      </c>
      <c r="AI45" s="769"/>
      <c r="AO45" s="702">
        <f t="shared" si="2"/>
        <v>0</v>
      </c>
      <c r="AP45" s="702">
        <f t="shared" si="39"/>
        <v>0</v>
      </c>
      <c r="AQ45" s="702">
        <f t="shared" si="3"/>
        <v>0</v>
      </c>
      <c r="AR45" s="702">
        <f t="shared" si="4"/>
        <v>0</v>
      </c>
      <c r="AS45" s="702">
        <f t="shared" si="5"/>
        <v>0</v>
      </c>
      <c r="AT45" s="702">
        <f t="shared" si="6"/>
        <v>0</v>
      </c>
      <c r="AU45" s="702">
        <f t="shared" si="7"/>
        <v>0</v>
      </c>
      <c r="AV45" s="1063">
        <f t="shared" si="40"/>
        <v>0</v>
      </c>
      <c r="AW45" s="1063">
        <f t="shared" si="8"/>
        <v>0</v>
      </c>
      <c r="AX45" s="702">
        <f t="shared" si="41"/>
        <v>0</v>
      </c>
      <c r="AY45" s="702">
        <f t="shared" si="9"/>
        <v>0</v>
      </c>
      <c r="AZ45" s="702">
        <f t="shared" si="10"/>
        <v>0</v>
      </c>
      <c r="BA45" s="702">
        <f t="shared" si="11"/>
        <v>0</v>
      </c>
      <c r="BB45" s="702">
        <f t="shared" si="12"/>
        <v>0</v>
      </c>
      <c r="BC45" s="702">
        <f t="shared" si="13"/>
        <v>0</v>
      </c>
      <c r="BD45" s="1063">
        <f t="shared" si="42"/>
        <v>0</v>
      </c>
      <c r="BE45" s="1064">
        <f t="shared" si="14"/>
        <v>0</v>
      </c>
      <c r="BF45" s="1063">
        <f t="shared" si="15"/>
        <v>0</v>
      </c>
      <c r="BG45" s="1065">
        <f t="shared" si="16"/>
        <v>0</v>
      </c>
      <c r="BH45" s="702">
        <f t="shared" si="17"/>
        <v>0</v>
      </c>
      <c r="BI45" s="1063">
        <f t="shared" si="43"/>
        <v>0</v>
      </c>
      <c r="BJ45" s="1063">
        <f t="shared" si="18"/>
        <v>0</v>
      </c>
      <c r="BK45" s="1063">
        <f t="shared" si="19"/>
        <v>0</v>
      </c>
      <c r="BL45" s="1063">
        <f t="shared" si="20"/>
        <v>0</v>
      </c>
      <c r="BM45" s="1063">
        <f t="shared" si="21"/>
        <v>0</v>
      </c>
      <c r="BN45" s="1064">
        <f t="shared" si="44"/>
        <v>0</v>
      </c>
      <c r="BO45" s="1761">
        <f t="shared" si="45"/>
        <v>0</v>
      </c>
      <c r="BP45" s="1063">
        <f t="shared" si="46"/>
        <v>0</v>
      </c>
      <c r="BQ45" s="1064">
        <f t="shared" si="22"/>
        <v>0</v>
      </c>
      <c r="BR45" s="1063">
        <f t="shared" si="23"/>
        <v>0</v>
      </c>
      <c r="BS45" s="1063">
        <f t="shared" si="47"/>
        <v>0</v>
      </c>
      <c r="BT45" s="1064">
        <f t="shared" si="24"/>
        <v>0</v>
      </c>
      <c r="BU45" s="1064">
        <f t="shared" si="25"/>
        <v>0</v>
      </c>
      <c r="BV45" s="1064">
        <f t="shared" si="48"/>
        <v>0</v>
      </c>
      <c r="BW45" s="1066">
        <f t="shared" si="49"/>
        <v>0</v>
      </c>
      <c r="BX45" s="1063">
        <f>(BI45*Pricing!F$2+BJ45*Pricing!G$2+BK45*Pricing!H$2+BL45*Pricing!I$2+BM45*Pricing!J$2+BN45*Pricing!K$2)*IF(AC$63="N",(1+AE$63),1)</f>
        <v>0</v>
      </c>
      <c r="BY45" s="1063">
        <f t="shared" si="50"/>
        <v>0</v>
      </c>
      <c r="BZ45" s="1063">
        <f t="shared" si="51"/>
        <v>0</v>
      </c>
      <c r="CA45" s="1063">
        <f t="shared" si="52"/>
        <v>0</v>
      </c>
      <c r="CB45" s="1067">
        <f t="shared" si="53"/>
        <v>0</v>
      </c>
      <c r="CD45" s="702">
        <f t="shared" si="54"/>
        <v>0</v>
      </c>
      <c r="CE45" s="1063">
        <f t="shared" si="26"/>
        <v>0</v>
      </c>
      <c r="CF45" s="1063">
        <f t="shared" si="27"/>
        <v>0</v>
      </c>
      <c r="CG45" s="1063">
        <f t="shared" si="28"/>
        <v>0</v>
      </c>
      <c r="CH45" s="702">
        <f t="shared" si="29"/>
        <v>0</v>
      </c>
      <c r="CI45" s="1063">
        <f t="shared" si="30"/>
        <v>0</v>
      </c>
      <c r="CJ45" s="702">
        <f t="shared" si="31"/>
        <v>0</v>
      </c>
      <c r="CK45" s="1063">
        <f t="shared" si="32"/>
        <v>0</v>
      </c>
      <c r="CL45" s="704">
        <f t="shared" si="33"/>
        <v>0</v>
      </c>
      <c r="CM45" s="702">
        <f t="shared" si="34"/>
        <v>0</v>
      </c>
      <c r="CO45" s="1061">
        <f t="shared" si="55"/>
        <v>0</v>
      </c>
      <c r="CP45" s="702">
        <f t="shared" si="56"/>
        <v>0</v>
      </c>
      <c r="CQ45" s="702">
        <f t="shared" si="57"/>
        <v>0</v>
      </c>
      <c r="CR45" s="702">
        <f t="shared" si="63"/>
        <v>0</v>
      </c>
      <c r="CS45" s="702">
        <f t="shared" si="58"/>
        <v>0</v>
      </c>
      <c r="CT45" s="702">
        <f t="shared" si="59"/>
        <v>0</v>
      </c>
      <c r="CU45" s="702">
        <f t="shared" si="60"/>
        <v>0</v>
      </c>
      <c r="CV45" s="1068">
        <f t="shared" si="35"/>
        <v>0</v>
      </c>
      <c r="CW45" s="1064">
        <f t="shared" si="61"/>
        <v>0</v>
      </c>
      <c r="FX45" s="701"/>
      <c r="FY45" s="701"/>
      <c r="FZ45" s="701"/>
      <c r="GA45" s="701"/>
      <c r="GB45" s="701"/>
      <c r="GC45" s="701"/>
      <c r="GD45" s="701"/>
      <c r="GE45" s="701"/>
      <c r="GF45" s="701"/>
      <c r="GG45" s="701"/>
      <c r="GH45" s="701"/>
      <c r="GI45" s="701"/>
      <c r="GJ45" s="701"/>
      <c r="GK45" s="701"/>
      <c r="GL45" s="701"/>
      <c r="GM45" s="701"/>
      <c r="GN45" s="701"/>
      <c r="GO45" s="701"/>
      <c r="GP45" s="701"/>
      <c r="GQ45" s="701"/>
      <c r="GR45" s="701"/>
      <c r="GS45" s="701"/>
      <c r="GT45" s="701"/>
      <c r="GU45" s="701"/>
      <c r="GV45" s="701"/>
      <c r="GW45" s="701"/>
      <c r="GX45" s="701"/>
      <c r="GY45" s="701"/>
      <c r="GZ45" s="701"/>
      <c r="HA45" s="701"/>
      <c r="HB45" s="701"/>
      <c r="HC45" s="701"/>
      <c r="HD45" s="701"/>
      <c r="HE45" s="701"/>
      <c r="HF45" s="701"/>
      <c r="HG45" s="701"/>
      <c r="HH45" s="701"/>
      <c r="HI45" s="701"/>
      <c r="HJ45" s="701"/>
      <c r="HK45" s="701"/>
      <c r="HL45" s="701"/>
      <c r="HM45" s="701"/>
      <c r="HN45" s="701"/>
      <c r="HO45" s="701"/>
      <c r="HP45" s="701"/>
      <c r="HQ45" s="701"/>
      <c r="HR45" s="701"/>
      <c r="HS45" s="701"/>
      <c r="HT45" s="701"/>
      <c r="HU45" s="701"/>
      <c r="HV45" s="701"/>
      <c r="HW45" s="701"/>
      <c r="HX45" s="701"/>
      <c r="HY45" s="701"/>
      <c r="HZ45" s="701"/>
      <c r="IA45" s="701"/>
    </row>
    <row r="46" spans="2:235" s="702" customFormat="1" ht="20.149999999999999" customHeight="1" x14ac:dyDescent="0.35">
      <c r="B46" s="395"/>
      <c r="C46" s="396"/>
      <c r="D46" s="1991"/>
      <c r="E46" s="1992"/>
      <c r="F46" s="97"/>
      <c r="G46" s="777"/>
      <c r="H46" s="32"/>
      <c r="I46" s="779"/>
      <c r="J46" s="283"/>
      <c r="K46" s="781"/>
      <c r="L46" s="32"/>
      <c r="M46" s="211"/>
      <c r="N46" s="397"/>
      <c r="O46" s="212"/>
      <c r="P46" s="211"/>
      <c r="Q46" s="32"/>
      <c r="R46" s="722"/>
      <c r="S46" s="180">
        <v>1</v>
      </c>
      <c r="T46" s="554">
        <f t="shared" si="64"/>
        <v>0</v>
      </c>
      <c r="U46" s="32">
        <v>2</v>
      </c>
      <c r="V46" s="371"/>
      <c r="W46" s="32"/>
      <c r="X46" s="371"/>
      <c r="Y46" s="32"/>
      <c r="Z46" s="371"/>
      <c r="AA46" s="180"/>
      <c r="AB46" s="280"/>
      <c r="AC46" s="1380">
        <f t="shared" si="65"/>
        <v>0</v>
      </c>
      <c r="AD46" s="906">
        <f t="shared" si="66"/>
        <v>0</v>
      </c>
      <c r="AE46" s="794">
        <f t="shared" si="37"/>
        <v>0</v>
      </c>
      <c r="AF46" s="282">
        <f>SUM(BW46)*(1+M$64+Summary!P$64)</f>
        <v>0</v>
      </c>
      <c r="AG46" s="632" t="e">
        <f t="shared" si="1"/>
        <v>#DIV/0!</v>
      </c>
      <c r="AH46" s="1758">
        <f t="shared" si="38"/>
        <v>0</v>
      </c>
      <c r="AI46" s="769"/>
      <c r="AO46" s="702">
        <f t="shared" si="2"/>
        <v>0</v>
      </c>
      <c r="AP46" s="702">
        <f t="shared" si="39"/>
        <v>0</v>
      </c>
      <c r="AQ46" s="702">
        <f t="shared" si="3"/>
        <v>0</v>
      </c>
      <c r="AR46" s="702">
        <f t="shared" si="4"/>
        <v>0</v>
      </c>
      <c r="AS46" s="702">
        <f t="shared" si="5"/>
        <v>0</v>
      </c>
      <c r="AT46" s="702">
        <f t="shared" si="6"/>
        <v>0</v>
      </c>
      <c r="AU46" s="702">
        <f t="shared" si="7"/>
        <v>0</v>
      </c>
      <c r="AV46" s="1063">
        <f t="shared" si="40"/>
        <v>0</v>
      </c>
      <c r="AW46" s="1063">
        <f t="shared" si="8"/>
        <v>0</v>
      </c>
      <c r="AX46" s="702">
        <f t="shared" si="41"/>
        <v>0</v>
      </c>
      <c r="AY46" s="702">
        <f t="shared" si="9"/>
        <v>0</v>
      </c>
      <c r="AZ46" s="702">
        <f t="shared" si="10"/>
        <v>0</v>
      </c>
      <c r="BA46" s="702">
        <f t="shared" si="11"/>
        <v>0</v>
      </c>
      <c r="BB46" s="702">
        <f t="shared" si="12"/>
        <v>0</v>
      </c>
      <c r="BC46" s="702">
        <f t="shared" si="13"/>
        <v>0</v>
      </c>
      <c r="BD46" s="1063">
        <f t="shared" si="42"/>
        <v>0</v>
      </c>
      <c r="BE46" s="1064">
        <f t="shared" si="14"/>
        <v>0</v>
      </c>
      <c r="BF46" s="1063">
        <f t="shared" si="15"/>
        <v>0</v>
      </c>
      <c r="BG46" s="1065">
        <f t="shared" si="16"/>
        <v>0</v>
      </c>
      <c r="BH46" s="702">
        <f t="shared" si="17"/>
        <v>0</v>
      </c>
      <c r="BI46" s="1063">
        <f t="shared" si="43"/>
        <v>0</v>
      </c>
      <c r="BJ46" s="1063">
        <f t="shared" si="18"/>
        <v>0</v>
      </c>
      <c r="BK46" s="1063">
        <f t="shared" si="19"/>
        <v>0</v>
      </c>
      <c r="BL46" s="1063">
        <f t="shared" si="20"/>
        <v>0</v>
      </c>
      <c r="BM46" s="1063">
        <f t="shared" si="21"/>
        <v>0</v>
      </c>
      <c r="BN46" s="1064">
        <f t="shared" si="44"/>
        <v>0</v>
      </c>
      <c r="BO46" s="1761">
        <f t="shared" si="45"/>
        <v>0</v>
      </c>
      <c r="BP46" s="1063">
        <f t="shared" si="46"/>
        <v>0</v>
      </c>
      <c r="BQ46" s="1064">
        <f t="shared" si="22"/>
        <v>0</v>
      </c>
      <c r="BR46" s="1063">
        <f t="shared" si="23"/>
        <v>0</v>
      </c>
      <c r="BS46" s="1063">
        <f t="shared" si="47"/>
        <v>0</v>
      </c>
      <c r="BT46" s="1064">
        <f t="shared" si="24"/>
        <v>0</v>
      </c>
      <c r="BU46" s="1064">
        <f t="shared" si="25"/>
        <v>0</v>
      </c>
      <c r="BV46" s="1064">
        <f t="shared" si="48"/>
        <v>0</v>
      </c>
      <c r="BW46" s="1066">
        <f t="shared" si="49"/>
        <v>0</v>
      </c>
      <c r="BX46" s="1063">
        <f>(BI46*Pricing!F$2+BJ46*Pricing!G$2+BK46*Pricing!H$2+BL46*Pricing!I$2+BM46*Pricing!J$2+BN46*Pricing!K$2)*IF(AC$63="N",(1+AE$63),1)</f>
        <v>0</v>
      </c>
      <c r="BY46" s="1063">
        <f t="shared" si="50"/>
        <v>0</v>
      </c>
      <c r="BZ46" s="1063">
        <f t="shared" si="51"/>
        <v>0</v>
      </c>
      <c r="CA46" s="1063">
        <f t="shared" si="52"/>
        <v>0</v>
      </c>
      <c r="CB46" s="1067">
        <f t="shared" si="53"/>
        <v>0</v>
      </c>
      <c r="CD46" s="702">
        <f t="shared" si="54"/>
        <v>0</v>
      </c>
      <c r="CE46" s="1063">
        <f t="shared" si="26"/>
        <v>0</v>
      </c>
      <c r="CF46" s="1063">
        <f t="shared" si="27"/>
        <v>0</v>
      </c>
      <c r="CG46" s="1063">
        <f t="shared" si="28"/>
        <v>0</v>
      </c>
      <c r="CH46" s="702">
        <f t="shared" si="29"/>
        <v>0</v>
      </c>
      <c r="CI46" s="1063">
        <f t="shared" si="30"/>
        <v>0</v>
      </c>
      <c r="CJ46" s="702">
        <f t="shared" si="31"/>
        <v>0</v>
      </c>
      <c r="CK46" s="1063">
        <f t="shared" si="32"/>
        <v>0</v>
      </c>
      <c r="CL46" s="704">
        <f t="shared" si="33"/>
        <v>0</v>
      </c>
      <c r="CM46" s="702">
        <f t="shared" si="34"/>
        <v>0</v>
      </c>
      <c r="CO46" s="1061">
        <f t="shared" si="55"/>
        <v>0</v>
      </c>
      <c r="CP46" s="702">
        <f t="shared" si="56"/>
        <v>0</v>
      </c>
      <c r="CQ46" s="702">
        <f t="shared" si="57"/>
        <v>0</v>
      </c>
      <c r="CR46" s="702">
        <f t="shared" si="63"/>
        <v>0</v>
      </c>
      <c r="CS46" s="702">
        <f t="shared" si="58"/>
        <v>0</v>
      </c>
      <c r="CT46" s="702">
        <f t="shared" si="59"/>
        <v>0</v>
      </c>
      <c r="CU46" s="702">
        <f t="shared" si="60"/>
        <v>0</v>
      </c>
      <c r="CV46" s="1068">
        <f t="shared" si="35"/>
        <v>0</v>
      </c>
      <c r="CW46" s="1064">
        <f t="shared" si="61"/>
        <v>0</v>
      </c>
      <c r="FX46" s="701"/>
      <c r="FY46" s="701"/>
      <c r="FZ46" s="701"/>
      <c r="GA46" s="701"/>
      <c r="GB46" s="701"/>
      <c r="GC46" s="701"/>
      <c r="GD46" s="701"/>
      <c r="GE46" s="701"/>
      <c r="GF46" s="701"/>
      <c r="GG46" s="701"/>
      <c r="GH46" s="701"/>
      <c r="GI46" s="701"/>
      <c r="GJ46" s="701"/>
      <c r="GK46" s="701"/>
      <c r="GL46" s="701"/>
      <c r="GM46" s="701"/>
      <c r="GN46" s="701"/>
      <c r="GO46" s="701"/>
      <c r="GP46" s="701"/>
      <c r="GQ46" s="701"/>
      <c r="GR46" s="701"/>
      <c r="GS46" s="701"/>
      <c r="GT46" s="701"/>
      <c r="GU46" s="701"/>
      <c r="GV46" s="701"/>
      <c r="GW46" s="701"/>
      <c r="GX46" s="701"/>
      <c r="GY46" s="701"/>
      <c r="GZ46" s="701"/>
      <c r="HA46" s="701"/>
      <c r="HB46" s="701"/>
      <c r="HC46" s="701"/>
      <c r="HD46" s="701"/>
      <c r="HE46" s="701"/>
      <c r="HF46" s="701"/>
      <c r="HG46" s="701"/>
      <c r="HH46" s="701"/>
      <c r="HI46" s="701"/>
      <c r="HJ46" s="701"/>
      <c r="HK46" s="701"/>
      <c r="HL46" s="701"/>
      <c r="HM46" s="701"/>
      <c r="HN46" s="701"/>
      <c r="HO46" s="701"/>
      <c r="HP46" s="701"/>
      <c r="HQ46" s="701"/>
      <c r="HR46" s="701"/>
      <c r="HS46" s="701"/>
      <c r="HT46" s="701"/>
      <c r="HU46" s="701"/>
      <c r="HV46" s="701"/>
      <c r="HW46" s="701"/>
      <c r="HX46" s="701"/>
      <c r="HY46" s="701"/>
      <c r="HZ46" s="701"/>
      <c r="IA46" s="701"/>
    </row>
    <row r="47" spans="2:235" s="702" customFormat="1" ht="20.149999999999999" customHeight="1" x14ac:dyDescent="0.35">
      <c r="B47" s="603"/>
      <c r="C47" s="396"/>
      <c r="D47" s="2001"/>
      <c r="E47" s="2002"/>
      <c r="F47" s="127"/>
      <c r="G47" s="777"/>
      <c r="H47" s="30"/>
      <c r="I47" s="777"/>
      <c r="J47" s="284"/>
      <c r="K47" s="781"/>
      <c r="L47" s="30"/>
      <c r="M47" s="121"/>
      <c r="N47" s="394"/>
      <c r="O47" s="207"/>
      <c r="P47" s="206"/>
      <c r="Q47" s="31"/>
      <c r="R47" s="723"/>
      <c r="S47" s="176">
        <v>1</v>
      </c>
      <c r="T47" s="555">
        <f t="shared" si="64"/>
        <v>0</v>
      </c>
      <c r="U47" s="30">
        <v>2</v>
      </c>
      <c r="V47" s="370"/>
      <c r="W47" s="30"/>
      <c r="X47" s="370"/>
      <c r="Y47" s="30"/>
      <c r="Z47" s="370"/>
      <c r="AA47" s="176"/>
      <c r="AB47" s="278"/>
      <c r="AC47" s="1380">
        <f t="shared" si="65"/>
        <v>0</v>
      </c>
      <c r="AD47" s="906">
        <f t="shared" si="66"/>
        <v>0</v>
      </c>
      <c r="AE47" s="794">
        <f t="shared" si="37"/>
        <v>0</v>
      </c>
      <c r="AF47" s="282">
        <f>SUM(BW47)*(1+M$64+Summary!P$64)</f>
        <v>0</v>
      </c>
      <c r="AG47" s="632" t="e">
        <f t="shared" si="1"/>
        <v>#DIV/0!</v>
      </c>
      <c r="AH47" s="1758">
        <f t="shared" si="38"/>
        <v>0</v>
      </c>
      <c r="AI47" s="769"/>
      <c r="AO47" s="702">
        <f t="shared" si="2"/>
        <v>0</v>
      </c>
      <c r="AP47" s="702">
        <f t="shared" si="39"/>
        <v>0</v>
      </c>
      <c r="AQ47" s="702">
        <f t="shared" si="3"/>
        <v>0</v>
      </c>
      <c r="AR47" s="702">
        <f t="shared" si="4"/>
        <v>0</v>
      </c>
      <c r="AS47" s="702">
        <f t="shared" si="5"/>
        <v>0</v>
      </c>
      <c r="AT47" s="702">
        <f t="shared" si="6"/>
        <v>0</v>
      </c>
      <c r="AU47" s="702">
        <f t="shared" si="7"/>
        <v>0</v>
      </c>
      <c r="AV47" s="1063">
        <f t="shared" si="40"/>
        <v>0</v>
      </c>
      <c r="AW47" s="1063">
        <f t="shared" si="8"/>
        <v>0</v>
      </c>
      <c r="AX47" s="702">
        <f t="shared" si="41"/>
        <v>0</v>
      </c>
      <c r="AY47" s="702">
        <f t="shared" si="9"/>
        <v>0</v>
      </c>
      <c r="AZ47" s="702">
        <f t="shared" si="10"/>
        <v>0</v>
      </c>
      <c r="BA47" s="702">
        <f t="shared" si="11"/>
        <v>0</v>
      </c>
      <c r="BB47" s="702">
        <f t="shared" si="12"/>
        <v>0</v>
      </c>
      <c r="BC47" s="702">
        <f t="shared" si="13"/>
        <v>0</v>
      </c>
      <c r="BD47" s="1063">
        <f t="shared" si="42"/>
        <v>0</v>
      </c>
      <c r="BE47" s="1064">
        <f t="shared" si="14"/>
        <v>0</v>
      </c>
      <c r="BF47" s="1063">
        <f t="shared" si="15"/>
        <v>0</v>
      </c>
      <c r="BG47" s="1065">
        <f t="shared" si="16"/>
        <v>0</v>
      </c>
      <c r="BH47" s="702">
        <f t="shared" si="17"/>
        <v>0</v>
      </c>
      <c r="BI47" s="1063">
        <f t="shared" si="43"/>
        <v>0</v>
      </c>
      <c r="BJ47" s="1063">
        <f t="shared" si="18"/>
        <v>0</v>
      </c>
      <c r="BK47" s="1063">
        <f t="shared" si="19"/>
        <v>0</v>
      </c>
      <c r="BL47" s="1063">
        <f t="shared" si="20"/>
        <v>0</v>
      </c>
      <c r="BM47" s="1063">
        <f t="shared" si="21"/>
        <v>0</v>
      </c>
      <c r="BN47" s="1064">
        <f t="shared" si="44"/>
        <v>0</v>
      </c>
      <c r="BO47" s="1761">
        <f t="shared" si="45"/>
        <v>0</v>
      </c>
      <c r="BP47" s="1063">
        <f t="shared" si="46"/>
        <v>0</v>
      </c>
      <c r="BQ47" s="1064">
        <f t="shared" si="22"/>
        <v>0</v>
      </c>
      <c r="BR47" s="1063">
        <f t="shared" si="23"/>
        <v>0</v>
      </c>
      <c r="BS47" s="1063">
        <f t="shared" si="47"/>
        <v>0</v>
      </c>
      <c r="BT47" s="1064">
        <f t="shared" si="24"/>
        <v>0</v>
      </c>
      <c r="BU47" s="1064">
        <f t="shared" si="25"/>
        <v>0</v>
      </c>
      <c r="BV47" s="1064">
        <f t="shared" si="48"/>
        <v>0</v>
      </c>
      <c r="BW47" s="1066">
        <f t="shared" si="49"/>
        <v>0</v>
      </c>
      <c r="BX47" s="1063">
        <f>(BI47*Pricing!F$2+BJ47*Pricing!G$2+BK47*Pricing!H$2+BL47*Pricing!I$2+BM47*Pricing!J$2+BN47*Pricing!K$2)*IF(AC$63="N",(1+AE$63),1)</f>
        <v>0</v>
      </c>
      <c r="BY47" s="1063">
        <f t="shared" si="50"/>
        <v>0</v>
      </c>
      <c r="BZ47" s="1063">
        <f t="shared" si="51"/>
        <v>0</v>
      </c>
      <c r="CA47" s="1063">
        <f t="shared" si="52"/>
        <v>0</v>
      </c>
      <c r="CB47" s="1067">
        <f t="shared" si="53"/>
        <v>0</v>
      </c>
      <c r="CD47" s="702">
        <f t="shared" si="54"/>
        <v>0</v>
      </c>
      <c r="CE47" s="1063">
        <f t="shared" si="26"/>
        <v>0</v>
      </c>
      <c r="CF47" s="1063">
        <f t="shared" si="27"/>
        <v>0</v>
      </c>
      <c r="CG47" s="1063">
        <f t="shared" si="28"/>
        <v>0</v>
      </c>
      <c r="CH47" s="702">
        <f t="shared" si="29"/>
        <v>0</v>
      </c>
      <c r="CI47" s="1063">
        <f t="shared" si="30"/>
        <v>0</v>
      </c>
      <c r="CJ47" s="702">
        <f t="shared" si="31"/>
        <v>0</v>
      </c>
      <c r="CK47" s="1063">
        <f t="shared" si="32"/>
        <v>0</v>
      </c>
      <c r="CL47" s="704">
        <f t="shared" si="33"/>
        <v>0</v>
      </c>
      <c r="CM47" s="702">
        <f t="shared" si="34"/>
        <v>0</v>
      </c>
      <c r="CO47" s="1061">
        <f t="shared" si="55"/>
        <v>0</v>
      </c>
      <c r="CP47" s="702">
        <f t="shared" si="56"/>
        <v>0</v>
      </c>
      <c r="CQ47" s="702">
        <f t="shared" si="57"/>
        <v>0</v>
      </c>
      <c r="CR47" s="702">
        <f t="shared" si="63"/>
        <v>0</v>
      </c>
      <c r="CS47" s="702">
        <f t="shared" si="58"/>
        <v>0</v>
      </c>
      <c r="CT47" s="702">
        <f t="shared" si="59"/>
        <v>0</v>
      </c>
      <c r="CU47" s="702">
        <f t="shared" si="60"/>
        <v>0</v>
      </c>
      <c r="CV47" s="1068">
        <f t="shared" si="35"/>
        <v>0</v>
      </c>
      <c r="CW47" s="1064">
        <f t="shared" si="61"/>
        <v>0</v>
      </c>
      <c r="FX47" s="701"/>
      <c r="FY47" s="701"/>
      <c r="FZ47" s="701"/>
      <c r="GA47" s="701"/>
      <c r="GB47" s="701"/>
      <c r="GC47" s="701"/>
      <c r="GD47" s="701"/>
      <c r="GE47" s="701"/>
      <c r="GF47" s="701"/>
      <c r="GG47" s="701"/>
      <c r="GH47" s="701"/>
      <c r="GI47" s="701"/>
      <c r="GJ47" s="701"/>
      <c r="GK47" s="701"/>
      <c r="GL47" s="701"/>
      <c r="GM47" s="701"/>
      <c r="GN47" s="701"/>
      <c r="GO47" s="701"/>
      <c r="GP47" s="701"/>
      <c r="GQ47" s="701"/>
      <c r="GR47" s="701"/>
      <c r="GS47" s="701"/>
      <c r="GT47" s="701"/>
      <c r="GU47" s="701"/>
      <c r="GV47" s="701"/>
      <c r="GW47" s="701"/>
      <c r="GX47" s="701"/>
      <c r="GY47" s="701"/>
      <c r="GZ47" s="701"/>
      <c r="HA47" s="701"/>
      <c r="HB47" s="701"/>
      <c r="HC47" s="701"/>
      <c r="HD47" s="701"/>
      <c r="HE47" s="701"/>
      <c r="HF47" s="701"/>
      <c r="HG47" s="701"/>
      <c r="HH47" s="701"/>
      <c r="HI47" s="701"/>
      <c r="HJ47" s="701"/>
      <c r="HK47" s="701"/>
      <c r="HL47" s="701"/>
      <c r="HM47" s="701"/>
      <c r="HN47" s="701"/>
      <c r="HO47" s="701"/>
      <c r="HP47" s="701"/>
      <c r="HQ47" s="701"/>
      <c r="HR47" s="701"/>
      <c r="HS47" s="701"/>
      <c r="HT47" s="701"/>
      <c r="HU47" s="701"/>
      <c r="HV47" s="701"/>
      <c r="HW47" s="701"/>
      <c r="HX47" s="701"/>
      <c r="HY47" s="701"/>
      <c r="HZ47" s="701"/>
      <c r="IA47" s="701"/>
    </row>
    <row r="48" spans="2:235" s="702" customFormat="1" ht="20.149999999999999" customHeight="1" thickBot="1" x14ac:dyDescent="0.4">
      <c r="B48" s="1753"/>
      <c r="C48" s="399"/>
      <c r="D48" s="1993"/>
      <c r="E48" s="1994"/>
      <c r="F48" s="129"/>
      <c r="G48" s="778"/>
      <c r="H48" s="33"/>
      <c r="I48" s="780"/>
      <c r="J48" s="285"/>
      <c r="K48" s="782"/>
      <c r="L48" s="33"/>
      <c r="M48" s="128"/>
      <c r="N48" s="400"/>
      <c r="O48" s="221"/>
      <c r="P48" s="128"/>
      <c r="Q48" s="33"/>
      <c r="R48" s="724"/>
      <c r="S48" s="182">
        <v>1</v>
      </c>
      <c r="T48" s="624">
        <f t="shared" si="64"/>
        <v>0</v>
      </c>
      <c r="U48" s="33">
        <v>2</v>
      </c>
      <c r="V48" s="373"/>
      <c r="W48" s="33"/>
      <c r="X48" s="373"/>
      <c r="Y48" s="33"/>
      <c r="Z48" s="373"/>
      <c r="AA48" s="182"/>
      <c r="AB48" s="281"/>
      <c r="AC48" s="1447">
        <f>IF(BG48=0,0,SUM(BD48:BE48)/BG48)</f>
        <v>0</v>
      </c>
      <c r="AD48" s="1383">
        <f t="shared" si="36"/>
        <v>0</v>
      </c>
      <c r="AE48" s="795">
        <f t="shared" si="37"/>
        <v>0</v>
      </c>
      <c r="AF48" s="512">
        <f>SUM(BW48)*(1+M$64+Summary!P$64)</f>
        <v>0</v>
      </c>
      <c r="AG48" s="633" t="e">
        <f t="shared" si="1"/>
        <v>#DIV/0!</v>
      </c>
      <c r="AH48" s="1759">
        <f t="shared" si="38"/>
        <v>0</v>
      </c>
      <c r="AI48" s="769"/>
      <c r="AO48" s="702">
        <f t="shared" si="2"/>
        <v>0</v>
      </c>
      <c r="AP48" s="702">
        <f t="shared" si="39"/>
        <v>0</v>
      </c>
      <c r="AQ48" s="702">
        <f t="shared" si="3"/>
        <v>0</v>
      </c>
      <c r="AR48" s="702">
        <f t="shared" si="4"/>
        <v>0</v>
      </c>
      <c r="AS48" s="702">
        <f t="shared" si="5"/>
        <v>0</v>
      </c>
      <c r="AT48" s="702">
        <f t="shared" si="6"/>
        <v>0</v>
      </c>
      <c r="AU48" s="702">
        <f t="shared" si="7"/>
        <v>0</v>
      </c>
      <c r="AV48" s="1063">
        <f t="shared" si="40"/>
        <v>0</v>
      </c>
      <c r="AW48" s="1063">
        <f t="shared" si="8"/>
        <v>0</v>
      </c>
      <c r="AX48" s="702">
        <f t="shared" si="41"/>
        <v>0</v>
      </c>
      <c r="AY48" s="702">
        <f t="shared" si="9"/>
        <v>0</v>
      </c>
      <c r="AZ48" s="702">
        <f t="shared" si="10"/>
        <v>0</v>
      </c>
      <c r="BA48" s="702">
        <f t="shared" si="11"/>
        <v>0</v>
      </c>
      <c r="BB48" s="702">
        <f t="shared" si="12"/>
        <v>0</v>
      </c>
      <c r="BC48" s="702">
        <f t="shared" si="13"/>
        <v>0</v>
      </c>
      <c r="BD48" s="1063">
        <f t="shared" si="42"/>
        <v>0</v>
      </c>
      <c r="BE48" s="1064">
        <f t="shared" si="14"/>
        <v>0</v>
      </c>
      <c r="BF48" s="1063">
        <f t="shared" si="15"/>
        <v>0</v>
      </c>
      <c r="BG48" s="1065">
        <f t="shared" si="16"/>
        <v>0</v>
      </c>
      <c r="BH48" s="702">
        <f t="shared" si="17"/>
        <v>0</v>
      </c>
      <c r="BI48" s="1063">
        <f t="shared" si="43"/>
        <v>0</v>
      </c>
      <c r="BJ48" s="1063">
        <f t="shared" si="18"/>
        <v>0</v>
      </c>
      <c r="BK48" s="1063">
        <f t="shared" si="19"/>
        <v>0</v>
      </c>
      <c r="BL48" s="1063">
        <f t="shared" si="20"/>
        <v>0</v>
      </c>
      <c r="BM48" s="1063">
        <f t="shared" si="21"/>
        <v>0</v>
      </c>
      <c r="BN48" s="1064">
        <f t="shared" si="44"/>
        <v>0</v>
      </c>
      <c r="BO48" s="1761">
        <f t="shared" si="45"/>
        <v>0</v>
      </c>
      <c r="BP48" s="1063">
        <f t="shared" si="46"/>
        <v>0</v>
      </c>
      <c r="BQ48" s="1064">
        <f t="shared" si="22"/>
        <v>0</v>
      </c>
      <c r="BR48" s="1063">
        <f t="shared" si="23"/>
        <v>0</v>
      </c>
      <c r="BS48" s="1063">
        <f t="shared" si="47"/>
        <v>0</v>
      </c>
      <c r="BT48" s="1064">
        <f t="shared" si="24"/>
        <v>0</v>
      </c>
      <c r="BU48" s="1064">
        <f t="shared" si="25"/>
        <v>0</v>
      </c>
      <c r="BV48" s="1064">
        <f t="shared" si="48"/>
        <v>0</v>
      </c>
      <c r="BW48" s="1066">
        <f t="shared" si="49"/>
        <v>0</v>
      </c>
      <c r="BX48" s="1063">
        <f>(BI48*Pricing!F$2+BJ48*Pricing!G$2+BK48*Pricing!H$2+BL48*Pricing!I$2+BM48*Pricing!J$2+BN48*Pricing!K$2)*IF(AC$63="N",(1+AE$63),1)</f>
        <v>0</v>
      </c>
      <c r="BY48" s="1063">
        <f t="shared" si="50"/>
        <v>0</v>
      </c>
      <c r="BZ48" s="1063">
        <f t="shared" si="51"/>
        <v>0</v>
      </c>
      <c r="CA48" s="1063">
        <f t="shared" si="52"/>
        <v>0</v>
      </c>
      <c r="CB48" s="1067">
        <f t="shared" si="53"/>
        <v>0</v>
      </c>
      <c r="CD48" s="702">
        <f t="shared" si="54"/>
        <v>0</v>
      </c>
      <c r="CE48" s="1063">
        <f t="shared" si="26"/>
        <v>0</v>
      </c>
      <c r="CF48" s="1063">
        <f t="shared" si="27"/>
        <v>0</v>
      </c>
      <c r="CG48" s="1063">
        <f t="shared" si="28"/>
        <v>0</v>
      </c>
      <c r="CH48" s="702">
        <f t="shared" si="29"/>
        <v>0</v>
      </c>
      <c r="CI48" s="1063">
        <f t="shared" si="30"/>
        <v>0</v>
      </c>
      <c r="CJ48" s="702">
        <f t="shared" si="31"/>
        <v>0</v>
      </c>
      <c r="CK48" s="1063">
        <f t="shared" si="32"/>
        <v>0</v>
      </c>
      <c r="CL48" s="704">
        <f t="shared" si="33"/>
        <v>0</v>
      </c>
      <c r="CM48" s="702">
        <f t="shared" si="34"/>
        <v>0</v>
      </c>
      <c r="CO48" s="1061">
        <f t="shared" si="55"/>
        <v>0</v>
      </c>
      <c r="CP48" s="702">
        <f t="shared" si="56"/>
        <v>0</v>
      </c>
      <c r="CQ48" s="702">
        <f t="shared" si="57"/>
        <v>0</v>
      </c>
      <c r="CR48" s="702">
        <f t="shared" si="63"/>
        <v>0</v>
      </c>
      <c r="CS48" s="702">
        <f t="shared" si="58"/>
        <v>0</v>
      </c>
      <c r="CT48" s="702">
        <f t="shared" si="59"/>
        <v>0</v>
      </c>
      <c r="CU48" s="702">
        <f t="shared" si="60"/>
        <v>0</v>
      </c>
      <c r="CV48" s="1068">
        <f t="shared" si="35"/>
        <v>0</v>
      </c>
      <c r="CW48" s="1064">
        <f t="shared" si="61"/>
        <v>0</v>
      </c>
      <c r="FX48" s="701"/>
      <c r="FY48" s="701"/>
      <c r="FZ48" s="701"/>
      <c r="GA48" s="701"/>
      <c r="GB48" s="701"/>
      <c r="GC48" s="701"/>
      <c r="GD48" s="701"/>
      <c r="GE48" s="701"/>
      <c r="GF48" s="701"/>
      <c r="GG48" s="701"/>
      <c r="GH48" s="701"/>
      <c r="GI48" s="701"/>
      <c r="GJ48" s="701"/>
      <c r="GK48" s="701"/>
      <c r="GL48" s="701"/>
      <c r="GM48" s="701"/>
      <c r="GN48" s="701"/>
      <c r="GO48" s="701"/>
      <c r="GP48" s="701"/>
      <c r="GQ48" s="701"/>
      <c r="GR48" s="701"/>
      <c r="GS48" s="701"/>
      <c r="GT48" s="701"/>
      <c r="GU48" s="701"/>
      <c r="GV48" s="701"/>
      <c r="GW48" s="701"/>
      <c r="GX48" s="701"/>
      <c r="GY48" s="701"/>
      <c r="GZ48" s="701"/>
      <c r="HA48" s="701"/>
      <c r="HB48" s="701"/>
      <c r="HC48" s="701"/>
      <c r="HD48" s="701"/>
      <c r="HE48" s="701"/>
      <c r="HF48" s="701"/>
      <c r="HG48" s="701"/>
      <c r="HH48" s="701"/>
      <c r="HI48" s="701"/>
      <c r="HJ48" s="701"/>
      <c r="HK48" s="701"/>
      <c r="HL48" s="701"/>
      <c r="HM48" s="701"/>
      <c r="HN48" s="701"/>
      <c r="HO48" s="701"/>
      <c r="HP48" s="701"/>
      <c r="HQ48" s="701"/>
      <c r="HR48" s="701"/>
      <c r="HS48" s="701"/>
      <c r="HT48" s="701"/>
      <c r="HU48" s="701"/>
      <c r="HV48" s="701"/>
      <c r="HW48" s="701"/>
      <c r="HX48" s="701"/>
      <c r="HY48" s="701"/>
      <c r="HZ48" s="701"/>
      <c r="IA48" s="701"/>
    </row>
    <row r="49" spans="2:238" s="702" customFormat="1" ht="34.5" customHeight="1" thickBot="1" x14ac:dyDescent="0.4">
      <c r="B49" s="42"/>
      <c r="C49" s="363" t="s">
        <v>724</v>
      </c>
      <c r="D49" s="1983">
        <f>SUM(BT49)</f>
        <v>0</v>
      </c>
      <c r="E49" s="1984"/>
      <c r="F49" s="42"/>
      <c r="G49" s="57">
        <f>SUM(G11:G48)</f>
        <v>0</v>
      </c>
      <c r="H49" s="298"/>
      <c r="I49" s="298"/>
      <c r="J49" s="298"/>
      <c r="K49" s="541">
        <f>SUM(K11:K48)</f>
        <v>0</v>
      </c>
      <c r="L49" s="298"/>
      <c r="M49" s="298"/>
      <c r="N49" s="298"/>
      <c r="O49" s="298"/>
      <c r="P49" s="345">
        <f>SUM(P11:P48)</f>
        <v>0</v>
      </c>
      <c r="Q49" s="345"/>
      <c r="R49" s="345">
        <f t="shared" ref="R49" si="67">SUM(R11:R48)</f>
        <v>0</v>
      </c>
      <c r="S49" s="306"/>
      <c r="T49" s="376"/>
      <c r="U49" s="298"/>
      <c r="V49" s="299"/>
      <c r="W49" s="298"/>
      <c r="X49" s="299"/>
      <c r="Y49" s="298"/>
      <c r="Z49" s="299"/>
      <c r="AA49" s="1921" t="s">
        <v>729</v>
      </c>
      <c r="AB49" s="1922"/>
      <c r="AC49" s="304"/>
      <c r="AD49" s="299"/>
      <c r="AE49" s="299"/>
      <c r="AF49" s="1756">
        <f>AG49-AH49</f>
        <v>0</v>
      </c>
      <c r="AG49" s="1816">
        <f>E64</f>
        <v>0</v>
      </c>
      <c r="AH49" s="1754">
        <f>SUM(AH11:AH48)</f>
        <v>0</v>
      </c>
      <c r="AI49" s="769"/>
      <c r="AV49" s="702">
        <f>SUM(AV11:AV48)</f>
        <v>0</v>
      </c>
      <c r="BB49" s="702">
        <f>SUM(BB11:BB48)</f>
        <v>0</v>
      </c>
      <c r="BC49" s="702">
        <f>SUM(BC11:BC48)</f>
        <v>0</v>
      </c>
      <c r="BD49" s="1064">
        <f>SUM(BD11:BD48)</f>
        <v>0</v>
      </c>
      <c r="BE49" s="1063">
        <f>SUM(BE11:BE48)</f>
        <v>0</v>
      </c>
      <c r="BF49" s="702">
        <f>SUM(BF11:BF48)</f>
        <v>0</v>
      </c>
      <c r="BG49" s="1065">
        <f>SUM(BG11:BG48)/2</f>
        <v>0</v>
      </c>
      <c r="BH49" s="1065">
        <f>SUM(BH11:BH48)</f>
        <v>0</v>
      </c>
      <c r="BI49" s="1069">
        <f>SUM(BI11:BI48)</f>
        <v>0</v>
      </c>
      <c r="BJ49" s="1069">
        <f t="shared" ref="BJ49:BU49" si="68">SUM(BJ11:BJ48)</f>
        <v>0</v>
      </c>
      <c r="BK49" s="1069">
        <f t="shared" si="68"/>
        <v>0</v>
      </c>
      <c r="BL49" s="1069">
        <f t="shared" si="68"/>
        <v>0</v>
      </c>
      <c r="BM49" s="1069">
        <f t="shared" si="68"/>
        <v>0</v>
      </c>
      <c r="BN49" s="1069">
        <f t="shared" si="68"/>
        <v>0</v>
      </c>
      <c r="BO49" s="1761">
        <f t="shared" si="68"/>
        <v>0</v>
      </c>
      <c r="BP49" s="1069">
        <f t="shared" si="68"/>
        <v>0</v>
      </c>
      <c r="BQ49" s="1069">
        <f t="shared" si="68"/>
        <v>0</v>
      </c>
      <c r="BR49" s="1069">
        <f>SUM(BR11:BS48)</f>
        <v>0</v>
      </c>
      <c r="BS49" s="1069"/>
      <c r="BT49" s="1069">
        <f t="shared" si="68"/>
        <v>0</v>
      </c>
      <c r="BU49" s="1069">
        <f t="shared" si="68"/>
        <v>0</v>
      </c>
      <c r="BV49" s="1064">
        <f>SUM(BV11:BV48)</f>
        <v>0</v>
      </c>
      <c r="BW49" s="1069"/>
      <c r="BX49" s="1069">
        <f t="shared" ref="BX49:CN49" si="69">SUM(BX11:BX48)</f>
        <v>0</v>
      </c>
      <c r="BY49" s="1069">
        <f t="shared" si="69"/>
        <v>0</v>
      </c>
      <c r="BZ49" s="1069">
        <f t="shared" si="69"/>
        <v>0</v>
      </c>
      <c r="CA49" s="1069">
        <f t="shared" si="69"/>
        <v>0</v>
      </c>
      <c r="CB49" s="1069">
        <f t="shared" si="69"/>
        <v>0</v>
      </c>
      <c r="CC49" s="1069">
        <f t="shared" si="69"/>
        <v>0</v>
      </c>
      <c r="CD49" s="1069">
        <f t="shared" si="69"/>
        <v>0</v>
      </c>
      <c r="CE49" s="1069">
        <f t="shared" si="69"/>
        <v>0</v>
      </c>
      <c r="CF49" s="1069">
        <f t="shared" si="69"/>
        <v>0</v>
      </c>
      <c r="CG49" s="1069">
        <f t="shared" si="69"/>
        <v>0</v>
      </c>
      <c r="CH49" s="1069">
        <f t="shared" si="69"/>
        <v>0</v>
      </c>
      <c r="CI49" s="1069">
        <f t="shared" si="69"/>
        <v>0</v>
      </c>
      <c r="CJ49" s="1069">
        <f t="shared" si="69"/>
        <v>0</v>
      </c>
      <c r="CK49" s="1069">
        <f t="shared" si="69"/>
        <v>0</v>
      </c>
      <c r="CL49" s="1069">
        <f t="shared" si="69"/>
        <v>0</v>
      </c>
      <c r="CM49" s="1069">
        <f t="shared" si="69"/>
        <v>0</v>
      </c>
      <c r="CN49" s="1069">
        <f t="shared" si="69"/>
        <v>0</v>
      </c>
      <c r="CO49" s="1752">
        <f>SUM(CO11:CO48)</f>
        <v>0</v>
      </c>
      <c r="CP49" s="1752">
        <f t="shared" ref="CP49:CV49" si="70">SUM(CP11:CP48)</f>
        <v>0</v>
      </c>
      <c r="CQ49" s="1752">
        <f t="shared" si="70"/>
        <v>0</v>
      </c>
      <c r="CR49" s="1752">
        <f t="shared" si="70"/>
        <v>0</v>
      </c>
      <c r="CS49" s="1752">
        <f t="shared" si="70"/>
        <v>0</v>
      </c>
      <c r="CT49" s="1752">
        <f t="shared" si="70"/>
        <v>0</v>
      </c>
      <c r="CU49" s="1752">
        <f t="shared" si="70"/>
        <v>0</v>
      </c>
      <c r="CV49" s="1752">
        <f t="shared" si="70"/>
        <v>0</v>
      </c>
      <c r="CW49" s="1064">
        <f>SUM(CW11:CW48)</f>
        <v>0</v>
      </c>
      <c r="FZ49" s="769"/>
      <c r="GA49" s="769"/>
      <c r="GB49" s="769"/>
      <c r="GC49" s="769"/>
      <c r="GD49" s="769"/>
      <c r="GE49" s="769"/>
      <c r="GF49" s="769"/>
      <c r="GG49" s="769"/>
      <c r="GH49" s="769"/>
      <c r="GI49" s="769"/>
      <c r="GJ49" s="769"/>
      <c r="GK49" s="769"/>
      <c r="GL49" s="769"/>
      <c r="GM49" s="769"/>
      <c r="GN49" s="769"/>
      <c r="GO49" s="769"/>
      <c r="GP49" s="769"/>
      <c r="GQ49" s="769"/>
      <c r="GR49" s="769"/>
      <c r="GS49" s="769"/>
      <c r="GT49" s="769"/>
      <c r="GU49" s="769"/>
      <c r="GV49" s="769"/>
      <c r="GW49" s="769"/>
      <c r="GX49" s="769"/>
      <c r="GY49" s="769"/>
      <c r="GZ49" s="769"/>
      <c r="HA49" s="769"/>
      <c r="HB49" s="769"/>
      <c r="HC49" s="769"/>
      <c r="HD49" s="769"/>
      <c r="HE49" s="769"/>
      <c r="HF49" s="769"/>
      <c r="HG49" s="769"/>
      <c r="HH49" s="769"/>
      <c r="HI49" s="769"/>
      <c r="HJ49" s="769"/>
      <c r="HK49" s="769"/>
      <c r="HL49" s="769"/>
      <c r="HM49" s="769"/>
      <c r="HN49" s="769"/>
      <c r="HO49" s="769"/>
      <c r="HP49" s="769"/>
      <c r="HQ49" s="769"/>
      <c r="HR49" s="769"/>
      <c r="HS49" s="769"/>
      <c r="HT49" s="769"/>
      <c r="HU49" s="769"/>
      <c r="HV49" s="769"/>
      <c r="HW49" s="769"/>
      <c r="HX49" s="769"/>
      <c r="HY49" s="769"/>
      <c r="HZ49" s="769"/>
      <c r="IA49" s="769"/>
      <c r="IB49" s="769"/>
      <c r="IC49" s="769"/>
    </row>
    <row r="50" spans="2:238" s="702" customFormat="1" ht="29.25" customHeight="1" thickBot="1" x14ac:dyDescent="0.4">
      <c r="B50" s="2116" t="s">
        <v>495</v>
      </c>
      <c r="C50" s="1173" t="s">
        <v>65</v>
      </c>
      <c r="D50" s="1174"/>
      <c r="E50" s="1931" t="s">
        <v>289</v>
      </c>
      <c r="F50" s="1982"/>
      <c r="G50" s="1931" t="s">
        <v>579</v>
      </c>
      <c r="H50" s="1982"/>
      <c r="I50" s="1931" t="s">
        <v>318</v>
      </c>
      <c r="J50" s="1982"/>
      <c r="K50" s="1931" t="s">
        <v>319</v>
      </c>
      <c r="L50" s="1982"/>
      <c r="M50" s="1931" t="s">
        <v>324</v>
      </c>
      <c r="N50" s="1917"/>
      <c r="O50" s="1918"/>
      <c r="P50" s="1914" t="s">
        <v>296</v>
      </c>
      <c r="Q50" s="1912"/>
      <c r="R50" s="1912"/>
      <c r="S50" s="1919"/>
      <c r="T50" s="1912" t="s">
        <v>64</v>
      </c>
      <c r="U50" s="1912"/>
      <c r="V50" s="1912"/>
      <c r="W50" s="1912"/>
      <c r="X50" s="1912"/>
      <c r="Y50" s="1919"/>
      <c r="Z50" s="298"/>
      <c r="AA50" s="1923">
        <f>IF(I83=0,0,I83/SUM(L71:L73))</f>
        <v>0</v>
      </c>
      <c r="AB50" s="1924"/>
      <c r="AC50" s="298"/>
      <c r="AD50" s="298"/>
      <c r="AE50" s="299"/>
      <c r="AF50" s="299"/>
      <c r="AG50" s="1794"/>
      <c r="AH50" s="769"/>
      <c r="AI50" s="769"/>
      <c r="BW50" s="704">
        <f>SUM(BX50:CK50)</f>
        <v>0</v>
      </c>
      <c r="BX50" s="704">
        <f>SUM(O71:O73)</f>
        <v>0</v>
      </c>
      <c r="BY50" s="704">
        <f>O74</f>
        <v>0</v>
      </c>
      <c r="BZ50" s="704">
        <f>(O90-O87)+(L90-L87)</f>
        <v>0</v>
      </c>
      <c r="CA50" s="704">
        <f>P90-P87</f>
        <v>0</v>
      </c>
      <c r="CE50" s="704">
        <f>M93</f>
        <v>0</v>
      </c>
      <c r="CF50" s="704">
        <f>SUM(AF72:AF99)</f>
        <v>0</v>
      </c>
      <c r="CG50" s="704">
        <f>SUM(O98:P103)</f>
        <v>0</v>
      </c>
      <c r="CH50" s="704">
        <f>SUM(O105:P111)</f>
        <v>0</v>
      </c>
      <c r="CI50" s="704">
        <f>SUM(AF100:AF111)</f>
        <v>0</v>
      </c>
      <c r="CJ50" s="704">
        <f>O76</f>
        <v>0</v>
      </c>
      <c r="CM50" s="704">
        <f>O77</f>
        <v>0</v>
      </c>
      <c r="CO50" s="2109">
        <f>CW49</f>
        <v>0</v>
      </c>
      <c r="CP50" s="2110"/>
      <c r="CQ50" s="2110"/>
      <c r="CR50" s="2110"/>
      <c r="CS50" s="2110"/>
      <c r="CT50" s="2110"/>
      <c r="CU50" s="2110"/>
      <c r="CV50" s="2111"/>
      <c r="GA50" s="769"/>
      <c r="GB50" s="769"/>
      <c r="GC50" s="769"/>
      <c r="GD50" s="769"/>
      <c r="GE50" s="769"/>
      <c r="GF50" s="769"/>
      <c r="GG50" s="769"/>
      <c r="GH50" s="769"/>
      <c r="GI50" s="769"/>
      <c r="GJ50" s="769"/>
      <c r="GK50" s="769"/>
      <c r="GL50" s="769"/>
      <c r="GM50" s="769"/>
      <c r="GN50" s="769"/>
      <c r="GO50" s="769"/>
      <c r="GP50" s="769"/>
      <c r="GQ50" s="769"/>
      <c r="GR50" s="769"/>
      <c r="GS50" s="769"/>
      <c r="GT50" s="769"/>
      <c r="GU50" s="769"/>
      <c r="GV50" s="769"/>
      <c r="GW50" s="769"/>
      <c r="GX50" s="769"/>
      <c r="GY50" s="769"/>
      <c r="GZ50" s="769"/>
      <c r="HA50" s="769"/>
      <c r="HB50" s="769"/>
      <c r="HC50" s="769"/>
      <c r="HD50" s="769"/>
      <c r="HE50" s="769"/>
      <c r="HF50" s="769"/>
      <c r="HG50" s="769"/>
      <c r="HH50" s="769"/>
      <c r="HI50" s="769"/>
      <c r="HJ50" s="769"/>
      <c r="HK50" s="769"/>
      <c r="HL50" s="769"/>
      <c r="HM50" s="769"/>
      <c r="HN50" s="769"/>
      <c r="HO50" s="769"/>
      <c r="HP50" s="769"/>
      <c r="HQ50" s="769"/>
      <c r="HR50" s="769"/>
      <c r="HS50" s="769"/>
      <c r="HT50" s="769"/>
      <c r="HU50" s="769"/>
      <c r="HV50" s="769"/>
      <c r="HW50" s="769"/>
      <c r="HX50" s="769"/>
      <c r="HY50" s="769"/>
      <c r="HZ50" s="769"/>
      <c r="IA50" s="769"/>
      <c r="IB50" s="769"/>
      <c r="IC50" s="769"/>
      <c r="ID50" s="769"/>
    </row>
    <row r="51" spans="2:238" s="702" customFormat="1" ht="42.75" customHeight="1" thickBot="1" x14ac:dyDescent="0.4">
      <c r="B51" s="2117"/>
      <c r="C51" s="1175" t="s">
        <v>62</v>
      </c>
      <c r="D51" s="1176" t="s">
        <v>63</v>
      </c>
      <c r="E51" s="1175" t="s">
        <v>320</v>
      </c>
      <c r="F51" s="1176" t="s">
        <v>28</v>
      </c>
      <c r="G51" s="1175" t="s">
        <v>320</v>
      </c>
      <c r="H51" s="1176" t="s">
        <v>28</v>
      </c>
      <c r="I51" s="1175" t="s">
        <v>320</v>
      </c>
      <c r="J51" s="1176" t="s">
        <v>28</v>
      </c>
      <c r="K51" s="1175" t="s">
        <v>28</v>
      </c>
      <c r="L51" s="1177" t="s">
        <v>29</v>
      </c>
      <c r="M51" s="1175" t="s">
        <v>28</v>
      </c>
      <c r="N51" s="1178" t="s">
        <v>665</v>
      </c>
      <c r="O51" s="1179" t="s">
        <v>812</v>
      </c>
      <c r="P51" s="1915"/>
      <c r="Q51" s="1913"/>
      <c r="R51" s="1913"/>
      <c r="S51" s="1920"/>
      <c r="T51" s="1913"/>
      <c r="U51" s="1913"/>
      <c r="V51" s="1913"/>
      <c r="W51" s="1913"/>
      <c r="X51" s="1913"/>
      <c r="Y51" s="1920"/>
      <c r="Z51" s="298"/>
      <c r="AA51" s="1925" t="s">
        <v>601</v>
      </c>
      <c r="AB51" s="1926"/>
      <c r="AC51" s="500" t="s">
        <v>42</v>
      </c>
      <c r="AD51" s="501" t="s">
        <v>28</v>
      </c>
      <c r="AE51" s="502" t="s">
        <v>320</v>
      </c>
      <c r="AF51" s="503" t="s">
        <v>705</v>
      </c>
      <c r="AG51" s="1794"/>
      <c r="AH51" s="769"/>
      <c r="AI51" s="769"/>
      <c r="AM51" s="702" t="s">
        <v>905</v>
      </c>
      <c r="BY51" s="1063">
        <f>BY49-BY50</f>
        <v>0</v>
      </c>
      <c r="GA51" s="769"/>
      <c r="GB51" s="769"/>
      <c r="GC51" s="769"/>
      <c r="GD51" s="769"/>
      <c r="GE51" s="769"/>
      <c r="GF51" s="769"/>
      <c r="GG51" s="769"/>
      <c r="GH51" s="769"/>
      <c r="GI51" s="769"/>
      <c r="GJ51" s="769"/>
      <c r="GK51" s="769"/>
      <c r="GL51" s="769"/>
      <c r="GM51" s="769"/>
      <c r="GN51" s="769"/>
      <c r="GO51" s="769"/>
      <c r="GP51" s="769"/>
      <c r="GQ51" s="769"/>
      <c r="GR51" s="769"/>
      <c r="GS51" s="769"/>
      <c r="GT51" s="769"/>
      <c r="GU51" s="769"/>
      <c r="GV51" s="769"/>
      <c r="GW51" s="769"/>
      <c r="GX51" s="769"/>
      <c r="GY51" s="769"/>
      <c r="GZ51" s="769"/>
      <c r="HA51" s="769"/>
      <c r="HB51" s="769"/>
      <c r="HC51" s="769"/>
      <c r="HD51" s="769"/>
      <c r="HE51" s="769"/>
      <c r="HF51" s="769"/>
      <c r="HG51" s="769"/>
      <c r="HH51" s="769"/>
      <c r="HI51" s="769"/>
      <c r="HJ51" s="769"/>
      <c r="HK51" s="769"/>
      <c r="HL51" s="769"/>
      <c r="HM51" s="769"/>
      <c r="HN51" s="769"/>
      <c r="HO51" s="769"/>
      <c r="HP51" s="769"/>
      <c r="HQ51" s="769"/>
      <c r="HR51" s="769"/>
      <c r="HS51" s="769"/>
      <c r="HT51" s="769"/>
      <c r="HU51" s="769"/>
      <c r="HV51" s="769"/>
      <c r="HW51" s="769"/>
      <c r="HX51" s="769"/>
      <c r="HY51" s="769"/>
      <c r="HZ51" s="769"/>
      <c r="IA51" s="769"/>
      <c r="IB51" s="769"/>
      <c r="IC51" s="769"/>
      <c r="ID51" s="769"/>
    </row>
    <row r="52" spans="2:238" s="702" customFormat="1" ht="20.149999999999999" customHeight="1" x14ac:dyDescent="0.35">
      <c r="B52" s="786">
        <v>1</v>
      </c>
      <c r="C52" s="264">
        <v>12</v>
      </c>
      <c r="D52" s="121">
        <v>30</v>
      </c>
      <c r="E52" s="30">
        <v>2</v>
      </c>
      <c r="F52" s="610">
        <v>5</v>
      </c>
      <c r="G52" s="30">
        <v>2</v>
      </c>
      <c r="H52" s="121">
        <v>5</v>
      </c>
      <c r="I52" s="30"/>
      <c r="J52" s="121"/>
      <c r="K52" s="30">
        <v>3</v>
      </c>
      <c r="L52" s="121">
        <v>16</v>
      </c>
      <c r="M52" s="264"/>
      <c r="N52" s="265"/>
      <c r="O52" s="266"/>
      <c r="P52" s="1856">
        <f t="shared" ref="P52:P61" si="71">IF(C52=0,0,(E52*F52/16*F52/16*10.680159)+((G52*H52/16*H52/16*10.680159)+(I52*2*J52/16*J52/16*10.680159)+IF(L52=0,0,((K52/16*K52/16)*3.145*0.2836*((((C52*2))+(D52*2))*12/L52))))+(M52/16*M52/16*10.680159*(12/IF(N52=0,1,N52))*O52))*(1+K$74)</f>
        <v>6.7621454742187499</v>
      </c>
      <c r="Q52" s="1856"/>
      <c r="R52" s="1856"/>
      <c r="S52" s="1857"/>
      <c r="T52" s="1868">
        <f t="shared" ref="T52:T61" si="72">(C52/12*D52/324)*(1+K$71)</f>
        <v>0.1</v>
      </c>
      <c r="U52" s="1856"/>
      <c r="V52" s="1856"/>
      <c r="W52" s="1856"/>
      <c r="X52" s="1856"/>
      <c r="Y52" s="1869"/>
      <c r="Z52" s="298"/>
      <c r="AA52" s="1875">
        <f>IF(I83=0,0,L74/I83)</f>
        <v>0</v>
      </c>
      <c r="AB52" s="1876"/>
      <c r="AC52" s="504">
        <v>20</v>
      </c>
      <c r="AD52" s="498">
        <v>3</v>
      </c>
      <c r="AE52" s="499">
        <v>1</v>
      </c>
      <c r="AF52" s="507">
        <f t="shared" ref="AF52:AF60" si="73">AC52*(AD52*AD52*0.04180884375)*AE52</f>
        <v>7.5255918749999999</v>
      </c>
      <c r="AG52" s="1794"/>
      <c r="AH52" s="769"/>
      <c r="AI52" s="769"/>
      <c r="AM52" s="702">
        <f>D52*2/12</f>
        <v>5</v>
      </c>
      <c r="GA52" s="769"/>
      <c r="GB52" s="769"/>
      <c r="GC52" s="769"/>
      <c r="GD52" s="769"/>
      <c r="GE52" s="769"/>
      <c r="GF52" s="769"/>
      <c r="GG52" s="769"/>
      <c r="GH52" s="769"/>
      <c r="GI52" s="769"/>
      <c r="GJ52" s="769"/>
      <c r="GK52" s="769"/>
      <c r="GL52" s="769"/>
      <c r="GM52" s="769"/>
      <c r="GN52" s="769"/>
      <c r="GO52" s="769"/>
      <c r="GP52" s="769"/>
      <c r="GQ52" s="769"/>
      <c r="GR52" s="769"/>
      <c r="GS52" s="769"/>
      <c r="GT52" s="769"/>
      <c r="GU52" s="769"/>
      <c r="GV52" s="769"/>
      <c r="GW52" s="769"/>
      <c r="GX52" s="769"/>
      <c r="GY52" s="769"/>
      <c r="GZ52" s="769"/>
      <c r="HA52" s="769"/>
      <c r="HB52" s="769"/>
      <c r="HC52" s="769"/>
      <c r="HD52" s="769"/>
      <c r="HE52" s="769"/>
      <c r="HF52" s="769"/>
      <c r="HG52" s="769"/>
      <c r="HH52" s="769"/>
      <c r="HI52" s="769"/>
      <c r="HJ52" s="769"/>
      <c r="HK52" s="769"/>
      <c r="HL52" s="769"/>
      <c r="HM52" s="769"/>
      <c r="HN52" s="769"/>
      <c r="HO52" s="769"/>
      <c r="HP52" s="769"/>
      <c r="HQ52" s="769"/>
      <c r="HR52" s="769"/>
      <c r="HS52" s="769"/>
      <c r="HT52" s="769"/>
      <c r="HU52" s="769"/>
      <c r="HV52" s="769"/>
      <c r="HW52" s="769"/>
      <c r="HX52" s="769"/>
      <c r="HY52" s="769"/>
      <c r="HZ52" s="769"/>
      <c r="IA52" s="769"/>
      <c r="IB52" s="769"/>
      <c r="IC52" s="769"/>
      <c r="ID52" s="769"/>
    </row>
    <row r="53" spans="2:238" s="702" customFormat="1" ht="20.149999999999999" customHeight="1" thickBot="1" x14ac:dyDescent="0.4">
      <c r="B53" s="787">
        <v>2</v>
      </c>
      <c r="C53" s="264">
        <v>12</v>
      </c>
      <c r="D53" s="121">
        <v>24</v>
      </c>
      <c r="E53" s="30">
        <v>2</v>
      </c>
      <c r="F53" s="610">
        <v>5</v>
      </c>
      <c r="G53" s="30"/>
      <c r="H53" s="121"/>
      <c r="I53" s="30"/>
      <c r="J53" s="121"/>
      <c r="K53" s="30">
        <v>3</v>
      </c>
      <c r="L53" s="121">
        <v>24</v>
      </c>
      <c r="M53" s="264"/>
      <c r="N53" s="265"/>
      <c r="O53" s="266"/>
      <c r="P53" s="1856">
        <f t="shared" si="71"/>
        <v>3.53628806953125</v>
      </c>
      <c r="Q53" s="1856"/>
      <c r="R53" s="1856"/>
      <c r="S53" s="1857"/>
      <c r="T53" s="1868">
        <f t="shared" si="72"/>
        <v>0.08</v>
      </c>
      <c r="U53" s="1856"/>
      <c r="V53" s="1856"/>
      <c r="W53" s="1856"/>
      <c r="X53" s="1856"/>
      <c r="Y53" s="1869"/>
      <c r="Z53" s="298"/>
      <c r="AA53" s="1877"/>
      <c r="AB53" s="1878"/>
      <c r="AC53" s="504">
        <v>20</v>
      </c>
      <c r="AD53" s="498">
        <v>4</v>
      </c>
      <c r="AE53" s="499">
        <v>1</v>
      </c>
      <c r="AF53" s="507">
        <f t="shared" si="73"/>
        <v>13.378829999999999</v>
      </c>
      <c r="AG53" s="1794"/>
      <c r="AH53" s="769"/>
      <c r="AI53" s="769"/>
      <c r="AM53" s="702">
        <f t="shared" ref="AM53:AM60" si="74">D53*2/12</f>
        <v>4</v>
      </c>
      <c r="GA53" s="769"/>
      <c r="GB53" s="769"/>
      <c r="GC53" s="769"/>
      <c r="GD53" s="769"/>
      <c r="GE53" s="769"/>
      <c r="GF53" s="769"/>
      <c r="GG53" s="769"/>
      <c r="GH53" s="769"/>
      <c r="GI53" s="769"/>
      <c r="GJ53" s="769"/>
      <c r="GK53" s="769"/>
      <c r="GL53" s="769"/>
      <c r="GM53" s="769"/>
      <c r="GN53" s="769"/>
      <c r="GO53" s="769"/>
      <c r="GP53" s="769"/>
      <c r="GQ53" s="769"/>
      <c r="GR53" s="769"/>
      <c r="GS53" s="769"/>
      <c r="GT53" s="769"/>
      <c r="GU53" s="769"/>
      <c r="GV53" s="769"/>
      <c r="GW53" s="769"/>
      <c r="GX53" s="769"/>
      <c r="GY53" s="769"/>
      <c r="GZ53" s="769"/>
      <c r="HA53" s="769"/>
      <c r="HB53" s="769"/>
      <c r="HC53" s="769"/>
      <c r="HD53" s="769"/>
      <c r="HE53" s="769"/>
      <c r="HF53" s="769"/>
      <c r="HG53" s="769"/>
      <c r="HH53" s="769"/>
      <c r="HI53" s="769"/>
      <c r="HJ53" s="769"/>
      <c r="HK53" s="769"/>
      <c r="HL53" s="769"/>
      <c r="HM53" s="769"/>
      <c r="HN53" s="769"/>
      <c r="HO53" s="769"/>
      <c r="HP53" s="769"/>
      <c r="HQ53" s="769"/>
      <c r="HR53" s="769"/>
      <c r="HS53" s="769"/>
      <c r="HT53" s="769"/>
      <c r="HU53" s="769"/>
      <c r="HV53" s="769"/>
      <c r="HW53" s="769"/>
      <c r="HX53" s="769"/>
      <c r="HY53" s="769"/>
      <c r="HZ53" s="769"/>
      <c r="IA53" s="769"/>
      <c r="IB53" s="769"/>
      <c r="IC53" s="769"/>
      <c r="ID53" s="769"/>
    </row>
    <row r="54" spans="2:238" s="702" customFormat="1" ht="20.149999999999999" customHeight="1" x14ac:dyDescent="0.35">
      <c r="B54" s="786">
        <v>3</v>
      </c>
      <c r="C54" s="264">
        <v>12</v>
      </c>
      <c r="D54" s="121">
        <v>30</v>
      </c>
      <c r="E54" s="30">
        <v>2</v>
      </c>
      <c r="F54" s="121">
        <v>5</v>
      </c>
      <c r="G54" s="30">
        <v>2</v>
      </c>
      <c r="H54" s="121">
        <v>5</v>
      </c>
      <c r="I54" s="30"/>
      <c r="J54" s="121"/>
      <c r="K54" s="30">
        <v>3</v>
      </c>
      <c r="L54" s="121">
        <v>16</v>
      </c>
      <c r="M54" s="264"/>
      <c r="N54" s="30"/>
      <c r="O54" s="266"/>
      <c r="P54" s="1856">
        <f t="shared" si="71"/>
        <v>6.7621454742187499</v>
      </c>
      <c r="Q54" s="1856"/>
      <c r="R54" s="1856"/>
      <c r="S54" s="1857"/>
      <c r="T54" s="1868">
        <f t="shared" si="72"/>
        <v>0.1</v>
      </c>
      <c r="U54" s="1856"/>
      <c r="V54" s="1856"/>
      <c r="W54" s="1856"/>
      <c r="X54" s="1856"/>
      <c r="Y54" s="1869"/>
      <c r="Z54" s="298"/>
      <c r="AA54" s="789" t="s">
        <v>710</v>
      </c>
      <c r="AB54" s="788"/>
      <c r="AC54" s="504">
        <v>20</v>
      </c>
      <c r="AD54" s="498">
        <v>5</v>
      </c>
      <c r="AE54" s="499">
        <v>1</v>
      </c>
      <c r="AF54" s="507">
        <f t="shared" si="73"/>
        <v>20.904421874999997</v>
      </c>
      <c r="AG54" s="1794"/>
      <c r="AH54" s="769"/>
      <c r="AI54" s="769"/>
      <c r="AM54" s="702">
        <f t="shared" si="74"/>
        <v>5</v>
      </c>
      <c r="GA54" s="769"/>
      <c r="GB54" s="769"/>
      <c r="GC54" s="769"/>
      <c r="GD54" s="769"/>
      <c r="GE54" s="769"/>
      <c r="GF54" s="769"/>
      <c r="GG54" s="769"/>
      <c r="GH54" s="769"/>
      <c r="GI54" s="769"/>
      <c r="GJ54" s="769"/>
      <c r="GK54" s="769"/>
      <c r="GL54" s="769"/>
      <c r="GM54" s="769"/>
      <c r="GN54" s="769"/>
      <c r="GO54" s="769"/>
      <c r="GP54" s="769"/>
      <c r="GQ54" s="769"/>
      <c r="GR54" s="769"/>
      <c r="GS54" s="769"/>
      <c r="GT54" s="769"/>
      <c r="GU54" s="769"/>
      <c r="GV54" s="769"/>
      <c r="GW54" s="769"/>
      <c r="GX54" s="769"/>
      <c r="GY54" s="769"/>
      <c r="GZ54" s="769"/>
      <c r="HA54" s="769"/>
      <c r="HB54" s="769"/>
      <c r="HC54" s="769"/>
      <c r="HD54" s="769"/>
      <c r="HE54" s="769"/>
      <c r="HF54" s="769"/>
      <c r="HG54" s="769"/>
      <c r="HH54" s="769"/>
      <c r="HI54" s="769"/>
      <c r="HJ54" s="769"/>
      <c r="HK54" s="769"/>
      <c r="HL54" s="769"/>
      <c r="HM54" s="769"/>
      <c r="HN54" s="769"/>
      <c r="HO54" s="769"/>
      <c r="HP54" s="769"/>
      <c r="HQ54" s="769"/>
      <c r="HR54" s="769"/>
      <c r="HS54" s="769"/>
      <c r="HT54" s="769"/>
      <c r="HU54" s="769"/>
      <c r="HV54" s="769"/>
      <c r="HW54" s="769"/>
      <c r="HX54" s="769"/>
      <c r="HY54" s="769"/>
      <c r="HZ54" s="769"/>
      <c r="IA54" s="769"/>
      <c r="IB54" s="769"/>
      <c r="IC54" s="769"/>
      <c r="ID54" s="769"/>
    </row>
    <row r="55" spans="2:238" s="702" customFormat="1" ht="20.149999999999999" customHeight="1" x14ac:dyDescent="0.35">
      <c r="B55" s="786">
        <v>4</v>
      </c>
      <c r="C55" s="264">
        <v>24</v>
      </c>
      <c r="D55" s="121">
        <v>12</v>
      </c>
      <c r="E55" s="30">
        <v>2</v>
      </c>
      <c r="F55" s="121">
        <v>5</v>
      </c>
      <c r="G55" s="30"/>
      <c r="H55" s="121"/>
      <c r="I55" s="30"/>
      <c r="J55" s="121"/>
      <c r="K55" s="30">
        <v>3</v>
      </c>
      <c r="L55" s="121">
        <v>24</v>
      </c>
      <c r="M55" s="264"/>
      <c r="N55" s="265"/>
      <c r="O55" s="266"/>
      <c r="P55" s="1856">
        <f t="shared" si="71"/>
        <v>3.53628806953125</v>
      </c>
      <c r="Q55" s="1856"/>
      <c r="R55" s="1856"/>
      <c r="S55" s="1857"/>
      <c r="T55" s="1868">
        <f t="shared" si="72"/>
        <v>0.08</v>
      </c>
      <c r="U55" s="1856"/>
      <c r="V55" s="1856"/>
      <c r="W55" s="1856"/>
      <c r="X55" s="1856"/>
      <c r="Y55" s="1869"/>
      <c r="Z55" s="298"/>
      <c r="AA55" s="1938">
        <f>Summary!L13</f>
        <v>0</v>
      </c>
      <c r="AB55" s="1939"/>
      <c r="AC55" s="504">
        <v>20</v>
      </c>
      <c r="AD55" s="498">
        <v>6</v>
      </c>
      <c r="AE55" s="499">
        <v>1</v>
      </c>
      <c r="AF55" s="507">
        <f t="shared" si="73"/>
        <v>30.1023675</v>
      </c>
      <c r="AG55" s="1794"/>
      <c r="AH55" s="769"/>
      <c r="AI55" s="769"/>
      <c r="AM55" s="702">
        <f t="shared" si="74"/>
        <v>2</v>
      </c>
      <c r="GA55" s="769"/>
      <c r="GB55" s="769"/>
      <c r="GC55" s="769"/>
      <c r="GD55" s="769"/>
      <c r="GE55" s="769"/>
      <c r="GF55" s="769"/>
      <c r="GG55" s="769"/>
      <c r="GH55" s="769"/>
      <c r="GI55" s="769"/>
      <c r="GJ55" s="769"/>
      <c r="GK55" s="769"/>
      <c r="GL55" s="769"/>
      <c r="GM55" s="769"/>
      <c r="GN55" s="769"/>
      <c r="GO55" s="769"/>
      <c r="GP55" s="769"/>
      <c r="GQ55" s="769"/>
      <c r="GR55" s="769"/>
      <c r="GS55" s="769"/>
      <c r="GT55" s="769"/>
      <c r="GU55" s="769"/>
      <c r="GV55" s="769"/>
      <c r="GW55" s="769"/>
      <c r="GX55" s="769"/>
      <c r="GY55" s="769"/>
      <c r="GZ55" s="769"/>
      <c r="HA55" s="769"/>
      <c r="HB55" s="769"/>
      <c r="HC55" s="769"/>
      <c r="HD55" s="769"/>
      <c r="HE55" s="769"/>
      <c r="HF55" s="769"/>
      <c r="HG55" s="769"/>
      <c r="HH55" s="769"/>
      <c r="HI55" s="769"/>
      <c r="HJ55" s="769"/>
      <c r="HK55" s="769"/>
      <c r="HL55" s="769"/>
      <c r="HM55" s="769"/>
      <c r="HN55" s="769"/>
      <c r="HO55" s="769"/>
      <c r="HP55" s="769"/>
      <c r="HQ55" s="769"/>
      <c r="HR55" s="769"/>
      <c r="HS55" s="769"/>
      <c r="HT55" s="769"/>
      <c r="HU55" s="769"/>
      <c r="HV55" s="769"/>
      <c r="HW55" s="769"/>
      <c r="HX55" s="769"/>
      <c r="HY55" s="769"/>
      <c r="HZ55" s="769"/>
      <c r="IA55" s="769"/>
      <c r="IB55" s="769"/>
      <c r="IC55" s="769"/>
      <c r="ID55" s="769"/>
    </row>
    <row r="56" spans="2:238" s="702" customFormat="1" ht="20.149999999999999" customHeight="1" x14ac:dyDescent="0.35">
      <c r="B56" s="786">
        <v>5</v>
      </c>
      <c r="C56" s="264">
        <v>6</v>
      </c>
      <c r="D56" s="121">
        <v>30</v>
      </c>
      <c r="E56" s="30">
        <v>2</v>
      </c>
      <c r="F56" s="610">
        <v>5</v>
      </c>
      <c r="G56" s="30"/>
      <c r="H56" s="121"/>
      <c r="I56" s="30"/>
      <c r="J56" s="121"/>
      <c r="K56" s="30"/>
      <c r="L56" s="121"/>
      <c r="M56" s="264"/>
      <c r="N56" s="265"/>
      <c r="O56" s="266"/>
      <c r="P56" s="1856">
        <f t="shared" si="71"/>
        <v>2.2945654101562498</v>
      </c>
      <c r="Q56" s="1856"/>
      <c r="R56" s="1856"/>
      <c r="S56" s="1857"/>
      <c r="T56" s="1868">
        <f t="shared" si="72"/>
        <v>0.05</v>
      </c>
      <c r="U56" s="1856"/>
      <c r="V56" s="1856"/>
      <c r="W56" s="1856"/>
      <c r="X56" s="1856"/>
      <c r="Y56" s="1869"/>
      <c r="Z56" s="298"/>
      <c r="AA56" s="1940"/>
      <c r="AB56" s="1941"/>
      <c r="AC56" s="504">
        <v>20</v>
      </c>
      <c r="AD56" s="498">
        <v>7</v>
      </c>
      <c r="AE56" s="499">
        <v>1</v>
      </c>
      <c r="AF56" s="507">
        <f t="shared" si="73"/>
        <v>40.972666874999994</v>
      </c>
      <c r="AG56" s="1794"/>
      <c r="AH56" s="769"/>
      <c r="AI56" s="769"/>
      <c r="AM56" s="702">
        <f t="shared" si="74"/>
        <v>5</v>
      </c>
      <c r="GA56" s="769"/>
      <c r="GB56" s="769"/>
      <c r="GC56" s="769"/>
      <c r="GD56" s="769"/>
      <c r="GE56" s="769"/>
      <c r="GF56" s="769"/>
      <c r="GG56" s="769"/>
      <c r="GH56" s="769"/>
      <c r="GI56" s="769"/>
      <c r="GJ56" s="769"/>
      <c r="GK56" s="769"/>
      <c r="GL56" s="769"/>
      <c r="GM56" s="769"/>
      <c r="GN56" s="769"/>
      <c r="GO56" s="769"/>
      <c r="GP56" s="769"/>
      <c r="GQ56" s="769"/>
      <c r="GR56" s="769"/>
      <c r="GS56" s="769"/>
      <c r="GT56" s="769"/>
      <c r="GU56" s="769"/>
      <c r="GV56" s="769"/>
      <c r="GW56" s="769"/>
      <c r="GX56" s="769"/>
      <c r="GY56" s="769"/>
      <c r="GZ56" s="769"/>
      <c r="HA56" s="769"/>
      <c r="HB56" s="769"/>
      <c r="HC56" s="769"/>
      <c r="HD56" s="769"/>
      <c r="HE56" s="769"/>
      <c r="HF56" s="769"/>
      <c r="HG56" s="769"/>
      <c r="HH56" s="769"/>
      <c r="HI56" s="769"/>
      <c r="HJ56" s="769"/>
      <c r="HK56" s="769"/>
      <c r="HL56" s="769"/>
      <c r="HM56" s="769"/>
      <c r="HN56" s="769"/>
      <c r="HO56" s="769"/>
      <c r="HP56" s="769"/>
      <c r="HQ56" s="769"/>
      <c r="HR56" s="769"/>
      <c r="HS56" s="769"/>
      <c r="HT56" s="769"/>
      <c r="HU56" s="769"/>
      <c r="HV56" s="769"/>
      <c r="HW56" s="769"/>
      <c r="HX56" s="769"/>
      <c r="HY56" s="769"/>
      <c r="HZ56" s="769"/>
      <c r="IA56" s="769"/>
      <c r="IB56" s="769"/>
      <c r="IC56" s="769"/>
      <c r="ID56" s="769"/>
    </row>
    <row r="57" spans="2:238" s="702" customFormat="1" ht="20.149999999999999" customHeight="1" thickBot="1" x14ac:dyDescent="0.4">
      <c r="B57" s="786">
        <v>6</v>
      </c>
      <c r="C57" s="264">
        <v>12</v>
      </c>
      <c r="D57" s="121">
        <v>30</v>
      </c>
      <c r="E57" s="30">
        <v>2</v>
      </c>
      <c r="F57" s="610">
        <v>5</v>
      </c>
      <c r="G57" s="30">
        <v>2</v>
      </c>
      <c r="H57" s="121">
        <v>5</v>
      </c>
      <c r="I57" s="30"/>
      <c r="J57" s="121"/>
      <c r="K57" s="30">
        <v>3</v>
      </c>
      <c r="L57" s="121">
        <v>16</v>
      </c>
      <c r="M57" s="264"/>
      <c r="N57" s="265"/>
      <c r="O57" s="266"/>
      <c r="P57" s="1856">
        <f t="shared" si="71"/>
        <v>6.7621454742187499</v>
      </c>
      <c r="Q57" s="1856"/>
      <c r="R57" s="1856"/>
      <c r="S57" s="1857"/>
      <c r="T57" s="1868">
        <f t="shared" si="72"/>
        <v>0.1</v>
      </c>
      <c r="U57" s="1856"/>
      <c r="V57" s="1856"/>
      <c r="W57" s="1856"/>
      <c r="X57" s="1856"/>
      <c r="Y57" s="1869"/>
      <c r="Z57" s="298"/>
      <c r="AA57" s="1942"/>
      <c r="AB57" s="1943"/>
      <c r="AC57" s="504">
        <v>20</v>
      </c>
      <c r="AD57" s="498">
        <v>8</v>
      </c>
      <c r="AE57" s="499">
        <v>1</v>
      </c>
      <c r="AF57" s="507">
        <f t="shared" si="73"/>
        <v>53.515319999999996</v>
      </c>
      <c r="AG57" s="1794"/>
      <c r="AH57" s="769"/>
      <c r="AI57" s="769"/>
      <c r="AM57" s="702">
        <f t="shared" si="74"/>
        <v>5</v>
      </c>
      <c r="GA57" s="769"/>
      <c r="GB57" s="769"/>
      <c r="GC57" s="769"/>
      <c r="GD57" s="769"/>
      <c r="GE57" s="769"/>
      <c r="GF57" s="769"/>
      <c r="GG57" s="769"/>
      <c r="GH57" s="769"/>
      <c r="GI57" s="769"/>
      <c r="GJ57" s="769"/>
      <c r="GK57" s="769"/>
      <c r="GL57" s="769"/>
      <c r="GM57" s="769"/>
      <c r="GN57" s="769"/>
      <c r="GO57" s="769"/>
      <c r="GP57" s="769"/>
      <c r="GQ57" s="769"/>
      <c r="GR57" s="769"/>
      <c r="GS57" s="769"/>
      <c r="GT57" s="769"/>
      <c r="GU57" s="769"/>
      <c r="GV57" s="769"/>
      <c r="GW57" s="769"/>
      <c r="GX57" s="769"/>
      <c r="GY57" s="769"/>
      <c r="GZ57" s="769"/>
      <c r="HA57" s="769"/>
      <c r="HB57" s="769"/>
      <c r="HC57" s="769"/>
      <c r="HD57" s="769"/>
      <c r="HE57" s="769"/>
      <c r="HF57" s="769"/>
      <c r="HG57" s="769"/>
      <c r="HH57" s="769"/>
      <c r="HI57" s="769"/>
      <c r="HJ57" s="769"/>
      <c r="HK57" s="769"/>
      <c r="HL57" s="769"/>
      <c r="HM57" s="769"/>
      <c r="HN57" s="769"/>
      <c r="HO57" s="769"/>
      <c r="HP57" s="769"/>
      <c r="HQ57" s="769"/>
      <c r="HR57" s="769"/>
      <c r="HS57" s="769"/>
      <c r="HT57" s="769"/>
      <c r="HU57" s="769"/>
      <c r="HV57" s="769"/>
      <c r="HW57" s="769"/>
      <c r="HX57" s="769"/>
      <c r="HY57" s="769"/>
      <c r="HZ57" s="769"/>
      <c r="IA57" s="769"/>
      <c r="IB57" s="769"/>
      <c r="IC57" s="769"/>
      <c r="ID57" s="769"/>
    </row>
    <row r="58" spans="2:238" s="702" customFormat="1" ht="20.149999999999999" customHeight="1" x14ac:dyDescent="0.35">
      <c r="B58" s="786">
        <v>7</v>
      </c>
      <c r="C58" s="264">
        <v>12</v>
      </c>
      <c r="D58" s="121">
        <v>18</v>
      </c>
      <c r="E58" s="30">
        <v>2</v>
      </c>
      <c r="F58" s="610">
        <v>5</v>
      </c>
      <c r="G58" s="30"/>
      <c r="H58" s="121"/>
      <c r="I58" s="30"/>
      <c r="J58" s="121"/>
      <c r="K58" s="30">
        <v>3</v>
      </c>
      <c r="L58" s="121">
        <v>16</v>
      </c>
      <c r="M58" s="264"/>
      <c r="N58" s="265"/>
      <c r="O58" s="266"/>
      <c r="P58" s="1856">
        <f t="shared" si="71"/>
        <v>3.8467187343749996</v>
      </c>
      <c r="Q58" s="1856"/>
      <c r="R58" s="1856"/>
      <c r="S58" s="1857"/>
      <c r="T58" s="1868">
        <f t="shared" si="72"/>
        <v>0.06</v>
      </c>
      <c r="U58" s="1856"/>
      <c r="V58" s="1856"/>
      <c r="W58" s="1856"/>
      <c r="X58" s="1856"/>
      <c r="Y58" s="1869"/>
      <c r="Z58" s="298"/>
      <c r="AA58" s="1903"/>
      <c r="AB58" s="1904"/>
      <c r="AC58" s="504">
        <v>20</v>
      </c>
      <c r="AD58" s="498">
        <v>9</v>
      </c>
      <c r="AE58" s="499">
        <v>1</v>
      </c>
      <c r="AF58" s="507">
        <f t="shared" si="73"/>
        <v>67.730326875000003</v>
      </c>
      <c r="AG58" s="1794"/>
      <c r="AH58" s="769"/>
      <c r="AI58" s="769"/>
      <c r="AM58" s="702">
        <f t="shared" si="74"/>
        <v>3</v>
      </c>
      <c r="GA58" s="769"/>
      <c r="GB58" s="769"/>
      <c r="GC58" s="769"/>
      <c r="GD58" s="769"/>
      <c r="GE58" s="769"/>
      <c r="GF58" s="769"/>
      <c r="GG58" s="769"/>
      <c r="GH58" s="769"/>
      <c r="GI58" s="769"/>
      <c r="GJ58" s="769"/>
      <c r="GK58" s="769"/>
      <c r="GL58" s="769"/>
      <c r="GM58" s="769"/>
      <c r="GN58" s="769"/>
      <c r="GO58" s="769"/>
      <c r="GP58" s="769"/>
      <c r="GQ58" s="769"/>
      <c r="GR58" s="769"/>
      <c r="GS58" s="769"/>
      <c r="GT58" s="769"/>
      <c r="GU58" s="769"/>
      <c r="GV58" s="769"/>
      <c r="GW58" s="769"/>
      <c r="GX58" s="769"/>
      <c r="GY58" s="769"/>
      <c r="GZ58" s="769"/>
      <c r="HA58" s="769"/>
      <c r="HB58" s="769"/>
      <c r="HC58" s="769"/>
      <c r="HD58" s="769"/>
      <c r="HE58" s="769"/>
      <c r="HF58" s="769"/>
      <c r="HG58" s="769"/>
      <c r="HH58" s="769"/>
      <c r="HI58" s="769"/>
      <c r="HJ58" s="769"/>
      <c r="HK58" s="769"/>
      <c r="HL58" s="769"/>
      <c r="HM58" s="769"/>
      <c r="HN58" s="769"/>
      <c r="HO58" s="769"/>
      <c r="HP58" s="769"/>
      <c r="HQ58" s="769"/>
      <c r="HR58" s="769"/>
      <c r="HS58" s="769"/>
      <c r="HT58" s="769"/>
      <c r="HU58" s="769"/>
      <c r="HV58" s="769"/>
      <c r="HW58" s="769"/>
      <c r="HX58" s="769"/>
      <c r="HY58" s="769"/>
      <c r="HZ58" s="769"/>
      <c r="IA58" s="769"/>
      <c r="IB58" s="769"/>
      <c r="IC58" s="769"/>
      <c r="ID58" s="769"/>
    </row>
    <row r="59" spans="2:238" s="702" customFormat="1" ht="20.149999999999999" customHeight="1" thickBot="1" x14ac:dyDescent="0.4">
      <c r="B59" s="786">
        <v>8</v>
      </c>
      <c r="C59" s="264">
        <v>12</v>
      </c>
      <c r="D59" s="121">
        <v>30</v>
      </c>
      <c r="E59" s="30">
        <v>2</v>
      </c>
      <c r="F59" s="610">
        <v>5</v>
      </c>
      <c r="G59" s="30">
        <v>2</v>
      </c>
      <c r="H59" s="121">
        <v>5</v>
      </c>
      <c r="I59" s="30"/>
      <c r="J59" s="121"/>
      <c r="K59" s="30">
        <v>3</v>
      </c>
      <c r="L59" s="121">
        <v>16</v>
      </c>
      <c r="M59" s="264"/>
      <c r="N59" s="265"/>
      <c r="O59" s="266"/>
      <c r="P59" s="1856">
        <f t="shared" si="71"/>
        <v>6.7621454742187499</v>
      </c>
      <c r="Q59" s="1856"/>
      <c r="R59" s="1856"/>
      <c r="S59" s="1857"/>
      <c r="T59" s="1868">
        <f t="shared" si="72"/>
        <v>0.1</v>
      </c>
      <c r="U59" s="1856"/>
      <c r="V59" s="1856"/>
      <c r="W59" s="1856"/>
      <c r="X59" s="1856"/>
      <c r="Y59" s="1869"/>
      <c r="Z59" s="298"/>
      <c r="AA59" s="1905"/>
      <c r="AB59" s="1906"/>
      <c r="AC59" s="504">
        <v>20</v>
      </c>
      <c r="AD59" s="498">
        <v>10</v>
      </c>
      <c r="AE59" s="499">
        <v>1</v>
      </c>
      <c r="AF59" s="507">
        <f t="shared" si="73"/>
        <v>83.617687499999988</v>
      </c>
      <c r="AG59" s="1794"/>
      <c r="AH59" s="769"/>
      <c r="AI59" s="769"/>
      <c r="AM59" s="702">
        <f t="shared" si="74"/>
        <v>5</v>
      </c>
      <c r="GA59" s="769"/>
      <c r="GB59" s="769"/>
      <c r="GC59" s="769"/>
      <c r="GD59" s="769"/>
      <c r="GE59" s="769"/>
      <c r="GF59" s="769"/>
      <c r="GG59" s="769"/>
      <c r="GH59" s="769"/>
      <c r="GI59" s="769"/>
      <c r="GJ59" s="769"/>
      <c r="GK59" s="769"/>
      <c r="GL59" s="769"/>
      <c r="GM59" s="769"/>
      <c r="GN59" s="769"/>
      <c r="GO59" s="769"/>
      <c r="GP59" s="769"/>
      <c r="GQ59" s="769"/>
      <c r="GR59" s="769"/>
      <c r="GS59" s="769"/>
      <c r="GT59" s="769"/>
      <c r="GU59" s="769"/>
      <c r="GV59" s="769"/>
      <c r="GW59" s="769"/>
      <c r="GX59" s="769"/>
      <c r="GY59" s="769"/>
      <c r="GZ59" s="769"/>
      <c r="HA59" s="769"/>
      <c r="HB59" s="769"/>
      <c r="HC59" s="769"/>
      <c r="HD59" s="769"/>
      <c r="HE59" s="769"/>
      <c r="HF59" s="769"/>
      <c r="HG59" s="769"/>
      <c r="HH59" s="769"/>
      <c r="HI59" s="769"/>
      <c r="HJ59" s="769"/>
      <c r="HK59" s="769"/>
      <c r="HL59" s="769"/>
      <c r="HM59" s="769"/>
      <c r="HN59" s="769"/>
      <c r="HO59" s="769"/>
      <c r="HP59" s="769"/>
      <c r="HQ59" s="769"/>
      <c r="HR59" s="769"/>
      <c r="HS59" s="769"/>
      <c r="HT59" s="769"/>
      <c r="HU59" s="769"/>
      <c r="HV59" s="769"/>
      <c r="HW59" s="769"/>
      <c r="HX59" s="769"/>
      <c r="HY59" s="769"/>
      <c r="HZ59" s="769"/>
      <c r="IA59" s="769"/>
      <c r="IB59" s="769"/>
      <c r="IC59" s="769"/>
      <c r="ID59" s="769"/>
    </row>
    <row r="60" spans="2:238" s="702" customFormat="1" ht="20.149999999999999" customHeight="1" thickBot="1" x14ac:dyDescent="0.4">
      <c r="B60" s="786">
        <v>9</v>
      </c>
      <c r="C60" s="264">
        <v>12</v>
      </c>
      <c r="D60" s="121">
        <v>12</v>
      </c>
      <c r="E60" s="30">
        <v>2</v>
      </c>
      <c r="F60" s="610">
        <v>5</v>
      </c>
      <c r="G60" s="30">
        <v>2</v>
      </c>
      <c r="H60" s="121">
        <v>5</v>
      </c>
      <c r="I60" s="30"/>
      <c r="J60" s="121"/>
      <c r="K60" s="30">
        <v>3</v>
      </c>
      <c r="L60" s="121">
        <v>16</v>
      </c>
      <c r="M60" s="264"/>
      <c r="N60" s="265"/>
      <c r="O60" s="266"/>
      <c r="P60" s="1856">
        <f t="shared" si="71"/>
        <v>5.8308534796874998</v>
      </c>
      <c r="Q60" s="1856"/>
      <c r="R60" s="1856"/>
      <c r="S60" s="1857"/>
      <c r="T60" s="1868">
        <f t="shared" si="72"/>
        <v>0.04</v>
      </c>
      <c r="U60" s="1856"/>
      <c r="V60" s="1856"/>
      <c r="W60" s="1856"/>
      <c r="X60" s="1856"/>
      <c r="Y60" s="1869"/>
      <c r="Z60" s="298"/>
      <c r="AA60" s="676"/>
      <c r="AB60" s="676"/>
      <c r="AC60" s="505">
        <v>20</v>
      </c>
      <c r="AD60" s="682">
        <v>11</v>
      </c>
      <c r="AE60" s="506">
        <v>1</v>
      </c>
      <c r="AF60" s="508">
        <f t="shared" si="73"/>
        <v>101.17740187499999</v>
      </c>
      <c r="AG60" s="1794"/>
      <c r="AH60" s="769"/>
      <c r="AI60" s="769"/>
      <c r="AM60" s="702">
        <f t="shared" si="74"/>
        <v>2</v>
      </c>
      <c r="GA60" s="769"/>
      <c r="GB60" s="769"/>
      <c r="GC60" s="769"/>
      <c r="GD60" s="769"/>
      <c r="GE60" s="769"/>
      <c r="GF60" s="769"/>
      <c r="GG60" s="769"/>
      <c r="GH60" s="769"/>
      <c r="GI60" s="769"/>
      <c r="GJ60" s="769"/>
      <c r="GK60" s="769"/>
      <c r="GL60" s="769"/>
      <c r="GM60" s="769"/>
      <c r="GN60" s="769"/>
      <c r="GO60" s="769"/>
      <c r="GP60" s="769"/>
      <c r="GQ60" s="769"/>
      <c r="GR60" s="769"/>
      <c r="GS60" s="769"/>
      <c r="GT60" s="769"/>
      <c r="GU60" s="769"/>
      <c r="GV60" s="769"/>
      <c r="GW60" s="769"/>
      <c r="GX60" s="769"/>
      <c r="GY60" s="769"/>
      <c r="GZ60" s="769"/>
      <c r="HA60" s="769"/>
      <c r="HB60" s="769"/>
      <c r="HC60" s="769"/>
      <c r="HD60" s="769"/>
      <c r="HE60" s="769"/>
      <c r="HF60" s="769"/>
      <c r="HG60" s="769"/>
      <c r="HH60" s="769"/>
      <c r="HI60" s="769"/>
      <c r="HJ60" s="769"/>
      <c r="HK60" s="769"/>
      <c r="HL60" s="769"/>
      <c r="HM60" s="769"/>
      <c r="HN60" s="769"/>
      <c r="HO60" s="769"/>
      <c r="HP60" s="769"/>
      <c r="HQ60" s="769"/>
      <c r="HR60" s="769"/>
      <c r="HS60" s="769"/>
      <c r="HT60" s="769"/>
      <c r="HU60" s="769"/>
      <c r="HV60" s="769"/>
      <c r="HW60" s="769"/>
      <c r="HX60" s="769"/>
      <c r="HY60" s="769"/>
      <c r="HZ60" s="769"/>
      <c r="IA60" s="769"/>
      <c r="IB60" s="769"/>
      <c r="IC60" s="769"/>
      <c r="ID60" s="769"/>
    </row>
    <row r="61" spans="2:238" s="702" customFormat="1" ht="20.149999999999999" customHeight="1" thickBot="1" x14ac:dyDescent="0.4">
      <c r="B61" s="786">
        <v>10</v>
      </c>
      <c r="C61" s="264">
        <v>12</v>
      </c>
      <c r="D61" s="121">
        <v>12</v>
      </c>
      <c r="E61" s="30">
        <v>2</v>
      </c>
      <c r="F61" s="121">
        <v>5</v>
      </c>
      <c r="G61" s="30"/>
      <c r="H61" s="121"/>
      <c r="I61" s="30"/>
      <c r="J61" s="121"/>
      <c r="K61" s="30"/>
      <c r="L61" s="121"/>
      <c r="M61" s="264"/>
      <c r="N61" s="30"/>
      <c r="O61" s="266"/>
      <c r="P61" s="1856">
        <f t="shared" si="71"/>
        <v>2.2945654101562498</v>
      </c>
      <c r="Q61" s="1856"/>
      <c r="R61" s="1856"/>
      <c r="S61" s="1857"/>
      <c r="T61" s="1868">
        <f t="shared" si="72"/>
        <v>0.04</v>
      </c>
      <c r="U61" s="1856"/>
      <c r="V61" s="1856"/>
      <c r="W61" s="1856"/>
      <c r="X61" s="1856"/>
      <c r="Y61" s="1869"/>
      <c r="Z61" s="298"/>
      <c r="AA61" s="342"/>
      <c r="AB61" s="1902">
        <f>SUM(BX49:CM49)</f>
        <v>0</v>
      </c>
      <c r="AC61" s="1902"/>
      <c r="AD61" s="343">
        <f>AC64-AB61</f>
        <v>0</v>
      </c>
      <c r="AE61" s="299"/>
      <c r="AF61" s="299"/>
      <c r="AG61" s="1794"/>
      <c r="AH61" s="769"/>
      <c r="AI61" s="769"/>
      <c r="AM61" s="702">
        <f>D61*2/12</f>
        <v>2</v>
      </c>
      <c r="GA61" s="769"/>
      <c r="GB61" s="769"/>
      <c r="GC61" s="769"/>
      <c r="GD61" s="769"/>
      <c r="GE61" s="769"/>
      <c r="GF61" s="769"/>
      <c r="GG61" s="769"/>
      <c r="GH61" s="769"/>
      <c r="GI61" s="769"/>
      <c r="GJ61" s="769"/>
      <c r="GK61" s="769"/>
      <c r="GL61" s="769"/>
      <c r="GM61" s="769"/>
      <c r="GN61" s="769"/>
      <c r="GO61" s="769"/>
      <c r="GP61" s="769"/>
      <c r="GQ61" s="769"/>
      <c r="GR61" s="769"/>
      <c r="GS61" s="769"/>
      <c r="GT61" s="769"/>
      <c r="GU61" s="769"/>
      <c r="GV61" s="769"/>
      <c r="GW61" s="769"/>
      <c r="GX61" s="769"/>
      <c r="GY61" s="769"/>
      <c r="GZ61" s="769"/>
      <c r="HA61" s="769"/>
      <c r="HB61" s="769"/>
      <c r="HC61" s="769"/>
      <c r="HD61" s="769"/>
      <c r="HE61" s="769"/>
      <c r="HF61" s="769"/>
      <c r="HG61" s="769"/>
      <c r="HH61" s="769"/>
      <c r="HI61" s="769"/>
      <c r="HJ61" s="769"/>
      <c r="HK61" s="769"/>
      <c r="HL61" s="769"/>
      <c r="HM61" s="769"/>
      <c r="HN61" s="769"/>
      <c r="HO61" s="769"/>
      <c r="HP61" s="769"/>
      <c r="HQ61" s="769"/>
      <c r="HR61" s="769"/>
      <c r="HS61" s="769"/>
      <c r="HT61" s="769"/>
      <c r="HU61" s="769"/>
      <c r="HV61" s="769"/>
      <c r="HW61" s="769"/>
      <c r="HX61" s="769"/>
      <c r="HY61" s="769"/>
      <c r="HZ61" s="769"/>
      <c r="IA61" s="769"/>
      <c r="IB61" s="769"/>
      <c r="IC61" s="769"/>
      <c r="ID61" s="769"/>
    </row>
    <row r="62" spans="2:238" s="702" customFormat="1" ht="20.149999999999999" customHeight="1" thickBot="1" x14ac:dyDescent="0.4">
      <c r="B62" s="898"/>
      <c r="C62" s="899"/>
      <c r="D62" s="899"/>
      <c r="E62" s="899"/>
      <c r="F62" s="899"/>
      <c r="G62" s="899"/>
      <c r="H62" s="899"/>
      <c r="I62" s="899"/>
      <c r="J62" s="899"/>
      <c r="K62" s="899"/>
      <c r="L62" s="900"/>
      <c r="M62" s="899"/>
      <c r="N62" s="899"/>
      <c r="O62" s="899"/>
      <c r="P62" s="899"/>
      <c r="Q62" s="899"/>
      <c r="R62" s="899"/>
      <c r="S62" s="1170"/>
      <c r="T62" s="1170"/>
      <c r="U62" s="899"/>
      <c r="V62" s="899"/>
      <c r="W62" s="899"/>
      <c r="X62" s="899"/>
      <c r="Y62" s="899"/>
      <c r="Z62" s="899"/>
      <c r="AA62" s="899"/>
      <c r="AB62" s="899"/>
      <c r="AC62" s="899"/>
      <c r="AD62" s="899"/>
      <c r="AE62" s="899"/>
      <c r="AF62" s="1171"/>
      <c r="AG62" s="1794"/>
      <c r="AH62" s="769"/>
      <c r="AI62" s="769"/>
      <c r="GA62" s="769"/>
      <c r="GB62" s="769"/>
      <c r="GC62" s="769"/>
      <c r="GD62" s="769"/>
      <c r="GE62" s="769"/>
      <c r="GF62" s="769"/>
      <c r="GG62" s="769"/>
      <c r="GH62" s="769"/>
      <c r="GI62" s="769"/>
      <c r="GJ62" s="769"/>
      <c r="GK62" s="769"/>
      <c r="GL62" s="769"/>
      <c r="GM62" s="769"/>
      <c r="GN62" s="769"/>
      <c r="GO62" s="769"/>
      <c r="GP62" s="769"/>
      <c r="GQ62" s="769"/>
      <c r="GR62" s="769"/>
      <c r="GS62" s="769"/>
      <c r="GT62" s="769"/>
      <c r="GU62" s="769"/>
      <c r="GV62" s="769"/>
      <c r="GW62" s="769"/>
      <c r="GX62" s="769"/>
      <c r="GY62" s="769"/>
      <c r="GZ62" s="769"/>
      <c r="HA62" s="769"/>
      <c r="HB62" s="769"/>
      <c r="HC62" s="769"/>
      <c r="HD62" s="769"/>
      <c r="HE62" s="769"/>
      <c r="HF62" s="769"/>
      <c r="HG62" s="769"/>
      <c r="HH62" s="769"/>
      <c r="HI62" s="769"/>
      <c r="HJ62" s="769"/>
      <c r="HK62" s="769"/>
      <c r="HL62" s="769"/>
      <c r="HM62" s="769"/>
      <c r="HN62" s="769"/>
      <c r="HO62" s="769"/>
      <c r="HP62" s="769"/>
      <c r="HQ62" s="769"/>
      <c r="HR62" s="769"/>
      <c r="HS62" s="769"/>
      <c r="HT62" s="769"/>
      <c r="HU62" s="769"/>
      <c r="HV62" s="769"/>
      <c r="HW62" s="769"/>
      <c r="HX62" s="769"/>
      <c r="HY62" s="769"/>
      <c r="HZ62" s="769"/>
      <c r="IA62" s="769"/>
      <c r="IB62" s="769"/>
      <c r="IC62" s="769"/>
      <c r="ID62" s="769"/>
    </row>
    <row r="63" spans="2:238" s="702" customFormat="1" ht="18" customHeight="1" x14ac:dyDescent="0.35">
      <c r="B63" s="1987" t="s">
        <v>185</v>
      </c>
      <c r="C63" s="2041"/>
      <c r="D63" s="1988"/>
      <c r="E63" s="1987" t="s">
        <v>140</v>
      </c>
      <c r="F63" s="1988"/>
      <c r="G63" s="1987" t="s">
        <v>178</v>
      </c>
      <c r="H63" s="2041"/>
      <c r="I63" s="1988"/>
      <c r="J63" s="1935" t="s">
        <v>184</v>
      </c>
      <c r="K63" s="1936"/>
      <c r="L63" s="1937"/>
      <c r="M63" s="2044" t="s">
        <v>179</v>
      </c>
      <c r="N63" s="2045"/>
      <c r="O63" s="132"/>
      <c r="P63" s="133"/>
      <c r="Q63" s="1086"/>
      <c r="R63" s="1086"/>
      <c r="S63" s="1116"/>
      <c r="T63" s="1116"/>
      <c r="U63" s="897"/>
      <c r="V63" s="897"/>
      <c r="W63" s="897"/>
      <c r="X63" s="897"/>
      <c r="Y63" s="897"/>
      <c r="Z63" s="43" t="s">
        <v>34</v>
      </c>
      <c r="AA63" s="42"/>
      <c r="AB63" s="42" t="s">
        <v>758</v>
      </c>
      <c r="AC63" s="803" t="str">
        <f>Summary!P65</f>
        <v>n</v>
      </c>
      <c r="AD63" s="73" t="s">
        <v>298</v>
      </c>
      <c r="AE63" s="804">
        <f>Summary!R65</f>
        <v>8.2500000000000004E-2</v>
      </c>
      <c r="AF63" s="1113"/>
      <c r="AG63" s="1794"/>
      <c r="AH63" s="769"/>
      <c r="AI63" s="769"/>
      <c r="GA63" s="769"/>
      <c r="GB63" s="769"/>
      <c r="GC63" s="769"/>
      <c r="GD63" s="769"/>
      <c r="GE63" s="769"/>
      <c r="GF63" s="769"/>
      <c r="GG63" s="769"/>
      <c r="GH63" s="769"/>
      <c r="GI63" s="769"/>
      <c r="GJ63" s="769"/>
      <c r="GK63" s="769"/>
      <c r="GL63" s="769"/>
      <c r="GM63" s="769"/>
      <c r="GN63" s="769"/>
      <c r="GO63" s="769"/>
      <c r="GP63" s="769"/>
      <c r="GQ63" s="769"/>
      <c r="GR63" s="769"/>
      <c r="GS63" s="769"/>
      <c r="GT63" s="769"/>
      <c r="GU63" s="769"/>
      <c r="GV63" s="769"/>
      <c r="GW63" s="769"/>
      <c r="GX63" s="769"/>
      <c r="GY63" s="769"/>
      <c r="GZ63" s="769"/>
      <c r="HA63" s="769"/>
      <c r="HB63" s="769"/>
      <c r="HC63" s="769"/>
      <c r="HD63" s="769"/>
      <c r="HE63" s="769"/>
      <c r="HF63" s="769"/>
      <c r="HG63" s="769"/>
      <c r="HH63" s="769"/>
      <c r="HI63" s="769"/>
      <c r="HJ63" s="769"/>
      <c r="HK63" s="769"/>
      <c r="HL63" s="769"/>
      <c r="HM63" s="769"/>
      <c r="HN63" s="769"/>
      <c r="HO63" s="769"/>
      <c r="HP63" s="769"/>
      <c r="HQ63" s="769"/>
      <c r="HR63" s="769"/>
      <c r="HS63" s="769"/>
      <c r="HT63" s="769"/>
      <c r="HU63" s="769"/>
      <c r="HV63" s="769"/>
      <c r="HW63" s="769"/>
      <c r="HX63" s="769"/>
      <c r="HY63" s="769"/>
      <c r="HZ63" s="769"/>
      <c r="IA63" s="769"/>
      <c r="IB63" s="769"/>
      <c r="IC63" s="769"/>
      <c r="ID63" s="769"/>
    </row>
    <row r="64" spans="2:238" s="702" customFormat="1" ht="18" customHeight="1" thickBot="1" x14ac:dyDescent="0.4">
      <c r="B64" s="11" t="s">
        <v>180</v>
      </c>
      <c r="C64" s="1999">
        <f>IF(I83=0,0,E64/I83)</f>
        <v>0</v>
      </c>
      <c r="D64" s="2000"/>
      <c r="E64" s="2003">
        <f>AC64*(1+M64+Summary!P64)</f>
        <v>0</v>
      </c>
      <c r="F64" s="2004"/>
      <c r="G64" s="15">
        <f>IF(H64=0,0,H64/E64)</f>
        <v>0</v>
      </c>
      <c r="H64" s="2042">
        <f>E64-AC64</f>
        <v>0</v>
      </c>
      <c r="I64" s="2043"/>
      <c r="J64" s="2064">
        <f>IF(D49=0,0,AC64/D49)</f>
        <v>0</v>
      </c>
      <c r="K64" s="2065"/>
      <c r="L64" s="2066"/>
      <c r="M64" s="1879">
        <f>Summary!P63</f>
        <v>0.18</v>
      </c>
      <c r="N64" s="1880"/>
      <c r="O64" s="1880"/>
      <c r="P64" s="1881"/>
      <c r="Q64" s="1169"/>
      <c r="R64" s="1169"/>
      <c r="S64" s="1116"/>
      <c r="T64" s="1116"/>
      <c r="U64" s="897"/>
      <c r="V64" s="937"/>
      <c r="W64" s="897"/>
      <c r="X64" s="937"/>
      <c r="Y64" s="897"/>
      <c r="Z64" s="86" t="s">
        <v>50</v>
      </c>
      <c r="AA64" s="42"/>
      <c r="AB64" s="42"/>
      <c r="AC64" s="1932">
        <f>SUM(O71:P81)+SUM(L83:P89)+SUM(O92:P96)+SUM(O98:P103)+SUM(O105:P111)+AF112</f>
        <v>0</v>
      </c>
      <c r="AD64" s="1932"/>
      <c r="AE64" s="42"/>
      <c r="AF64" s="1113"/>
      <c r="AG64" s="1794"/>
      <c r="AH64" s="769"/>
      <c r="AI64" s="769"/>
      <c r="GA64" s="769"/>
      <c r="GB64" s="769"/>
      <c r="GC64" s="769"/>
      <c r="GD64" s="769"/>
      <c r="GE64" s="769"/>
      <c r="GF64" s="769"/>
      <c r="GG64" s="769"/>
      <c r="GH64" s="769"/>
      <c r="GI64" s="769"/>
      <c r="GJ64" s="769"/>
      <c r="GK64" s="769"/>
      <c r="GL64" s="769"/>
      <c r="GM64" s="769"/>
      <c r="GN64" s="769"/>
      <c r="GO64" s="769"/>
      <c r="GP64" s="769"/>
      <c r="GQ64" s="769"/>
      <c r="GR64" s="769"/>
      <c r="GS64" s="769"/>
      <c r="GT64" s="769"/>
      <c r="GU64" s="769"/>
      <c r="GV64" s="769"/>
      <c r="GW64" s="769"/>
      <c r="GX64" s="769"/>
      <c r="GY64" s="769"/>
      <c r="GZ64" s="769"/>
      <c r="HA64" s="769"/>
      <c r="HB64" s="769"/>
      <c r="HC64" s="769"/>
      <c r="HD64" s="769"/>
      <c r="HE64" s="769"/>
      <c r="HF64" s="769"/>
      <c r="HG64" s="769"/>
      <c r="HH64" s="769"/>
      <c r="HI64" s="769"/>
      <c r="HJ64" s="769"/>
      <c r="HK64" s="769"/>
      <c r="HL64" s="769"/>
      <c r="HM64" s="769"/>
      <c r="HN64" s="769"/>
      <c r="HO64" s="769"/>
      <c r="HP64" s="769"/>
      <c r="HQ64" s="769"/>
      <c r="HR64" s="769"/>
      <c r="HS64" s="769"/>
      <c r="HT64" s="769"/>
      <c r="HU64" s="769"/>
      <c r="HV64" s="769"/>
      <c r="HW64" s="769"/>
      <c r="HX64" s="769"/>
      <c r="HY64" s="769"/>
      <c r="HZ64" s="769"/>
      <c r="IA64" s="769"/>
      <c r="IB64" s="769"/>
      <c r="IC64" s="769"/>
      <c r="ID64" s="769"/>
    </row>
    <row r="65" spans="2:238" s="702" customFormat="1" ht="18" customHeight="1" thickBot="1" x14ac:dyDescent="0.4">
      <c r="B65" s="877"/>
      <c r="C65" s="879"/>
      <c r="D65" s="897"/>
      <c r="E65" s="1989">
        <f>SUM(E66:F68)</f>
        <v>0</v>
      </c>
      <c r="F65" s="1990"/>
      <c r="G65" s="897"/>
      <c r="H65" s="1172"/>
      <c r="I65" s="891" t="s">
        <v>891</v>
      </c>
      <c r="J65" s="892"/>
      <c r="K65" s="2036"/>
      <c r="L65" s="2037"/>
      <c r="M65" s="893"/>
      <c r="N65" s="1899">
        <f>IF(K65&gt;0,(K65-E64)/(1+M64),0)</f>
        <v>0</v>
      </c>
      <c r="O65" s="1900"/>
      <c r="P65" s="897"/>
      <c r="Q65" s="897"/>
      <c r="R65" s="897"/>
      <c r="S65" s="1116"/>
      <c r="T65" s="1116"/>
      <c r="U65" s="902"/>
      <c r="V65" s="937"/>
      <c r="W65" s="902"/>
      <c r="X65" s="937"/>
      <c r="Y65" s="902"/>
      <c r="Z65" s="937"/>
      <c r="AA65" s="897"/>
      <c r="AB65" s="897"/>
      <c r="AC65" s="1901">
        <f>AO139</f>
        <v>0</v>
      </c>
      <c r="AD65" s="1901"/>
      <c r="AE65" s="897"/>
      <c r="AF65" s="1113"/>
      <c r="AG65" s="1794"/>
      <c r="AH65" s="769"/>
      <c r="AI65" s="769"/>
      <c r="GA65" s="769"/>
      <c r="GB65" s="769"/>
      <c r="GC65" s="769"/>
      <c r="GD65" s="769"/>
      <c r="GE65" s="769"/>
      <c r="GF65" s="769"/>
      <c r="GG65" s="769"/>
      <c r="GH65" s="769"/>
      <c r="GI65" s="769"/>
      <c r="GJ65" s="769"/>
      <c r="GK65" s="769"/>
      <c r="GL65" s="769"/>
      <c r="GM65" s="769"/>
      <c r="GN65" s="769"/>
      <c r="GO65" s="769"/>
      <c r="GP65" s="769"/>
      <c r="GQ65" s="769"/>
      <c r="GR65" s="769"/>
      <c r="GS65" s="769"/>
      <c r="GT65" s="769"/>
      <c r="GU65" s="769"/>
      <c r="GV65" s="769"/>
      <c r="GW65" s="769"/>
      <c r="GX65" s="769"/>
      <c r="GY65" s="769"/>
      <c r="GZ65" s="769"/>
      <c r="HA65" s="769"/>
      <c r="HB65" s="769"/>
      <c r="HC65" s="769"/>
      <c r="HD65" s="769"/>
      <c r="HE65" s="769"/>
      <c r="HF65" s="769"/>
      <c r="HG65" s="769"/>
      <c r="HH65" s="769"/>
      <c r="HI65" s="769"/>
      <c r="HJ65" s="769"/>
      <c r="HK65" s="769"/>
      <c r="HL65" s="769"/>
      <c r="HM65" s="769"/>
      <c r="HN65" s="769"/>
      <c r="HO65" s="769"/>
      <c r="HP65" s="769"/>
      <c r="HQ65" s="769"/>
      <c r="HR65" s="769"/>
      <c r="HS65" s="769"/>
      <c r="HT65" s="769"/>
      <c r="HU65" s="769"/>
      <c r="HV65" s="769"/>
      <c r="HW65" s="769"/>
      <c r="HX65" s="769"/>
      <c r="HY65" s="769"/>
      <c r="HZ65" s="769"/>
      <c r="IA65" s="769"/>
      <c r="IB65" s="769"/>
      <c r="IC65" s="769"/>
      <c r="ID65" s="769"/>
    </row>
    <row r="66" spans="2:238" s="702" customFormat="1" ht="22" customHeight="1" x14ac:dyDescent="0.35">
      <c r="B66" s="77" t="s">
        <v>607</v>
      </c>
      <c r="C66" s="738"/>
      <c r="D66" s="739"/>
      <c r="E66" s="1995"/>
      <c r="F66" s="1996"/>
      <c r="G66" s="739"/>
      <c r="H66" s="739"/>
      <c r="I66" s="739"/>
      <c r="J66" s="739"/>
      <c r="K66" s="739"/>
      <c r="L66" s="739"/>
      <c r="M66" s="739"/>
      <c r="N66" s="739"/>
      <c r="O66" s="739"/>
      <c r="P66" s="740"/>
      <c r="Q66" s="622"/>
      <c r="R66" s="622"/>
      <c r="S66" s="298"/>
      <c r="T66" s="298"/>
      <c r="U66" s="297"/>
      <c r="V66" s="321"/>
      <c r="W66" s="297"/>
      <c r="X66" s="321"/>
      <c r="Y66" s="297"/>
      <c r="Z66" s="321"/>
      <c r="AA66" s="298"/>
      <c r="AB66" s="298"/>
      <c r="AC66" s="341"/>
      <c r="AD66" s="341"/>
      <c r="AE66" s="298"/>
      <c r="AF66" s="310"/>
      <c r="AG66" s="1794"/>
    </row>
    <row r="67" spans="2:238" s="702" customFormat="1" ht="22" customHeight="1" x14ac:dyDescent="0.35">
      <c r="B67" s="313"/>
      <c r="C67" s="741"/>
      <c r="D67" s="739"/>
      <c r="E67" s="1995"/>
      <c r="F67" s="1996"/>
      <c r="G67" s="739"/>
      <c r="H67" s="739"/>
      <c r="I67" s="739"/>
      <c r="J67" s="739"/>
      <c r="K67" s="739"/>
      <c r="L67" s="739"/>
      <c r="M67" s="739"/>
      <c r="N67" s="739"/>
      <c r="O67" s="739"/>
      <c r="P67" s="740"/>
      <c r="Q67" s="622"/>
      <c r="R67" s="622"/>
      <c r="S67" s="298"/>
      <c r="T67" s="298"/>
      <c r="U67" s="297"/>
      <c r="V67" s="321"/>
      <c r="W67" s="297"/>
      <c r="X67" s="321"/>
      <c r="Y67" s="297"/>
      <c r="Z67" s="321"/>
      <c r="AA67" s="298"/>
      <c r="AB67" s="298"/>
      <c r="AC67" s="341"/>
      <c r="AD67" s="341"/>
      <c r="AE67" s="298"/>
      <c r="AF67" s="310"/>
      <c r="AG67" s="1794"/>
    </row>
    <row r="68" spans="2:238" s="702" customFormat="1" ht="22" customHeight="1" x14ac:dyDescent="0.35">
      <c r="B68" s="313"/>
      <c r="C68" s="741"/>
      <c r="D68" s="739"/>
      <c r="E68" s="1995"/>
      <c r="F68" s="1996"/>
      <c r="G68" s="739"/>
      <c r="H68" s="739"/>
      <c r="I68" s="739"/>
      <c r="J68" s="739"/>
      <c r="K68" s="739"/>
      <c r="L68" s="739"/>
      <c r="M68" s="739"/>
      <c r="N68" s="739"/>
      <c r="O68" s="739"/>
      <c r="P68" s="740"/>
      <c r="Q68" s="622"/>
      <c r="R68" s="622"/>
      <c r="S68" s="298"/>
      <c r="T68" s="298"/>
      <c r="U68" s="297"/>
      <c r="V68" s="321"/>
      <c r="W68" s="297"/>
      <c r="X68" s="321"/>
      <c r="Y68" s="297"/>
      <c r="Z68" s="321"/>
      <c r="AA68" s="298"/>
      <c r="AB68" s="298"/>
      <c r="AC68" s="341"/>
      <c r="AD68" s="341"/>
      <c r="AE68" s="298"/>
      <c r="AF68" s="310"/>
      <c r="AG68" s="1794"/>
    </row>
    <row r="69" spans="2:238" s="702" customFormat="1" ht="22" customHeight="1" thickBot="1" x14ac:dyDescent="0.4">
      <c r="B69" s="313"/>
      <c r="C69" s="742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43"/>
      <c r="Q69" s="622"/>
      <c r="R69" s="622"/>
      <c r="S69" s="689"/>
      <c r="T69" s="298"/>
      <c r="U69" s="620"/>
      <c r="V69" s="621"/>
      <c r="W69" s="620"/>
      <c r="X69" s="621"/>
      <c r="Y69" s="297"/>
      <c r="Z69" s="321"/>
      <c r="AA69" s="298"/>
      <c r="AB69" s="298"/>
      <c r="AC69" s="341"/>
      <c r="AD69" s="341"/>
      <c r="AE69" s="298"/>
      <c r="AF69" s="310"/>
      <c r="AG69" s="689"/>
    </row>
    <row r="70" spans="2:238" s="702" customFormat="1" ht="31.5" customHeight="1" thickBot="1" x14ac:dyDescent="0.4">
      <c r="B70" s="730" t="s">
        <v>226</v>
      </c>
      <c r="C70" s="1997" t="s">
        <v>167</v>
      </c>
      <c r="D70" s="1997"/>
      <c r="E70" s="1997"/>
      <c r="F70" s="1997"/>
      <c r="G70" s="1997"/>
      <c r="H70" s="1997"/>
      <c r="I70" s="1997"/>
      <c r="J70" s="1997"/>
      <c r="K70" s="1997"/>
      <c r="L70" s="1997"/>
      <c r="M70" s="1997"/>
      <c r="N70" s="1997"/>
      <c r="O70" s="1997"/>
      <c r="P70" s="1998"/>
      <c r="Q70" s="690"/>
      <c r="R70" s="685"/>
      <c r="S70" s="299"/>
      <c r="T70" s="299"/>
      <c r="U70" s="1910"/>
      <c r="V70" s="1910"/>
      <c r="W70" s="1910"/>
      <c r="X70" s="1910"/>
      <c r="Y70" s="2056" t="s">
        <v>196</v>
      </c>
      <c r="Z70" s="2057"/>
      <c r="AA70" s="673" t="s">
        <v>52</v>
      </c>
      <c r="AB70" s="72"/>
      <c r="AC70" s="674" t="s">
        <v>7</v>
      </c>
      <c r="AD70" s="72"/>
      <c r="AE70" s="675"/>
      <c r="AF70" s="677"/>
      <c r="AG70" s="689"/>
      <c r="AH70" s="769"/>
      <c r="AI70" s="769"/>
      <c r="GA70" s="769"/>
      <c r="GB70" s="769"/>
      <c r="GC70" s="769"/>
      <c r="GD70" s="769"/>
      <c r="GE70" s="769"/>
      <c r="GF70" s="769"/>
      <c r="GG70" s="769"/>
      <c r="GH70" s="769"/>
      <c r="GI70" s="769"/>
      <c r="GJ70" s="769"/>
      <c r="GK70" s="769"/>
      <c r="GL70" s="769"/>
      <c r="GM70" s="769"/>
      <c r="GN70" s="769"/>
      <c r="GO70" s="769"/>
      <c r="GP70" s="769"/>
      <c r="GQ70" s="769"/>
      <c r="GR70" s="769"/>
      <c r="GS70" s="769"/>
      <c r="GT70" s="769"/>
      <c r="GU70" s="769"/>
      <c r="GV70" s="769"/>
      <c r="GW70" s="769"/>
      <c r="GX70" s="769"/>
      <c r="GY70" s="769"/>
      <c r="GZ70" s="769"/>
      <c r="HA70" s="769"/>
      <c r="HB70" s="769"/>
      <c r="HC70" s="769"/>
      <c r="HD70" s="769"/>
      <c r="HE70" s="769"/>
      <c r="HF70" s="769"/>
      <c r="HG70" s="769"/>
      <c r="HH70" s="769"/>
      <c r="HI70" s="769"/>
      <c r="HJ70" s="769"/>
      <c r="HK70" s="769"/>
      <c r="HL70" s="769"/>
      <c r="HM70" s="769"/>
      <c r="HN70" s="769"/>
      <c r="HO70" s="769"/>
      <c r="HP70" s="769"/>
      <c r="HQ70" s="769"/>
      <c r="HR70" s="769"/>
      <c r="HS70" s="769"/>
      <c r="HT70" s="769"/>
      <c r="HU70" s="769"/>
      <c r="HV70" s="769"/>
      <c r="HW70" s="769"/>
      <c r="HX70" s="769"/>
      <c r="HY70" s="769"/>
      <c r="HZ70" s="769"/>
      <c r="IA70" s="769"/>
      <c r="IB70" s="769"/>
      <c r="IC70" s="769"/>
      <c r="ID70" s="769"/>
    </row>
    <row r="71" spans="2:238" s="702" customFormat="1" ht="22" customHeight="1" thickTop="1" x14ac:dyDescent="0.35">
      <c r="B71" s="744">
        <v>1</v>
      </c>
      <c r="C71" s="190" t="str">
        <f>IF(B71=1,Pricing!F$1,IF(B71=2,Pricing!G$1,IF(B71=3,Pricing!H$1,IF(B71=4,Pricing!I$1,IF(B71=5,Pricing!J$1,IF(B71=6,Pricing!K$1,0))))))</f>
        <v>3000 PSI W/ ASH PIERS, SOG</v>
      </c>
      <c r="D71" s="190"/>
      <c r="E71" s="190"/>
      <c r="F71" s="190"/>
      <c r="G71" s="761">
        <f>IF(B71=1,Pricing!F$2,IF(B71=2,Pricing!G$2,IF(B71=3,Pricing!H$2,IF(B71=4,Pricing!I$2,IF(B71=5,Pricing!J$2,IF(B71=6,Pricing!K$2,0))))))</f>
        <v>147</v>
      </c>
      <c r="H71" s="191" t="s">
        <v>168</v>
      </c>
      <c r="I71" s="2030" t="s">
        <v>323</v>
      </c>
      <c r="J71" s="2031"/>
      <c r="K71" s="2038">
        <v>0.08</v>
      </c>
      <c r="L71" s="2062">
        <f>IF(B71=1,BI$49,IF(B71=2,BJ$49,IF(B71=3,BK$49,IF(B71=4,BL$49,IF(B71=5,BM$49,IF(B71=6,BN$49))))))</f>
        <v>0</v>
      </c>
      <c r="M71" s="2063"/>
      <c r="N71" s="192" t="s">
        <v>102</v>
      </c>
      <c r="O71" s="2046">
        <f>L71*G71*(IF(AC$63="N",1+AE$63,1))</f>
        <v>0</v>
      </c>
      <c r="P71" s="2047"/>
      <c r="Q71" s="691"/>
      <c r="R71" s="686"/>
      <c r="S71" s="2216"/>
      <c r="T71" s="1794"/>
      <c r="U71" s="622"/>
      <c r="V71" s="623"/>
      <c r="W71" s="622"/>
      <c r="X71" s="623"/>
      <c r="Y71" s="193"/>
      <c r="Z71" s="194"/>
      <c r="AA71" s="106" t="s">
        <v>466</v>
      </c>
      <c r="AB71"/>
      <c r="AC71" s="805">
        <v>0.5</v>
      </c>
      <c r="AD71" s="195" t="s">
        <v>593</v>
      </c>
      <c r="AE71" s="1057">
        <f>IF(I83=0,0,AF112/I83)</f>
        <v>0</v>
      </c>
      <c r="AF71" s="678"/>
      <c r="AG71" s="689"/>
      <c r="AH71" s="769"/>
      <c r="AI71" s="769"/>
      <c r="GA71" s="769"/>
      <c r="GB71" s="769"/>
      <c r="GC71" s="769"/>
      <c r="GD71" s="769"/>
      <c r="GE71" s="769"/>
      <c r="GF71" s="769"/>
      <c r="GG71" s="769"/>
      <c r="GH71" s="769"/>
      <c r="GI71" s="769"/>
      <c r="GJ71" s="769"/>
      <c r="GK71" s="769"/>
      <c r="GL71" s="769"/>
      <c r="GM71" s="769"/>
      <c r="GN71" s="769"/>
      <c r="GO71" s="769"/>
      <c r="GP71" s="769"/>
      <c r="GQ71" s="769"/>
      <c r="GR71" s="769"/>
      <c r="GS71" s="769"/>
      <c r="GT71" s="769"/>
      <c r="GU71" s="769"/>
      <c r="GV71" s="769"/>
      <c r="GW71" s="769"/>
      <c r="GX71" s="769"/>
      <c r="GY71" s="769"/>
      <c r="GZ71" s="769"/>
      <c r="HA71" s="769"/>
      <c r="HB71" s="769"/>
      <c r="HC71" s="769"/>
      <c r="HD71" s="769"/>
      <c r="HE71" s="769"/>
      <c r="HF71" s="769"/>
      <c r="HG71" s="769"/>
      <c r="HH71" s="769"/>
      <c r="HI71" s="769"/>
      <c r="HJ71" s="769"/>
      <c r="HK71" s="769"/>
      <c r="HL71" s="769"/>
      <c r="HM71" s="769"/>
      <c r="HN71" s="769"/>
      <c r="HO71" s="769"/>
      <c r="HP71" s="769"/>
      <c r="HQ71" s="769"/>
      <c r="HR71" s="769"/>
      <c r="HS71" s="769"/>
      <c r="HT71" s="769"/>
      <c r="HU71" s="769"/>
      <c r="HV71" s="769"/>
      <c r="HW71" s="769"/>
      <c r="HX71" s="769"/>
      <c r="HY71" s="769"/>
      <c r="HZ71" s="769"/>
      <c r="IA71" s="769"/>
      <c r="IB71" s="769"/>
      <c r="IC71" s="769"/>
      <c r="ID71" s="769"/>
    </row>
    <row r="72" spans="2:238" s="702" customFormat="1" ht="22" customHeight="1" x14ac:dyDescent="0.35">
      <c r="B72" s="745">
        <v>2</v>
      </c>
      <c r="C72" s="42" t="str">
        <f>IF(B72=1,Pricing!F$1,IF(B72=2,Pricing!G$1,IF(B72=3,Pricing!H$1,IF(B72=4,Pricing!I$1,IF(B72=5,Pricing!J$1,IF(B72=6,Pricing!K$1,0))))))</f>
        <v>3500 Psi</v>
      </c>
      <c r="D72" s="42"/>
      <c r="E72" s="42"/>
      <c r="F72" s="42"/>
      <c r="G72" s="762">
        <f>IF(B72=1,Pricing!F$2,IF(B72=2,Pricing!G$2,IF(B72=3,Pricing!H$2,IF(B72=4,Pricing!I$2,IF(B72=5,Pricing!J$2,IF(B72=6,Pricing!K$2,0))))))</f>
        <v>152</v>
      </c>
      <c r="H72" s="88" t="s">
        <v>168</v>
      </c>
      <c r="I72" s="2032"/>
      <c r="J72" s="2033"/>
      <c r="K72" s="2039"/>
      <c r="L72" s="1908">
        <f>IF(B72=1,BI$49,IF(B72=2,BJ$49,IF(B72=3,BK$49,IF(B72=4,BL$49,IF(B72=5,BM$49,IF(B72=6,BN$49))))))</f>
        <v>0</v>
      </c>
      <c r="M72" s="1909"/>
      <c r="N72" s="58" t="s">
        <v>102</v>
      </c>
      <c r="O72" s="1887">
        <f>L72*G72*(IF(AC$63="N",1+AE$63,1))</f>
        <v>0</v>
      </c>
      <c r="P72" s="1888"/>
      <c r="Q72" s="691"/>
      <c r="R72" s="686"/>
      <c r="S72" s="2216"/>
      <c r="T72" s="1794"/>
      <c r="U72" s="622"/>
      <c r="V72" s="622"/>
      <c r="W72" s="622"/>
      <c r="X72" s="622"/>
      <c r="Y72" s="193" t="s">
        <v>203</v>
      </c>
      <c r="Z72" s="106"/>
      <c r="AA72"/>
      <c r="AB72" s="194">
        <f>AB73*0.85</f>
        <v>0</v>
      </c>
      <c r="AC72" s="106" t="s">
        <v>42</v>
      </c>
      <c r="AD72" s="195">
        <f>Pricing!N3</f>
        <v>0.5625</v>
      </c>
      <c r="AE72" s="401" t="s">
        <v>787</v>
      </c>
      <c r="AF72" s="679">
        <f>IF(AC$63="Y",AB72*AD72,AB72*AD72*(1+AE$63))</f>
        <v>0</v>
      </c>
      <c r="AG72" s="689"/>
      <c r="AH72" s="769"/>
      <c r="AI72" s="769"/>
      <c r="GA72" s="769"/>
      <c r="GB72" s="769"/>
      <c r="GC72" s="769"/>
      <c r="GD72" s="769"/>
      <c r="GE72" s="769"/>
      <c r="GF72" s="769"/>
      <c r="GG72" s="769"/>
      <c r="GH72" s="769"/>
      <c r="GI72" s="769"/>
      <c r="GJ72" s="769"/>
      <c r="GK72" s="769"/>
      <c r="GL72" s="769"/>
      <c r="GM72" s="769"/>
      <c r="GN72" s="769"/>
      <c r="GO72" s="769"/>
      <c r="GP72" s="769"/>
      <c r="GQ72" s="769"/>
      <c r="GR72" s="769"/>
      <c r="GS72" s="769"/>
      <c r="GT72" s="769"/>
      <c r="GU72" s="769"/>
      <c r="GV72" s="769"/>
      <c r="GW72" s="769"/>
      <c r="GX72" s="769"/>
      <c r="GY72" s="769"/>
      <c r="GZ72" s="769"/>
      <c r="HA72" s="769"/>
      <c r="HB72" s="769"/>
      <c r="HC72" s="769"/>
      <c r="HD72" s="769"/>
      <c r="HE72" s="769"/>
      <c r="HF72" s="769"/>
      <c r="HG72" s="769"/>
      <c r="HH72" s="769"/>
      <c r="HI72" s="769"/>
      <c r="HJ72" s="769"/>
      <c r="HK72" s="769"/>
      <c r="HL72" s="769"/>
      <c r="HM72" s="769"/>
      <c r="HN72" s="769"/>
      <c r="HO72" s="769"/>
      <c r="HP72" s="769"/>
      <c r="HQ72" s="769"/>
      <c r="HR72" s="769"/>
      <c r="HS72" s="769"/>
      <c r="HT72" s="769"/>
      <c r="HU72" s="769"/>
      <c r="HV72" s="769"/>
      <c r="HW72" s="769"/>
      <c r="HX72" s="769"/>
      <c r="HY72" s="769"/>
      <c r="HZ72" s="769"/>
      <c r="IA72" s="769"/>
      <c r="IB72" s="769"/>
      <c r="IC72" s="769"/>
      <c r="ID72" s="769"/>
    </row>
    <row r="73" spans="2:238" s="702" customFormat="1" ht="22" customHeight="1" thickBot="1" x14ac:dyDescent="0.4">
      <c r="B73" s="746">
        <v>3</v>
      </c>
      <c r="C73" s="75" t="str">
        <f>IF(B73=1,Pricing!F$1,IF(B73=2,Pricing!G$1,IF(B73=3,Pricing!H$1,IF(B73=4,Pricing!I$1,IF(B73=5,Pricing!J$1,IF(B73=6,Pricing!K$1,0))))))</f>
        <v>4000 psi</v>
      </c>
      <c r="D73" s="75"/>
      <c r="E73" s="75"/>
      <c r="F73" s="75"/>
      <c r="G73" s="763">
        <f>IF(B73=1,Pricing!F$2,IF(B73=2,Pricing!G$2,IF(B73=3,Pricing!H$2,IF(B73=4,Pricing!I$2,IF(B73=5,Pricing!J$2,IF(B73=6,Pricing!K$2,0))))))</f>
        <v>157</v>
      </c>
      <c r="H73" s="90" t="s">
        <v>168</v>
      </c>
      <c r="I73" s="2034"/>
      <c r="J73" s="2035"/>
      <c r="K73" s="2040"/>
      <c r="L73" s="2060">
        <f>IF(B73=1,BI$49,IF(B73=2,BJ$49,IF(B73=3,BK$49,IF(B73=4,BL$49,IF(B73=5,BM$49,IF(B73=6,BN$49))))))</f>
        <v>0</v>
      </c>
      <c r="M73" s="2061"/>
      <c r="N73" s="91" t="s">
        <v>102</v>
      </c>
      <c r="O73" s="2058">
        <f>L73*G73*(IF(AC$63="N",1+AE$63,1))</f>
        <v>0</v>
      </c>
      <c r="P73" s="2059"/>
      <c r="Q73" s="691"/>
      <c r="R73" s="686"/>
      <c r="S73" s="2216"/>
      <c r="T73" s="1794"/>
      <c r="U73" s="622"/>
      <c r="V73" s="622"/>
      <c r="W73" s="622"/>
      <c r="X73" s="622"/>
      <c r="Y73" s="193" t="s">
        <v>204</v>
      </c>
      <c r="Z73" s="106"/>
      <c r="AA73"/>
      <c r="AB73" s="194">
        <f>AB75*0.85</f>
        <v>0</v>
      </c>
      <c r="AC73" s="106" t="s">
        <v>42</v>
      </c>
      <c r="AD73" s="195">
        <f>Pricing!N4</f>
        <v>0.65625</v>
      </c>
      <c r="AE73" s="401" t="s">
        <v>787</v>
      </c>
      <c r="AF73" s="680">
        <f>IF(AC$63="Y",AB73*AD73,AB73*AD73*(1+AE$63))</f>
        <v>0</v>
      </c>
      <c r="AG73" s="1794"/>
      <c r="AH73" s="769"/>
      <c r="AI73" s="769"/>
      <c r="GA73" s="769"/>
      <c r="GB73" s="769"/>
      <c r="GC73" s="769"/>
      <c r="GD73" s="769"/>
      <c r="GE73" s="769"/>
      <c r="GF73" s="769"/>
      <c r="GG73" s="769"/>
      <c r="GH73" s="769"/>
      <c r="GI73" s="769"/>
      <c r="GJ73" s="769"/>
      <c r="GK73" s="769"/>
      <c r="GL73" s="769"/>
      <c r="GM73" s="769"/>
      <c r="GN73" s="769"/>
      <c r="GO73" s="769"/>
      <c r="GP73" s="769"/>
      <c r="GQ73" s="769"/>
      <c r="GR73" s="769"/>
      <c r="GS73" s="769"/>
      <c r="GT73" s="769"/>
      <c r="GU73" s="769"/>
      <c r="GV73" s="769"/>
      <c r="GW73" s="769"/>
      <c r="GX73" s="769"/>
      <c r="GY73" s="769"/>
      <c r="GZ73" s="769"/>
      <c r="HA73" s="769"/>
      <c r="HB73" s="769"/>
      <c r="HC73" s="769"/>
      <c r="HD73" s="769"/>
      <c r="HE73" s="769"/>
      <c r="HF73" s="769"/>
      <c r="HG73" s="769"/>
      <c r="HH73" s="769"/>
      <c r="HI73" s="769"/>
      <c r="HJ73" s="769"/>
      <c r="HK73" s="769"/>
      <c r="HL73" s="769"/>
      <c r="HM73" s="769"/>
      <c r="HN73" s="769"/>
      <c r="HO73" s="769"/>
      <c r="HP73" s="769"/>
      <c r="HQ73" s="769"/>
      <c r="HR73" s="769"/>
      <c r="HS73" s="769"/>
      <c r="HT73" s="769"/>
      <c r="HU73" s="769"/>
      <c r="HV73" s="769"/>
      <c r="HW73" s="769"/>
      <c r="HX73" s="769"/>
      <c r="HY73" s="769"/>
      <c r="HZ73" s="769"/>
      <c r="IA73" s="769"/>
      <c r="IB73" s="769"/>
      <c r="IC73" s="769"/>
      <c r="ID73" s="769"/>
    </row>
    <row r="74" spans="2:238" s="702" customFormat="1" ht="22" customHeight="1" thickTop="1" x14ac:dyDescent="0.35">
      <c r="B74" s="1979" t="s">
        <v>104</v>
      </c>
      <c r="C74" s="1980"/>
      <c r="D74" s="1980"/>
      <c r="E74" s="1980"/>
      <c r="F74" s="1980"/>
      <c r="G74" s="764">
        <f>Pricing!D22</f>
        <v>0.6</v>
      </c>
      <c r="H74" s="88" t="s">
        <v>88</v>
      </c>
      <c r="I74" s="2008" t="s">
        <v>202</v>
      </c>
      <c r="J74" s="2009"/>
      <c r="K74" s="747">
        <v>0.1</v>
      </c>
      <c r="L74" s="1908">
        <f>SUM(BD49:BE49)</f>
        <v>0</v>
      </c>
      <c r="M74" s="1909"/>
      <c r="N74" s="42" t="s">
        <v>32</v>
      </c>
      <c r="O74" s="1887">
        <f>G74*L74*(IF(AC63="N",1+AE63,1))</f>
        <v>0</v>
      </c>
      <c r="P74" s="1888"/>
      <c r="Q74" s="686"/>
      <c r="R74" s="686"/>
      <c r="S74" s="537"/>
      <c r="T74" s="299"/>
      <c r="U74" s="622"/>
      <c r="V74" s="622"/>
      <c r="W74" s="622"/>
      <c r="X74" s="622"/>
      <c r="Y74" s="193" t="s">
        <v>206</v>
      </c>
      <c r="Z74" s="106"/>
      <c r="AA74"/>
      <c r="AB74" s="194">
        <f>CP61+BG48</f>
        <v>0</v>
      </c>
      <c r="AC74" s="106" t="s">
        <v>42</v>
      </c>
      <c r="AD74" s="195">
        <f>Pricing!N5</f>
        <v>1</v>
      </c>
      <c r="AE74" s="401" t="s">
        <v>787</v>
      </c>
      <c r="AF74" s="680">
        <f>IF(AC$63="Y",AB74*AD74,AB74*AD74*(1+AE$63))</f>
        <v>0</v>
      </c>
      <c r="AG74" s="1794"/>
      <c r="AH74" s="769"/>
      <c r="AI74" s="769"/>
      <c r="GA74" s="769"/>
      <c r="GB74" s="769"/>
      <c r="GC74" s="769"/>
      <c r="GD74" s="769"/>
      <c r="GE74" s="769"/>
      <c r="GF74" s="769"/>
      <c r="GG74" s="769"/>
      <c r="GH74" s="769"/>
      <c r="GI74" s="769"/>
      <c r="GJ74" s="769"/>
      <c r="GK74" s="769"/>
      <c r="GL74" s="769"/>
      <c r="GM74" s="769"/>
      <c r="GN74" s="769"/>
      <c r="GO74" s="769"/>
      <c r="GP74" s="769"/>
      <c r="GQ74" s="769"/>
      <c r="GR74" s="769"/>
      <c r="GS74" s="769"/>
      <c r="GT74" s="769"/>
      <c r="GU74" s="769"/>
      <c r="GV74" s="769"/>
      <c r="GW74" s="769"/>
      <c r="GX74" s="769"/>
      <c r="GY74" s="769"/>
      <c r="GZ74" s="769"/>
      <c r="HA74" s="769"/>
      <c r="HB74" s="769"/>
      <c r="HC74" s="769"/>
      <c r="HD74" s="769"/>
      <c r="HE74" s="769"/>
      <c r="HF74" s="769"/>
      <c r="HG74" s="769"/>
      <c r="HH74" s="769"/>
      <c r="HI74" s="769"/>
      <c r="HJ74" s="769"/>
      <c r="HK74" s="769"/>
      <c r="HL74" s="769"/>
      <c r="HM74" s="769"/>
      <c r="HN74" s="769"/>
      <c r="HO74" s="769"/>
      <c r="HP74" s="769"/>
      <c r="HQ74" s="769"/>
      <c r="HR74" s="769"/>
      <c r="HS74" s="769"/>
      <c r="HT74" s="769"/>
      <c r="HU74" s="769"/>
      <c r="HV74" s="769"/>
      <c r="HW74" s="769"/>
      <c r="HX74" s="769"/>
      <c r="HY74" s="769"/>
      <c r="HZ74" s="769"/>
      <c r="IA74" s="769"/>
      <c r="IB74" s="769"/>
      <c r="IC74" s="769"/>
      <c r="ID74" s="769"/>
    </row>
    <row r="75" spans="2:238" s="702" customFormat="1" ht="22" customHeight="1" x14ac:dyDescent="0.35">
      <c r="B75" s="1979" t="s">
        <v>86</v>
      </c>
      <c r="C75" s="1980"/>
      <c r="D75" s="1980"/>
      <c r="E75" s="1980"/>
      <c r="F75" s="1980"/>
      <c r="G75" s="762">
        <v>0.26</v>
      </c>
      <c r="H75" s="88" t="s">
        <v>69</v>
      </c>
      <c r="I75" s="2008" t="s">
        <v>202</v>
      </c>
      <c r="J75" s="2009"/>
      <c r="K75" s="748">
        <v>0.1</v>
      </c>
      <c r="L75" s="1908">
        <f>BH49*(1*1+G75)</f>
        <v>0</v>
      </c>
      <c r="M75" s="1909"/>
      <c r="N75" s="42" t="s">
        <v>95</v>
      </c>
      <c r="O75" s="1887">
        <f>G75*L75*(IF(AC$63="N",1+AE$63,1))</f>
        <v>0</v>
      </c>
      <c r="P75" s="1888"/>
      <c r="Q75" s="686"/>
      <c r="R75" s="686"/>
      <c r="S75" s="537"/>
      <c r="T75" s="299"/>
      <c r="U75" s="622"/>
      <c r="V75" s="622"/>
      <c r="W75" s="622"/>
      <c r="X75" s="622"/>
      <c r="Y75" s="193" t="s">
        <v>205</v>
      </c>
      <c r="Z75" s="106"/>
      <c r="AA75"/>
      <c r="AB75" s="194">
        <f>BQ49*AC71</f>
        <v>0</v>
      </c>
      <c r="AC75" s="106" t="s">
        <v>42</v>
      </c>
      <c r="AD75" s="195">
        <f>Pricing!N6</f>
        <v>1.25</v>
      </c>
      <c r="AE75" s="401" t="s">
        <v>787</v>
      </c>
      <c r="AF75" s="680">
        <f>IF(AC$63="Y",AB75*AD75,AB75*AD75*(1+AE$63))</f>
        <v>0</v>
      </c>
      <c r="AG75" s="1794"/>
      <c r="AH75" s="769"/>
      <c r="AI75" s="769"/>
      <c r="AJ75" s="702" t="s">
        <v>237</v>
      </c>
      <c r="GA75" s="769"/>
      <c r="GB75" s="769"/>
      <c r="GC75" s="769"/>
      <c r="GD75" s="769"/>
      <c r="GE75" s="769"/>
      <c r="GF75" s="769"/>
      <c r="GG75" s="769"/>
      <c r="GH75" s="769"/>
      <c r="GI75" s="769"/>
      <c r="GJ75" s="769"/>
      <c r="GK75" s="769"/>
      <c r="GL75" s="769"/>
      <c r="GM75" s="769"/>
      <c r="GN75" s="769"/>
      <c r="GO75" s="769"/>
      <c r="GP75" s="769"/>
      <c r="GQ75" s="769"/>
      <c r="GR75" s="769"/>
      <c r="GS75" s="769"/>
      <c r="GT75" s="769"/>
      <c r="GU75" s="769"/>
      <c r="GV75" s="769"/>
      <c r="GW75" s="769"/>
      <c r="GX75" s="769"/>
      <c r="GY75" s="769"/>
      <c r="GZ75" s="769"/>
      <c r="HA75" s="769"/>
      <c r="HB75" s="769"/>
      <c r="HC75" s="769"/>
      <c r="HD75" s="769"/>
      <c r="HE75" s="769"/>
      <c r="HF75" s="769"/>
      <c r="HG75" s="769"/>
      <c r="HH75" s="769"/>
      <c r="HI75" s="769"/>
      <c r="HJ75" s="769"/>
      <c r="HK75" s="769"/>
      <c r="HL75" s="769"/>
      <c r="HM75" s="769"/>
      <c r="HN75" s="769"/>
      <c r="HO75" s="769"/>
      <c r="HP75" s="769"/>
      <c r="HQ75" s="769"/>
      <c r="HR75" s="769"/>
      <c r="HS75" s="769"/>
      <c r="HT75" s="769"/>
      <c r="HU75" s="769"/>
      <c r="HV75" s="769"/>
      <c r="HW75" s="769"/>
      <c r="HX75" s="769"/>
      <c r="HY75" s="769"/>
      <c r="HZ75" s="769"/>
      <c r="IA75" s="769"/>
      <c r="IB75" s="769"/>
      <c r="IC75" s="769"/>
      <c r="ID75" s="769"/>
    </row>
    <row r="76" spans="2:238" s="702" customFormat="1" ht="22" customHeight="1" x14ac:dyDescent="0.35">
      <c r="B76" s="1979" t="s">
        <v>678</v>
      </c>
      <c r="C76" s="1980"/>
      <c r="D76" s="1980"/>
      <c r="E76" s="1980"/>
      <c r="F76" s="1981"/>
      <c r="G76" s="762">
        <v>0.85</v>
      </c>
      <c r="H76" s="108" t="s">
        <v>69</v>
      </c>
      <c r="I76" s="52" t="s">
        <v>199</v>
      </c>
      <c r="J76" s="2094"/>
      <c r="K76" s="2094"/>
      <c r="L76" s="1891">
        <f>BP49</f>
        <v>0</v>
      </c>
      <c r="M76" s="1892"/>
      <c r="N76" s="42" t="s">
        <v>95</v>
      </c>
      <c r="O76" s="1895">
        <f>IF(J76=0,L76*G76*IF(AC63="n",(1+AE63),1),J76)</f>
        <v>0</v>
      </c>
      <c r="P76" s="1896"/>
      <c r="Q76" s="687"/>
      <c r="R76" s="687"/>
      <c r="S76" s="537"/>
      <c r="T76" s="299"/>
      <c r="U76" s="622"/>
      <c r="V76" s="622"/>
      <c r="W76" s="622"/>
      <c r="X76" s="622"/>
      <c r="Y76" s="193" t="s">
        <v>375</v>
      </c>
      <c r="Z76" s="106"/>
      <c r="AA76"/>
      <c r="AB76" s="194">
        <f>ROUNDUP(SUM(K11:K48)*0.03/16,0)</f>
        <v>0</v>
      </c>
      <c r="AC76" s="106" t="s">
        <v>376</v>
      </c>
      <c r="AD76" s="195">
        <f>Pricing!N8</f>
        <v>19</v>
      </c>
      <c r="AE76" s="401" t="s">
        <v>378</v>
      </c>
      <c r="AF76" s="680">
        <f>AD93*AB93</f>
        <v>0</v>
      </c>
      <c r="AG76" s="1794"/>
      <c r="AH76" s="769"/>
      <c r="AI76" s="769"/>
      <c r="AJ76" s="702" t="s">
        <v>126</v>
      </c>
      <c r="AK76" s="702">
        <v>0</v>
      </c>
      <c r="GA76" s="769"/>
      <c r="GB76" s="769"/>
      <c r="GC76" s="769"/>
      <c r="GD76" s="769"/>
      <c r="GE76" s="769"/>
      <c r="GF76" s="769"/>
      <c r="GG76" s="769"/>
      <c r="GH76" s="769"/>
      <c r="GI76" s="769"/>
      <c r="GJ76" s="769"/>
      <c r="GK76" s="769"/>
      <c r="GL76" s="769"/>
      <c r="GM76" s="769"/>
      <c r="GN76" s="769"/>
      <c r="GO76" s="769"/>
      <c r="GP76" s="769"/>
      <c r="GQ76" s="769"/>
      <c r="GR76" s="769"/>
      <c r="GS76" s="769"/>
      <c r="GT76" s="769"/>
      <c r="GU76" s="769"/>
      <c r="GV76" s="769"/>
      <c r="GW76" s="769"/>
      <c r="GX76" s="769"/>
      <c r="GY76" s="769"/>
      <c r="GZ76" s="769"/>
      <c r="HA76" s="769"/>
      <c r="HB76" s="769"/>
      <c r="HC76" s="769"/>
      <c r="HD76" s="769"/>
      <c r="HE76" s="769"/>
      <c r="HF76" s="769"/>
      <c r="HG76" s="769"/>
      <c r="HH76" s="769"/>
      <c r="HI76" s="769"/>
      <c r="HJ76" s="769"/>
      <c r="HK76" s="769"/>
      <c r="HL76" s="769"/>
      <c r="HM76" s="769"/>
      <c r="HN76" s="769"/>
      <c r="HO76" s="769"/>
      <c r="HP76" s="769"/>
      <c r="HQ76" s="769"/>
      <c r="HR76" s="769"/>
      <c r="HS76" s="769"/>
      <c r="HT76" s="769"/>
      <c r="HU76" s="769"/>
      <c r="HV76" s="769"/>
      <c r="HW76" s="769"/>
      <c r="HX76" s="769"/>
      <c r="HY76" s="769"/>
      <c r="HZ76" s="769"/>
      <c r="IA76" s="769"/>
      <c r="IB76" s="769"/>
      <c r="IC76" s="769"/>
      <c r="ID76" s="769"/>
    </row>
    <row r="77" spans="2:238" s="702" customFormat="1" ht="22" customHeight="1" thickBot="1" x14ac:dyDescent="0.4">
      <c r="B77" s="2119" t="s">
        <v>602</v>
      </c>
      <c r="C77" s="2120"/>
      <c r="D77" s="2120"/>
      <c r="E77" s="2120"/>
      <c r="F77" s="2120"/>
      <c r="G77" s="765">
        <f>Pricing!D18</f>
        <v>25</v>
      </c>
      <c r="H77" s="90" t="s">
        <v>443</v>
      </c>
      <c r="I77" s="2067" t="s">
        <v>603</v>
      </c>
      <c r="J77" s="2068"/>
      <c r="K77" s="749">
        <v>0.05</v>
      </c>
      <c r="L77" s="2121">
        <f>BU49</f>
        <v>0</v>
      </c>
      <c r="M77" s="2121"/>
      <c r="N77" s="75" t="s">
        <v>446</v>
      </c>
      <c r="O77" s="2058">
        <f>G77*L77*(IF(AC$63="N",1+AE$63,1))</f>
        <v>0</v>
      </c>
      <c r="P77" s="2059"/>
      <c r="Q77" s="686"/>
      <c r="R77" s="686"/>
      <c r="S77" s="537"/>
      <c r="T77" s="299"/>
      <c r="U77" s="622"/>
      <c r="V77" s="622"/>
      <c r="W77" s="622"/>
      <c r="X77" s="622"/>
      <c r="Y77" s="193" t="s">
        <v>207</v>
      </c>
      <c r="Z77" s="106"/>
      <c r="AA77"/>
      <c r="AB77" s="194">
        <f>ROUNDUP(I87/32*1.2*AC71,0)</f>
        <v>0</v>
      </c>
      <c r="AC77" s="106" t="s">
        <v>209</v>
      </c>
      <c r="AD77" s="195">
        <f>Pricing!N7</f>
        <v>50</v>
      </c>
      <c r="AE77" s="401" t="s">
        <v>290</v>
      </c>
      <c r="AF77" s="680">
        <f t="shared" ref="AF77:AF98" si="75">IF(AC$63="Y",AB77*AD77,AB77*AD77*(1+AE$63))</f>
        <v>0</v>
      </c>
      <c r="AG77" s="1794"/>
      <c r="AH77" s="769"/>
      <c r="AI77" s="769"/>
      <c r="AJ77" s="702" t="s">
        <v>238</v>
      </c>
      <c r="AK77" s="702">
        <v>0</v>
      </c>
      <c r="GA77" s="769"/>
      <c r="GB77" s="769"/>
      <c r="GC77" s="769"/>
      <c r="GD77" s="769"/>
      <c r="GE77" s="769"/>
      <c r="GF77" s="769"/>
      <c r="GG77" s="769"/>
      <c r="GH77" s="769"/>
      <c r="GI77" s="769"/>
      <c r="GJ77" s="769"/>
      <c r="GK77" s="769"/>
      <c r="GL77" s="769"/>
      <c r="GM77" s="769"/>
      <c r="GN77" s="769"/>
      <c r="GO77" s="769"/>
      <c r="GP77" s="769"/>
      <c r="GQ77" s="769"/>
      <c r="GR77" s="769"/>
      <c r="GS77" s="769"/>
      <c r="GT77" s="769"/>
      <c r="GU77" s="769"/>
      <c r="GV77" s="769"/>
      <c r="GW77" s="769"/>
      <c r="GX77" s="769"/>
      <c r="GY77" s="769"/>
      <c r="GZ77" s="769"/>
      <c r="HA77" s="769"/>
      <c r="HB77" s="769"/>
      <c r="HC77" s="769"/>
      <c r="HD77" s="769"/>
      <c r="HE77" s="769"/>
      <c r="HF77" s="769"/>
      <c r="HG77" s="769"/>
      <c r="HH77" s="769"/>
      <c r="HI77" s="769"/>
      <c r="HJ77" s="769"/>
      <c r="HK77" s="769"/>
      <c r="HL77" s="769"/>
      <c r="HM77" s="769"/>
      <c r="HN77" s="769"/>
      <c r="HO77" s="769"/>
      <c r="HP77" s="769"/>
      <c r="HQ77" s="769"/>
      <c r="HR77" s="769"/>
      <c r="HS77" s="769"/>
      <c r="HT77" s="769"/>
      <c r="HU77" s="769"/>
      <c r="HV77" s="769"/>
      <c r="HW77" s="769"/>
      <c r="HX77" s="769"/>
      <c r="HY77" s="769"/>
      <c r="HZ77" s="769"/>
      <c r="IA77" s="769"/>
      <c r="IB77" s="769"/>
      <c r="IC77" s="769"/>
      <c r="ID77" s="769"/>
    </row>
    <row r="78" spans="2:238" s="702" customFormat="1" ht="22" customHeight="1" thickTop="1" x14ac:dyDescent="0.35">
      <c r="B78" s="43" t="s">
        <v>604</v>
      </c>
      <c r="C78" s="42"/>
      <c r="D78" s="42"/>
      <c r="E78" s="2022" t="s">
        <v>605</v>
      </c>
      <c r="F78" s="751" t="s">
        <v>198</v>
      </c>
      <c r="G78" s="766">
        <v>1</v>
      </c>
      <c r="H78" s="88" t="s">
        <v>42</v>
      </c>
      <c r="I78" s="2008" t="s">
        <v>202</v>
      </c>
      <c r="J78" s="2009"/>
      <c r="K78" s="747">
        <v>0.1</v>
      </c>
      <c r="L78" s="2021">
        <f>IF(F78="Y",(SUM(T$11:T$48)+SUM(Z$11:Z$48)+SUM(AB$11:AB$48))*(1+K78),0)</f>
        <v>0</v>
      </c>
      <c r="M78" s="2015"/>
      <c r="N78" s="42" t="s">
        <v>42</v>
      </c>
      <c r="O78" s="1887">
        <f>L78*G78*(IF(AC$63="N",1+AE$63,1))</f>
        <v>0</v>
      </c>
      <c r="P78" s="1888"/>
      <c r="Q78" s="686"/>
      <c r="R78" s="686"/>
      <c r="S78" s="537"/>
      <c r="T78" s="299"/>
      <c r="U78" s="622"/>
      <c r="V78" s="622"/>
      <c r="W78" s="622"/>
      <c r="X78" s="622"/>
      <c r="Y78" s="193" t="s">
        <v>757</v>
      </c>
      <c r="Z78" s="106"/>
      <c r="AA78"/>
      <c r="AB78" s="194">
        <f>ROUND(AB75/25,0)</f>
        <v>0</v>
      </c>
      <c r="AC78" s="106" t="s">
        <v>753</v>
      </c>
      <c r="AD78" s="195">
        <f>Pricing!N14</f>
        <v>18</v>
      </c>
      <c r="AE78" s="401" t="s">
        <v>291</v>
      </c>
      <c r="AF78" s="680">
        <f t="shared" si="75"/>
        <v>0</v>
      </c>
      <c r="AG78" s="1794"/>
      <c r="AH78" s="769"/>
      <c r="AI78" s="769"/>
      <c r="AJ78" s="702" t="s">
        <v>283</v>
      </c>
      <c r="AK78" s="702">
        <v>0</v>
      </c>
      <c r="GA78" s="769"/>
      <c r="GB78" s="769"/>
      <c r="GC78" s="769"/>
      <c r="GD78" s="769"/>
      <c r="GE78" s="769"/>
      <c r="GF78" s="769"/>
      <c r="GG78" s="769"/>
      <c r="GH78" s="769"/>
      <c r="GI78" s="769"/>
      <c r="GJ78" s="769"/>
      <c r="GK78" s="769"/>
      <c r="GL78" s="769"/>
      <c r="GM78" s="769"/>
      <c r="GN78" s="769"/>
      <c r="GO78" s="769"/>
      <c r="GP78" s="769"/>
      <c r="GQ78" s="769"/>
      <c r="GR78" s="769"/>
      <c r="GS78" s="769"/>
      <c r="GT78" s="769"/>
      <c r="GU78" s="769"/>
      <c r="GV78" s="769"/>
      <c r="GW78" s="769"/>
      <c r="GX78" s="769"/>
      <c r="GY78" s="769"/>
      <c r="GZ78" s="769"/>
      <c r="HA78" s="769"/>
      <c r="HB78" s="769"/>
      <c r="HC78" s="769"/>
      <c r="HD78" s="769"/>
      <c r="HE78" s="769"/>
      <c r="HF78" s="769"/>
      <c r="HG78" s="769"/>
      <c r="HH78" s="769"/>
      <c r="HI78" s="769"/>
      <c r="HJ78" s="769"/>
      <c r="HK78" s="769"/>
      <c r="HL78" s="769"/>
      <c r="HM78" s="769"/>
      <c r="HN78" s="769"/>
      <c r="HO78" s="769"/>
      <c r="HP78" s="769"/>
      <c r="HQ78" s="769"/>
      <c r="HR78" s="769"/>
      <c r="HS78" s="769"/>
      <c r="HT78" s="769"/>
      <c r="HU78" s="769"/>
      <c r="HV78" s="769"/>
      <c r="HW78" s="769"/>
      <c r="HX78" s="769"/>
      <c r="HY78" s="769"/>
      <c r="HZ78" s="769"/>
      <c r="IA78" s="769"/>
      <c r="IB78" s="769"/>
      <c r="IC78" s="769"/>
      <c r="ID78" s="769"/>
    </row>
    <row r="79" spans="2:238" s="702" customFormat="1" ht="23.25" customHeight="1" x14ac:dyDescent="0.35">
      <c r="B79" s="43" t="s">
        <v>592</v>
      </c>
      <c r="C79"/>
      <c r="D79"/>
      <c r="E79" s="2022"/>
      <c r="F79" s="728" t="s">
        <v>198</v>
      </c>
      <c r="G79" s="766">
        <v>0.85</v>
      </c>
      <c r="H79" s="88" t="s">
        <v>69</v>
      </c>
      <c r="I79" s="42"/>
      <c r="J79" s="42"/>
      <c r="K79" s="2014">
        <v>0.1</v>
      </c>
      <c r="L79" s="2021">
        <f>IF(F79="Y",SUM(D$49)*(1+K$79),0)</f>
        <v>0</v>
      </c>
      <c r="M79" s="2015"/>
      <c r="N79" s="42" t="s">
        <v>95</v>
      </c>
      <c r="O79" s="1887">
        <f>L79*G79*(IF(AC$63="N",1+AE$63,1))</f>
        <v>0</v>
      </c>
      <c r="P79" s="1888"/>
      <c r="Q79" s="686"/>
      <c r="R79" s="686"/>
      <c r="S79" s="537"/>
      <c r="T79" s="299"/>
      <c r="U79" s="622"/>
      <c r="V79" s="622"/>
      <c r="W79" s="622"/>
      <c r="X79" s="622"/>
      <c r="Y79" s="193" t="s">
        <v>0</v>
      </c>
      <c r="Z79" s="106"/>
      <c r="AA79"/>
      <c r="AB79" s="194">
        <f>ROUNDUP((SUM(K11:K48))*1.25/500,0)</f>
        <v>0</v>
      </c>
      <c r="AC79" s="106" t="s">
        <v>626</v>
      </c>
      <c r="AD79" s="195">
        <f>Pricing!N15</f>
        <v>42</v>
      </c>
      <c r="AE79" s="401" t="s">
        <v>292</v>
      </c>
      <c r="AF79" s="680">
        <f t="shared" si="75"/>
        <v>0</v>
      </c>
      <c r="AG79" s="1794"/>
      <c r="AH79" s="769"/>
      <c r="AI79" s="769"/>
      <c r="AJ79" s="702" t="s">
        <v>239</v>
      </c>
      <c r="AK79" s="702" t="s">
        <v>240</v>
      </c>
      <c r="AO79" s="702" t="s">
        <v>92</v>
      </c>
      <c r="GA79" s="769"/>
      <c r="GB79" s="769"/>
      <c r="GC79" s="769"/>
      <c r="GD79" s="769"/>
      <c r="GE79" s="769"/>
      <c r="GF79" s="769"/>
      <c r="GG79" s="769"/>
      <c r="GH79" s="769"/>
      <c r="GI79" s="769"/>
      <c r="GJ79" s="769"/>
      <c r="GK79" s="769"/>
      <c r="GL79" s="769"/>
      <c r="GM79" s="769"/>
      <c r="GN79" s="769"/>
      <c r="GO79" s="769"/>
      <c r="GP79" s="769"/>
      <c r="GQ79" s="769"/>
      <c r="GR79" s="769"/>
      <c r="GS79" s="769"/>
      <c r="GT79" s="769"/>
      <c r="GU79" s="769"/>
      <c r="GV79" s="769"/>
      <c r="GW79" s="769"/>
      <c r="GX79" s="769"/>
      <c r="GY79" s="769"/>
      <c r="GZ79" s="769"/>
      <c r="HA79" s="769"/>
      <c r="HB79" s="769"/>
      <c r="HC79" s="769"/>
      <c r="HD79" s="769"/>
      <c r="HE79" s="769"/>
      <c r="HF79" s="769"/>
      <c r="HG79" s="769"/>
      <c r="HH79" s="769"/>
      <c r="HI79" s="769"/>
      <c r="HJ79" s="769"/>
      <c r="HK79" s="769"/>
      <c r="HL79" s="769"/>
      <c r="HM79" s="769"/>
      <c r="HN79" s="769"/>
      <c r="HO79" s="769"/>
      <c r="HP79" s="769"/>
      <c r="HQ79" s="769"/>
      <c r="HR79" s="769"/>
      <c r="HS79" s="769"/>
      <c r="HT79" s="769"/>
      <c r="HU79" s="769"/>
      <c r="HV79" s="769"/>
      <c r="HW79" s="769"/>
      <c r="HX79" s="769"/>
      <c r="HY79" s="769"/>
      <c r="HZ79" s="769"/>
      <c r="IA79" s="769"/>
      <c r="IB79" s="769"/>
      <c r="IC79" s="769"/>
      <c r="ID79" s="769"/>
    </row>
    <row r="80" spans="2:238" s="702" customFormat="1" ht="22" customHeight="1" x14ac:dyDescent="0.35">
      <c r="B80" s="43" t="s">
        <v>591</v>
      </c>
      <c r="C80"/>
      <c r="D80"/>
      <c r="E80" s="2023"/>
      <c r="F80" s="728" t="s">
        <v>198</v>
      </c>
      <c r="G80" s="767">
        <v>0.12</v>
      </c>
      <c r="H80" s="88" t="s">
        <v>69</v>
      </c>
      <c r="I80" s="2015" t="s">
        <v>202</v>
      </c>
      <c r="J80" s="2016"/>
      <c r="K80" s="2014"/>
      <c r="L80" s="2021">
        <f>IF(F80="Y",SUM(D$49)*(1+K$79),0)</f>
        <v>0</v>
      </c>
      <c r="M80" s="2015"/>
      <c r="N80" s="42" t="s">
        <v>95</v>
      </c>
      <c r="O80" s="1887">
        <f>L80*G80*(IF(AC$63="N",1+AE$63,1))</f>
        <v>0</v>
      </c>
      <c r="P80" s="1888"/>
      <c r="Q80" s="686"/>
      <c r="R80" s="686"/>
      <c r="S80" s="537"/>
      <c r="T80" s="299"/>
      <c r="U80" s="622"/>
      <c r="V80" s="622"/>
      <c r="W80" s="622"/>
      <c r="X80" s="622"/>
      <c r="Y80" s="193" t="s">
        <v>2</v>
      </c>
      <c r="Z80" s="106"/>
      <c r="AA80"/>
      <c r="AB80" s="194">
        <f>ROUNDUP((SUM(K12:K49))*1.25/500,0)</f>
        <v>0</v>
      </c>
      <c r="AC80" s="106" t="s">
        <v>626</v>
      </c>
      <c r="AD80" s="195">
        <f>Pricing!N16</f>
        <v>42</v>
      </c>
      <c r="AE80" s="401" t="s">
        <v>292</v>
      </c>
      <c r="AF80" s="680">
        <f t="shared" si="75"/>
        <v>0</v>
      </c>
      <c r="AG80" s="1794"/>
      <c r="AH80" s="769"/>
      <c r="AI80" s="769"/>
      <c r="GA80" s="769"/>
      <c r="GB80" s="769"/>
      <c r="GC80" s="769"/>
      <c r="GD80" s="769"/>
      <c r="GE80" s="769"/>
      <c r="GF80" s="769"/>
      <c r="GG80" s="769"/>
      <c r="GH80" s="769"/>
      <c r="GI80" s="769"/>
      <c r="GJ80" s="769"/>
      <c r="GK80" s="769"/>
      <c r="GL80" s="769"/>
      <c r="GM80" s="769"/>
      <c r="GN80" s="769"/>
      <c r="GO80" s="769"/>
      <c r="GP80" s="769"/>
      <c r="GQ80" s="769"/>
      <c r="GR80" s="769"/>
      <c r="GS80" s="769"/>
      <c r="GT80" s="769"/>
      <c r="GU80" s="769"/>
      <c r="GV80" s="769"/>
      <c r="GW80" s="769"/>
      <c r="GX80" s="769"/>
      <c r="GY80" s="769"/>
      <c r="GZ80" s="769"/>
      <c r="HA80" s="769"/>
      <c r="HB80" s="769"/>
      <c r="HC80" s="769"/>
      <c r="HD80" s="769"/>
      <c r="HE80" s="769"/>
      <c r="HF80" s="769"/>
      <c r="HG80" s="769"/>
      <c r="HH80" s="769"/>
      <c r="HI80" s="769"/>
      <c r="HJ80" s="769"/>
      <c r="HK80" s="769"/>
      <c r="HL80" s="769"/>
      <c r="HM80" s="769"/>
      <c r="HN80" s="769"/>
      <c r="HO80" s="769"/>
      <c r="HP80" s="769"/>
      <c r="HQ80" s="769"/>
      <c r="HR80" s="769"/>
      <c r="HS80" s="769"/>
      <c r="HT80" s="769"/>
      <c r="HU80" s="769"/>
      <c r="HV80" s="769"/>
      <c r="HW80" s="769"/>
      <c r="HX80" s="769"/>
      <c r="HY80" s="769"/>
      <c r="HZ80" s="769"/>
      <c r="IA80" s="769"/>
      <c r="IB80" s="769"/>
      <c r="IC80" s="769"/>
      <c r="ID80" s="769"/>
    </row>
    <row r="81" spans="2:238" s="702" customFormat="1" ht="22" customHeight="1" thickBot="1" x14ac:dyDescent="0.4">
      <c r="B81" s="2005" t="s">
        <v>108</v>
      </c>
      <c r="C81" s="2006"/>
      <c r="D81" s="2006"/>
      <c r="E81" s="2006"/>
      <c r="F81" s="2007"/>
      <c r="G81" s="768">
        <v>20</v>
      </c>
      <c r="H81" s="96" t="s">
        <v>606</v>
      </c>
      <c r="I81" s="2006" t="s">
        <v>603</v>
      </c>
      <c r="J81" s="2006"/>
      <c r="K81" s="750">
        <v>0.1</v>
      </c>
      <c r="L81" s="2029">
        <v>0</v>
      </c>
      <c r="M81" s="2029"/>
      <c r="N81" s="49" t="s">
        <v>335</v>
      </c>
      <c r="O81" s="1887">
        <f>L81*G81*(IF(AC$63="N",1+AE$63,1))</f>
        <v>0</v>
      </c>
      <c r="P81" s="1888"/>
      <c r="Q81" s="686"/>
      <c r="R81" s="686"/>
      <c r="S81" s="537"/>
      <c r="T81" s="299"/>
      <c r="U81" s="622"/>
      <c r="V81" s="622"/>
      <c r="W81" s="622"/>
      <c r="X81" s="622"/>
      <c r="Y81" s="193" t="s">
        <v>728</v>
      </c>
      <c r="Z81" s="106"/>
      <c r="AA81"/>
      <c r="AB81" s="194">
        <f>ROUNDUP((SUM(K13:K48))*1.25/500,0)</f>
        <v>0</v>
      </c>
      <c r="AC81" s="106" t="s">
        <v>626</v>
      </c>
      <c r="AD81" s="195">
        <f>Pricing!N15</f>
        <v>42</v>
      </c>
      <c r="AE81" s="401" t="s">
        <v>292</v>
      </c>
      <c r="AF81" s="680">
        <f t="shared" si="75"/>
        <v>0</v>
      </c>
      <c r="AG81" s="1794"/>
      <c r="AH81" s="769"/>
      <c r="AI81" s="769"/>
      <c r="AJ81" s="702">
        <v>0</v>
      </c>
      <c r="AK81" s="702" t="s">
        <v>241</v>
      </c>
      <c r="GA81" s="769"/>
      <c r="GB81" s="769"/>
      <c r="GC81" s="769"/>
      <c r="GD81" s="769"/>
      <c r="GE81" s="769"/>
      <c r="GF81" s="769"/>
      <c r="GG81" s="769"/>
      <c r="GH81" s="769"/>
      <c r="GI81" s="769"/>
      <c r="GJ81" s="769"/>
      <c r="GK81" s="769"/>
      <c r="GL81" s="769"/>
      <c r="GM81" s="769"/>
      <c r="GN81" s="769"/>
      <c r="GO81" s="769"/>
      <c r="GP81" s="769"/>
      <c r="GQ81" s="769"/>
      <c r="GR81" s="769"/>
      <c r="GS81" s="769"/>
      <c r="GT81" s="769"/>
      <c r="GU81" s="769"/>
      <c r="GV81" s="769"/>
      <c r="GW81" s="769"/>
      <c r="GX81" s="769"/>
      <c r="GY81" s="769"/>
      <c r="GZ81" s="769"/>
      <c r="HA81" s="769"/>
      <c r="HB81" s="769"/>
      <c r="HC81" s="769"/>
      <c r="HD81" s="769"/>
      <c r="HE81" s="769"/>
      <c r="HF81" s="769"/>
      <c r="HG81" s="769"/>
      <c r="HH81" s="769"/>
      <c r="HI81" s="769"/>
      <c r="HJ81" s="769"/>
      <c r="HK81" s="769"/>
      <c r="HL81" s="769"/>
      <c r="HM81" s="769"/>
      <c r="HN81" s="769"/>
      <c r="HO81" s="769"/>
      <c r="HP81" s="769"/>
      <c r="HQ81" s="769"/>
      <c r="HR81" s="769"/>
      <c r="HS81" s="769"/>
      <c r="HT81" s="769"/>
      <c r="HU81" s="769"/>
      <c r="HV81" s="769"/>
      <c r="HW81" s="769"/>
      <c r="HX81" s="769"/>
      <c r="HY81" s="769"/>
      <c r="HZ81" s="769"/>
      <c r="IA81" s="769"/>
      <c r="IB81" s="769"/>
      <c r="IC81" s="769"/>
      <c r="ID81" s="769"/>
    </row>
    <row r="82" spans="2:238" s="702" customFormat="1" ht="22" customHeight="1" thickBot="1" x14ac:dyDescent="0.4">
      <c r="B82" s="737" t="s">
        <v>221</v>
      </c>
      <c r="C82" s="732"/>
      <c r="D82" s="732" t="s">
        <v>299</v>
      </c>
      <c r="E82" s="732"/>
      <c r="F82" s="732"/>
      <c r="G82" s="732"/>
      <c r="H82" s="731"/>
      <c r="I82" s="732"/>
      <c r="J82" s="732"/>
      <c r="K82" s="732"/>
      <c r="L82" s="1889" t="s">
        <v>45</v>
      </c>
      <c r="M82" s="1889"/>
      <c r="N82" s="1889" t="s">
        <v>300</v>
      </c>
      <c r="O82" s="1889"/>
      <c r="P82" s="1890"/>
      <c r="Q82" s="685"/>
      <c r="R82" s="685"/>
      <c r="S82" s="537"/>
      <c r="T82" s="299"/>
      <c r="U82" s="622"/>
      <c r="V82" s="622"/>
      <c r="W82" s="622"/>
      <c r="X82" s="622"/>
      <c r="Y82" s="193" t="s">
        <v>210</v>
      </c>
      <c r="Z82" s="106"/>
      <c r="AA82"/>
      <c r="AB82" s="194">
        <f>BQ49/150</f>
        <v>0</v>
      </c>
      <c r="AC82" s="106" t="s">
        <v>626</v>
      </c>
      <c r="AD82" s="195">
        <f>Pricing!N33</f>
        <v>25.5</v>
      </c>
      <c r="AE82" s="401" t="s">
        <v>292</v>
      </c>
      <c r="AF82" s="680">
        <f t="shared" si="75"/>
        <v>0</v>
      </c>
      <c r="AG82" s="1794"/>
      <c r="AH82" s="769"/>
      <c r="AI82" s="769"/>
      <c r="AJ82" s="702">
        <v>1</v>
      </c>
      <c r="AK82" s="702" t="s">
        <v>242</v>
      </c>
      <c r="GA82" s="769"/>
      <c r="GB82" s="769"/>
      <c r="GC82" s="769"/>
      <c r="GD82" s="769"/>
      <c r="GE82" s="769"/>
      <c r="GF82" s="769"/>
      <c r="GG82" s="769"/>
      <c r="GH82" s="769"/>
      <c r="GI82" s="769"/>
      <c r="GJ82" s="769"/>
      <c r="GK82" s="769"/>
      <c r="GL82" s="769"/>
      <c r="GM82" s="769"/>
      <c r="GN82" s="769"/>
      <c r="GO82" s="769"/>
      <c r="GP82" s="769"/>
      <c r="GQ82" s="769"/>
      <c r="GR82" s="769"/>
      <c r="GS82" s="769"/>
      <c r="GT82" s="769"/>
      <c r="GU82" s="769"/>
      <c r="GV82" s="769"/>
      <c r="GW82" s="769"/>
      <c r="GX82" s="769"/>
      <c r="GY82" s="769"/>
      <c r="GZ82" s="769"/>
      <c r="HA82" s="769"/>
      <c r="HB82" s="769"/>
      <c r="HC82" s="769"/>
      <c r="HD82" s="769"/>
      <c r="HE82" s="769"/>
      <c r="HF82" s="769"/>
      <c r="HG82" s="769"/>
      <c r="HH82" s="769"/>
      <c r="HI82" s="769"/>
      <c r="HJ82" s="769"/>
      <c r="HK82" s="769"/>
      <c r="HL82" s="769"/>
      <c r="HM82" s="769"/>
      <c r="HN82" s="769"/>
      <c r="HO82" s="769"/>
      <c r="HP82" s="769"/>
      <c r="HQ82" s="769"/>
      <c r="HR82" s="769"/>
      <c r="HS82" s="769"/>
      <c r="HT82" s="769"/>
      <c r="HU82" s="769"/>
      <c r="HV82" s="769"/>
      <c r="HW82" s="769"/>
      <c r="HX82" s="769"/>
      <c r="HY82" s="769"/>
      <c r="HZ82" s="769"/>
      <c r="IA82" s="769"/>
      <c r="IB82" s="769"/>
      <c r="IC82" s="769"/>
      <c r="ID82" s="769"/>
    </row>
    <row r="83" spans="2:238" s="702" customFormat="1" ht="22" customHeight="1" x14ac:dyDescent="0.35">
      <c r="B83" s="250" t="s">
        <v>329</v>
      </c>
      <c r="C83" s="78"/>
      <c r="D83" s="246" t="s">
        <v>235</v>
      </c>
      <c r="E83" s="2027">
        <v>0.6</v>
      </c>
      <c r="F83" s="2028"/>
      <c r="G83" s="116" t="s">
        <v>191</v>
      </c>
      <c r="H83" s="2024">
        <f>SUM(E83:F86)</f>
        <v>1.9500000000000002</v>
      </c>
      <c r="I83" s="1847">
        <f>D49</f>
        <v>0</v>
      </c>
      <c r="J83" s="1848"/>
      <c r="K83" s="48" t="s">
        <v>95</v>
      </c>
      <c r="L83" s="1853">
        <f>IF(D83="N",E83*I$83,0)</f>
        <v>0</v>
      </c>
      <c r="M83" s="1853"/>
      <c r="N83" s="247"/>
      <c r="O83" s="1897">
        <f>IF(D83="y",I$83*E83,0)</f>
        <v>0</v>
      </c>
      <c r="P83" s="1898"/>
      <c r="Q83" s="687"/>
      <c r="R83" s="687"/>
      <c r="S83" s="537"/>
      <c r="T83" s="299"/>
      <c r="U83" s="622"/>
      <c r="V83" s="622"/>
      <c r="W83" s="622"/>
      <c r="X83" s="622"/>
      <c r="Y83" s="193" t="s">
        <v>236</v>
      </c>
      <c r="Z83" s="106"/>
      <c r="AA83"/>
      <c r="AB83" s="194">
        <v>0</v>
      </c>
      <c r="AC83" s="106" t="s">
        <v>42</v>
      </c>
      <c r="AD83" s="195">
        <f>Pricing!N18</f>
        <v>0.78</v>
      </c>
      <c r="AE83" s="106" t="s">
        <v>787</v>
      </c>
      <c r="AF83" s="680">
        <f t="shared" si="75"/>
        <v>0</v>
      </c>
      <c r="AG83" s="1794"/>
      <c r="AH83" s="769"/>
      <c r="AI83" s="769"/>
      <c r="AJ83" s="702">
        <v>2</v>
      </c>
      <c r="AK83" s="702" t="s">
        <v>243</v>
      </c>
      <c r="AO83" s="704">
        <f>SUM(AF72:AF98)+O81</f>
        <v>0</v>
      </c>
      <c r="AP83" s="704"/>
      <c r="GA83" s="769"/>
      <c r="GB83" s="769"/>
      <c r="GC83" s="769"/>
      <c r="GD83" s="769"/>
      <c r="GE83" s="769"/>
      <c r="GF83" s="769"/>
      <c r="GG83" s="769"/>
      <c r="GH83" s="769"/>
      <c r="GI83" s="769"/>
      <c r="GJ83" s="769"/>
      <c r="GK83" s="769"/>
      <c r="GL83" s="769"/>
      <c r="GM83" s="769"/>
      <c r="GN83" s="769"/>
      <c r="GO83" s="769"/>
      <c r="GP83" s="769"/>
      <c r="GQ83" s="769"/>
      <c r="GR83" s="769"/>
      <c r="GS83" s="769"/>
      <c r="GT83" s="769"/>
      <c r="GU83" s="769"/>
      <c r="GV83" s="769"/>
      <c r="GW83" s="769"/>
      <c r="GX83" s="769"/>
      <c r="GY83" s="769"/>
      <c r="GZ83" s="769"/>
      <c r="HA83" s="769"/>
      <c r="HB83" s="769"/>
      <c r="HC83" s="769"/>
      <c r="HD83" s="769"/>
      <c r="HE83" s="769"/>
      <c r="HF83" s="769"/>
      <c r="HG83" s="769"/>
      <c r="HH83" s="769"/>
      <c r="HI83" s="769"/>
      <c r="HJ83" s="769"/>
      <c r="HK83" s="769"/>
      <c r="HL83" s="769"/>
      <c r="HM83" s="769"/>
      <c r="HN83" s="769"/>
      <c r="HO83" s="769"/>
      <c r="HP83" s="769"/>
      <c r="HQ83" s="769"/>
      <c r="HR83" s="769"/>
      <c r="HS83" s="769"/>
      <c r="HT83" s="769"/>
      <c r="HU83" s="769"/>
      <c r="HV83" s="769"/>
      <c r="HW83" s="769"/>
      <c r="HX83" s="769"/>
      <c r="HY83" s="769"/>
      <c r="HZ83" s="769"/>
      <c r="IA83" s="769"/>
      <c r="IB83" s="769"/>
      <c r="IC83" s="769"/>
      <c r="ID83" s="769"/>
    </row>
    <row r="84" spans="2:238" s="702" customFormat="1" ht="22" customHeight="1" x14ac:dyDescent="0.35">
      <c r="B84" s="196" t="s">
        <v>583</v>
      </c>
      <c r="C84" s="69"/>
      <c r="D84" s="98" t="s">
        <v>235</v>
      </c>
      <c r="E84" s="2010">
        <v>0.6</v>
      </c>
      <c r="F84" s="2011"/>
      <c r="G84" s="88" t="s">
        <v>69</v>
      </c>
      <c r="H84" s="2025"/>
      <c r="I84" s="1849"/>
      <c r="J84" s="1850"/>
      <c r="K84" s="69" t="s">
        <v>95</v>
      </c>
      <c r="L84" s="1886">
        <f>IF(D84="N",E84*I$83,0)</f>
        <v>0</v>
      </c>
      <c r="M84" s="1886"/>
      <c r="N84"/>
      <c r="O84" s="1895">
        <f>IF(D84="y",I$83*E84,0)</f>
        <v>0</v>
      </c>
      <c r="P84" s="1896"/>
      <c r="Q84" s="687"/>
      <c r="R84" s="687"/>
      <c r="S84" s="537"/>
      <c r="T84" s="299"/>
      <c r="U84" s="622"/>
      <c r="V84" s="622"/>
      <c r="W84" s="622"/>
      <c r="X84" s="622"/>
      <c r="Y84" s="193" t="s">
        <v>119</v>
      </c>
      <c r="Z84" s="106"/>
      <c r="AA84"/>
      <c r="AB84" s="194">
        <v>0</v>
      </c>
      <c r="AC84" s="106" t="s">
        <v>42</v>
      </c>
      <c r="AD84" s="195">
        <f>Pricing!N19</f>
        <v>0.16</v>
      </c>
      <c r="AE84" s="106" t="s">
        <v>787</v>
      </c>
      <c r="AF84" s="680">
        <f t="shared" si="75"/>
        <v>0</v>
      </c>
      <c r="AG84" s="1794"/>
      <c r="AH84" s="769"/>
      <c r="AI84" s="769"/>
      <c r="AJ84" s="702">
        <v>3</v>
      </c>
      <c r="AK84" s="702" t="s">
        <v>244</v>
      </c>
      <c r="AO84" s="704">
        <f>O77</f>
        <v>0</v>
      </c>
      <c r="AP84" s="704"/>
      <c r="GA84" s="769"/>
      <c r="GB84" s="769"/>
      <c r="GC84" s="769"/>
      <c r="GD84" s="769"/>
      <c r="GE84" s="769"/>
      <c r="GF84" s="769"/>
      <c r="GG84" s="769"/>
      <c r="GH84" s="769"/>
      <c r="GI84" s="769"/>
      <c r="GJ84" s="769"/>
      <c r="GK84" s="769"/>
      <c r="GL84" s="769"/>
      <c r="GM84" s="769"/>
      <c r="GN84" s="769"/>
      <c r="GO84" s="769"/>
      <c r="GP84" s="769"/>
      <c r="GQ84" s="769"/>
      <c r="GR84" s="769"/>
      <c r="GS84" s="769"/>
      <c r="GT84" s="769"/>
      <c r="GU84" s="769"/>
      <c r="GV84" s="769"/>
      <c r="GW84" s="769"/>
      <c r="GX84" s="769"/>
      <c r="GY84" s="769"/>
      <c r="GZ84" s="769"/>
      <c r="HA84" s="769"/>
      <c r="HB84" s="769"/>
      <c r="HC84" s="769"/>
      <c r="HD84" s="769"/>
      <c r="HE84" s="769"/>
      <c r="HF84" s="769"/>
      <c r="HG84" s="769"/>
      <c r="HH84" s="769"/>
      <c r="HI84" s="769"/>
      <c r="HJ84" s="769"/>
      <c r="HK84" s="769"/>
      <c r="HL84" s="769"/>
      <c r="HM84" s="769"/>
      <c r="HN84" s="769"/>
      <c r="HO84" s="769"/>
      <c r="HP84" s="769"/>
      <c r="HQ84" s="769"/>
      <c r="HR84" s="769"/>
      <c r="HS84" s="769"/>
      <c r="HT84" s="769"/>
      <c r="HU84" s="769"/>
      <c r="HV84" s="769"/>
      <c r="HW84" s="769"/>
      <c r="HX84" s="769"/>
      <c r="HY84" s="769"/>
      <c r="HZ84" s="769"/>
      <c r="IA84" s="769"/>
      <c r="IB84" s="769"/>
      <c r="IC84" s="769"/>
      <c r="ID84" s="769"/>
    </row>
    <row r="85" spans="2:238" s="702" customFormat="1" ht="22" customHeight="1" x14ac:dyDescent="0.35">
      <c r="B85" s="196" t="s">
        <v>162</v>
      </c>
      <c r="C85" s="57"/>
      <c r="D85" s="98" t="s">
        <v>235</v>
      </c>
      <c r="E85" s="1844">
        <v>0.65</v>
      </c>
      <c r="F85" s="1845"/>
      <c r="G85" s="88" t="s">
        <v>191</v>
      </c>
      <c r="H85" s="2025"/>
      <c r="I85" s="1849"/>
      <c r="J85" s="1850"/>
      <c r="K85" s="42" t="s">
        <v>95</v>
      </c>
      <c r="L85" s="1886">
        <f>IF(D85="N",E85*I$83,0)</f>
        <v>0</v>
      </c>
      <c r="M85" s="1886"/>
      <c r="N85"/>
      <c r="O85" s="1895">
        <f>IF(D85="y",I$83*E85,0)</f>
        <v>0</v>
      </c>
      <c r="P85" s="1896"/>
      <c r="Q85" s="687"/>
      <c r="R85" s="687"/>
      <c r="S85" s="537"/>
      <c r="T85" s="299"/>
      <c r="U85" s="622"/>
      <c r="V85" s="622"/>
      <c r="W85" s="622"/>
      <c r="X85" s="622"/>
      <c r="Y85" s="193" t="s">
        <v>363</v>
      </c>
      <c r="Z85" s="106"/>
      <c r="AA85"/>
      <c r="AB85" s="194">
        <v>0</v>
      </c>
      <c r="AC85" s="106" t="s">
        <v>42</v>
      </c>
      <c r="AD85" s="195">
        <f>Pricing!N11</f>
        <v>1.25</v>
      </c>
      <c r="AE85" s="106" t="s">
        <v>787</v>
      </c>
      <c r="AF85" s="680">
        <f t="shared" si="75"/>
        <v>0</v>
      </c>
      <c r="AG85" s="1794"/>
      <c r="AH85" s="769"/>
      <c r="AI85" s="769"/>
      <c r="AJ85" s="702">
        <v>4</v>
      </c>
      <c r="AK85" s="702" t="s">
        <v>245</v>
      </c>
      <c r="GA85" s="769"/>
      <c r="GB85" s="769"/>
      <c r="GC85" s="769"/>
      <c r="GD85" s="769"/>
      <c r="GE85" s="769"/>
      <c r="GF85" s="769"/>
      <c r="GG85" s="769"/>
      <c r="GH85" s="769"/>
      <c r="GI85" s="769"/>
      <c r="GJ85" s="769"/>
      <c r="GK85" s="769"/>
      <c r="GL85" s="769"/>
      <c r="GM85" s="769"/>
      <c r="GN85" s="769"/>
      <c r="GO85" s="769"/>
      <c r="GP85" s="769"/>
      <c r="GQ85" s="769"/>
      <c r="GR85" s="769"/>
      <c r="GS85" s="769"/>
      <c r="GT85" s="769"/>
      <c r="GU85" s="769"/>
      <c r="GV85" s="769"/>
      <c r="GW85" s="769"/>
      <c r="GX85" s="769"/>
      <c r="GY85" s="769"/>
      <c r="GZ85" s="769"/>
      <c r="HA85" s="769"/>
      <c r="HB85" s="769"/>
      <c r="HC85" s="769"/>
      <c r="HD85" s="769"/>
      <c r="HE85" s="769"/>
      <c r="HF85" s="769"/>
      <c r="HG85" s="769"/>
      <c r="HH85" s="769"/>
      <c r="HI85" s="769"/>
      <c r="HJ85" s="769"/>
      <c r="HK85" s="769"/>
      <c r="HL85" s="769"/>
      <c r="HM85" s="769"/>
      <c r="HN85" s="769"/>
      <c r="HO85" s="769"/>
      <c r="HP85" s="769"/>
      <c r="HQ85" s="769"/>
      <c r="HR85" s="769"/>
      <c r="HS85" s="769"/>
      <c r="HT85" s="769"/>
      <c r="HU85" s="769"/>
      <c r="HV85" s="769"/>
      <c r="HW85" s="769"/>
      <c r="HX85" s="769"/>
      <c r="HY85" s="769"/>
      <c r="HZ85" s="769"/>
      <c r="IA85" s="769"/>
      <c r="IB85" s="769"/>
      <c r="IC85" s="769"/>
      <c r="ID85" s="769"/>
    </row>
    <row r="86" spans="2:238" s="702" customFormat="1" ht="22" customHeight="1" x14ac:dyDescent="0.35">
      <c r="B86" s="196" t="s">
        <v>84</v>
      </c>
      <c r="C86" s="57"/>
      <c r="D86" s="98" t="s">
        <v>235</v>
      </c>
      <c r="E86" s="1844">
        <v>0.1</v>
      </c>
      <c r="F86" s="1845"/>
      <c r="G86" s="88" t="s">
        <v>191</v>
      </c>
      <c r="H86" s="2026"/>
      <c r="I86" s="1851"/>
      <c r="J86" s="1852"/>
      <c r="K86" s="42" t="s">
        <v>95</v>
      </c>
      <c r="L86" s="1886">
        <f>IF(D86="N",E86*I$83,0)</f>
        <v>0</v>
      </c>
      <c r="M86" s="1886"/>
      <c r="N86"/>
      <c r="O86" s="1895">
        <f>IF(D86="y",I$83*E86,0)</f>
        <v>0</v>
      </c>
      <c r="P86" s="1896"/>
      <c r="Q86" s="687"/>
      <c r="R86" s="687"/>
      <c r="S86" s="537"/>
      <c r="T86" s="299"/>
      <c r="U86" s="622"/>
      <c r="V86" s="622"/>
      <c r="W86" s="622"/>
      <c r="X86" s="622"/>
      <c r="Y86" s="193" t="s">
        <v>367</v>
      </c>
      <c r="Z86" s="106"/>
      <c r="AA86"/>
      <c r="AB86" s="194">
        <v>0</v>
      </c>
      <c r="AC86" s="106" t="s">
        <v>42</v>
      </c>
      <c r="AD86" s="195">
        <f>Pricing!N12</f>
        <v>0.9</v>
      </c>
      <c r="AE86" s="106" t="s">
        <v>787</v>
      </c>
      <c r="AF86" s="680">
        <f t="shared" si="75"/>
        <v>0</v>
      </c>
      <c r="AG86" s="1794"/>
      <c r="AH86" s="769"/>
      <c r="AI86" s="769"/>
      <c r="AJ86" s="702">
        <v>5</v>
      </c>
      <c r="AK86" s="702" t="s">
        <v>246</v>
      </c>
      <c r="AO86" s="704">
        <f>O74+O75+AF111</f>
        <v>0</v>
      </c>
      <c r="AP86" s="704"/>
      <c r="GA86" s="769"/>
      <c r="GB86" s="769"/>
      <c r="GC86" s="769"/>
      <c r="GD86" s="769"/>
      <c r="GE86" s="769"/>
      <c r="GF86" s="769"/>
      <c r="GG86" s="769"/>
      <c r="GH86" s="769"/>
      <c r="GI86" s="769"/>
      <c r="GJ86" s="769"/>
      <c r="GK86" s="769"/>
      <c r="GL86" s="769"/>
      <c r="GM86" s="769"/>
      <c r="GN86" s="769"/>
      <c r="GO86" s="769"/>
      <c r="GP86" s="769"/>
      <c r="GQ86" s="769"/>
      <c r="GR86" s="769"/>
      <c r="GS86" s="769"/>
      <c r="GT86" s="769"/>
      <c r="GU86" s="769"/>
      <c r="GV86" s="769"/>
      <c r="GW86" s="769"/>
      <c r="GX86" s="769"/>
      <c r="GY86" s="769"/>
      <c r="GZ86" s="769"/>
      <c r="HA86" s="769"/>
      <c r="HB86" s="769"/>
      <c r="HC86" s="769"/>
      <c r="HD86" s="769"/>
      <c r="HE86" s="769"/>
      <c r="HF86" s="769"/>
      <c r="HG86" s="769"/>
      <c r="HH86" s="769"/>
      <c r="HI86" s="769"/>
      <c r="HJ86" s="769"/>
      <c r="HK86" s="769"/>
      <c r="HL86" s="769"/>
      <c r="HM86" s="769"/>
      <c r="HN86" s="769"/>
      <c r="HO86" s="769"/>
      <c r="HP86" s="769"/>
      <c r="HQ86" s="769"/>
      <c r="HR86" s="769"/>
      <c r="HS86" s="769"/>
      <c r="HT86" s="769"/>
      <c r="HU86" s="769"/>
      <c r="HV86" s="769"/>
      <c r="HW86" s="769"/>
      <c r="HX86" s="769"/>
      <c r="HY86" s="769"/>
      <c r="HZ86" s="769"/>
      <c r="IA86" s="769"/>
      <c r="IB86" s="769"/>
      <c r="IC86" s="769"/>
      <c r="ID86" s="769"/>
    </row>
    <row r="87" spans="2:238" s="702" customFormat="1" ht="22" customHeight="1" x14ac:dyDescent="0.35">
      <c r="B87" s="196" t="s">
        <v>581</v>
      </c>
      <c r="C87" s="57"/>
      <c r="D87" s="98" t="s">
        <v>235</v>
      </c>
      <c r="E87" s="1842">
        <v>20</v>
      </c>
      <c r="F87" s="1843"/>
      <c r="G87" s="88" t="s">
        <v>840</v>
      </c>
      <c r="H87"/>
      <c r="I87" s="2012">
        <f>BR49</f>
        <v>0</v>
      </c>
      <c r="J87" s="2013"/>
      <c r="K87" s="42" t="s">
        <v>584</v>
      </c>
      <c r="L87" s="1886">
        <f>IF(D87="N",E87*I$87,0)</f>
        <v>0</v>
      </c>
      <c r="M87" s="1886"/>
      <c r="N87"/>
      <c r="O87" s="1895">
        <f>IF(D87="y",I87*E87,0)</f>
        <v>0</v>
      </c>
      <c r="P87" s="1896"/>
      <c r="Q87" s="687"/>
      <c r="R87" s="687"/>
      <c r="S87" s="537"/>
      <c r="T87" s="299"/>
      <c r="U87" s="622"/>
      <c r="V87" s="622"/>
      <c r="W87" s="622"/>
      <c r="X87" s="622"/>
      <c r="Y87" s="193" t="s">
        <v>368</v>
      </c>
      <c r="Z87" s="106"/>
      <c r="AA87"/>
      <c r="AB87" s="194">
        <f>SUM(AB85:AB86)</f>
        <v>0</v>
      </c>
      <c r="AC87" s="106" t="s">
        <v>42</v>
      </c>
      <c r="AD87" s="195">
        <f>Pricing!N9</f>
        <v>0.15</v>
      </c>
      <c r="AE87" s="106" t="s">
        <v>787</v>
      </c>
      <c r="AF87" s="680">
        <f t="shared" si="75"/>
        <v>0</v>
      </c>
      <c r="AG87" s="1794"/>
      <c r="AH87" s="769"/>
      <c r="AI87" s="769"/>
      <c r="AJ87" s="702">
        <v>6</v>
      </c>
      <c r="AK87" s="702" t="s">
        <v>248</v>
      </c>
      <c r="AO87" s="702">
        <f>SUM(AF100:AF105)</f>
        <v>0</v>
      </c>
      <c r="GA87" s="769"/>
      <c r="GB87" s="769"/>
      <c r="GC87" s="769"/>
      <c r="GD87" s="769"/>
      <c r="GE87" s="769"/>
      <c r="GF87" s="769"/>
      <c r="GG87" s="769"/>
      <c r="GH87" s="769"/>
      <c r="GI87" s="769"/>
      <c r="GJ87" s="769"/>
      <c r="GK87" s="769"/>
      <c r="GL87" s="769"/>
      <c r="GM87" s="769"/>
      <c r="GN87" s="769"/>
      <c r="GO87" s="769"/>
      <c r="GP87" s="769"/>
      <c r="GQ87" s="769"/>
      <c r="GR87" s="769"/>
      <c r="GS87" s="769"/>
      <c r="GT87" s="769"/>
      <c r="GU87" s="769"/>
      <c r="GV87" s="769"/>
      <c r="GW87" s="769"/>
      <c r="GX87" s="769"/>
      <c r="GY87" s="769"/>
      <c r="GZ87" s="769"/>
      <c r="HA87" s="769"/>
      <c r="HB87" s="769"/>
      <c r="HC87" s="769"/>
      <c r="HD87" s="769"/>
      <c r="HE87" s="769"/>
      <c r="HF87" s="769"/>
      <c r="HG87" s="769"/>
      <c r="HH87" s="769"/>
      <c r="HI87" s="769"/>
      <c r="HJ87" s="769"/>
      <c r="HK87" s="769"/>
      <c r="HL87" s="769"/>
      <c r="HM87" s="769"/>
      <c r="HN87" s="769"/>
      <c r="HO87" s="769"/>
      <c r="HP87" s="769"/>
      <c r="HQ87" s="769"/>
      <c r="HR87" s="769"/>
      <c r="HS87" s="769"/>
      <c r="HT87" s="769"/>
      <c r="HU87" s="769"/>
      <c r="HV87" s="769"/>
      <c r="HW87" s="769"/>
      <c r="HX87" s="769"/>
      <c r="HY87" s="769"/>
      <c r="HZ87" s="769"/>
      <c r="IA87" s="769"/>
      <c r="IB87" s="769"/>
      <c r="IC87" s="769"/>
      <c r="ID87" s="769"/>
    </row>
    <row r="88" spans="2:238" s="702" customFormat="1" ht="22" customHeight="1" x14ac:dyDescent="0.35">
      <c r="B88" s="196" t="s">
        <v>686</v>
      </c>
      <c r="C88" s="57"/>
      <c r="D88" s="98" t="s">
        <v>235</v>
      </c>
      <c r="E88" s="1842">
        <v>4</v>
      </c>
      <c r="F88" s="1843"/>
      <c r="G88" s="88" t="s">
        <v>18</v>
      </c>
      <c r="H88"/>
      <c r="I88" s="1846"/>
      <c r="J88" s="1846"/>
      <c r="K88" s="42" t="s">
        <v>52</v>
      </c>
      <c r="L88" s="1886">
        <f>IF(D88="N",E88*I$88,0)</f>
        <v>0</v>
      </c>
      <c r="M88" s="1886"/>
      <c r="N88"/>
      <c r="O88" s="1895">
        <f>IF(D88="y",I88*E88,0)</f>
        <v>0</v>
      </c>
      <c r="P88" s="1896"/>
      <c r="Q88" s="687"/>
      <c r="R88" s="687"/>
      <c r="S88" s="537"/>
      <c r="T88" s="299"/>
      <c r="U88" s="622"/>
      <c r="V88" s="622"/>
      <c r="W88" s="622"/>
      <c r="X88" s="622"/>
      <c r="Y88" s="193"/>
      <c r="Z88" s="106"/>
      <c r="AA88"/>
      <c r="AB88" s="194"/>
      <c r="AC88" s="106"/>
      <c r="AD88" s="195"/>
      <c r="AE88" s="401"/>
      <c r="AF88" s="680">
        <f t="shared" si="75"/>
        <v>0</v>
      </c>
      <c r="AG88" s="1794"/>
      <c r="AH88" s="769"/>
      <c r="AI88" s="769"/>
      <c r="AJ88" s="702">
        <v>7</v>
      </c>
      <c r="AK88" s="702" t="s">
        <v>247</v>
      </c>
      <c r="AO88" s="702">
        <f>O76</f>
        <v>0</v>
      </c>
      <c r="GA88" s="769"/>
      <c r="GB88" s="769"/>
      <c r="GC88" s="769"/>
      <c r="GD88" s="769"/>
      <c r="GE88" s="769"/>
      <c r="GF88" s="769"/>
      <c r="GG88" s="769"/>
      <c r="GH88" s="769"/>
      <c r="GI88" s="769"/>
      <c r="GJ88" s="769"/>
      <c r="GK88" s="769"/>
      <c r="GL88" s="769"/>
      <c r="GM88" s="769"/>
      <c r="GN88" s="769"/>
      <c r="GO88" s="769"/>
      <c r="GP88" s="769"/>
      <c r="GQ88" s="769"/>
      <c r="GR88" s="769"/>
      <c r="GS88" s="769"/>
      <c r="GT88" s="769"/>
      <c r="GU88" s="769"/>
      <c r="GV88" s="769"/>
      <c r="GW88" s="769"/>
      <c r="GX88" s="769"/>
      <c r="GY88" s="769"/>
      <c r="GZ88" s="769"/>
      <c r="HA88" s="769"/>
      <c r="HB88" s="769"/>
      <c r="HC88" s="769"/>
      <c r="HD88" s="769"/>
      <c r="HE88" s="769"/>
      <c r="HF88" s="769"/>
      <c r="HG88" s="769"/>
      <c r="HH88" s="769"/>
      <c r="HI88" s="769"/>
      <c r="HJ88" s="769"/>
      <c r="HK88" s="769"/>
      <c r="HL88" s="769"/>
      <c r="HM88" s="769"/>
      <c r="HN88" s="769"/>
      <c r="HO88" s="769"/>
      <c r="HP88" s="769"/>
      <c r="HQ88" s="769"/>
      <c r="HR88" s="769"/>
      <c r="HS88" s="769"/>
      <c r="HT88" s="769"/>
      <c r="HU88" s="769"/>
      <c r="HV88" s="769"/>
      <c r="HW88" s="769"/>
      <c r="HX88" s="769"/>
      <c r="HY88" s="769"/>
      <c r="HZ88" s="769"/>
      <c r="IA88" s="769"/>
      <c r="IB88" s="769"/>
      <c r="IC88" s="769"/>
      <c r="ID88" s="769"/>
    </row>
    <row r="89" spans="2:238" s="702" customFormat="1" ht="22" customHeight="1" x14ac:dyDescent="0.35">
      <c r="B89" s="196" t="s">
        <v>33</v>
      </c>
      <c r="C89" s="57"/>
      <c r="D89" s="98" t="s">
        <v>235</v>
      </c>
      <c r="E89" s="1844">
        <v>400</v>
      </c>
      <c r="F89" s="1845"/>
      <c r="G89" s="88" t="s">
        <v>89</v>
      </c>
      <c r="H89" s="42"/>
      <c r="I89" s="1874">
        <f>L74/2000</f>
        <v>0</v>
      </c>
      <c r="J89" s="1874"/>
      <c r="K89" s="42" t="s">
        <v>183</v>
      </c>
      <c r="L89" s="2118">
        <f>IF(D89="N",E89*I$89,0)</f>
        <v>0</v>
      </c>
      <c r="M89" s="2118"/>
      <c r="N89"/>
      <c r="O89" s="1893">
        <f>IF(D89="y",I89*E89,0)</f>
        <v>0</v>
      </c>
      <c r="P89" s="1894"/>
      <c r="Q89" s="687"/>
      <c r="R89" s="687"/>
      <c r="S89" s="537"/>
      <c r="T89" s="299"/>
      <c r="U89" s="622"/>
      <c r="V89" s="622"/>
      <c r="W89" s="622"/>
      <c r="X89" s="622"/>
      <c r="Y89" s="2112" t="s">
        <v>1082</v>
      </c>
      <c r="Z89" s="2113"/>
      <c r="AA89" s="2113"/>
      <c r="AB89" s="194">
        <f>ROUNDUP(CO50/2500,0)</f>
        <v>0</v>
      </c>
      <c r="AC89" s="106" t="s">
        <v>498</v>
      </c>
      <c r="AD89" s="195">
        <v>325</v>
      </c>
      <c r="AE89" s="401" t="s">
        <v>294</v>
      </c>
      <c r="AF89" s="680">
        <f t="shared" si="75"/>
        <v>0</v>
      </c>
      <c r="AG89" s="1794"/>
      <c r="AH89" s="769"/>
      <c r="AI89" s="769"/>
      <c r="AJ89" s="702">
        <v>8</v>
      </c>
      <c r="AK89" s="702" t="s">
        <v>249</v>
      </c>
      <c r="AO89" s="702">
        <f>SUM(O71:P73)</f>
        <v>0</v>
      </c>
      <c r="GA89" s="769"/>
      <c r="GB89" s="769"/>
      <c r="GC89" s="769"/>
      <c r="GD89" s="769"/>
      <c r="GE89" s="769"/>
      <c r="GF89" s="769"/>
      <c r="GG89" s="769"/>
      <c r="GH89" s="769"/>
      <c r="GI89" s="769"/>
      <c r="GJ89" s="769"/>
      <c r="GK89" s="769"/>
      <c r="GL89" s="769"/>
      <c r="GM89" s="769"/>
      <c r="GN89" s="769"/>
      <c r="GO89" s="769"/>
      <c r="GP89" s="769"/>
      <c r="GQ89" s="769"/>
      <c r="GR89" s="769"/>
      <c r="GS89" s="769"/>
      <c r="GT89" s="769"/>
      <c r="GU89" s="769"/>
      <c r="GV89" s="769"/>
      <c r="GW89" s="769"/>
      <c r="GX89" s="769"/>
      <c r="GY89" s="769"/>
      <c r="GZ89" s="769"/>
      <c r="HA89" s="769"/>
      <c r="HB89" s="769"/>
      <c r="HC89" s="769"/>
      <c r="HD89" s="769"/>
      <c r="HE89" s="769"/>
      <c r="HF89" s="769"/>
      <c r="HG89" s="769"/>
      <c r="HH89" s="769"/>
      <c r="HI89" s="769"/>
      <c r="HJ89" s="769"/>
      <c r="HK89" s="769"/>
      <c r="HL89" s="769"/>
      <c r="HM89" s="769"/>
      <c r="HN89" s="769"/>
      <c r="HO89" s="769"/>
      <c r="HP89" s="769"/>
      <c r="HQ89" s="769"/>
      <c r="HR89" s="769"/>
      <c r="HS89" s="769"/>
      <c r="HT89" s="769"/>
      <c r="HU89" s="769"/>
      <c r="HV89" s="769"/>
      <c r="HW89" s="769"/>
      <c r="HX89" s="769"/>
      <c r="HY89" s="769"/>
      <c r="HZ89" s="769"/>
      <c r="IA89" s="769"/>
      <c r="IB89" s="769"/>
      <c r="IC89" s="769"/>
      <c r="ID89" s="769"/>
    </row>
    <row r="90" spans="2:238" s="702" customFormat="1" ht="22" customHeight="1" thickBot="1" x14ac:dyDescent="0.4">
      <c r="B90" s="6" t="s">
        <v>223</v>
      </c>
      <c r="C90" s="4"/>
      <c r="D90" s="5"/>
      <c r="E90" s="1854">
        <f>IF(I83=0,0,(O90+L90)/I83)</f>
        <v>0</v>
      </c>
      <c r="F90" s="1855"/>
      <c r="G90" s="76"/>
      <c r="H90" s="49"/>
      <c r="I90" s="2017" t="s">
        <v>50</v>
      </c>
      <c r="J90" s="2017"/>
      <c r="K90" s="2017"/>
      <c r="L90" s="2124">
        <f>SUM(L83:M89)</f>
        <v>0</v>
      </c>
      <c r="M90" s="2124"/>
      <c r="N90" s="248"/>
      <c r="O90" s="2122">
        <f>SUM(O83:P89)</f>
        <v>0</v>
      </c>
      <c r="P90" s="2123"/>
      <c r="Q90" s="687"/>
      <c r="R90" s="687"/>
      <c r="S90" s="537"/>
      <c r="T90" s="299"/>
      <c r="U90" s="622"/>
      <c r="V90" s="622"/>
      <c r="W90" s="622"/>
      <c r="X90" s="622"/>
      <c r="Y90" s="2112"/>
      <c r="Z90" s="2113"/>
      <c r="AA90" s="2113"/>
      <c r="AB90" s="194"/>
      <c r="AC90" s="106"/>
      <c r="AD90" s="195"/>
      <c r="AE90" s="106"/>
      <c r="AF90" s="680">
        <f t="shared" si="75"/>
        <v>0</v>
      </c>
      <c r="AG90" s="1794"/>
      <c r="AH90" s="769"/>
      <c r="AI90" s="769"/>
      <c r="AJ90" s="702">
        <v>9</v>
      </c>
      <c r="AK90" s="702" t="s">
        <v>234</v>
      </c>
      <c r="AO90" s="704">
        <f>O78+O79+O80</f>
        <v>0</v>
      </c>
      <c r="AP90" s="704"/>
      <c r="GA90" s="769"/>
      <c r="GB90" s="769"/>
      <c r="GC90" s="769"/>
      <c r="GD90" s="769"/>
      <c r="GE90" s="769"/>
      <c r="GF90" s="769"/>
      <c r="GG90" s="769"/>
      <c r="GH90" s="769"/>
      <c r="GI90" s="769"/>
      <c r="GJ90" s="769"/>
      <c r="GK90" s="769"/>
      <c r="GL90" s="769"/>
      <c r="GM90" s="769"/>
      <c r="GN90" s="769"/>
      <c r="GO90" s="769"/>
      <c r="GP90" s="769"/>
      <c r="GQ90" s="769"/>
      <c r="GR90" s="769"/>
      <c r="GS90" s="769"/>
      <c r="GT90" s="769"/>
      <c r="GU90" s="769"/>
      <c r="GV90" s="769"/>
      <c r="GW90" s="769"/>
      <c r="GX90" s="769"/>
      <c r="GY90" s="769"/>
      <c r="GZ90" s="769"/>
      <c r="HA90" s="769"/>
      <c r="HB90" s="769"/>
      <c r="HC90" s="769"/>
      <c r="HD90" s="769"/>
      <c r="HE90" s="769"/>
      <c r="HF90" s="769"/>
      <c r="HG90" s="769"/>
      <c r="HH90" s="769"/>
      <c r="HI90" s="769"/>
      <c r="HJ90" s="769"/>
      <c r="HK90" s="769"/>
      <c r="HL90" s="769"/>
      <c r="HM90" s="769"/>
      <c r="HN90" s="769"/>
      <c r="HO90" s="769"/>
      <c r="HP90" s="769"/>
      <c r="HQ90" s="769"/>
      <c r="HR90" s="769"/>
      <c r="HS90" s="769"/>
      <c r="HT90" s="769"/>
      <c r="HU90" s="769"/>
      <c r="HV90" s="769"/>
      <c r="HW90" s="769"/>
      <c r="HX90" s="769"/>
      <c r="HY90" s="769"/>
      <c r="HZ90" s="769"/>
      <c r="IA90" s="769"/>
      <c r="IB90" s="769"/>
      <c r="IC90" s="769"/>
      <c r="ID90" s="769"/>
    </row>
    <row r="91" spans="2:238" s="702" customFormat="1" ht="22" customHeight="1" thickBot="1" x14ac:dyDescent="0.4">
      <c r="B91" s="2018" t="s">
        <v>374</v>
      </c>
      <c r="C91" s="2019"/>
      <c r="D91" s="2019"/>
      <c r="E91" s="2019"/>
      <c r="F91" s="2019"/>
      <c r="G91" s="2019"/>
      <c r="H91" s="2019"/>
      <c r="I91" s="2019"/>
      <c r="J91" s="2019"/>
      <c r="K91" s="2019"/>
      <c r="L91" s="2019"/>
      <c r="M91" s="2019"/>
      <c r="N91" s="2019"/>
      <c r="O91" s="2019"/>
      <c r="P91" s="2020"/>
      <c r="Q91" s="685"/>
      <c r="R91" s="685"/>
      <c r="S91" s="537"/>
      <c r="T91" s="299"/>
      <c r="U91" s="622"/>
      <c r="V91" s="622"/>
      <c r="W91" s="622"/>
      <c r="X91" s="622"/>
      <c r="Y91" s="193" t="s">
        <v>1083</v>
      </c>
      <c r="Z91" s="106"/>
      <c r="AA91"/>
      <c r="AB91" s="194">
        <f>AB89*2</f>
        <v>0</v>
      </c>
      <c r="AC91" s="106" t="s">
        <v>1084</v>
      </c>
      <c r="AD91" s="195">
        <v>50</v>
      </c>
      <c r="AE91" s="106" t="s">
        <v>294</v>
      </c>
      <c r="AF91" s="680">
        <f t="shared" si="75"/>
        <v>0</v>
      </c>
      <c r="AG91" s="1794"/>
      <c r="AH91" s="769"/>
      <c r="AI91" s="769"/>
      <c r="AJ91" s="702">
        <v>10</v>
      </c>
      <c r="AK91" s="702" t="s">
        <v>250</v>
      </c>
      <c r="AO91" s="702">
        <f>SUM(AF106:AF108)</f>
        <v>0</v>
      </c>
      <c r="GA91" s="769"/>
      <c r="GB91" s="769"/>
      <c r="GC91" s="769"/>
      <c r="GD91" s="769"/>
      <c r="GE91" s="769"/>
      <c r="GF91" s="769"/>
      <c r="GG91" s="769"/>
      <c r="GH91" s="769"/>
      <c r="GI91" s="769"/>
      <c r="GJ91" s="769"/>
      <c r="GK91" s="769"/>
      <c r="GL91" s="769"/>
      <c r="GM91" s="769"/>
      <c r="GN91" s="769"/>
      <c r="GO91" s="769"/>
      <c r="GP91" s="769"/>
      <c r="GQ91" s="769"/>
      <c r="GR91" s="769"/>
      <c r="GS91" s="769"/>
      <c r="GT91" s="769"/>
      <c r="GU91" s="769"/>
      <c r="GV91" s="769"/>
      <c r="GW91" s="769"/>
      <c r="GX91" s="769"/>
      <c r="GY91" s="769"/>
      <c r="GZ91" s="769"/>
      <c r="HA91" s="769"/>
      <c r="HB91" s="769"/>
      <c r="HC91" s="769"/>
      <c r="HD91" s="769"/>
      <c r="HE91" s="769"/>
      <c r="HF91" s="769"/>
      <c r="HG91" s="769"/>
      <c r="HH91" s="769"/>
      <c r="HI91" s="769"/>
      <c r="HJ91" s="769"/>
      <c r="HK91" s="769"/>
      <c r="HL91" s="769"/>
      <c r="HM91" s="769"/>
      <c r="HN91" s="769"/>
      <c r="HO91" s="769"/>
      <c r="HP91" s="769"/>
      <c r="HQ91" s="769"/>
      <c r="HR91" s="769"/>
      <c r="HS91" s="769"/>
      <c r="HT91" s="769"/>
      <c r="HU91" s="769"/>
      <c r="HV91" s="769"/>
      <c r="HW91" s="769"/>
      <c r="HX91" s="769"/>
      <c r="HY91" s="769"/>
      <c r="HZ91" s="769"/>
      <c r="IA91" s="769"/>
      <c r="IB91" s="769"/>
      <c r="IC91" s="769"/>
      <c r="ID91" s="769"/>
    </row>
    <row r="92" spans="2:238" s="702" customFormat="1" ht="22" customHeight="1" x14ac:dyDescent="0.35">
      <c r="B92" s="100" t="s">
        <v>1164</v>
      </c>
      <c r="C92" s="48"/>
      <c r="D92" s="101"/>
      <c r="E92" s="752">
        <v>0</v>
      </c>
      <c r="F92" s="48" t="s">
        <v>187</v>
      </c>
      <c r="G92" s="807">
        <v>295</v>
      </c>
      <c r="H92" s="102" t="s">
        <v>68</v>
      </c>
      <c r="I92" s="48"/>
      <c r="J92" s="48"/>
      <c r="K92" s="48"/>
      <c r="L92" s="48"/>
      <c r="M92" s="2214">
        <f>IF(E64=0,0,(SUM(O92:P96))/E64)</f>
        <v>0</v>
      </c>
      <c r="N92" s="2215"/>
      <c r="O92" s="1897">
        <f>E92*G92</f>
        <v>0</v>
      </c>
      <c r="P92" s="1898"/>
      <c r="Q92" s="687"/>
      <c r="R92" s="687"/>
      <c r="S92" s="802"/>
      <c r="T92" s="299"/>
      <c r="U92" s="622"/>
      <c r="V92" s="622"/>
      <c r="W92" s="622"/>
      <c r="X92" s="622"/>
      <c r="Y92" s="2114">
        <f>AF89+AF91*(1+AE63)+(1+M64)</f>
        <v>1.18</v>
      </c>
      <c r="Z92" s="2115"/>
      <c r="AA92"/>
      <c r="AB92" s="194"/>
      <c r="AC92" s="106"/>
      <c r="AD92" s="195"/>
      <c r="AE92" s="106"/>
      <c r="AF92" s="680">
        <f t="shared" si="75"/>
        <v>0</v>
      </c>
      <c r="AG92" s="1794"/>
      <c r="AH92" s="769"/>
      <c r="AI92" s="769"/>
      <c r="AJ92" s="702">
        <v>11</v>
      </c>
      <c r="AK92" s="702" t="s">
        <v>251</v>
      </c>
      <c r="GA92" s="769"/>
      <c r="GB92" s="769"/>
      <c r="GC92" s="769"/>
      <c r="GD92" s="769"/>
      <c r="GE92" s="769"/>
      <c r="GF92" s="769"/>
      <c r="GG92" s="769"/>
      <c r="GH92" s="769"/>
      <c r="GI92" s="769"/>
      <c r="GJ92" s="769"/>
      <c r="GK92" s="769"/>
      <c r="GL92" s="769"/>
      <c r="GM92" s="769"/>
      <c r="GN92" s="769"/>
      <c r="GO92" s="769"/>
      <c r="GP92" s="769"/>
      <c r="GQ92" s="769"/>
      <c r="GR92" s="769"/>
      <c r="GS92" s="769"/>
      <c r="GT92" s="769"/>
      <c r="GU92" s="769"/>
      <c r="GV92" s="769"/>
      <c r="GW92" s="769"/>
      <c r="GX92" s="769"/>
      <c r="GY92" s="769"/>
      <c r="GZ92" s="769"/>
      <c r="HA92" s="769"/>
      <c r="HB92" s="769"/>
      <c r="HC92" s="769"/>
      <c r="HD92" s="769"/>
      <c r="HE92" s="769"/>
      <c r="HF92" s="769"/>
      <c r="HG92" s="769"/>
      <c r="HH92" s="769"/>
      <c r="HI92" s="769"/>
      <c r="HJ92" s="769"/>
      <c r="HK92" s="769"/>
      <c r="HL92" s="769"/>
      <c r="HM92" s="769"/>
      <c r="HN92" s="769"/>
      <c r="HO92" s="769"/>
      <c r="HP92" s="769"/>
      <c r="HQ92" s="769"/>
      <c r="HR92" s="769"/>
      <c r="HS92" s="769"/>
      <c r="HT92" s="769"/>
      <c r="HU92" s="769"/>
      <c r="HV92" s="769"/>
      <c r="HW92" s="769"/>
      <c r="HX92" s="769"/>
      <c r="HY92" s="769"/>
      <c r="HZ92" s="769"/>
      <c r="IA92" s="769"/>
      <c r="IB92" s="769"/>
      <c r="IC92" s="769"/>
      <c r="ID92" s="769"/>
    </row>
    <row r="93" spans="2:238" s="702" customFormat="1" ht="22" customHeight="1" x14ac:dyDescent="0.35">
      <c r="B93" s="92" t="s">
        <v>1162</v>
      </c>
      <c r="C93" s="42"/>
      <c r="D93" s="42"/>
      <c r="E93" s="753">
        <f>E92*0.5</f>
        <v>0</v>
      </c>
      <c r="F93" s="103" t="s">
        <v>187</v>
      </c>
      <c r="G93" s="808">
        <v>390</v>
      </c>
      <c r="H93" s="108" t="s">
        <v>68</v>
      </c>
      <c r="I93" s="42"/>
      <c r="J93" s="42"/>
      <c r="K93" s="42"/>
      <c r="L93" s="42"/>
      <c r="M93" s="2076">
        <f>SUM(O92:P96)</f>
        <v>0</v>
      </c>
      <c r="N93" s="2108"/>
      <c r="O93" s="1895">
        <f>E93*G93</f>
        <v>0</v>
      </c>
      <c r="P93" s="1896"/>
      <c r="Q93" s="687"/>
      <c r="R93" s="687"/>
      <c r="S93" s="537"/>
      <c r="T93" s="299"/>
      <c r="U93" s="622"/>
      <c r="V93" s="622"/>
      <c r="W93" s="622"/>
      <c r="X93" s="622"/>
      <c r="Y93" s="603" t="e">
        <f>Y92/D49</f>
        <v>#DIV/0!</v>
      </c>
      <c r="Z93" s="106"/>
      <c r="AA93"/>
      <c r="AB93" s="194"/>
      <c r="AC93" s="402"/>
      <c r="AD93" s="195"/>
      <c r="AE93" s="106"/>
      <c r="AF93" s="680">
        <f t="shared" si="75"/>
        <v>0</v>
      </c>
      <c r="AG93" s="1794"/>
      <c r="AH93" s="769"/>
      <c r="AI93" s="769"/>
      <c r="AJ93" s="702">
        <v>12</v>
      </c>
      <c r="AK93" s="702" t="s">
        <v>252</v>
      </c>
      <c r="GA93" s="769"/>
      <c r="GB93" s="769"/>
      <c r="GC93" s="769"/>
      <c r="GD93" s="769"/>
      <c r="GE93" s="769"/>
      <c r="GF93" s="769"/>
      <c r="GG93" s="769"/>
      <c r="GH93" s="769"/>
      <c r="GI93" s="769"/>
      <c r="GJ93" s="769"/>
      <c r="GK93" s="769"/>
      <c r="GL93" s="769"/>
      <c r="GM93" s="769"/>
      <c r="GN93" s="769"/>
      <c r="GO93" s="769"/>
      <c r="GP93" s="769"/>
      <c r="GQ93" s="769"/>
      <c r="GR93" s="769"/>
      <c r="GS93" s="769"/>
      <c r="GT93" s="769"/>
      <c r="GU93" s="769"/>
      <c r="GV93" s="769"/>
      <c r="GW93" s="769"/>
      <c r="GX93" s="769"/>
      <c r="GY93" s="769"/>
      <c r="GZ93" s="769"/>
      <c r="HA93" s="769"/>
      <c r="HB93" s="769"/>
      <c r="HC93" s="769"/>
      <c r="HD93" s="769"/>
      <c r="HE93" s="769"/>
      <c r="HF93" s="769"/>
      <c r="HG93" s="769"/>
      <c r="HH93" s="769"/>
      <c r="HI93" s="769"/>
      <c r="HJ93" s="769"/>
      <c r="HK93" s="769"/>
      <c r="HL93" s="769"/>
      <c r="HM93" s="769"/>
      <c r="HN93" s="769"/>
      <c r="HO93" s="769"/>
      <c r="HP93" s="769"/>
      <c r="HQ93" s="769"/>
      <c r="HR93" s="769"/>
      <c r="HS93" s="769"/>
      <c r="HT93" s="769"/>
      <c r="HU93" s="769"/>
      <c r="HV93" s="769"/>
      <c r="HW93" s="769"/>
      <c r="HX93" s="769"/>
      <c r="HY93" s="769"/>
      <c r="HZ93" s="769"/>
      <c r="IA93" s="769"/>
      <c r="IB93" s="769"/>
      <c r="IC93" s="769"/>
      <c r="ID93" s="769"/>
    </row>
    <row r="94" spans="2:238" s="702" customFormat="1" ht="22" customHeight="1" x14ac:dyDescent="0.35">
      <c r="B94" s="196" t="s">
        <v>1165</v>
      </c>
      <c r="C94" s="42"/>
      <c r="D94" s="42"/>
      <c r="E94" s="1408"/>
      <c r="F94" s="103" t="s">
        <v>187</v>
      </c>
      <c r="G94" s="1414">
        <v>200</v>
      </c>
      <c r="H94" s="108" t="s">
        <v>68</v>
      </c>
      <c r="I94" s="42"/>
      <c r="J94" s="42"/>
      <c r="K94" s="42"/>
      <c r="L94" s="42"/>
      <c r="M94" s="1814"/>
      <c r="N94" s="1814"/>
      <c r="O94" s="1895">
        <f t="shared" ref="O94:O95" si="76">E94*G94</f>
        <v>0</v>
      </c>
      <c r="P94" s="1896"/>
      <c r="Q94" s="687"/>
      <c r="R94" s="687"/>
      <c r="S94" s="537"/>
      <c r="T94" s="299"/>
      <c r="U94" s="622"/>
      <c r="V94" s="622"/>
      <c r="W94" s="622"/>
      <c r="X94" s="622"/>
      <c r="Y94" s="603"/>
      <c r="Z94" s="106"/>
      <c r="AA94"/>
      <c r="AB94" s="194"/>
      <c r="AC94" s="402"/>
      <c r="AD94" s="195"/>
      <c r="AE94" s="106"/>
      <c r="AF94" s="680"/>
      <c r="AG94" s="1794"/>
      <c r="AH94" s="769"/>
      <c r="AI94" s="769"/>
      <c r="GA94" s="769"/>
      <c r="GB94" s="769"/>
      <c r="GC94" s="769"/>
      <c r="GD94" s="769"/>
      <c r="GE94" s="769"/>
      <c r="GF94" s="769"/>
      <c r="GG94" s="769"/>
      <c r="GH94" s="769"/>
      <c r="GI94" s="769"/>
      <c r="GJ94" s="769"/>
      <c r="GK94" s="769"/>
      <c r="GL94" s="769"/>
      <c r="GM94" s="769"/>
      <c r="GN94" s="769"/>
      <c r="GO94" s="769"/>
      <c r="GP94" s="769"/>
      <c r="GQ94" s="769"/>
      <c r="GR94" s="769"/>
      <c r="GS94" s="769"/>
      <c r="GT94" s="769"/>
      <c r="GU94" s="769"/>
      <c r="GV94" s="769"/>
      <c r="GW94" s="769"/>
      <c r="GX94" s="769"/>
      <c r="GY94" s="769"/>
      <c r="GZ94" s="769"/>
      <c r="HA94" s="769"/>
      <c r="HB94" s="769"/>
      <c r="HC94" s="769"/>
      <c r="HD94" s="769"/>
      <c r="HE94" s="769"/>
      <c r="HF94" s="769"/>
      <c r="HG94" s="769"/>
      <c r="HH94" s="769"/>
      <c r="HI94" s="769"/>
      <c r="HJ94" s="769"/>
      <c r="HK94" s="769"/>
      <c r="HL94" s="769"/>
      <c r="HM94" s="769"/>
      <c r="HN94" s="769"/>
      <c r="HO94" s="769"/>
      <c r="HP94" s="769"/>
      <c r="HQ94" s="769"/>
      <c r="HR94" s="769"/>
      <c r="HS94" s="769"/>
      <c r="HT94" s="769"/>
      <c r="HU94" s="769"/>
      <c r="HV94" s="769"/>
      <c r="HW94" s="769"/>
      <c r="HX94" s="769"/>
      <c r="HY94" s="769"/>
      <c r="HZ94" s="769"/>
      <c r="IA94" s="769"/>
      <c r="IB94" s="769"/>
      <c r="IC94" s="769"/>
      <c r="ID94" s="769"/>
    </row>
    <row r="95" spans="2:238" s="702" customFormat="1" ht="22" customHeight="1" x14ac:dyDescent="0.35">
      <c r="B95" s="196" t="s">
        <v>1168</v>
      </c>
      <c r="C95" s="42"/>
      <c r="D95" s="42"/>
      <c r="E95" s="1408">
        <f>E92*0.5</f>
        <v>0</v>
      </c>
      <c r="F95" s="103" t="s">
        <v>187</v>
      </c>
      <c r="G95" s="1414">
        <v>200</v>
      </c>
      <c r="H95" s="88"/>
      <c r="I95" s="42"/>
      <c r="J95" s="42"/>
      <c r="K95" s="42"/>
      <c r="L95" s="42"/>
      <c r="M95" s="1814"/>
      <c r="N95" s="1814"/>
      <c r="O95" s="1895">
        <f t="shared" si="76"/>
        <v>0</v>
      </c>
      <c r="P95" s="1896"/>
      <c r="Q95" s="687"/>
      <c r="R95" s="687"/>
      <c r="S95" s="537"/>
      <c r="T95" s="299"/>
      <c r="U95" s="622"/>
      <c r="V95" s="622"/>
      <c r="W95" s="622"/>
      <c r="X95" s="622"/>
      <c r="Y95" s="603"/>
      <c r="Z95" s="106"/>
      <c r="AA95"/>
      <c r="AB95" s="194"/>
      <c r="AC95" s="402"/>
      <c r="AD95" s="195"/>
      <c r="AE95" s="106"/>
      <c r="AF95" s="680"/>
      <c r="AG95" s="1794"/>
      <c r="AH95" s="769"/>
      <c r="AI95" s="769"/>
      <c r="GA95" s="769"/>
      <c r="GB95" s="769"/>
      <c r="GC95" s="769"/>
      <c r="GD95" s="769"/>
      <c r="GE95" s="769"/>
      <c r="GF95" s="769"/>
      <c r="GG95" s="769"/>
      <c r="GH95" s="769"/>
      <c r="GI95" s="769"/>
      <c r="GJ95" s="769"/>
      <c r="GK95" s="769"/>
      <c r="GL95" s="769"/>
      <c r="GM95" s="769"/>
      <c r="GN95" s="769"/>
      <c r="GO95" s="769"/>
      <c r="GP95" s="769"/>
      <c r="GQ95" s="769"/>
      <c r="GR95" s="769"/>
      <c r="GS95" s="769"/>
      <c r="GT95" s="769"/>
      <c r="GU95" s="769"/>
      <c r="GV95" s="769"/>
      <c r="GW95" s="769"/>
      <c r="GX95" s="769"/>
      <c r="GY95" s="769"/>
      <c r="GZ95" s="769"/>
      <c r="HA95" s="769"/>
      <c r="HB95" s="769"/>
      <c r="HC95" s="769"/>
      <c r="HD95" s="769"/>
      <c r="HE95" s="769"/>
      <c r="HF95" s="769"/>
      <c r="HG95" s="769"/>
      <c r="HH95" s="769"/>
      <c r="HI95" s="769"/>
      <c r="HJ95" s="769"/>
      <c r="HK95" s="769"/>
      <c r="HL95" s="769"/>
      <c r="HM95" s="769"/>
      <c r="HN95" s="769"/>
      <c r="HO95" s="769"/>
      <c r="HP95" s="769"/>
      <c r="HQ95" s="769"/>
      <c r="HR95" s="769"/>
      <c r="HS95" s="769"/>
      <c r="HT95" s="769"/>
      <c r="HU95" s="769"/>
      <c r="HV95" s="769"/>
      <c r="HW95" s="769"/>
      <c r="HX95" s="769"/>
      <c r="HY95" s="769"/>
      <c r="HZ95" s="769"/>
      <c r="IA95" s="769"/>
      <c r="IB95" s="769"/>
      <c r="IC95" s="769"/>
      <c r="ID95" s="769"/>
    </row>
    <row r="96" spans="2:238" s="702" customFormat="1" ht="22" customHeight="1" thickBot="1" x14ac:dyDescent="0.4">
      <c r="B96" s="219" t="s">
        <v>188</v>
      </c>
      <c r="C96" s="49"/>
      <c r="D96" s="49"/>
      <c r="E96" s="754">
        <f>IF(E92=0,E93,E92)</f>
        <v>0</v>
      </c>
      <c r="F96" s="49" t="s">
        <v>187</v>
      </c>
      <c r="G96" s="809">
        <v>100</v>
      </c>
      <c r="H96" s="96" t="s">
        <v>68</v>
      </c>
      <c r="I96" s="49"/>
      <c r="J96" s="49"/>
      <c r="K96" s="49"/>
      <c r="L96" s="49"/>
      <c r="M96" s="49"/>
      <c r="N96" s="49"/>
      <c r="O96" s="2072">
        <f>E96*G96</f>
        <v>0</v>
      </c>
      <c r="P96" s="2073"/>
      <c r="Q96" s="687"/>
      <c r="R96" s="687"/>
      <c r="S96" s="537"/>
      <c r="T96" s="299"/>
      <c r="U96" s="622"/>
      <c r="V96" s="622"/>
      <c r="W96" s="622"/>
      <c r="X96" s="622"/>
      <c r="Y96" s="193"/>
      <c r="Z96" s="106"/>
      <c r="AA96"/>
      <c r="AB96" s="194"/>
      <c r="AC96" s="106"/>
      <c r="AD96" s="195"/>
      <c r="AE96" s="106"/>
      <c r="AF96" s="680">
        <f t="shared" si="75"/>
        <v>0</v>
      </c>
      <c r="AG96" s="1794"/>
      <c r="AH96" s="769"/>
      <c r="AI96" s="769"/>
      <c r="AJ96" s="702">
        <v>15</v>
      </c>
      <c r="AK96" s="702" t="s">
        <v>253</v>
      </c>
      <c r="GA96" s="769"/>
      <c r="GB96" s="769"/>
      <c r="GC96" s="769"/>
      <c r="GD96" s="769"/>
      <c r="GE96" s="769"/>
      <c r="GF96" s="769"/>
      <c r="GG96" s="769"/>
      <c r="GH96" s="769"/>
      <c r="GI96" s="769"/>
      <c r="GJ96" s="769"/>
      <c r="GK96" s="769"/>
      <c r="GL96" s="769"/>
      <c r="GM96" s="769"/>
      <c r="GN96" s="769"/>
      <c r="GO96" s="769"/>
      <c r="GP96" s="769"/>
      <c r="GQ96" s="769"/>
      <c r="GR96" s="769"/>
      <c r="GS96" s="769"/>
      <c r="GT96" s="769"/>
      <c r="GU96" s="769"/>
      <c r="GV96" s="769"/>
      <c r="GW96" s="769"/>
      <c r="GX96" s="769"/>
      <c r="GY96" s="769"/>
      <c r="GZ96" s="769"/>
      <c r="HA96" s="769"/>
      <c r="HB96" s="769"/>
      <c r="HC96" s="769"/>
      <c r="HD96" s="769"/>
      <c r="HE96" s="769"/>
      <c r="HF96" s="769"/>
      <c r="HG96" s="769"/>
      <c r="HH96" s="769"/>
      <c r="HI96" s="769"/>
      <c r="HJ96" s="769"/>
      <c r="HK96" s="769"/>
      <c r="HL96" s="769"/>
      <c r="HM96" s="769"/>
      <c r="HN96" s="769"/>
      <c r="HO96" s="769"/>
      <c r="HP96" s="769"/>
      <c r="HQ96" s="769"/>
      <c r="HR96" s="769"/>
      <c r="HS96" s="769"/>
      <c r="HT96" s="769"/>
      <c r="HU96" s="769"/>
      <c r="HV96" s="769"/>
      <c r="HW96" s="769"/>
      <c r="HX96" s="769"/>
      <c r="HY96" s="769"/>
      <c r="HZ96" s="769"/>
      <c r="IA96" s="769"/>
      <c r="IB96" s="769"/>
      <c r="IC96" s="769"/>
      <c r="ID96" s="769"/>
    </row>
    <row r="97" spans="2:238" s="702" customFormat="1" ht="22" customHeight="1" thickBot="1" x14ac:dyDescent="0.4">
      <c r="B97" s="2018" t="s">
        <v>44</v>
      </c>
      <c r="C97" s="2019"/>
      <c r="D97" s="2019"/>
      <c r="E97" s="2019"/>
      <c r="F97" s="2019"/>
      <c r="G97" s="2019"/>
      <c r="H97" s="2019"/>
      <c r="I97" s="2019"/>
      <c r="J97" s="2019"/>
      <c r="K97" s="2019"/>
      <c r="L97" s="2019"/>
      <c r="M97" s="2019"/>
      <c r="N97" s="2019"/>
      <c r="O97" s="2019"/>
      <c r="P97" s="2020"/>
      <c r="Q97" s="685"/>
      <c r="R97" s="685"/>
      <c r="S97" s="537"/>
      <c r="T97" s="299"/>
      <c r="U97" s="622"/>
      <c r="V97" s="622"/>
      <c r="W97" s="622"/>
      <c r="X97" s="622"/>
      <c r="Y97" s="193"/>
      <c r="Z97" s="106"/>
      <c r="AA97"/>
      <c r="AB97" s="194"/>
      <c r="AC97" s="106"/>
      <c r="AD97" s="195"/>
      <c r="AE97" s="401"/>
      <c r="AF97" s="680">
        <f t="shared" si="75"/>
        <v>0</v>
      </c>
      <c r="AG97" s="1794"/>
      <c r="AH97" s="769"/>
      <c r="AI97" s="769"/>
      <c r="AJ97" s="702">
        <v>16</v>
      </c>
      <c r="AK97" s="702" t="s">
        <v>841</v>
      </c>
      <c r="GA97" s="769"/>
      <c r="GB97" s="769"/>
      <c r="GC97" s="769"/>
      <c r="GD97" s="769"/>
      <c r="GE97" s="769"/>
      <c r="GF97" s="769"/>
      <c r="GG97" s="769"/>
      <c r="GH97" s="769"/>
      <c r="GI97" s="769"/>
      <c r="GJ97" s="769"/>
      <c r="GK97" s="769"/>
      <c r="GL97" s="769"/>
      <c r="GM97" s="769"/>
      <c r="GN97" s="769"/>
      <c r="GO97" s="769"/>
      <c r="GP97" s="769"/>
      <c r="GQ97" s="769"/>
      <c r="GR97" s="769"/>
      <c r="GS97" s="769"/>
      <c r="GT97" s="769"/>
      <c r="GU97" s="769"/>
      <c r="GV97" s="769"/>
      <c r="GW97" s="769"/>
      <c r="GX97" s="769"/>
      <c r="GY97" s="769"/>
      <c r="GZ97" s="769"/>
      <c r="HA97" s="769"/>
      <c r="HB97" s="769"/>
      <c r="HC97" s="769"/>
      <c r="HD97" s="769"/>
      <c r="HE97" s="769"/>
      <c r="HF97" s="769"/>
      <c r="HG97" s="769"/>
      <c r="HH97" s="769"/>
      <c r="HI97" s="769"/>
      <c r="HJ97" s="769"/>
      <c r="HK97" s="769"/>
      <c r="HL97" s="769"/>
      <c r="HM97" s="769"/>
      <c r="HN97" s="769"/>
      <c r="HO97" s="769"/>
      <c r="HP97" s="769"/>
      <c r="HQ97" s="769"/>
      <c r="HR97" s="769"/>
      <c r="HS97" s="769"/>
      <c r="HT97" s="769"/>
      <c r="HU97" s="769"/>
      <c r="HV97" s="769"/>
      <c r="HW97" s="769"/>
      <c r="HX97" s="769"/>
      <c r="HY97" s="769"/>
      <c r="HZ97" s="769"/>
      <c r="IA97" s="769"/>
      <c r="IB97" s="769"/>
      <c r="IC97" s="769"/>
      <c r="ID97" s="769"/>
    </row>
    <row r="98" spans="2:238" s="702" customFormat="1" ht="22" customHeight="1" x14ac:dyDescent="0.35">
      <c r="B98" s="2052" t="s">
        <v>90</v>
      </c>
      <c r="C98" s="2053"/>
      <c r="D98" s="2054"/>
      <c r="E98" s="752"/>
      <c r="F98" s="48" t="s">
        <v>107</v>
      </c>
      <c r="G98" s="807">
        <f>Pricing!D31</f>
        <v>385</v>
      </c>
      <c r="H98" s="116" t="s">
        <v>68</v>
      </c>
      <c r="I98" s="48"/>
      <c r="J98" s="48"/>
      <c r="K98" s="48"/>
      <c r="L98" s="48"/>
      <c r="M98" s="48"/>
      <c r="N98" s="48"/>
      <c r="O98" s="1897">
        <f>((IF(AND(E98&gt;0,E98&lt;4),E98*G98,0)+IF(AND(E98&gt;3,E98&lt;8),G98*3,0)+IF(AND(E98&gt;7,E98&lt;21),E98/7*G98*3,0)+IF(AND(E98&gt;20,E98&lt;30),G98*9,0)+IF(E98&gt;29,E98/30*G98*9,0)))*(1+$AE$63+J$100)</f>
        <v>0</v>
      </c>
      <c r="P98" s="1898"/>
      <c r="Q98" s="687"/>
      <c r="R98" s="687"/>
      <c r="S98" s="537"/>
      <c r="T98" s="299"/>
      <c r="U98" s="622"/>
      <c r="V98" s="622"/>
      <c r="W98" s="622"/>
      <c r="X98" s="622"/>
      <c r="Y98" s="193"/>
      <c r="Z98" s="106"/>
      <c r="AA98"/>
      <c r="AB98" s="194"/>
      <c r="AC98" s="106"/>
      <c r="AD98" s="195"/>
      <c r="AE98" s="106"/>
      <c r="AF98" s="680">
        <f t="shared" si="75"/>
        <v>0</v>
      </c>
      <c r="AG98" s="1794"/>
      <c r="AH98" s="769"/>
      <c r="AI98" s="769"/>
      <c r="AJ98" s="702">
        <v>17</v>
      </c>
      <c r="AK98" s="702" t="s">
        <v>842</v>
      </c>
      <c r="GA98" s="769"/>
      <c r="GB98" s="769"/>
      <c r="GC98" s="769"/>
      <c r="GD98" s="769"/>
      <c r="GE98" s="769"/>
      <c r="GF98" s="769"/>
      <c r="GG98" s="769"/>
      <c r="GH98" s="769"/>
      <c r="GI98" s="769"/>
      <c r="GJ98" s="769"/>
      <c r="GK98" s="769"/>
      <c r="GL98" s="769"/>
      <c r="GM98" s="769"/>
      <c r="GN98" s="769"/>
      <c r="GO98" s="769"/>
      <c r="GP98" s="769"/>
      <c r="GQ98" s="769"/>
      <c r="GR98" s="769"/>
      <c r="GS98" s="769"/>
      <c r="GT98" s="769"/>
      <c r="GU98" s="769"/>
      <c r="GV98" s="769"/>
      <c r="GW98" s="769"/>
      <c r="GX98" s="769"/>
      <c r="GY98" s="769"/>
      <c r="GZ98" s="769"/>
      <c r="HA98" s="769"/>
      <c r="HB98" s="769"/>
      <c r="HC98" s="769"/>
      <c r="HD98" s="769"/>
      <c r="HE98" s="769"/>
      <c r="HF98" s="769"/>
      <c r="HG98" s="769"/>
      <c r="HH98" s="769"/>
      <c r="HI98" s="769"/>
      <c r="HJ98" s="769"/>
      <c r="HK98" s="769"/>
      <c r="HL98" s="769"/>
      <c r="HM98" s="769"/>
      <c r="HN98" s="769"/>
      <c r="HO98" s="769"/>
      <c r="HP98" s="769"/>
      <c r="HQ98" s="769"/>
      <c r="HR98" s="769"/>
      <c r="HS98" s="769"/>
      <c r="HT98" s="769"/>
      <c r="HU98" s="769"/>
      <c r="HV98" s="769"/>
      <c r="HW98" s="769"/>
      <c r="HX98" s="769"/>
      <c r="HY98" s="769"/>
      <c r="HZ98" s="769"/>
      <c r="IA98" s="769"/>
      <c r="IB98" s="769"/>
      <c r="IC98" s="769"/>
      <c r="ID98" s="769"/>
    </row>
    <row r="99" spans="2:238" s="702" customFormat="1" ht="22" customHeight="1" thickBot="1" x14ac:dyDescent="0.4">
      <c r="B99" s="1979" t="s">
        <v>789</v>
      </c>
      <c r="C99" s="1980"/>
      <c r="D99" s="1981"/>
      <c r="E99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99" s="42" t="s">
        <v>107</v>
      </c>
      <c r="G99" s="808">
        <f>Pricing!D33</f>
        <v>350</v>
      </c>
      <c r="H99" s="88" t="s">
        <v>68</v>
      </c>
      <c r="I99" s="42"/>
      <c r="J99" s="2083" t="s">
        <v>469</v>
      </c>
      <c r="K99" s="2084"/>
      <c r="L99" s="42"/>
      <c r="M99" s="2074">
        <f>IF(E64=0,0,(SUM(O98:P103))/E64)</f>
        <v>0</v>
      </c>
      <c r="N99" s="2075"/>
      <c r="O99" s="1895">
        <f>((IF(AND(E99&gt;0,E99&lt;4),E99*G99,0)+IF(AND(E99&gt;3,E99&lt;8),G99*3,0)+IF(AND(E99&gt;7,E99&lt;21),E99/7*G99*3,0)+IF(AND(E99&gt;20,E99&lt;30),G99*9,0)+IF(E99&gt;29,E99/30*G99*9,0)))*(1+$AE$63+J$100)</f>
        <v>0</v>
      </c>
      <c r="P99" s="1896"/>
      <c r="Q99" s="687"/>
      <c r="R99" s="687"/>
      <c r="S99" s="537"/>
      <c r="T99" s="299"/>
      <c r="U99" s="1907"/>
      <c r="V99" s="1907"/>
      <c r="W99" s="1907"/>
      <c r="X99" s="1907"/>
      <c r="Y99" s="1884" t="s">
        <v>892</v>
      </c>
      <c r="Z99" s="1885"/>
      <c r="AA99" s="733"/>
      <c r="AB99" s="734"/>
      <c r="AC99" s="735"/>
      <c r="AD99" s="1882"/>
      <c r="AE99" s="1883"/>
      <c r="AF99" s="736">
        <f>AD99</f>
        <v>0</v>
      </c>
      <c r="AG99" s="1794"/>
      <c r="AH99" s="769"/>
      <c r="AI99" s="769"/>
      <c r="AJ99" s="702">
        <v>18</v>
      </c>
      <c r="AK99" s="702" t="s">
        <v>843</v>
      </c>
      <c r="GA99" s="769"/>
      <c r="GB99" s="769"/>
      <c r="GC99" s="769"/>
      <c r="GD99" s="769"/>
      <c r="GE99" s="769"/>
      <c r="GF99" s="769"/>
      <c r="GG99" s="769"/>
      <c r="GH99" s="769"/>
      <c r="GI99" s="769"/>
      <c r="GJ99" s="769"/>
      <c r="GK99" s="769"/>
      <c r="GL99" s="769"/>
      <c r="GM99" s="769"/>
      <c r="GN99" s="769"/>
      <c r="GO99" s="769"/>
      <c r="GP99" s="769"/>
      <c r="GQ99" s="769"/>
      <c r="GR99" s="769"/>
      <c r="GS99" s="769"/>
      <c r="GT99" s="769"/>
      <c r="GU99" s="769"/>
      <c r="GV99" s="769"/>
      <c r="GW99" s="769"/>
      <c r="GX99" s="769"/>
      <c r="GY99" s="769"/>
      <c r="GZ99" s="769"/>
      <c r="HA99" s="769"/>
      <c r="HB99" s="769"/>
      <c r="HC99" s="769"/>
      <c r="HD99" s="769"/>
      <c r="HE99" s="769"/>
      <c r="HF99" s="769"/>
      <c r="HG99" s="769"/>
      <c r="HH99" s="769"/>
      <c r="HI99" s="769"/>
      <c r="HJ99" s="769"/>
      <c r="HK99" s="769"/>
      <c r="HL99" s="769"/>
      <c r="HM99" s="769"/>
      <c r="HN99" s="769"/>
      <c r="HO99" s="769"/>
      <c r="HP99" s="769"/>
      <c r="HQ99" s="769"/>
      <c r="HR99" s="769"/>
      <c r="HS99" s="769"/>
      <c r="HT99" s="769"/>
      <c r="HU99" s="769"/>
      <c r="HV99" s="769"/>
      <c r="HW99" s="769"/>
      <c r="HX99" s="769"/>
      <c r="HY99" s="769"/>
      <c r="HZ99" s="769"/>
      <c r="IA99" s="769"/>
      <c r="IB99" s="769"/>
      <c r="IC99" s="769"/>
      <c r="ID99" s="769"/>
    </row>
    <row r="100" spans="2:238" s="702" customFormat="1" ht="22" customHeight="1" thickTop="1" x14ac:dyDescent="0.35">
      <c r="B100" s="1979" t="s">
        <v>16</v>
      </c>
      <c r="C100" s="1980"/>
      <c r="D100" s="1981"/>
      <c r="E100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0" s="106" t="s">
        <v>107</v>
      </c>
      <c r="G100" s="808">
        <f>Pricing!D34</f>
        <v>300</v>
      </c>
      <c r="H100" s="88" t="s">
        <v>68</v>
      </c>
      <c r="I100" s="42"/>
      <c r="J100" s="2079">
        <v>0.5</v>
      </c>
      <c r="K100" s="2080"/>
      <c r="L100" s="42"/>
      <c r="M100" s="2076">
        <f>SUM(O98:P103)</f>
        <v>0</v>
      </c>
      <c r="N100" s="2077"/>
      <c r="O100" s="2078">
        <f>((IF(AND(E100&gt;0,E100&lt;4),E100*G100,0)+IF(AND(E100&gt;3,E100&lt;8),G100*3,0)+IF(AND(E100&gt;7,E100&lt;21),E100/7*G100*3,0)+IF(AND(E100&gt;20,E100&lt;30),G100*9,0)+IF(E100&gt;29,E100/30*G100*9,0)))*(1+$AE$63+J$100)</f>
        <v>0</v>
      </c>
      <c r="P100" s="1896"/>
      <c r="Q100" s="687"/>
      <c r="R100" s="687"/>
      <c r="S100" s="537"/>
      <c r="T100" s="299"/>
      <c r="U100" s="622"/>
      <c r="V100" s="622"/>
      <c r="W100" s="622"/>
      <c r="X100" s="622"/>
      <c r="Y100" s="193" t="s">
        <v>287</v>
      </c>
      <c r="Z100" s="106"/>
      <c r="AA100"/>
      <c r="AB100" s="194">
        <f>ROUNDUP(D49/15000,0)</f>
        <v>0</v>
      </c>
      <c r="AC100" s="42" t="s">
        <v>288</v>
      </c>
      <c r="AD100" s="195">
        <f>Pricing!N30</f>
        <v>27</v>
      </c>
      <c r="AE100" s="88" t="s">
        <v>293</v>
      </c>
      <c r="AF100" s="680">
        <f t="shared" ref="AF100:AF109" si="77">IF(AC$63="Y",AB100*AD100,AB100*AD100*(1+AE$63))</f>
        <v>0</v>
      </c>
      <c r="AG100" s="1794"/>
      <c r="AH100" s="769"/>
      <c r="AI100" s="769"/>
      <c r="AJ100" s="702">
        <v>20</v>
      </c>
      <c r="AK100" s="702" t="s">
        <v>93</v>
      </c>
      <c r="AO100" s="702">
        <f>SUM(O92:P93)</f>
        <v>0</v>
      </c>
      <c r="GA100" s="769"/>
      <c r="GB100" s="769"/>
      <c r="GC100" s="769"/>
      <c r="GD100" s="769"/>
      <c r="GE100" s="769"/>
      <c r="GF100" s="769"/>
      <c r="GG100" s="769"/>
      <c r="GH100" s="769"/>
      <c r="GI100" s="769"/>
      <c r="GJ100" s="769"/>
      <c r="GK100" s="769"/>
      <c r="GL100" s="769"/>
      <c r="GM100" s="769"/>
      <c r="GN100" s="769"/>
      <c r="GO100" s="769"/>
      <c r="GP100" s="769"/>
      <c r="GQ100" s="769"/>
      <c r="GR100" s="769"/>
      <c r="GS100" s="769"/>
      <c r="GT100" s="769"/>
      <c r="GU100" s="769"/>
      <c r="GV100" s="769"/>
      <c r="GW100" s="769"/>
      <c r="GX100" s="769"/>
      <c r="GY100" s="769"/>
      <c r="GZ100" s="769"/>
      <c r="HA100" s="769"/>
      <c r="HB100" s="769"/>
      <c r="HC100" s="769"/>
      <c r="HD100" s="769"/>
      <c r="HE100" s="769"/>
      <c r="HF100" s="769"/>
      <c r="HG100" s="769"/>
      <c r="HH100" s="769"/>
      <c r="HI100" s="769"/>
      <c r="HJ100" s="769"/>
      <c r="HK100" s="769"/>
      <c r="HL100" s="769"/>
      <c r="HM100" s="769"/>
      <c r="HN100" s="769"/>
      <c r="HO100" s="769"/>
      <c r="HP100" s="769"/>
      <c r="HQ100" s="769"/>
      <c r="HR100" s="769"/>
      <c r="HS100" s="769"/>
      <c r="HT100" s="769"/>
      <c r="HU100" s="769"/>
      <c r="HV100" s="769"/>
      <c r="HW100" s="769"/>
      <c r="HX100" s="769"/>
      <c r="HY100" s="769"/>
      <c r="HZ100" s="769"/>
      <c r="IA100" s="769"/>
      <c r="IB100" s="769"/>
      <c r="IC100" s="769"/>
      <c r="ID100" s="769"/>
    </row>
    <row r="101" spans="2:238" s="702" customFormat="1" ht="22" customHeight="1" x14ac:dyDescent="0.35">
      <c r="B101" s="1979" t="s">
        <v>160</v>
      </c>
      <c r="C101" s="1980"/>
      <c r="D101" s="1981"/>
      <c r="E101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1" s="42" t="s">
        <v>107</v>
      </c>
      <c r="G101" s="808">
        <f>Pricing!D37</f>
        <v>65</v>
      </c>
      <c r="H101" s="88" t="s">
        <v>68</v>
      </c>
      <c r="I101" s="42"/>
      <c r="J101" s="2081"/>
      <c r="K101" s="2082"/>
      <c r="L101" s="42"/>
      <c r="M101" s="42"/>
      <c r="N101" s="42"/>
      <c r="O101" s="1895">
        <f>((IF(AND(E101&gt;0,E101&lt;4),E101*G101,0)+IF(AND(E101&gt;3,E101&lt;8),G101*3,0)+IF(AND(E101&gt;7,E101&lt;21),E101/7*G101*3,0)+IF(AND(E101&gt;20,E101&lt;30),G101*9,0)+IF(E101&gt;29,E101/30*G101*9,0)))*(1+$AE$63+J$100)</f>
        <v>0</v>
      </c>
      <c r="P101" s="1896"/>
      <c r="Q101" s="687"/>
      <c r="R101" s="687"/>
      <c r="S101" s="537"/>
      <c r="T101" s="299"/>
      <c r="U101" s="622"/>
      <c r="V101" s="622"/>
      <c r="W101" s="622"/>
      <c r="X101" s="622"/>
      <c r="Y101" s="193" t="s">
        <v>361</v>
      </c>
      <c r="Z101" s="106"/>
      <c r="AA101"/>
      <c r="AB101" s="194">
        <f>I83/15000</f>
        <v>0</v>
      </c>
      <c r="AC101" s="42" t="s">
        <v>781</v>
      </c>
      <c r="AD101" s="195">
        <f>Pricing!N34</f>
        <v>4</v>
      </c>
      <c r="AE101" s="88" t="s">
        <v>294</v>
      </c>
      <c r="AF101" s="680">
        <f t="shared" si="77"/>
        <v>0</v>
      </c>
      <c r="AG101" s="1794"/>
      <c r="AH101" s="769"/>
      <c r="AI101" s="769"/>
      <c r="AJ101" s="702">
        <v>21</v>
      </c>
      <c r="AK101" s="702" t="s">
        <v>254</v>
      </c>
      <c r="AO101" s="702">
        <f>O96</f>
        <v>0</v>
      </c>
      <c r="GA101" s="769"/>
      <c r="GB101" s="769"/>
      <c r="GC101" s="769"/>
      <c r="GD101" s="769"/>
      <c r="GE101" s="769"/>
      <c r="GF101" s="769"/>
      <c r="GG101" s="769"/>
      <c r="GH101" s="769"/>
      <c r="GI101" s="769"/>
      <c r="GJ101" s="769"/>
      <c r="GK101" s="769"/>
      <c r="GL101" s="769"/>
      <c r="GM101" s="769"/>
      <c r="GN101" s="769"/>
      <c r="GO101" s="769"/>
      <c r="GP101" s="769"/>
      <c r="GQ101" s="769"/>
      <c r="GR101" s="769"/>
      <c r="GS101" s="769"/>
      <c r="GT101" s="769"/>
      <c r="GU101" s="769"/>
      <c r="GV101" s="769"/>
      <c r="GW101" s="769"/>
      <c r="GX101" s="769"/>
      <c r="GY101" s="769"/>
      <c r="GZ101" s="769"/>
      <c r="HA101" s="769"/>
      <c r="HB101" s="769"/>
      <c r="HC101" s="769"/>
      <c r="HD101" s="769"/>
      <c r="HE101" s="769"/>
      <c r="HF101" s="769"/>
      <c r="HG101" s="769"/>
      <c r="HH101" s="769"/>
      <c r="HI101" s="769"/>
      <c r="HJ101" s="769"/>
      <c r="HK101" s="769"/>
      <c r="HL101" s="769"/>
      <c r="HM101" s="769"/>
      <c r="HN101" s="769"/>
      <c r="HO101" s="769"/>
      <c r="HP101" s="769"/>
      <c r="HQ101" s="769"/>
      <c r="HR101" s="769"/>
      <c r="HS101" s="769"/>
      <c r="HT101" s="769"/>
      <c r="HU101" s="769"/>
      <c r="HV101" s="769"/>
      <c r="HW101" s="769"/>
      <c r="HX101" s="769"/>
      <c r="HY101" s="769"/>
      <c r="HZ101" s="769"/>
      <c r="IA101" s="769"/>
      <c r="IB101" s="769"/>
      <c r="IC101" s="769"/>
      <c r="ID101" s="769"/>
    </row>
    <row r="102" spans="2:238" s="702" customFormat="1" ht="22" customHeight="1" x14ac:dyDescent="0.35">
      <c r="B102" s="1979" t="s">
        <v>723</v>
      </c>
      <c r="C102" s="1980"/>
      <c r="D102" s="1981"/>
      <c r="E102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2" s="42" t="s">
        <v>107</v>
      </c>
      <c r="G102" s="808">
        <v>15</v>
      </c>
      <c r="H102" s="88" t="s">
        <v>68</v>
      </c>
      <c r="I102" s="42"/>
      <c r="J102" s="42"/>
      <c r="K102" s="42"/>
      <c r="L102" s="42"/>
      <c r="M102" s="42"/>
      <c r="N102" s="42"/>
      <c r="O102" s="1895">
        <f>((IF(AND(E102&gt;0,E102&lt;4),E102*G102,0)+IF(AND(E102&gt;3,E102&lt;8),G102*3,0)+IF(AND(E102&gt;7,E102&lt;21),E102/7*G102*3,0)+IF(AND(E102&gt;20,E102&lt;30),G102*9,0)+IF(E102&gt;29,E102/30*G102*9,0)))*(1+$AE$63+J$100)</f>
        <v>0</v>
      </c>
      <c r="P102" s="1896"/>
      <c r="Q102" s="687"/>
      <c r="R102" s="687"/>
      <c r="S102" s="537"/>
      <c r="T102" s="299"/>
      <c r="U102" s="622"/>
      <c r="V102" s="622"/>
      <c r="W102" s="622"/>
      <c r="X102" s="622"/>
      <c r="Y102" s="193" t="s">
        <v>285</v>
      </c>
      <c r="Z102" s="106"/>
      <c r="AA102"/>
      <c r="AB102" s="194">
        <f>L74+(L75*0.75)</f>
        <v>0</v>
      </c>
      <c r="AC102" s="42" t="s">
        <v>32</v>
      </c>
      <c r="AD102" s="195">
        <v>0.04</v>
      </c>
      <c r="AE102" s="88" t="s">
        <v>88</v>
      </c>
      <c r="AF102" s="680">
        <f t="shared" si="77"/>
        <v>0</v>
      </c>
      <c r="AG102" s="1794"/>
      <c r="AH102" s="769"/>
      <c r="AI102" s="769"/>
      <c r="AJ102" s="702">
        <v>22</v>
      </c>
      <c r="AK102" s="702" t="s">
        <v>255</v>
      </c>
      <c r="AO102" s="702">
        <f>SUM(L83:M89)</f>
        <v>0</v>
      </c>
      <c r="GA102" s="769"/>
      <c r="GB102" s="769"/>
      <c r="GC102" s="769"/>
      <c r="GD102" s="769"/>
      <c r="GE102" s="769"/>
      <c r="GF102" s="769"/>
      <c r="GG102" s="769"/>
      <c r="GH102" s="769"/>
      <c r="GI102" s="769"/>
      <c r="GJ102" s="769"/>
      <c r="GK102" s="769"/>
      <c r="GL102" s="769"/>
      <c r="GM102" s="769"/>
      <c r="GN102" s="769"/>
      <c r="GO102" s="769"/>
      <c r="GP102" s="769"/>
      <c r="GQ102" s="769"/>
      <c r="GR102" s="769"/>
      <c r="GS102" s="769"/>
      <c r="GT102" s="769"/>
      <c r="GU102" s="769"/>
      <c r="GV102" s="769"/>
      <c r="GW102" s="769"/>
      <c r="GX102" s="769"/>
      <c r="GY102" s="769"/>
      <c r="GZ102" s="769"/>
      <c r="HA102" s="769"/>
      <c r="HB102" s="769"/>
      <c r="HC102" s="769"/>
      <c r="HD102" s="769"/>
      <c r="HE102" s="769"/>
      <c r="HF102" s="769"/>
      <c r="HG102" s="769"/>
      <c r="HH102" s="769"/>
      <c r="HI102" s="769"/>
      <c r="HJ102" s="769"/>
      <c r="HK102" s="769"/>
      <c r="HL102" s="769"/>
      <c r="HM102" s="769"/>
      <c r="HN102" s="769"/>
      <c r="HO102" s="769"/>
      <c r="HP102" s="769"/>
      <c r="HQ102" s="769"/>
      <c r="HR102" s="769"/>
      <c r="HS102" s="769"/>
      <c r="HT102" s="769"/>
      <c r="HU102" s="769"/>
      <c r="HV102" s="769"/>
      <c r="HW102" s="769"/>
      <c r="HX102" s="769"/>
      <c r="HY102" s="769"/>
      <c r="HZ102" s="769"/>
      <c r="IA102" s="769"/>
      <c r="IB102" s="769"/>
      <c r="IC102" s="769"/>
      <c r="ID102" s="769"/>
    </row>
    <row r="103" spans="2:238" s="702" customFormat="1" ht="22" customHeight="1" thickBot="1" x14ac:dyDescent="0.4">
      <c r="B103" s="2069" t="s">
        <v>108</v>
      </c>
      <c r="C103" s="2070"/>
      <c r="D103" s="2071"/>
      <c r="E103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3" s="49" t="s">
        <v>573</v>
      </c>
      <c r="G103" s="809">
        <v>55</v>
      </c>
      <c r="H103" s="96" t="s">
        <v>68</v>
      </c>
      <c r="I103" s="49"/>
      <c r="J103" s="49"/>
      <c r="K103" s="49"/>
      <c r="L103" s="49"/>
      <c r="M103" s="117"/>
      <c r="N103" s="49"/>
      <c r="O103" s="2072">
        <f>((IF(AND(E103&gt;0,E103&lt;4),E103*G103,0)+IF(AND(E103&gt;3,E103&lt;8),G103*3,0)+IF(AND(E103&gt;7,E103&lt;21),E103/7*G103*3,0)+IF(AND(E103&gt;20,E103&lt;30),G103*9,0)+IF(E103&gt;29,E103/30*G103*9,0)))</f>
        <v>0</v>
      </c>
      <c r="P103" s="2073"/>
      <c r="Q103" s="687"/>
      <c r="R103" s="687"/>
      <c r="S103" s="537"/>
      <c r="T103" s="299"/>
      <c r="U103" s="622"/>
      <c r="V103" s="622"/>
      <c r="W103" s="622"/>
      <c r="X103" s="622"/>
      <c r="Y103" s="193"/>
      <c r="Z103" s="106"/>
      <c r="AA103"/>
      <c r="AB103" s="106"/>
      <c r="AC103" s="42"/>
      <c r="AD103" s="195"/>
      <c r="AE103" s="42"/>
      <c r="AF103" s="680">
        <f t="shared" si="77"/>
        <v>0</v>
      </c>
      <c r="AG103" s="1794"/>
      <c r="AH103" s="769"/>
      <c r="AI103" s="769"/>
      <c r="AJ103" s="702">
        <v>23</v>
      </c>
      <c r="AK103" s="702" t="s">
        <v>256</v>
      </c>
      <c r="AO103" s="702">
        <f>O110</f>
        <v>0</v>
      </c>
      <c r="GA103" s="769"/>
      <c r="GB103" s="769"/>
      <c r="GC103" s="769"/>
      <c r="GD103" s="769"/>
      <c r="GE103" s="769"/>
      <c r="GF103" s="769"/>
      <c r="GG103" s="769"/>
      <c r="GH103" s="769"/>
      <c r="GI103" s="769"/>
      <c r="GJ103" s="769"/>
      <c r="GK103" s="769"/>
      <c r="GL103" s="769"/>
      <c r="GM103" s="769"/>
      <c r="GN103" s="769"/>
      <c r="GO103" s="769"/>
      <c r="GP103" s="769"/>
      <c r="GQ103" s="769"/>
      <c r="GR103" s="769"/>
      <c r="GS103" s="769"/>
      <c r="GT103" s="769"/>
      <c r="GU103" s="769"/>
      <c r="GV103" s="769"/>
      <c r="GW103" s="769"/>
      <c r="GX103" s="769"/>
      <c r="GY103" s="769"/>
      <c r="GZ103" s="769"/>
      <c r="HA103" s="769"/>
      <c r="HB103" s="769"/>
      <c r="HC103" s="769"/>
      <c r="HD103" s="769"/>
      <c r="HE103" s="769"/>
      <c r="HF103" s="769"/>
      <c r="HG103" s="769"/>
      <c r="HH103" s="769"/>
      <c r="HI103" s="769"/>
      <c r="HJ103" s="769"/>
      <c r="HK103" s="769"/>
      <c r="HL103" s="769"/>
      <c r="HM103" s="769"/>
      <c r="HN103" s="769"/>
      <c r="HO103" s="769"/>
      <c r="HP103" s="769"/>
      <c r="HQ103" s="769"/>
      <c r="HR103" s="769"/>
      <c r="HS103" s="769"/>
      <c r="HT103" s="769"/>
      <c r="HU103" s="769"/>
      <c r="HV103" s="769"/>
      <c r="HW103" s="769"/>
      <c r="HX103" s="769"/>
      <c r="HY103" s="769"/>
      <c r="HZ103" s="769"/>
      <c r="IA103" s="769"/>
      <c r="IB103" s="769"/>
      <c r="IC103" s="769"/>
      <c r="ID103" s="769"/>
    </row>
    <row r="104" spans="2:238" s="702" customFormat="1" ht="22" customHeight="1" thickBot="1" x14ac:dyDescent="0.4">
      <c r="B104" s="2018" t="s">
        <v>174</v>
      </c>
      <c r="C104" s="2019"/>
      <c r="D104" s="2019"/>
      <c r="E104" s="2019"/>
      <c r="F104" s="2019"/>
      <c r="G104" s="2019"/>
      <c r="H104" s="2019"/>
      <c r="I104" s="2019"/>
      <c r="J104" s="2019"/>
      <c r="K104" s="2019"/>
      <c r="L104" s="2019"/>
      <c r="M104" s="2019"/>
      <c r="N104" s="2019"/>
      <c r="O104" s="2019"/>
      <c r="P104" s="2020"/>
      <c r="Q104" s="685"/>
      <c r="R104" s="685"/>
      <c r="S104" s="537"/>
      <c r="T104" s="299"/>
      <c r="U104" s="622"/>
      <c r="V104" s="622"/>
      <c r="W104" s="622"/>
      <c r="X104" s="622"/>
      <c r="Y104" s="193"/>
      <c r="Z104" s="106"/>
      <c r="AA104"/>
      <c r="AB104" s="106"/>
      <c r="AC104" s="42"/>
      <c r="AD104" s="195"/>
      <c r="AE104" s="42"/>
      <c r="AF104" s="680">
        <f t="shared" si="77"/>
        <v>0</v>
      </c>
      <c r="AG104" s="1794"/>
      <c r="AH104" s="769"/>
      <c r="AI104" s="769"/>
      <c r="AJ104" s="702">
        <v>24</v>
      </c>
      <c r="AK104" s="702" t="s">
        <v>257</v>
      </c>
      <c r="GA104" s="769"/>
      <c r="GB104" s="769"/>
      <c r="GC104" s="769"/>
      <c r="GD104" s="769"/>
      <c r="GE104" s="769"/>
      <c r="GF104" s="769"/>
      <c r="GG104" s="769"/>
      <c r="GH104" s="769"/>
      <c r="GI104" s="769"/>
      <c r="GJ104" s="769"/>
      <c r="GK104" s="769"/>
      <c r="GL104" s="769"/>
      <c r="GM104" s="769"/>
      <c r="GN104" s="769"/>
      <c r="GO104" s="769"/>
      <c r="GP104" s="769"/>
      <c r="GQ104" s="769"/>
      <c r="GR104" s="769"/>
      <c r="GS104" s="769"/>
      <c r="GT104" s="769"/>
      <c r="GU104" s="769"/>
      <c r="GV104" s="769"/>
      <c r="GW104" s="769"/>
      <c r="GX104" s="769"/>
      <c r="GY104" s="769"/>
      <c r="GZ104" s="769"/>
      <c r="HA104" s="769"/>
      <c r="HB104" s="769"/>
      <c r="HC104" s="769"/>
      <c r="HD104" s="769"/>
      <c r="HE104" s="769"/>
      <c r="HF104" s="769"/>
      <c r="HG104" s="769"/>
      <c r="HH104" s="769"/>
      <c r="HI104" s="769"/>
      <c r="HJ104" s="769"/>
      <c r="HK104" s="769"/>
      <c r="HL104" s="769"/>
      <c r="HM104" s="769"/>
      <c r="HN104" s="769"/>
      <c r="HO104" s="769"/>
      <c r="HP104" s="769"/>
      <c r="HQ104" s="769"/>
      <c r="HR104" s="769"/>
      <c r="HS104" s="769"/>
      <c r="HT104" s="769"/>
      <c r="HU104" s="769"/>
      <c r="HV104" s="769"/>
      <c r="HW104" s="769"/>
      <c r="HX104" s="769"/>
      <c r="HY104" s="769"/>
      <c r="HZ104" s="769"/>
      <c r="IA104" s="769"/>
      <c r="IB104" s="769"/>
      <c r="IC104" s="769"/>
      <c r="ID104" s="769"/>
    </row>
    <row r="105" spans="2:238" s="702" customFormat="1" ht="22" customHeight="1" thickBot="1" x14ac:dyDescent="0.4">
      <c r="B105" s="2052" t="s">
        <v>189</v>
      </c>
      <c r="C105" s="2053"/>
      <c r="D105" s="2054"/>
      <c r="E105" s="756">
        <v>0.55000000000000004</v>
      </c>
      <c r="F105" s="115" t="s">
        <v>118</v>
      </c>
      <c r="G105" s="2048"/>
      <c r="H105" s="2049"/>
      <c r="I105" s="48" t="s">
        <v>95</v>
      </c>
      <c r="J105" s="48"/>
      <c r="K105" s="48"/>
      <c r="L105" s="48"/>
      <c r="M105" s="48"/>
      <c r="N105" s="48"/>
      <c r="O105" s="2050">
        <f>E105*G105</f>
        <v>0</v>
      </c>
      <c r="P105" s="2051"/>
      <c r="Q105" s="688"/>
      <c r="R105" s="688"/>
      <c r="S105" s="537"/>
      <c r="T105" s="299"/>
      <c r="U105" s="622"/>
      <c r="V105" s="622"/>
      <c r="W105" s="622"/>
      <c r="X105" s="622"/>
      <c r="Y105" s="198"/>
      <c r="Z105" s="199"/>
      <c r="AA105" s="262"/>
      <c r="AB105" s="199"/>
      <c r="AC105" s="75"/>
      <c r="AD105" s="201"/>
      <c r="AE105" s="75"/>
      <c r="AF105" s="681">
        <f t="shared" si="77"/>
        <v>0</v>
      </c>
      <c r="AG105" s="1794"/>
      <c r="AH105" s="769"/>
      <c r="AI105" s="769"/>
      <c r="AJ105" s="702">
        <v>25</v>
      </c>
      <c r="AK105" s="702" t="s">
        <v>258</v>
      </c>
      <c r="GA105" s="769"/>
      <c r="GB105" s="769"/>
      <c r="GC105" s="769"/>
      <c r="GD105" s="769"/>
      <c r="GE105" s="769"/>
      <c r="GF105" s="769"/>
      <c r="GG105" s="769"/>
      <c r="GH105" s="769"/>
      <c r="GI105" s="769"/>
      <c r="GJ105" s="769"/>
      <c r="GK105" s="769"/>
      <c r="GL105" s="769"/>
      <c r="GM105" s="769"/>
      <c r="GN105" s="769"/>
      <c r="GO105" s="769"/>
      <c r="GP105" s="769"/>
      <c r="GQ105" s="769"/>
      <c r="GR105" s="769"/>
      <c r="GS105" s="769"/>
      <c r="GT105" s="769"/>
      <c r="GU105" s="769"/>
      <c r="GV105" s="769"/>
      <c r="GW105" s="769"/>
      <c r="GX105" s="769"/>
      <c r="GY105" s="769"/>
      <c r="GZ105" s="769"/>
      <c r="HA105" s="769"/>
      <c r="HB105" s="769"/>
      <c r="HC105" s="769"/>
      <c r="HD105" s="769"/>
      <c r="HE105" s="769"/>
      <c r="HF105" s="769"/>
      <c r="HG105" s="769"/>
      <c r="HH105" s="769"/>
      <c r="HI105" s="769"/>
      <c r="HJ105" s="769"/>
      <c r="HK105" s="769"/>
      <c r="HL105" s="769"/>
      <c r="HM105" s="769"/>
      <c r="HN105" s="769"/>
      <c r="HO105" s="769"/>
      <c r="HP105" s="769"/>
      <c r="HQ105" s="769"/>
      <c r="HR105" s="769"/>
      <c r="HS105" s="769"/>
      <c r="HT105" s="769"/>
      <c r="HU105" s="769"/>
      <c r="HV105" s="769"/>
      <c r="HW105" s="769"/>
      <c r="HX105" s="769"/>
      <c r="HY105" s="769"/>
      <c r="HZ105" s="769"/>
      <c r="IA105" s="769"/>
      <c r="IB105" s="769"/>
      <c r="IC105" s="769"/>
      <c r="ID105" s="769"/>
    </row>
    <row r="106" spans="2:238" s="702" customFormat="1" ht="22" customHeight="1" thickTop="1" x14ac:dyDescent="0.35">
      <c r="B106" s="1979" t="s">
        <v>176</v>
      </c>
      <c r="C106" s="1980"/>
      <c r="D106" s="1981"/>
      <c r="E106" s="757"/>
      <c r="F106" s="88" t="s">
        <v>118</v>
      </c>
      <c r="G106" s="2089">
        <f>IF(L106=0,0,D49*2/L106)</f>
        <v>0</v>
      </c>
      <c r="H106" s="2090"/>
      <c r="I106" s="88" t="s">
        <v>42</v>
      </c>
      <c r="J106" s="2092" t="s">
        <v>382</v>
      </c>
      <c r="K106" s="2093"/>
      <c r="L106" s="2091">
        <v>15</v>
      </c>
      <c r="M106" s="42"/>
      <c r="N106" s="42"/>
      <c r="O106" s="2087">
        <f>E106*G106</f>
        <v>0</v>
      </c>
      <c r="P106" s="2088"/>
      <c r="Q106" s="688"/>
      <c r="R106" s="688"/>
      <c r="S106" s="537"/>
      <c r="T106" s="299"/>
      <c r="U106" s="622"/>
      <c r="V106" s="622"/>
      <c r="W106" s="622"/>
      <c r="X106" s="622"/>
      <c r="Y106" s="193"/>
      <c r="Z106" s="106"/>
      <c r="AA106"/>
      <c r="AB106" s="106"/>
      <c r="AC106" s="42"/>
      <c r="AD106" s="195"/>
      <c r="AE106" s="42"/>
      <c r="AF106" s="680">
        <f t="shared" si="77"/>
        <v>0</v>
      </c>
      <c r="AG106" s="1794"/>
      <c r="AH106" s="769"/>
      <c r="AI106" s="769"/>
      <c r="AJ106" s="702">
        <v>30</v>
      </c>
      <c r="AK106" s="702" t="s">
        <v>259</v>
      </c>
      <c r="AO106" s="702">
        <f>O107</f>
        <v>0</v>
      </c>
      <c r="GA106" s="769"/>
      <c r="GB106" s="769"/>
      <c r="GC106" s="769"/>
      <c r="GD106" s="769"/>
      <c r="GE106" s="769"/>
      <c r="GF106" s="769"/>
      <c r="GG106" s="769"/>
      <c r="GH106" s="769"/>
      <c r="GI106" s="769"/>
      <c r="GJ106" s="769"/>
      <c r="GK106" s="769"/>
      <c r="GL106" s="769"/>
      <c r="GM106" s="769"/>
      <c r="GN106" s="769"/>
      <c r="GO106" s="769"/>
      <c r="GP106" s="769"/>
      <c r="GQ106" s="769"/>
      <c r="GR106" s="769"/>
      <c r="GS106" s="769"/>
      <c r="GT106" s="769"/>
      <c r="GU106" s="769"/>
      <c r="GV106" s="769"/>
      <c r="GW106" s="769"/>
      <c r="GX106" s="769"/>
      <c r="GY106" s="769"/>
      <c r="GZ106" s="769"/>
      <c r="HA106" s="769"/>
      <c r="HB106" s="769"/>
      <c r="HC106" s="769"/>
      <c r="HD106" s="769"/>
      <c r="HE106" s="769"/>
      <c r="HF106" s="769"/>
      <c r="HG106" s="769"/>
      <c r="HH106" s="769"/>
      <c r="HI106" s="769"/>
      <c r="HJ106" s="769"/>
      <c r="HK106" s="769"/>
      <c r="HL106" s="769"/>
      <c r="HM106" s="769"/>
      <c r="HN106" s="769"/>
      <c r="HO106" s="769"/>
      <c r="HP106" s="769"/>
      <c r="HQ106" s="769"/>
      <c r="HR106" s="769"/>
      <c r="HS106" s="769"/>
      <c r="HT106" s="769"/>
      <c r="HU106" s="769"/>
      <c r="HV106" s="769"/>
      <c r="HW106" s="769"/>
      <c r="HX106" s="769"/>
      <c r="HY106" s="769"/>
      <c r="HZ106" s="769"/>
      <c r="IA106" s="769"/>
      <c r="IB106" s="769"/>
      <c r="IC106" s="769"/>
      <c r="ID106" s="769"/>
    </row>
    <row r="107" spans="2:238" s="702" customFormat="1" ht="22" customHeight="1" x14ac:dyDescent="0.35">
      <c r="B107" s="1979" t="s">
        <v>442</v>
      </c>
      <c r="C107" s="1980"/>
      <c r="D107" s="1981"/>
      <c r="E107" s="758">
        <f>Pricing!D41</f>
        <v>16</v>
      </c>
      <c r="F107" s="108" t="s">
        <v>443</v>
      </c>
      <c r="G107" s="2089">
        <f>BO49</f>
        <v>0</v>
      </c>
      <c r="H107" s="2090"/>
      <c r="I107" s="42" t="s">
        <v>444</v>
      </c>
      <c r="J107" s="2092"/>
      <c r="K107" s="2093"/>
      <c r="L107" s="2091"/>
      <c r="M107" s="42"/>
      <c r="N107" s="42"/>
      <c r="O107" s="2087">
        <f>E107*G107</f>
        <v>0</v>
      </c>
      <c r="P107" s="2088"/>
      <c r="Q107" s="688"/>
      <c r="R107" s="688"/>
      <c r="S107" s="537"/>
      <c r="T107" s="299"/>
      <c r="U107" s="622"/>
      <c r="V107" s="622"/>
      <c r="W107" s="622"/>
      <c r="X107" s="622"/>
      <c r="Y107" s="193" t="s">
        <v>211</v>
      </c>
      <c r="Z107" s="106"/>
      <c r="AA107"/>
      <c r="AB107" s="194">
        <f>ROUNDUP(I83/300/55,0)</f>
        <v>0</v>
      </c>
      <c r="AC107" s="42" t="s">
        <v>754</v>
      </c>
      <c r="AD107" s="195">
        <f>Pricing!N42</f>
        <v>540</v>
      </c>
      <c r="AE107" s="88" t="s">
        <v>295</v>
      </c>
      <c r="AF107" s="680">
        <f t="shared" si="77"/>
        <v>0</v>
      </c>
      <c r="AG107" s="1794"/>
      <c r="AH107" s="769"/>
      <c r="AI107" s="769"/>
      <c r="AJ107" s="702">
        <v>31</v>
      </c>
      <c r="AK107" s="702" t="s">
        <v>744</v>
      </c>
      <c r="GA107" s="769"/>
      <c r="GB107" s="769"/>
      <c r="GC107" s="769"/>
      <c r="GD107" s="769"/>
      <c r="GE107" s="769"/>
      <c r="GF107" s="769"/>
      <c r="GG107" s="769"/>
      <c r="GH107" s="769"/>
      <c r="GI107" s="769"/>
      <c r="GJ107" s="769"/>
      <c r="GK107" s="769"/>
      <c r="GL107" s="769"/>
      <c r="GM107" s="769"/>
      <c r="GN107" s="769"/>
      <c r="GO107" s="769"/>
      <c r="GP107" s="769"/>
      <c r="GQ107" s="769"/>
      <c r="GR107" s="769"/>
      <c r="GS107" s="769"/>
      <c r="GT107" s="769"/>
      <c r="GU107" s="769"/>
      <c r="GV107" s="769"/>
      <c r="GW107" s="769"/>
      <c r="GX107" s="769"/>
      <c r="GY107" s="769"/>
      <c r="GZ107" s="769"/>
      <c r="HA107" s="769"/>
      <c r="HB107" s="769"/>
      <c r="HC107" s="769"/>
      <c r="HD107" s="769"/>
      <c r="HE107" s="769"/>
      <c r="HF107" s="769"/>
      <c r="HG107" s="769"/>
      <c r="HH107" s="769"/>
      <c r="HI107" s="769"/>
      <c r="HJ107" s="769"/>
      <c r="HK107" s="769"/>
      <c r="HL107" s="769"/>
      <c r="HM107" s="769"/>
      <c r="HN107" s="769"/>
      <c r="HO107" s="769"/>
      <c r="HP107" s="769"/>
      <c r="HQ107" s="769"/>
      <c r="HR107" s="769"/>
      <c r="HS107" s="769"/>
      <c r="HT107" s="769"/>
      <c r="HU107" s="769"/>
      <c r="HV107" s="769"/>
      <c r="HW107" s="769"/>
      <c r="HX107" s="769"/>
      <c r="HY107" s="769"/>
      <c r="HZ107" s="769"/>
      <c r="IA107" s="769"/>
      <c r="IB107" s="769"/>
      <c r="IC107" s="769"/>
      <c r="ID107" s="769"/>
    </row>
    <row r="108" spans="2:238" s="702" customFormat="1" ht="22" customHeight="1" thickBot="1" x14ac:dyDescent="0.4">
      <c r="B108" s="1979" t="s">
        <v>307</v>
      </c>
      <c r="C108" s="1980"/>
      <c r="D108" s="1980"/>
      <c r="E108" s="757">
        <v>4</v>
      </c>
      <c r="F108" s="109" t="s">
        <v>124</v>
      </c>
      <c r="G108" s="2085"/>
      <c r="H108" s="2086"/>
      <c r="I108" s="42" t="s">
        <v>31</v>
      </c>
      <c r="J108" s="42"/>
      <c r="K108" s="42"/>
      <c r="L108" s="42"/>
      <c r="M108" s="42"/>
      <c r="N108" s="42"/>
      <c r="O108" s="2087">
        <f>E108*G108</f>
        <v>0</v>
      </c>
      <c r="P108" s="2088"/>
      <c r="Q108" s="688"/>
      <c r="R108" s="688"/>
      <c r="S108" s="537"/>
      <c r="T108" s="299"/>
      <c r="U108" s="622"/>
      <c r="V108" s="622"/>
      <c r="W108" s="622"/>
      <c r="X108" s="622"/>
      <c r="Y108" s="198" t="s">
        <v>212</v>
      </c>
      <c r="Z108" s="199"/>
      <c r="AA108" s="262"/>
      <c r="AB108" s="200">
        <v>0</v>
      </c>
      <c r="AC108" s="75" t="s">
        <v>754</v>
      </c>
      <c r="AD108" s="201">
        <f>Pricing!N43</f>
        <v>542</v>
      </c>
      <c r="AE108" s="90" t="s">
        <v>295</v>
      </c>
      <c r="AF108" s="681">
        <f t="shared" si="77"/>
        <v>0</v>
      </c>
      <c r="AG108" s="1794"/>
      <c r="AH108" s="769"/>
      <c r="AI108" s="769"/>
      <c r="AJ108" s="702">
        <v>32</v>
      </c>
      <c r="AK108" s="702" t="s">
        <v>260</v>
      </c>
      <c r="GA108" s="769"/>
      <c r="GB108" s="769"/>
      <c r="GC108" s="769"/>
      <c r="GD108" s="769"/>
      <c r="GE108" s="769"/>
      <c r="GF108" s="769"/>
      <c r="GG108" s="769"/>
      <c r="GH108" s="769"/>
      <c r="GI108" s="769"/>
      <c r="GJ108" s="769"/>
      <c r="GK108" s="769"/>
      <c r="GL108" s="769"/>
      <c r="GM108" s="769"/>
      <c r="GN108" s="769"/>
      <c r="GO108" s="769"/>
      <c r="GP108" s="769"/>
      <c r="GQ108" s="769"/>
      <c r="GR108" s="769"/>
      <c r="GS108" s="769"/>
      <c r="GT108" s="769"/>
      <c r="GU108" s="769"/>
      <c r="GV108" s="769"/>
      <c r="GW108" s="769"/>
      <c r="GX108" s="769"/>
      <c r="GY108" s="769"/>
      <c r="GZ108" s="769"/>
      <c r="HA108" s="769"/>
      <c r="HB108" s="769"/>
      <c r="HC108" s="769"/>
      <c r="HD108" s="769"/>
      <c r="HE108" s="769"/>
      <c r="HF108" s="769"/>
      <c r="HG108" s="769"/>
      <c r="HH108" s="769"/>
      <c r="HI108" s="769"/>
      <c r="HJ108" s="769"/>
      <c r="HK108" s="769"/>
      <c r="HL108" s="769"/>
      <c r="HM108" s="769"/>
      <c r="HN108" s="769"/>
      <c r="HO108" s="769"/>
      <c r="HP108" s="769"/>
      <c r="HQ108" s="769"/>
      <c r="HR108" s="769"/>
      <c r="HS108" s="769"/>
      <c r="HT108" s="769"/>
      <c r="HU108" s="769"/>
      <c r="HV108" s="769"/>
      <c r="HW108" s="769"/>
      <c r="HX108" s="769"/>
      <c r="HY108" s="769"/>
      <c r="HZ108" s="769"/>
      <c r="IA108" s="769"/>
      <c r="IB108" s="769"/>
      <c r="IC108" s="769"/>
      <c r="ID108" s="769"/>
    </row>
    <row r="109" spans="2:238" s="702" customFormat="1" ht="22" customHeight="1" thickTop="1" x14ac:dyDescent="0.35">
      <c r="B109" s="1979" t="s">
        <v>524</v>
      </c>
      <c r="C109" s="1980"/>
      <c r="D109" s="1980"/>
      <c r="E109" s="759">
        <v>0.25</v>
      </c>
      <c r="F109" s="88" t="s">
        <v>191</v>
      </c>
      <c r="G109" s="2101">
        <v>0</v>
      </c>
      <c r="H109" s="2102"/>
      <c r="I109" s="42" t="s">
        <v>95</v>
      </c>
      <c r="J109" s="42"/>
      <c r="K109" s="42"/>
      <c r="L109" s="42"/>
      <c r="M109" s="42"/>
      <c r="N109" s="46"/>
      <c r="O109" s="2087">
        <f>IF(E109=0,0,E109*G109)</f>
        <v>0</v>
      </c>
      <c r="P109" s="2088"/>
      <c r="Q109" s="688"/>
      <c r="R109" s="688"/>
      <c r="S109" s="537"/>
      <c r="T109" s="299"/>
      <c r="U109" s="622"/>
      <c r="V109" s="622"/>
      <c r="W109" s="622"/>
      <c r="X109" s="622"/>
      <c r="Y109" s="193"/>
      <c r="Z109" s="106"/>
      <c r="AA109" s="106"/>
      <c r="AB109" s="42"/>
      <c r="AC109" s="106"/>
      <c r="AD109" s="42"/>
      <c r="AE109"/>
      <c r="AF109" s="680">
        <f t="shared" si="77"/>
        <v>0</v>
      </c>
      <c r="AG109" s="1794"/>
      <c r="AH109" s="769"/>
      <c r="AI109" s="769"/>
      <c r="AJ109" s="702">
        <v>33</v>
      </c>
      <c r="AK109" s="702" t="s">
        <v>261</v>
      </c>
      <c r="AO109" s="704">
        <f>O108</f>
        <v>0</v>
      </c>
      <c r="AP109" s="704"/>
      <c r="GA109" s="769"/>
      <c r="GB109" s="769"/>
      <c r="GC109" s="769"/>
      <c r="GD109" s="769"/>
      <c r="GE109" s="769"/>
      <c r="GF109" s="769"/>
      <c r="GG109" s="769"/>
      <c r="GH109" s="769"/>
      <c r="GI109" s="769"/>
      <c r="GJ109" s="769"/>
      <c r="GK109" s="769"/>
      <c r="GL109" s="769"/>
      <c r="GM109" s="769"/>
      <c r="GN109" s="769"/>
      <c r="GO109" s="769"/>
      <c r="GP109" s="769"/>
      <c r="GQ109" s="769"/>
      <c r="GR109" s="769"/>
      <c r="GS109" s="769"/>
      <c r="GT109" s="769"/>
      <c r="GU109" s="769"/>
      <c r="GV109" s="769"/>
      <c r="GW109" s="769"/>
      <c r="GX109" s="769"/>
      <c r="GY109" s="769"/>
      <c r="GZ109" s="769"/>
      <c r="HA109" s="769"/>
      <c r="HB109" s="769"/>
      <c r="HC109" s="769"/>
      <c r="HD109" s="769"/>
      <c r="HE109" s="769"/>
      <c r="HF109" s="769"/>
      <c r="HG109" s="769"/>
      <c r="HH109" s="769"/>
      <c r="HI109" s="769"/>
      <c r="HJ109" s="769"/>
      <c r="HK109" s="769"/>
      <c r="HL109" s="769"/>
      <c r="HM109" s="769"/>
      <c r="HN109" s="769"/>
      <c r="HO109" s="769"/>
      <c r="HP109" s="769"/>
      <c r="HQ109" s="769"/>
      <c r="HR109" s="769"/>
      <c r="HS109" s="769"/>
      <c r="HT109" s="769"/>
      <c r="HU109" s="769"/>
      <c r="HV109" s="769"/>
      <c r="HW109" s="769"/>
      <c r="HX109" s="769"/>
      <c r="HY109" s="769"/>
      <c r="HZ109" s="769"/>
      <c r="IA109" s="769"/>
      <c r="IB109" s="769"/>
      <c r="IC109" s="769"/>
      <c r="ID109" s="769"/>
    </row>
    <row r="110" spans="2:238" s="702" customFormat="1" ht="22" customHeight="1" x14ac:dyDescent="0.35">
      <c r="B110" s="1979" t="s">
        <v>186</v>
      </c>
      <c r="C110" s="1980"/>
      <c r="D110" s="1980"/>
      <c r="E110" s="760"/>
      <c r="F110" s="109" t="s">
        <v>97</v>
      </c>
      <c r="G110" s="2099">
        <v>250</v>
      </c>
      <c r="H110" s="2100"/>
      <c r="I110" s="88" t="s">
        <v>68</v>
      </c>
      <c r="J110" s="42"/>
      <c r="K110" s="42"/>
      <c r="L110" s="42"/>
      <c r="M110" s="42"/>
      <c r="N110" s="42"/>
      <c r="O110" s="2087">
        <f>E110*G110</f>
        <v>0</v>
      </c>
      <c r="P110" s="2088"/>
      <c r="Q110" s="688"/>
      <c r="R110" s="688"/>
      <c r="S110" s="537"/>
      <c r="T110" s="299"/>
      <c r="U110" s="2107"/>
      <c r="V110" s="2107"/>
      <c r="W110" s="2107"/>
      <c r="X110" s="2107"/>
      <c r="Y110" s="2096" t="s">
        <v>216</v>
      </c>
      <c r="Z110" s="2097"/>
      <c r="AA110" s="806">
        <v>18</v>
      </c>
      <c r="AB110" s="42" t="s">
        <v>217</v>
      </c>
      <c r="AC110" s="106"/>
      <c r="AD110" s="42"/>
      <c r="AE110"/>
      <c r="AF110" s="680"/>
      <c r="AG110" s="1794"/>
      <c r="AH110" s="769"/>
      <c r="AI110" s="769"/>
      <c r="AJ110" s="702">
        <v>34</v>
      </c>
      <c r="AK110" s="702" t="s">
        <v>262</v>
      </c>
      <c r="AO110" s="702">
        <f>O106+O105+O109</f>
        <v>0</v>
      </c>
      <c r="GA110" s="769"/>
      <c r="GB110" s="769"/>
      <c r="GC110" s="769"/>
      <c r="GD110" s="769"/>
      <c r="GE110" s="769"/>
      <c r="GF110" s="769"/>
      <c r="GG110" s="769"/>
      <c r="GH110" s="769"/>
      <c r="GI110" s="769"/>
      <c r="GJ110" s="769"/>
      <c r="GK110" s="769"/>
      <c r="GL110" s="769"/>
      <c r="GM110" s="769"/>
      <c r="GN110" s="769"/>
      <c r="GO110" s="769"/>
      <c r="GP110" s="769"/>
      <c r="GQ110" s="769"/>
      <c r="GR110" s="769"/>
      <c r="GS110" s="769"/>
      <c r="GT110" s="769"/>
      <c r="GU110" s="769"/>
      <c r="GV110" s="769"/>
      <c r="GW110" s="769"/>
      <c r="GX110" s="769"/>
      <c r="GY110" s="769"/>
      <c r="GZ110" s="769"/>
      <c r="HA110" s="769"/>
      <c r="HB110" s="769"/>
      <c r="HC110" s="769"/>
      <c r="HD110" s="769"/>
      <c r="HE110" s="769"/>
      <c r="HF110" s="769"/>
      <c r="HG110" s="769"/>
      <c r="HH110" s="769"/>
      <c r="HI110" s="769"/>
      <c r="HJ110" s="769"/>
      <c r="HK110" s="769"/>
      <c r="HL110" s="769"/>
      <c r="HM110" s="769"/>
      <c r="HN110" s="769"/>
      <c r="HO110" s="769"/>
      <c r="HP110" s="769"/>
      <c r="HQ110" s="769"/>
      <c r="HR110" s="769"/>
      <c r="HS110" s="769"/>
      <c r="HT110" s="769"/>
      <c r="HU110" s="769"/>
      <c r="HV110" s="769"/>
      <c r="HW110" s="769"/>
      <c r="HX110" s="769"/>
      <c r="HY110" s="769"/>
      <c r="HZ110" s="769"/>
      <c r="IA110" s="769"/>
      <c r="IB110" s="769"/>
      <c r="IC110" s="769"/>
      <c r="ID110" s="769"/>
    </row>
    <row r="111" spans="2:238" s="702" customFormat="1" ht="22" customHeight="1" thickBot="1" x14ac:dyDescent="0.4">
      <c r="B111" s="2069" t="s">
        <v>108</v>
      </c>
      <c r="C111" s="2070"/>
      <c r="D111" s="2070"/>
      <c r="E111" s="754"/>
      <c r="F111" s="49"/>
      <c r="G111" s="2103">
        <v>1000</v>
      </c>
      <c r="H111" s="2104"/>
      <c r="I111" s="49" t="s">
        <v>177</v>
      </c>
      <c r="J111" s="49"/>
      <c r="K111" s="49"/>
      <c r="L111" s="49"/>
      <c r="M111" s="49"/>
      <c r="N111" s="49"/>
      <c r="O111" s="2105">
        <f>E111*G111</f>
        <v>0</v>
      </c>
      <c r="P111" s="2106"/>
      <c r="Q111" s="688"/>
      <c r="R111" s="688"/>
      <c r="S111" s="537"/>
      <c r="T111" s="299"/>
      <c r="U111" s="622"/>
      <c r="V111" s="622"/>
      <c r="W111" s="622"/>
      <c r="X111" s="622"/>
      <c r="Y111" s="203" t="s">
        <v>214</v>
      </c>
      <c r="Z111" s="188"/>
      <c r="AA111" s="188">
        <f>ROUNDUP((AB83+AB85+AB86)*12/AA110,0)</f>
        <v>0</v>
      </c>
      <c r="AB111" s="49" t="s">
        <v>215</v>
      </c>
      <c r="AC111" s="2098">
        <f>Pricing!D24</f>
        <v>2</v>
      </c>
      <c r="AD111" s="2098"/>
      <c r="AE111" s="248"/>
      <c r="AF111" s="812">
        <f>IF(AC$63="Y",AA111*AD111,AA111*AD111*(1+AE$63))</f>
        <v>0</v>
      </c>
      <c r="AG111" s="1794"/>
      <c r="AH111" s="769"/>
      <c r="AI111" s="769"/>
      <c r="AJ111" s="702">
        <v>35</v>
      </c>
      <c r="AK111" s="702" t="s">
        <v>263</v>
      </c>
      <c r="GA111" s="769"/>
      <c r="GB111" s="769"/>
      <c r="GC111" s="769"/>
      <c r="GD111" s="769"/>
      <c r="GE111" s="769"/>
      <c r="GF111" s="769"/>
      <c r="GG111" s="769"/>
      <c r="GH111" s="769"/>
      <c r="GI111" s="769"/>
      <c r="GJ111" s="769"/>
      <c r="GK111" s="769"/>
      <c r="GL111" s="769"/>
      <c r="GM111" s="769"/>
      <c r="GN111" s="769"/>
      <c r="GO111" s="769"/>
      <c r="GP111" s="769"/>
      <c r="GQ111" s="769"/>
      <c r="GR111" s="769"/>
      <c r="GS111" s="769"/>
      <c r="GT111" s="769"/>
      <c r="GU111" s="769"/>
      <c r="GV111" s="769"/>
      <c r="GW111" s="769"/>
      <c r="GX111" s="769"/>
      <c r="GY111" s="769"/>
      <c r="GZ111" s="769"/>
      <c r="HA111" s="769"/>
      <c r="HB111" s="769"/>
      <c r="HC111" s="769"/>
      <c r="HD111" s="769"/>
      <c r="HE111" s="769"/>
      <c r="HF111" s="769"/>
      <c r="HG111" s="769"/>
      <c r="HH111" s="769"/>
      <c r="HI111" s="769"/>
      <c r="HJ111" s="769"/>
      <c r="HK111" s="769"/>
      <c r="HL111" s="769"/>
      <c r="HM111" s="769"/>
      <c r="HN111" s="769"/>
      <c r="HO111" s="769"/>
      <c r="HP111" s="769"/>
      <c r="HQ111" s="769"/>
      <c r="HR111" s="769"/>
      <c r="HS111" s="769"/>
      <c r="HT111" s="769"/>
      <c r="HU111" s="769"/>
      <c r="HV111" s="769"/>
      <c r="HW111" s="769"/>
      <c r="HX111" s="769"/>
      <c r="HY111" s="769"/>
      <c r="HZ111" s="769"/>
      <c r="IA111" s="769"/>
      <c r="IB111" s="769"/>
      <c r="IC111" s="769"/>
      <c r="ID111" s="769"/>
    </row>
    <row r="112" spans="2:238" s="702" customFormat="1" ht="22" customHeight="1" thickBot="1" x14ac:dyDescent="0.4">
      <c r="B112" s="313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689"/>
      <c r="R112" s="689"/>
      <c r="S112" s="299"/>
      <c r="T112" s="299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328"/>
      <c r="AE112" s="298"/>
      <c r="AF112" s="811">
        <f>SUM(AF72:AF111)</f>
        <v>0</v>
      </c>
      <c r="AG112" s="1794"/>
      <c r="AH112" s="769"/>
      <c r="AI112" s="769"/>
      <c r="AJ112" s="702">
        <v>36</v>
      </c>
      <c r="AK112" s="702" t="s">
        <v>745</v>
      </c>
      <c r="GA112" s="769"/>
      <c r="GB112" s="769"/>
      <c r="GC112" s="769"/>
      <c r="GD112" s="769"/>
      <c r="GE112" s="769"/>
      <c r="GF112" s="769"/>
      <c r="GG112" s="769"/>
      <c r="GH112" s="769"/>
      <c r="GI112" s="769"/>
      <c r="GJ112" s="769"/>
      <c r="GK112" s="769"/>
      <c r="GL112" s="769"/>
      <c r="GM112" s="769"/>
      <c r="GN112" s="769"/>
      <c r="GO112" s="769"/>
      <c r="GP112" s="769"/>
      <c r="GQ112" s="769"/>
      <c r="GR112" s="769"/>
      <c r="GS112" s="769"/>
      <c r="GT112" s="769"/>
      <c r="GU112" s="769"/>
      <c r="GV112" s="769"/>
      <c r="GW112" s="769"/>
      <c r="GX112" s="769"/>
      <c r="GY112" s="769"/>
      <c r="GZ112" s="769"/>
      <c r="HA112" s="769"/>
      <c r="HB112" s="769"/>
      <c r="HC112" s="769"/>
      <c r="HD112" s="769"/>
      <c r="HE112" s="769"/>
      <c r="HF112" s="769"/>
      <c r="HG112" s="769"/>
      <c r="HH112" s="769"/>
      <c r="HI112" s="769"/>
      <c r="HJ112" s="769"/>
      <c r="HK112" s="769"/>
      <c r="HL112" s="769"/>
      <c r="HM112" s="769"/>
      <c r="HN112" s="769"/>
      <c r="HO112" s="769"/>
      <c r="HP112" s="769"/>
      <c r="HQ112" s="769"/>
      <c r="HR112" s="769"/>
      <c r="HS112" s="769"/>
      <c r="HT112" s="769"/>
      <c r="HU112" s="769"/>
      <c r="HV112" s="769"/>
      <c r="HW112" s="769"/>
      <c r="HX112" s="769"/>
      <c r="HY112" s="769"/>
      <c r="HZ112" s="769"/>
      <c r="IA112" s="769"/>
      <c r="IB112" s="769"/>
      <c r="IC112" s="769"/>
      <c r="ID112" s="769"/>
    </row>
    <row r="113" spans="1:238" s="702" customFormat="1" ht="24" customHeight="1" x14ac:dyDescent="0.35">
      <c r="B113" s="898"/>
      <c r="C113" s="899"/>
      <c r="D113" s="899"/>
      <c r="E113" s="899"/>
      <c r="F113" s="899"/>
      <c r="G113" s="899"/>
      <c r="H113" s="899"/>
      <c r="I113" s="899"/>
      <c r="J113" s="899"/>
      <c r="K113" s="899"/>
      <c r="L113" s="900"/>
      <c r="M113" s="899"/>
      <c r="N113" s="899"/>
      <c r="O113" s="899"/>
      <c r="P113" s="899"/>
      <c r="Q113" s="899"/>
      <c r="R113" s="899"/>
      <c r="S113" s="1170"/>
      <c r="T113" s="1170"/>
      <c r="U113" s="899"/>
      <c r="V113" s="899"/>
      <c r="W113" s="899"/>
      <c r="X113" s="899"/>
      <c r="Y113" s="899"/>
      <c r="Z113" s="899"/>
      <c r="AA113" s="899"/>
      <c r="AB113" s="899"/>
      <c r="AC113" s="899"/>
      <c r="AD113" s="899"/>
      <c r="AE113" s="899"/>
      <c r="AF113" s="1115"/>
      <c r="AG113" s="1794"/>
      <c r="AH113" s="769"/>
      <c r="AI113" s="769"/>
      <c r="AJ113" s="702">
        <v>39</v>
      </c>
      <c r="AK113" s="702" t="s">
        <v>264</v>
      </c>
      <c r="GA113" s="769"/>
      <c r="GB113" s="769"/>
      <c r="GC113" s="769"/>
      <c r="GD113" s="769"/>
      <c r="GE113" s="769"/>
      <c r="GF113" s="769"/>
      <c r="GG113" s="769"/>
      <c r="GH113" s="769"/>
      <c r="GI113" s="769"/>
      <c r="GJ113" s="769"/>
      <c r="GK113" s="769"/>
      <c r="GL113" s="769"/>
      <c r="GM113" s="769"/>
      <c r="GN113" s="769"/>
      <c r="GO113" s="769"/>
      <c r="GP113" s="769"/>
      <c r="GQ113" s="769"/>
      <c r="GR113" s="769"/>
      <c r="GS113" s="769"/>
      <c r="GT113" s="769"/>
      <c r="GU113" s="769"/>
      <c r="GV113" s="769"/>
      <c r="GW113" s="769"/>
      <c r="GX113" s="769"/>
      <c r="GY113" s="769"/>
      <c r="GZ113" s="769"/>
      <c r="HA113" s="769"/>
      <c r="HB113" s="769"/>
      <c r="HC113" s="769"/>
      <c r="HD113" s="769"/>
      <c r="HE113" s="769"/>
      <c r="HF113" s="769"/>
      <c r="HG113" s="769"/>
      <c r="HH113" s="769"/>
      <c r="HI113" s="769"/>
      <c r="HJ113" s="769"/>
      <c r="HK113" s="769"/>
      <c r="HL113" s="769"/>
      <c r="HM113" s="769"/>
      <c r="HN113" s="769"/>
      <c r="HO113" s="769"/>
      <c r="HP113" s="769"/>
      <c r="HQ113" s="769"/>
      <c r="HR113" s="769"/>
      <c r="HS113" s="769"/>
      <c r="HT113" s="769"/>
      <c r="HU113" s="769"/>
      <c r="HV113" s="769"/>
      <c r="HW113" s="769"/>
      <c r="HX113" s="769"/>
      <c r="HY113" s="769"/>
      <c r="HZ113" s="769"/>
      <c r="IA113" s="769"/>
      <c r="IB113" s="769"/>
      <c r="IC113" s="769"/>
      <c r="ID113" s="769"/>
    </row>
    <row r="114" spans="1:238" s="702" customFormat="1" ht="31" hidden="1" x14ac:dyDescent="0.35">
      <c r="B114" s="1987" t="s">
        <v>185</v>
      </c>
      <c r="C114" s="2041"/>
      <c r="D114" s="1988"/>
      <c r="E114" s="1987" t="s">
        <v>140</v>
      </c>
      <c r="F114" s="1988"/>
      <c r="G114" s="1987" t="s">
        <v>178</v>
      </c>
      <c r="H114" s="2041"/>
      <c r="I114" s="1988"/>
      <c r="J114" s="61" t="s">
        <v>184</v>
      </c>
      <c r="K114" s="62"/>
      <c r="L114" s="60"/>
      <c r="M114" s="2044" t="s">
        <v>179</v>
      </c>
      <c r="N114" s="2045"/>
      <c r="O114" s="132"/>
      <c r="P114" s="133"/>
      <c r="Q114" s="1086"/>
      <c r="R114" s="1086"/>
      <c r="S114" s="1116"/>
      <c r="T114" s="1116"/>
      <c r="U114" s="897"/>
      <c r="V114" s="897"/>
      <c r="W114" s="897"/>
      <c r="X114" s="897"/>
      <c r="Y114" s="897"/>
      <c r="Z114" s="39" t="s">
        <v>34</v>
      </c>
      <c r="AA114" s="48"/>
      <c r="AB114" s="48" t="s">
        <v>758</v>
      </c>
      <c r="AC114" s="813" t="str">
        <f>AC63</f>
        <v>n</v>
      </c>
      <c r="AD114" s="286" t="s">
        <v>298</v>
      </c>
      <c r="AE114" s="814">
        <f>AE63</f>
        <v>8.2500000000000004E-2</v>
      </c>
      <c r="AF114" s="1113"/>
      <c r="AG114" s="1794"/>
      <c r="AH114" s="769"/>
      <c r="AI114" s="769"/>
      <c r="AJ114" s="702">
        <v>40</v>
      </c>
      <c r="AK114" s="702" t="s">
        <v>222</v>
      </c>
      <c r="AO114" s="704">
        <f>O88</f>
        <v>0</v>
      </c>
      <c r="AP114" s="704"/>
      <c r="GA114" s="769"/>
      <c r="GB114" s="769"/>
      <c r="GC114" s="769"/>
      <c r="GD114" s="769"/>
      <c r="GE114" s="769"/>
      <c r="GF114" s="769"/>
      <c r="GG114" s="769"/>
      <c r="GH114" s="769"/>
      <c r="GI114" s="769"/>
      <c r="GJ114" s="769"/>
      <c r="GK114" s="769"/>
      <c r="GL114" s="769"/>
      <c r="GM114" s="769"/>
      <c r="GN114" s="769"/>
      <c r="GO114" s="769"/>
      <c r="GP114" s="769"/>
      <c r="GQ114" s="769"/>
      <c r="GR114" s="769"/>
      <c r="GS114" s="769"/>
      <c r="GT114" s="769"/>
      <c r="GU114" s="769"/>
      <c r="GV114" s="769"/>
      <c r="GW114" s="769"/>
      <c r="GX114" s="769"/>
      <c r="GY114" s="769"/>
      <c r="GZ114" s="769"/>
      <c r="HA114" s="769"/>
      <c r="HB114" s="769"/>
      <c r="HC114" s="769"/>
      <c r="HD114" s="769"/>
      <c r="HE114" s="769"/>
      <c r="HF114" s="769"/>
      <c r="HG114" s="769"/>
      <c r="HH114" s="769"/>
      <c r="HI114" s="769"/>
      <c r="HJ114" s="769"/>
      <c r="HK114" s="769"/>
      <c r="HL114" s="769"/>
      <c r="HM114" s="769"/>
      <c r="HN114" s="769"/>
      <c r="HO114" s="769"/>
      <c r="HP114" s="769"/>
      <c r="HQ114" s="769"/>
      <c r="HR114" s="769"/>
      <c r="HS114" s="769"/>
      <c r="HT114" s="769"/>
      <c r="HU114" s="769"/>
      <c r="HV114" s="769"/>
      <c r="HW114" s="769"/>
      <c r="HX114" s="769"/>
      <c r="HY114" s="769"/>
      <c r="HZ114" s="769"/>
      <c r="IA114" s="769"/>
      <c r="IB114" s="769"/>
      <c r="IC114" s="769"/>
      <c r="ID114" s="769"/>
    </row>
    <row r="115" spans="1:238" s="702" customFormat="1" ht="16" hidden="1" thickBot="1" x14ac:dyDescent="0.4">
      <c r="B115" s="11" t="s">
        <v>180</v>
      </c>
      <c r="C115" s="1999">
        <f>C64</f>
        <v>0</v>
      </c>
      <c r="D115" s="2000"/>
      <c r="E115" s="2003">
        <f>E64</f>
        <v>0</v>
      </c>
      <c r="F115" s="2004"/>
      <c r="G115" s="15">
        <f>G64</f>
        <v>0</v>
      </c>
      <c r="H115" s="2042">
        <f>H64</f>
        <v>0</v>
      </c>
      <c r="I115" s="2043"/>
      <c r="J115" s="2064">
        <f>J64</f>
        <v>0</v>
      </c>
      <c r="K115" s="2065"/>
      <c r="L115" s="2066"/>
      <c r="M115" s="725">
        <f>M64</f>
        <v>0.18</v>
      </c>
      <c r="N115" s="726"/>
      <c r="O115" s="726"/>
      <c r="P115" s="727"/>
      <c r="Q115" s="1169"/>
      <c r="R115" s="1169"/>
      <c r="S115" s="1116"/>
      <c r="T115" s="1116"/>
      <c r="U115" s="902"/>
      <c r="V115" s="937"/>
      <c r="W115" s="902"/>
      <c r="X115" s="937"/>
      <c r="Y115" s="902"/>
      <c r="Z115" s="156" t="s">
        <v>50</v>
      </c>
      <c r="AA115" s="49"/>
      <c r="AB115" s="49"/>
      <c r="AC115" s="2095">
        <f>AC64</f>
        <v>0</v>
      </c>
      <c r="AD115" s="2095"/>
      <c r="AE115" s="159"/>
      <c r="AF115" s="1113"/>
      <c r="AG115" s="1794"/>
      <c r="AH115" s="769"/>
      <c r="AI115" s="769"/>
      <c r="AJ115" s="702">
        <v>41</v>
      </c>
      <c r="AK115" s="702" t="s">
        <v>265</v>
      </c>
      <c r="AO115" s="702">
        <f>O83</f>
        <v>0</v>
      </c>
      <c r="GA115" s="769"/>
      <c r="GB115" s="769"/>
      <c r="GC115" s="769"/>
      <c r="GD115" s="769"/>
      <c r="GE115" s="769"/>
      <c r="GF115" s="769"/>
      <c r="GG115" s="769"/>
      <c r="GH115" s="769"/>
      <c r="GI115" s="769"/>
      <c r="GJ115" s="769"/>
      <c r="GK115" s="769"/>
      <c r="GL115" s="769"/>
      <c r="GM115" s="769"/>
      <c r="GN115" s="769"/>
      <c r="GO115" s="769"/>
      <c r="GP115" s="769"/>
      <c r="GQ115" s="769"/>
      <c r="GR115" s="769"/>
      <c r="GS115" s="769"/>
      <c r="GT115" s="769"/>
      <c r="GU115" s="769"/>
      <c r="GV115" s="769"/>
      <c r="GW115" s="769"/>
      <c r="GX115" s="769"/>
      <c r="GY115" s="769"/>
      <c r="GZ115" s="769"/>
      <c r="HA115" s="769"/>
      <c r="HB115" s="769"/>
      <c r="HC115" s="769"/>
      <c r="HD115" s="769"/>
      <c r="HE115" s="769"/>
      <c r="HF115" s="769"/>
      <c r="HG115" s="769"/>
      <c r="HH115" s="769"/>
      <c r="HI115" s="769"/>
      <c r="HJ115" s="769"/>
      <c r="HK115" s="769"/>
      <c r="HL115" s="769"/>
      <c r="HM115" s="769"/>
      <c r="HN115" s="769"/>
      <c r="HO115" s="769"/>
      <c r="HP115" s="769"/>
      <c r="HQ115" s="769"/>
      <c r="HR115" s="769"/>
      <c r="HS115" s="769"/>
      <c r="HT115" s="769"/>
      <c r="HU115" s="769"/>
      <c r="HV115" s="769"/>
      <c r="HW115" s="769"/>
      <c r="HX115" s="769"/>
      <c r="HY115" s="769"/>
      <c r="HZ115" s="769"/>
      <c r="IA115" s="769"/>
      <c r="IB115" s="769"/>
      <c r="IC115" s="769"/>
      <c r="ID115" s="769"/>
    </row>
    <row r="116" spans="1:238" s="702" customFormat="1" ht="21.75" customHeight="1" x14ac:dyDescent="0.35">
      <c r="B116" s="938"/>
      <c r="C116" s="897"/>
      <c r="D116" s="897"/>
      <c r="E116" s="897"/>
      <c r="F116" s="897"/>
      <c r="G116" s="897"/>
      <c r="H116" s="897"/>
      <c r="I116" s="897"/>
      <c r="J116" s="897"/>
      <c r="K116" s="897"/>
      <c r="L116" s="897"/>
      <c r="M116" s="897"/>
      <c r="N116" s="897"/>
      <c r="O116" s="897"/>
      <c r="P116" s="897"/>
      <c r="Q116" s="897"/>
      <c r="R116" s="897"/>
      <c r="S116" s="1116"/>
      <c r="T116" s="1116"/>
      <c r="U116" s="897"/>
      <c r="V116" s="897"/>
      <c r="W116" s="897"/>
      <c r="X116" s="897"/>
      <c r="Y116" s="897"/>
      <c r="Z116" s="897"/>
      <c r="AA116" s="897"/>
      <c r="AB116" s="897"/>
      <c r="AC116" s="897"/>
      <c r="AD116" s="897"/>
      <c r="AE116" s="897"/>
      <c r="AF116" s="1113"/>
      <c r="AG116" s="1794"/>
      <c r="AH116" s="769"/>
      <c r="AI116" s="769"/>
      <c r="AJ116" s="702">
        <v>42</v>
      </c>
      <c r="AK116" s="702" t="s">
        <v>266</v>
      </c>
      <c r="AO116" s="702">
        <f>O84</f>
        <v>0</v>
      </c>
      <c r="GA116" s="769"/>
      <c r="GB116" s="769"/>
      <c r="GC116" s="769"/>
      <c r="GD116" s="769"/>
      <c r="GE116" s="769"/>
      <c r="GF116" s="769"/>
      <c r="GG116" s="769"/>
      <c r="GH116" s="769"/>
      <c r="GI116" s="769"/>
      <c r="GJ116" s="769"/>
      <c r="GK116" s="769"/>
      <c r="GL116" s="769"/>
      <c r="GM116" s="769"/>
      <c r="GN116" s="769"/>
      <c r="GO116" s="769"/>
      <c r="GP116" s="769"/>
      <c r="GQ116" s="769"/>
      <c r="GR116" s="769"/>
      <c r="GS116" s="769"/>
      <c r="GT116" s="769"/>
      <c r="GU116" s="769"/>
      <c r="GV116" s="769"/>
      <c r="GW116" s="769"/>
      <c r="GX116" s="769"/>
      <c r="GY116" s="769"/>
      <c r="GZ116" s="769"/>
      <c r="HA116" s="769"/>
      <c r="HB116" s="769"/>
      <c r="HC116" s="769"/>
      <c r="HD116" s="769"/>
      <c r="HE116" s="769"/>
      <c r="HF116" s="769"/>
      <c r="HG116" s="769"/>
      <c r="HH116" s="769"/>
      <c r="HI116" s="769"/>
      <c r="HJ116" s="769"/>
      <c r="HK116" s="769"/>
      <c r="HL116" s="769"/>
      <c r="HM116" s="769"/>
      <c r="HN116" s="769"/>
      <c r="HO116" s="769"/>
      <c r="HP116" s="769"/>
      <c r="HQ116" s="769"/>
      <c r="HR116" s="769"/>
      <c r="HS116" s="769"/>
      <c r="HT116" s="769"/>
      <c r="HU116" s="769"/>
      <c r="HV116" s="769"/>
      <c r="HW116" s="769"/>
      <c r="HX116" s="769"/>
      <c r="HY116" s="769"/>
      <c r="HZ116" s="769"/>
      <c r="IA116" s="769"/>
      <c r="IB116" s="769"/>
      <c r="IC116" s="769"/>
      <c r="ID116" s="769"/>
    </row>
    <row r="117" spans="1:238" s="769" customFormat="1" ht="15" customHeight="1" x14ac:dyDescent="0.35">
      <c r="AJ117" s="702">
        <v>44</v>
      </c>
      <c r="AK117" s="702" t="s">
        <v>267</v>
      </c>
      <c r="AL117" s="702"/>
      <c r="AM117" s="702"/>
      <c r="AN117" s="702"/>
      <c r="AO117" s="702">
        <f>O85</f>
        <v>0</v>
      </c>
      <c r="AP117" s="702"/>
    </row>
    <row r="118" spans="1:238" customFormat="1" ht="15" hidden="1" customHeight="1" x14ac:dyDescent="0.35">
      <c r="A118" s="769"/>
      <c r="B118" s="769"/>
      <c r="C118" s="769"/>
      <c r="D118" s="769"/>
      <c r="E118" s="769"/>
      <c r="F118" s="769"/>
      <c r="G118" s="769"/>
      <c r="H118" s="769"/>
      <c r="I118" s="769"/>
      <c r="J118" s="769"/>
      <c r="K118" s="769"/>
      <c r="L118" s="769"/>
      <c r="M118" s="769"/>
      <c r="N118" s="769"/>
      <c r="O118" s="769"/>
      <c r="P118" s="769"/>
      <c r="Q118" s="769"/>
      <c r="R118" s="769"/>
      <c r="S118" s="769"/>
      <c r="T118" s="769"/>
      <c r="U118" s="769"/>
      <c r="V118" s="769"/>
      <c r="W118" s="769"/>
      <c r="X118" s="769"/>
      <c r="Y118" s="769"/>
      <c r="Z118" s="769"/>
      <c r="AA118" s="769"/>
      <c r="AB118" s="769"/>
      <c r="AC118" s="769"/>
      <c r="AD118" s="769"/>
      <c r="AE118" s="769"/>
      <c r="AF118" s="769"/>
      <c r="AG118" s="769"/>
      <c r="AJ118" s="298">
        <v>45</v>
      </c>
      <c r="AK118" s="298" t="s">
        <v>268</v>
      </c>
      <c r="AL118" s="298"/>
      <c r="AM118" s="298"/>
      <c r="AN118" s="298"/>
      <c r="AO118" s="298">
        <f>O87</f>
        <v>0</v>
      </c>
      <c r="AP118" s="298"/>
      <c r="BH118" s="594"/>
    </row>
    <row r="119" spans="1:238" ht="15" hidden="1" customHeight="1" x14ac:dyDescent="0.35">
      <c r="B119" s="769"/>
      <c r="C119" s="769"/>
      <c r="D119" s="769"/>
      <c r="E119" s="769"/>
      <c r="F119" s="769"/>
      <c r="G119" s="769"/>
      <c r="H119" s="769"/>
      <c r="I119" s="769"/>
      <c r="J119" s="769"/>
      <c r="K119" s="769"/>
      <c r="L119" s="769"/>
      <c r="M119" s="769"/>
      <c r="N119" s="769"/>
      <c r="O119" s="769"/>
      <c r="P119" s="769"/>
      <c r="Q119" s="769"/>
      <c r="R119" s="769"/>
      <c r="S119" s="769"/>
      <c r="T119" s="769"/>
      <c r="U119" s="769"/>
      <c r="V119" s="769"/>
      <c r="W119" s="769"/>
      <c r="X119" s="769"/>
      <c r="Y119" s="769"/>
      <c r="Z119" s="769"/>
      <c r="AA119" s="769"/>
      <c r="AB119" s="769"/>
      <c r="AC119" s="769"/>
      <c r="AD119" s="769"/>
      <c r="AH119"/>
      <c r="AI119"/>
      <c r="AJ119" s="298">
        <v>46</v>
      </c>
      <c r="AK119" s="298" t="s">
        <v>269</v>
      </c>
      <c r="AL119" s="298"/>
      <c r="AM119" s="298"/>
      <c r="AN119" s="298"/>
      <c r="AO119" s="298">
        <f>O86</f>
        <v>0</v>
      </c>
      <c r="AP119" s="298"/>
    </row>
    <row r="120" spans="1:238" ht="15" hidden="1" customHeight="1" x14ac:dyDescent="0.35">
      <c r="B120" s="769"/>
      <c r="C120" s="769"/>
      <c r="D120" s="769"/>
      <c r="E120" s="769"/>
      <c r="F120" s="769"/>
      <c r="G120" s="769"/>
      <c r="H120" s="769"/>
      <c r="I120" s="769"/>
      <c r="J120" s="769"/>
      <c r="K120" s="769"/>
      <c r="L120" s="769"/>
      <c r="M120" s="769"/>
      <c r="N120" s="769"/>
      <c r="O120" s="769"/>
      <c r="P120" s="769"/>
      <c r="Q120" s="769"/>
      <c r="R120" s="769"/>
      <c r="S120" s="769"/>
      <c r="T120" s="769"/>
      <c r="U120" s="769"/>
      <c r="V120" s="769"/>
      <c r="W120" s="769"/>
      <c r="X120" s="769"/>
      <c r="Y120" s="769"/>
      <c r="Z120" s="769"/>
      <c r="AA120" s="769"/>
      <c r="AB120" s="769"/>
      <c r="AC120" s="769"/>
      <c r="AD120" s="769"/>
      <c r="AH120"/>
      <c r="AI120"/>
      <c r="AJ120"/>
      <c r="AK120"/>
      <c r="AL120"/>
      <c r="AM120"/>
      <c r="AN120"/>
      <c r="AO120"/>
      <c r="AP120"/>
    </row>
    <row r="121" spans="1:238" ht="15" hidden="1" customHeight="1" x14ac:dyDescent="0.35">
      <c r="B121" s="769"/>
      <c r="C121" s="769"/>
      <c r="D121" s="769"/>
      <c r="E121" s="769"/>
      <c r="F121" s="769"/>
      <c r="G121" s="769"/>
      <c r="H121" s="769"/>
      <c r="I121" s="769"/>
      <c r="J121" s="769"/>
      <c r="K121" s="769"/>
      <c r="L121" s="769"/>
      <c r="M121" s="769"/>
      <c r="N121" s="769"/>
      <c r="O121" s="769"/>
      <c r="P121" s="769"/>
      <c r="Q121" s="769"/>
      <c r="R121" s="769"/>
      <c r="S121" s="769"/>
      <c r="T121" s="769"/>
      <c r="U121" s="769"/>
      <c r="V121" s="769"/>
      <c r="W121" s="769"/>
      <c r="X121" s="769"/>
      <c r="Y121" s="769"/>
      <c r="Z121" s="769"/>
      <c r="AA121" s="769"/>
      <c r="AB121" s="769"/>
      <c r="AC121" s="769"/>
      <c r="AD121" s="769"/>
      <c r="AH121"/>
      <c r="AI121"/>
      <c r="AJ121"/>
      <c r="AK121"/>
      <c r="AL121"/>
      <c r="AM121"/>
      <c r="AN121"/>
      <c r="AO121"/>
      <c r="AP121"/>
    </row>
    <row r="122" spans="1:238" ht="15" hidden="1" customHeight="1" x14ac:dyDescent="0.35">
      <c r="B122" s="769"/>
      <c r="C122" s="769"/>
      <c r="D122" s="769"/>
      <c r="E122" s="769"/>
      <c r="F122" s="769"/>
      <c r="G122" s="769"/>
      <c r="H122" s="769"/>
      <c r="I122" s="769"/>
      <c r="J122" s="769"/>
      <c r="K122" s="769"/>
      <c r="L122" s="769"/>
      <c r="M122" s="769"/>
      <c r="N122" s="769"/>
      <c r="O122" s="769"/>
      <c r="P122" s="769"/>
      <c r="Q122" s="769"/>
      <c r="R122" s="769"/>
      <c r="S122" s="769"/>
      <c r="T122" s="769"/>
      <c r="U122" s="769"/>
      <c r="V122" s="769"/>
      <c r="W122" s="769"/>
      <c r="X122" s="769"/>
      <c r="Y122" s="769"/>
      <c r="Z122" s="769"/>
      <c r="AA122" s="769"/>
      <c r="AB122" s="769"/>
      <c r="AC122" s="769"/>
      <c r="AD122" s="769"/>
      <c r="AH122"/>
      <c r="AI122"/>
      <c r="AJ122" s="298">
        <v>49</v>
      </c>
      <c r="AK122" s="298" t="s">
        <v>272</v>
      </c>
      <c r="AL122" s="298"/>
      <c r="AM122" s="298"/>
      <c r="AN122" s="298"/>
      <c r="AO122" s="298"/>
      <c r="AP122" s="298"/>
    </row>
    <row r="123" spans="1:238" ht="15" hidden="1" customHeight="1" x14ac:dyDescent="0.35">
      <c r="B123" s="769"/>
      <c r="C123" s="769"/>
      <c r="D123" s="769"/>
      <c r="E123" s="769"/>
      <c r="F123" s="769"/>
      <c r="G123" s="769"/>
      <c r="H123" s="769"/>
      <c r="I123" s="769"/>
      <c r="J123" s="769"/>
      <c r="K123" s="769"/>
      <c r="L123" s="769"/>
      <c r="M123" s="769"/>
      <c r="N123" s="769"/>
      <c r="O123" s="769"/>
      <c r="P123" s="769"/>
      <c r="Q123" s="769"/>
      <c r="R123" s="769"/>
      <c r="S123" s="769"/>
      <c r="T123" s="769"/>
      <c r="U123" s="769"/>
      <c r="V123" s="769"/>
      <c r="W123" s="769"/>
      <c r="X123" s="769"/>
      <c r="Y123" s="769"/>
      <c r="Z123" s="769"/>
      <c r="AA123" s="769"/>
      <c r="AB123" s="769"/>
      <c r="AC123" s="769"/>
      <c r="AD123" s="769"/>
      <c r="AH123"/>
      <c r="AI123"/>
      <c r="AJ123" s="298">
        <v>50</v>
      </c>
      <c r="AK123" s="298" t="s">
        <v>711</v>
      </c>
      <c r="AL123" s="298"/>
      <c r="AM123" s="298"/>
      <c r="AN123" s="298"/>
      <c r="AO123" s="298"/>
      <c r="AP123" s="298"/>
    </row>
    <row r="124" spans="1:238" ht="15" hidden="1" customHeight="1" x14ac:dyDescent="0.35">
      <c r="B124" s="769"/>
      <c r="C124" s="769"/>
      <c r="D124" s="769"/>
      <c r="E124" s="769"/>
      <c r="F124" s="769"/>
      <c r="G124" s="769"/>
      <c r="H124" s="769"/>
      <c r="I124" s="769"/>
      <c r="J124" s="769"/>
      <c r="K124" s="769"/>
      <c r="L124" s="769"/>
      <c r="M124" s="769"/>
      <c r="N124" s="769"/>
      <c r="O124" s="769"/>
      <c r="P124" s="769"/>
      <c r="Q124" s="769"/>
      <c r="R124" s="769"/>
      <c r="S124" s="769"/>
      <c r="T124" s="769"/>
      <c r="U124" s="769"/>
      <c r="V124" s="769"/>
      <c r="W124" s="769"/>
      <c r="X124" s="769"/>
      <c r="Y124" s="769"/>
      <c r="Z124" s="769"/>
      <c r="AA124" s="769"/>
      <c r="AB124" s="769"/>
      <c r="AC124" s="769"/>
      <c r="AD124" s="769"/>
      <c r="AH124"/>
      <c r="AI124"/>
      <c r="AJ124" s="298">
        <v>51</v>
      </c>
      <c r="AK124" s="298" t="s">
        <v>714</v>
      </c>
      <c r="AL124" s="298"/>
      <c r="AM124" s="298"/>
      <c r="AN124" s="298"/>
      <c r="AO124" s="298"/>
      <c r="AP124" s="298"/>
    </row>
    <row r="125" spans="1:238" ht="15" hidden="1" customHeight="1" x14ac:dyDescent="0.35">
      <c r="B125" s="769"/>
      <c r="C125" s="769"/>
      <c r="D125" s="769"/>
      <c r="E125" s="769"/>
      <c r="F125" s="769"/>
      <c r="G125" s="769"/>
      <c r="H125" s="769"/>
      <c r="I125" s="769"/>
      <c r="J125" s="769"/>
      <c r="K125" s="769"/>
      <c r="L125" s="769"/>
      <c r="M125" s="769"/>
      <c r="N125" s="769"/>
      <c r="O125" s="769"/>
      <c r="P125" s="769"/>
      <c r="Q125" s="769"/>
      <c r="R125" s="769"/>
      <c r="S125" s="769"/>
      <c r="T125" s="769"/>
      <c r="U125" s="769"/>
      <c r="V125" s="769"/>
      <c r="W125" s="769"/>
      <c r="X125" s="769"/>
      <c r="Y125" s="769"/>
      <c r="Z125" s="769"/>
      <c r="AA125" s="769"/>
      <c r="AB125" s="769"/>
      <c r="AC125" s="769"/>
      <c r="AD125" s="769"/>
      <c r="AH125"/>
      <c r="AI125"/>
      <c r="AJ125" s="298">
        <v>52</v>
      </c>
      <c r="AK125" s="298" t="s">
        <v>273</v>
      </c>
      <c r="AL125" s="298"/>
      <c r="AM125" s="298"/>
      <c r="AN125" s="298"/>
      <c r="AO125" s="298"/>
      <c r="AP125" s="298"/>
    </row>
    <row r="126" spans="1:238" ht="15" hidden="1" customHeight="1" x14ac:dyDescent="0.35">
      <c r="B126" s="769"/>
      <c r="C126" s="769"/>
      <c r="D126" s="769"/>
      <c r="E126" s="769"/>
      <c r="F126" s="769"/>
      <c r="G126" s="769"/>
      <c r="H126" s="769"/>
      <c r="I126" s="769"/>
      <c r="J126" s="769"/>
      <c r="K126" s="769"/>
      <c r="L126" s="769"/>
      <c r="M126" s="769"/>
      <c r="N126" s="769"/>
      <c r="O126" s="769"/>
      <c r="P126" s="769"/>
      <c r="Q126" s="769"/>
      <c r="R126" s="769"/>
      <c r="S126" s="769"/>
      <c r="T126" s="769"/>
      <c r="U126" s="769"/>
      <c r="V126" s="769"/>
      <c r="W126" s="769"/>
      <c r="X126" s="769"/>
      <c r="Y126" s="769"/>
      <c r="Z126" s="769"/>
      <c r="AA126" s="769"/>
      <c r="AB126" s="769"/>
      <c r="AC126" s="769"/>
      <c r="AD126" s="769"/>
      <c r="AH126"/>
      <c r="AI126"/>
      <c r="AJ126" s="298">
        <v>53</v>
      </c>
      <c r="AK126" s="298" t="s">
        <v>274</v>
      </c>
      <c r="AL126" s="298"/>
      <c r="AM126" s="298"/>
      <c r="AN126" s="298"/>
      <c r="AO126" s="298"/>
      <c r="AP126" s="298"/>
    </row>
    <row r="127" spans="1:238" ht="15" hidden="1" customHeight="1" x14ac:dyDescent="0.35">
      <c r="B127" s="769"/>
      <c r="C127" s="769"/>
      <c r="D127" s="769"/>
      <c r="E127" s="769"/>
      <c r="F127" s="769"/>
      <c r="G127" s="769"/>
      <c r="H127" s="769"/>
      <c r="I127" s="769"/>
      <c r="J127" s="769"/>
      <c r="K127" s="769"/>
      <c r="L127" s="769"/>
      <c r="M127" s="769"/>
      <c r="N127" s="769"/>
      <c r="O127" s="769"/>
      <c r="P127" s="769"/>
      <c r="Q127" s="769"/>
      <c r="R127" s="769"/>
      <c r="S127" s="769"/>
      <c r="T127" s="769"/>
      <c r="U127" s="769"/>
      <c r="V127" s="769"/>
      <c r="W127" s="769"/>
      <c r="X127" s="769"/>
      <c r="Y127" s="769"/>
      <c r="Z127" s="769"/>
      <c r="AA127" s="769"/>
      <c r="AB127" s="769"/>
      <c r="AC127" s="769"/>
      <c r="AD127" s="769"/>
      <c r="AH127"/>
      <c r="AI127"/>
      <c r="AJ127" s="298">
        <v>54</v>
      </c>
      <c r="AK127" s="298" t="s">
        <v>275</v>
      </c>
      <c r="AL127" s="298"/>
      <c r="AM127" s="298"/>
      <c r="AN127" s="298"/>
      <c r="AO127" s="298"/>
      <c r="AP127" s="298"/>
    </row>
    <row r="128" spans="1:238" ht="15" hidden="1" customHeight="1" x14ac:dyDescent="0.35">
      <c r="B128" s="769"/>
      <c r="C128" s="769"/>
      <c r="D128" s="769"/>
      <c r="E128" s="769"/>
      <c r="F128" s="769"/>
      <c r="G128" s="769"/>
      <c r="H128" s="769"/>
      <c r="I128" s="769"/>
      <c r="J128" s="769"/>
      <c r="K128" s="769"/>
      <c r="L128" s="769"/>
      <c r="M128" s="769"/>
      <c r="N128" s="769"/>
      <c r="O128" s="769"/>
      <c r="P128" s="769"/>
      <c r="Q128" s="769"/>
      <c r="R128" s="769"/>
      <c r="S128" s="769"/>
      <c r="T128" s="769"/>
      <c r="U128" s="769"/>
      <c r="V128" s="769"/>
      <c r="W128" s="769"/>
      <c r="X128" s="769"/>
      <c r="Y128" s="769"/>
      <c r="Z128" s="769"/>
      <c r="AA128" s="769"/>
      <c r="AB128" s="769"/>
      <c r="AC128" s="769"/>
      <c r="AD128" s="769"/>
      <c r="AH128"/>
      <c r="AI128"/>
      <c r="AJ128" s="298">
        <v>55</v>
      </c>
      <c r="AK128" s="298" t="s">
        <v>276</v>
      </c>
      <c r="AL128" s="298"/>
      <c r="AM128" s="298"/>
      <c r="AN128" s="298"/>
      <c r="AO128" s="298"/>
      <c r="AP128" s="298"/>
    </row>
    <row r="129" spans="2:42" ht="15" hidden="1" customHeight="1" x14ac:dyDescent="0.35">
      <c r="B129" s="769"/>
      <c r="C129" s="769"/>
      <c r="D129" s="769"/>
      <c r="E129" s="769"/>
      <c r="F129" s="769"/>
      <c r="G129" s="769"/>
      <c r="H129" s="769"/>
      <c r="I129" s="769"/>
      <c r="J129" s="769"/>
      <c r="K129" s="769"/>
      <c r="L129" s="769"/>
      <c r="M129" s="769"/>
      <c r="N129" s="769"/>
      <c r="O129" s="769"/>
      <c r="P129" s="769"/>
      <c r="Q129" s="769"/>
      <c r="R129" s="769"/>
      <c r="S129" s="769"/>
      <c r="T129" s="769"/>
      <c r="U129" s="769"/>
      <c r="V129" s="769"/>
      <c r="W129" s="769"/>
      <c r="X129" s="769"/>
      <c r="Y129" s="769"/>
      <c r="Z129" s="769"/>
      <c r="AA129" s="769"/>
      <c r="AB129" s="769"/>
      <c r="AC129" s="769"/>
      <c r="AD129" s="769"/>
      <c r="AH129"/>
      <c r="AI129"/>
      <c r="AJ129" s="298">
        <v>56</v>
      </c>
      <c r="AK129" s="298" t="s">
        <v>277</v>
      </c>
      <c r="AL129" s="298"/>
      <c r="AM129" s="298"/>
      <c r="AN129" s="298"/>
      <c r="AO129" s="298"/>
      <c r="AP129" s="298"/>
    </row>
    <row r="130" spans="2:42" ht="15" hidden="1" customHeight="1" x14ac:dyDescent="0.35">
      <c r="B130" s="769"/>
      <c r="C130" s="769"/>
      <c r="D130" s="769"/>
      <c r="E130" s="769"/>
      <c r="F130" s="769"/>
      <c r="G130" s="769"/>
      <c r="H130" s="769"/>
      <c r="I130" s="769"/>
      <c r="J130" s="769"/>
      <c r="K130" s="769"/>
      <c r="L130" s="769"/>
      <c r="M130" s="769"/>
      <c r="N130" s="769"/>
      <c r="O130" s="769"/>
      <c r="P130" s="769"/>
      <c r="Q130" s="769"/>
      <c r="R130" s="769"/>
      <c r="S130" s="769"/>
      <c r="T130" s="769"/>
      <c r="U130" s="769"/>
      <c r="V130" s="769"/>
      <c r="W130" s="769"/>
      <c r="X130" s="769"/>
      <c r="Y130" s="769"/>
      <c r="Z130" s="769"/>
      <c r="AA130" s="769"/>
      <c r="AB130" s="769"/>
      <c r="AC130" s="769"/>
      <c r="AD130" s="769"/>
      <c r="AH130"/>
      <c r="AI130"/>
      <c r="AJ130" s="298">
        <v>57</v>
      </c>
      <c r="AK130" s="298" t="s">
        <v>278</v>
      </c>
      <c r="AL130" s="298"/>
      <c r="AM130" s="298"/>
      <c r="AN130" s="298"/>
      <c r="AO130" s="298"/>
      <c r="AP130" s="298"/>
    </row>
    <row r="131" spans="2:42" ht="15" hidden="1" customHeight="1" x14ac:dyDescent="0.35">
      <c r="B131" s="769"/>
      <c r="C131" s="769"/>
      <c r="D131" s="769"/>
      <c r="E131" s="769"/>
      <c r="F131" s="769"/>
      <c r="G131" s="769"/>
      <c r="H131" s="769"/>
      <c r="I131" s="769"/>
      <c r="J131" s="769"/>
      <c r="K131" s="769"/>
      <c r="L131" s="769"/>
      <c r="M131" s="769"/>
      <c r="N131" s="769"/>
      <c r="O131" s="769"/>
      <c r="P131" s="769"/>
      <c r="Q131" s="769"/>
      <c r="R131" s="769"/>
      <c r="S131" s="769"/>
      <c r="T131" s="769"/>
      <c r="U131" s="769"/>
      <c r="V131" s="769"/>
      <c r="W131" s="769"/>
      <c r="X131" s="769"/>
      <c r="Y131" s="769"/>
      <c r="Z131" s="769"/>
      <c r="AA131" s="769"/>
      <c r="AB131" s="769"/>
      <c r="AC131" s="769"/>
      <c r="AD131" s="769"/>
      <c r="AH131"/>
      <c r="AI131"/>
      <c r="AJ131" s="298">
        <v>58</v>
      </c>
      <c r="AK131" s="298" t="s">
        <v>279</v>
      </c>
      <c r="AL131" s="298"/>
      <c r="AM131" s="298"/>
      <c r="AN131" s="298"/>
      <c r="AO131" s="303">
        <f>O111</f>
        <v>0</v>
      </c>
      <c r="AP131" s="303"/>
    </row>
    <row r="132" spans="2:42" ht="15" hidden="1" customHeight="1" x14ac:dyDescent="0.35">
      <c r="B132" s="769"/>
      <c r="C132" s="769"/>
      <c r="D132" s="769"/>
      <c r="E132" s="769"/>
      <c r="F132" s="769"/>
      <c r="G132" s="769"/>
      <c r="H132" s="769"/>
      <c r="I132" s="769"/>
      <c r="J132" s="769"/>
      <c r="K132" s="769"/>
      <c r="L132" s="769"/>
      <c r="M132" s="769"/>
      <c r="N132" s="769"/>
      <c r="O132" s="769"/>
      <c r="P132" s="769"/>
      <c r="Q132" s="769"/>
      <c r="R132" s="769"/>
      <c r="S132" s="769"/>
      <c r="T132" s="769"/>
      <c r="U132" s="769"/>
      <c r="V132" s="769"/>
      <c r="W132" s="769"/>
      <c r="X132" s="769"/>
      <c r="Y132" s="769"/>
      <c r="Z132" s="769"/>
      <c r="AA132" s="769"/>
      <c r="AB132" s="769"/>
      <c r="AC132" s="769"/>
      <c r="AD132" s="769"/>
      <c r="AH132"/>
      <c r="AI132"/>
      <c r="AJ132" s="298">
        <v>59</v>
      </c>
      <c r="AK132" s="298" t="s">
        <v>280</v>
      </c>
      <c r="AL132" s="298"/>
      <c r="AM132" s="298"/>
      <c r="AN132" s="298"/>
      <c r="AO132" s="298">
        <f>O89</f>
        <v>0</v>
      </c>
      <c r="AP132" s="298"/>
    </row>
    <row r="133" spans="2:42" ht="15" hidden="1" customHeight="1" x14ac:dyDescent="0.35">
      <c r="B133" s="769"/>
      <c r="C133" s="769"/>
      <c r="D133" s="769"/>
      <c r="E133" s="769"/>
      <c r="F133" s="769"/>
      <c r="G133" s="769"/>
      <c r="H133" s="769"/>
      <c r="I133" s="769"/>
      <c r="J133" s="769"/>
      <c r="K133" s="769"/>
      <c r="L133" s="769"/>
      <c r="M133" s="769"/>
      <c r="N133" s="769"/>
      <c r="O133" s="769"/>
      <c r="P133" s="769"/>
      <c r="Q133" s="769"/>
      <c r="R133" s="769"/>
      <c r="S133" s="769"/>
      <c r="T133" s="769"/>
      <c r="U133" s="769"/>
      <c r="V133" s="769"/>
      <c r="W133" s="769"/>
      <c r="X133" s="769"/>
      <c r="Y133" s="769"/>
      <c r="Z133" s="769"/>
      <c r="AA133" s="769"/>
      <c r="AB133" s="769"/>
      <c r="AC133" s="769"/>
      <c r="AD133" s="769"/>
      <c r="AH133"/>
      <c r="AI133"/>
      <c r="AJ133" s="298">
        <v>60</v>
      </c>
      <c r="AK133" s="298" t="s">
        <v>281</v>
      </c>
      <c r="AL133" s="298"/>
      <c r="AM133" s="298"/>
      <c r="AN133" s="298"/>
      <c r="AO133" s="303">
        <f>SUM(O98:P102)</f>
        <v>0</v>
      </c>
      <c r="AP133" s="303"/>
    </row>
    <row r="134" spans="2:42" ht="15" hidden="1" customHeight="1" x14ac:dyDescent="0.35">
      <c r="B134" s="769"/>
      <c r="C134" s="769"/>
      <c r="D134" s="769"/>
      <c r="E134" s="769"/>
      <c r="F134" s="769"/>
      <c r="G134" s="769"/>
      <c r="H134" s="769"/>
      <c r="I134" s="769"/>
      <c r="J134" s="769"/>
      <c r="K134" s="769"/>
      <c r="L134" s="769"/>
      <c r="M134" s="769"/>
      <c r="N134" s="769"/>
      <c r="O134" s="769"/>
      <c r="P134" s="769"/>
      <c r="Q134" s="769"/>
      <c r="R134" s="769"/>
      <c r="S134" s="769"/>
      <c r="T134" s="769"/>
      <c r="U134" s="769"/>
      <c r="V134" s="769"/>
      <c r="W134" s="769"/>
      <c r="X134" s="769"/>
      <c r="Y134" s="769"/>
      <c r="Z134" s="769"/>
      <c r="AA134" s="769"/>
      <c r="AB134" s="769"/>
      <c r="AC134" s="769"/>
      <c r="AD134" s="769"/>
      <c r="AH134"/>
      <c r="AI134"/>
      <c r="AJ134" s="298">
        <v>65</v>
      </c>
      <c r="AK134" s="298" t="s">
        <v>282</v>
      </c>
      <c r="AL134" s="298"/>
      <c r="AM134" s="298"/>
      <c r="AN134" s="298"/>
      <c r="AO134" s="298">
        <f>O103</f>
        <v>0</v>
      </c>
      <c r="AP134" s="298"/>
    </row>
    <row r="135" spans="2:42" ht="15" hidden="1" customHeight="1" x14ac:dyDescent="0.35">
      <c r="B135" s="769"/>
      <c r="C135" s="769"/>
      <c r="D135" s="769"/>
      <c r="E135" s="769"/>
      <c r="F135" s="769"/>
      <c r="G135" s="769"/>
      <c r="H135" s="769"/>
      <c r="I135" s="769"/>
      <c r="J135" s="769"/>
      <c r="K135" s="769"/>
      <c r="L135" s="769"/>
      <c r="M135" s="769"/>
      <c r="N135" s="769"/>
      <c r="O135" s="769"/>
      <c r="P135" s="769"/>
      <c r="Q135" s="769"/>
      <c r="R135" s="769"/>
      <c r="S135" s="769"/>
      <c r="T135" s="769"/>
      <c r="U135" s="769"/>
      <c r="V135" s="769"/>
      <c r="W135" s="769"/>
      <c r="X135" s="769"/>
      <c r="Y135" s="769"/>
      <c r="Z135" s="769"/>
      <c r="AA135" s="769"/>
      <c r="AB135" s="769"/>
      <c r="AC135" s="769"/>
      <c r="AD135" s="769"/>
      <c r="AH135"/>
      <c r="AI135"/>
      <c r="AJ135" s="298">
        <v>99</v>
      </c>
      <c r="AK135" s="298" t="s">
        <v>893</v>
      </c>
      <c r="AL135" s="298"/>
      <c r="AM135" s="298"/>
      <c r="AN135" s="298"/>
      <c r="AO135" s="344">
        <f>AF99</f>
        <v>0</v>
      </c>
      <c r="AP135" s="344"/>
    </row>
    <row r="136" spans="2:42" ht="15" hidden="1" customHeight="1" x14ac:dyDescent="0.35">
      <c r="B136" s="769"/>
      <c r="C136" s="769"/>
      <c r="D136" s="769"/>
      <c r="E136" s="769"/>
      <c r="F136" s="769"/>
      <c r="G136" s="769"/>
      <c r="H136" s="769"/>
      <c r="I136" s="769"/>
      <c r="J136" s="769"/>
      <c r="K136" s="769"/>
      <c r="L136" s="769"/>
      <c r="M136" s="769"/>
      <c r="N136" s="769"/>
      <c r="O136" s="769"/>
      <c r="P136" s="769"/>
      <c r="Q136" s="769"/>
      <c r="R136" s="769"/>
      <c r="S136" s="769"/>
      <c r="T136" s="769"/>
      <c r="U136" s="769"/>
      <c r="V136" s="769"/>
      <c r="W136" s="769"/>
      <c r="X136" s="769"/>
      <c r="Y136" s="769"/>
      <c r="Z136" s="769"/>
      <c r="AA136" s="769"/>
      <c r="AB136" s="769"/>
      <c r="AC136" s="769"/>
      <c r="AD136" s="769"/>
      <c r="AH136"/>
      <c r="AI136"/>
      <c r="AJ136" s="298"/>
      <c r="AK136" s="298"/>
      <c r="AL136" s="298"/>
      <c r="AM136" s="298"/>
      <c r="AN136" s="298"/>
      <c r="AO136" s="298"/>
      <c r="AP136" s="298"/>
    </row>
    <row r="137" spans="2:42" hidden="1" x14ac:dyDescent="0.35">
      <c r="B137" s="769"/>
      <c r="C137" s="769"/>
      <c r="D137" s="769"/>
      <c r="E137" s="769"/>
      <c r="F137" s="769"/>
      <c r="G137" s="769"/>
      <c r="H137" s="769"/>
      <c r="I137" s="769"/>
      <c r="J137" s="769"/>
      <c r="K137" s="769"/>
      <c r="L137" s="769"/>
      <c r="M137" s="769"/>
      <c r="N137" s="769"/>
      <c r="O137" s="769"/>
      <c r="P137" s="769"/>
      <c r="Q137" s="769"/>
      <c r="R137" s="769"/>
      <c r="S137" s="769"/>
      <c r="T137" s="769"/>
      <c r="U137" s="769"/>
      <c r="V137" s="769"/>
      <c r="W137" s="769"/>
      <c r="X137" s="769"/>
      <c r="Y137" s="769"/>
      <c r="Z137" s="769"/>
      <c r="AA137" s="769"/>
      <c r="AB137" s="769"/>
      <c r="AC137" s="769"/>
      <c r="AD137" s="769"/>
      <c r="AH137"/>
      <c r="AI137"/>
      <c r="AJ137" s="298"/>
      <c r="AK137" s="298"/>
      <c r="AL137" s="298"/>
      <c r="AM137" s="298"/>
      <c r="AN137" s="298"/>
      <c r="AO137" s="298"/>
      <c r="AP137" s="298"/>
    </row>
    <row r="138" spans="2:42" hidden="1" x14ac:dyDescent="0.35">
      <c r="B138" s="769"/>
      <c r="C138" s="769"/>
      <c r="D138" s="769"/>
      <c r="E138" s="769"/>
      <c r="F138" s="769"/>
      <c r="G138" s="769"/>
      <c r="H138" s="769"/>
      <c r="I138" s="769"/>
      <c r="J138" s="769"/>
      <c r="K138" s="769"/>
      <c r="L138" s="769"/>
      <c r="M138" s="769"/>
      <c r="N138" s="769"/>
      <c r="O138" s="769"/>
      <c r="P138" s="769"/>
      <c r="Q138" s="769"/>
      <c r="R138" s="769"/>
      <c r="S138" s="769"/>
      <c r="T138" s="769"/>
      <c r="U138" s="769"/>
      <c r="V138" s="769"/>
      <c r="W138" s="769"/>
      <c r="X138" s="769"/>
      <c r="Y138" s="769"/>
      <c r="Z138" s="769"/>
      <c r="AA138" s="769"/>
      <c r="AB138" s="769"/>
      <c r="AC138" s="769"/>
      <c r="AD138" s="769"/>
      <c r="AH138"/>
      <c r="AI138"/>
      <c r="AJ138" s="298"/>
      <c r="AK138" s="298"/>
      <c r="AL138" s="298"/>
      <c r="AM138" s="298"/>
      <c r="AN138" s="298"/>
      <c r="AO138" s="298"/>
      <c r="AP138" s="298"/>
    </row>
    <row r="139" spans="2:42" hidden="1" x14ac:dyDescent="0.35">
      <c r="B139" s="769"/>
      <c r="C139" s="769"/>
      <c r="D139" s="769"/>
      <c r="E139" s="769"/>
      <c r="F139" s="769"/>
      <c r="G139" s="769"/>
      <c r="H139" s="769"/>
      <c r="I139" s="769"/>
      <c r="J139" s="769"/>
      <c r="K139" s="769"/>
      <c r="L139" s="769"/>
      <c r="M139" s="769"/>
      <c r="N139" s="769"/>
      <c r="O139" s="769"/>
      <c r="P139" s="769"/>
      <c r="Q139" s="769"/>
      <c r="R139" s="769"/>
      <c r="S139" s="769"/>
      <c r="T139" s="769"/>
      <c r="U139" s="769"/>
      <c r="V139" s="769"/>
      <c r="W139" s="769"/>
      <c r="X139" s="769"/>
      <c r="Y139" s="769"/>
      <c r="Z139" s="769"/>
      <c r="AA139" s="769"/>
      <c r="AB139" s="769"/>
      <c r="AC139" s="769"/>
      <c r="AD139" s="769"/>
      <c r="AH139"/>
      <c r="AI139"/>
      <c r="AJ139" s="298"/>
      <c r="AK139" s="298"/>
      <c r="AL139" s="298"/>
      <c r="AM139" s="298"/>
      <c r="AN139" s="298"/>
      <c r="AO139" s="298">
        <f>SUM(AO81:AO134)</f>
        <v>0</v>
      </c>
      <c r="AP139" s="298"/>
    </row>
    <row r="140" spans="2:42" hidden="1" x14ac:dyDescent="0.35">
      <c r="B140" s="769"/>
      <c r="C140" s="769"/>
      <c r="D140" s="769"/>
      <c r="E140" s="769"/>
      <c r="F140" s="769"/>
      <c r="G140" s="769"/>
      <c r="H140" s="769"/>
      <c r="I140" s="769"/>
      <c r="J140" s="769"/>
      <c r="K140" s="769"/>
      <c r="L140" s="769"/>
      <c r="M140" s="769"/>
      <c r="N140" s="769"/>
      <c r="O140" s="769"/>
      <c r="P140" s="769"/>
      <c r="Q140" s="769"/>
      <c r="R140" s="769"/>
      <c r="S140" s="769"/>
      <c r="T140" s="769"/>
      <c r="U140" s="769"/>
      <c r="V140" s="769"/>
      <c r="W140" s="769"/>
      <c r="X140" s="769"/>
      <c r="Y140" s="769"/>
      <c r="Z140" s="769"/>
      <c r="AA140" s="769"/>
      <c r="AB140" s="769"/>
      <c r="AC140" s="769"/>
      <c r="AD140" s="769"/>
      <c r="AH140"/>
      <c r="AI140"/>
    </row>
    <row r="141" spans="2:42" hidden="1" x14ac:dyDescent="0.35">
      <c r="B141" s="769"/>
      <c r="C141" s="769"/>
      <c r="D141" s="769"/>
      <c r="E141" s="769"/>
      <c r="F141" s="769"/>
      <c r="G141" s="769"/>
      <c r="H141" s="769"/>
      <c r="I141" s="769"/>
      <c r="J141" s="769"/>
      <c r="K141" s="769"/>
      <c r="L141" s="769"/>
      <c r="M141" s="769"/>
      <c r="N141" s="769"/>
      <c r="O141" s="769"/>
      <c r="P141" s="769"/>
      <c r="Q141" s="769"/>
      <c r="R141" s="769"/>
      <c r="S141" s="769"/>
      <c r="T141" s="769"/>
      <c r="U141" s="769"/>
      <c r="V141" s="769"/>
      <c r="W141" s="769"/>
      <c r="X141" s="769"/>
      <c r="Y141" s="769"/>
      <c r="Z141" s="769"/>
      <c r="AA141" s="769"/>
      <c r="AB141" s="769"/>
      <c r="AC141" s="769"/>
      <c r="AD141" s="769"/>
      <c r="AH141"/>
      <c r="AI141"/>
    </row>
    <row r="142" spans="2:42" hidden="1" x14ac:dyDescent="0.35">
      <c r="B142" s="769"/>
      <c r="C142" s="769"/>
      <c r="D142" s="769"/>
      <c r="E142" s="769"/>
      <c r="F142" s="769"/>
      <c r="G142" s="769"/>
      <c r="H142" s="769"/>
      <c r="I142" s="769"/>
      <c r="J142" s="769"/>
      <c r="K142" s="769"/>
      <c r="L142" s="769"/>
      <c r="M142" s="769"/>
      <c r="N142" s="769"/>
      <c r="O142" s="769"/>
      <c r="P142" s="769"/>
      <c r="Q142" s="769"/>
      <c r="R142" s="769"/>
      <c r="S142" s="769"/>
      <c r="T142" s="769"/>
      <c r="U142" s="769"/>
      <c r="V142" s="769"/>
      <c r="W142" s="769"/>
      <c r="X142" s="769"/>
      <c r="Y142" s="769"/>
      <c r="Z142" s="769"/>
      <c r="AA142" s="769"/>
      <c r="AB142" s="769"/>
      <c r="AC142" s="769"/>
      <c r="AD142" s="769"/>
      <c r="AH142"/>
      <c r="AI142"/>
    </row>
    <row r="143" spans="2:42" hidden="1" x14ac:dyDescent="0.35">
      <c r="B143" s="769"/>
      <c r="C143" s="769"/>
      <c r="D143" s="769"/>
      <c r="E143" s="769"/>
      <c r="F143" s="769"/>
      <c r="G143" s="769"/>
      <c r="H143" s="769"/>
      <c r="I143" s="769"/>
      <c r="J143" s="769"/>
      <c r="K143" s="769"/>
      <c r="L143" s="769"/>
      <c r="M143" s="769"/>
      <c r="N143" s="769"/>
      <c r="O143" s="769"/>
      <c r="P143" s="769"/>
      <c r="Q143" s="769"/>
      <c r="R143" s="769"/>
      <c r="S143" s="769"/>
      <c r="T143" s="769"/>
      <c r="U143" s="769"/>
      <c r="V143" s="769"/>
      <c r="W143" s="769"/>
      <c r="X143" s="769"/>
      <c r="Y143" s="769"/>
      <c r="Z143" s="769"/>
      <c r="AA143" s="769"/>
      <c r="AB143" s="769"/>
      <c r="AC143" s="769"/>
      <c r="AD143" s="769"/>
      <c r="AH143"/>
      <c r="AI143"/>
    </row>
    <row r="144" spans="2:42" hidden="1" x14ac:dyDescent="0.35">
      <c r="B144" s="769"/>
      <c r="C144" s="769"/>
      <c r="D144" s="769"/>
      <c r="E144" s="769"/>
      <c r="F144" s="769"/>
      <c r="G144" s="769"/>
      <c r="H144" s="769"/>
      <c r="I144" s="769"/>
      <c r="J144" s="769"/>
      <c r="K144" s="769"/>
      <c r="L144" s="769"/>
      <c r="M144" s="769"/>
      <c r="N144" s="769"/>
      <c r="O144" s="769"/>
      <c r="P144" s="769"/>
      <c r="Q144" s="769"/>
      <c r="R144" s="769"/>
      <c r="S144" s="769"/>
      <c r="T144" s="769"/>
      <c r="U144" s="769"/>
      <c r="V144" s="769"/>
      <c r="W144" s="769"/>
      <c r="X144" s="769"/>
      <c r="Y144" s="769"/>
      <c r="Z144" s="769"/>
      <c r="AA144" s="769"/>
      <c r="AB144" s="769"/>
      <c r="AC144" s="769"/>
      <c r="AD144" s="769"/>
      <c r="AH144"/>
      <c r="AI144"/>
    </row>
    <row r="145" spans="2:35" hidden="1" x14ac:dyDescent="0.35">
      <c r="B145" s="769"/>
      <c r="C145" s="769"/>
      <c r="D145" s="769"/>
      <c r="E145" s="769"/>
      <c r="F145" s="769"/>
      <c r="G145" s="769"/>
      <c r="H145" s="769"/>
      <c r="I145" s="769"/>
      <c r="J145" s="769"/>
      <c r="K145" s="769"/>
      <c r="L145" s="769"/>
      <c r="M145" s="769"/>
      <c r="N145" s="769"/>
      <c r="O145" s="769"/>
      <c r="P145" s="769"/>
      <c r="Q145" s="769"/>
      <c r="R145" s="769"/>
      <c r="S145" s="769"/>
      <c r="T145" s="769"/>
      <c r="U145" s="769"/>
      <c r="V145" s="769"/>
      <c r="W145" s="769"/>
      <c r="X145" s="769"/>
      <c r="Y145" s="769"/>
      <c r="Z145" s="769"/>
      <c r="AA145" s="769"/>
      <c r="AB145" s="769"/>
      <c r="AC145" s="769"/>
      <c r="AD145" s="769"/>
      <c r="AH145"/>
      <c r="AI145"/>
    </row>
    <row r="146" spans="2:35" hidden="1" x14ac:dyDescent="0.35">
      <c r="B146" s="769"/>
      <c r="C146" s="769"/>
      <c r="D146" s="769"/>
      <c r="E146" s="769"/>
      <c r="F146" s="769"/>
      <c r="G146" s="769"/>
      <c r="H146" s="769"/>
      <c r="I146" s="769"/>
      <c r="J146" s="769"/>
      <c r="K146" s="769"/>
      <c r="L146" s="769"/>
      <c r="M146" s="769"/>
      <c r="N146" s="769"/>
      <c r="O146" s="769"/>
      <c r="P146" s="769"/>
      <c r="Q146" s="769"/>
      <c r="R146" s="769"/>
      <c r="S146" s="769"/>
      <c r="T146" s="769"/>
      <c r="U146" s="769"/>
      <c r="V146" s="769"/>
      <c r="W146" s="769"/>
      <c r="X146" s="769"/>
      <c r="Y146" s="769"/>
      <c r="Z146" s="769"/>
      <c r="AA146" s="769"/>
      <c r="AB146" s="769"/>
      <c r="AC146" s="769"/>
      <c r="AD146" s="769"/>
      <c r="AH146"/>
      <c r="AI146"/>
    </row>
    <row r="147" spans="2:35" hidden="1" x14ac:dyDescent="0.35">
      <c r="B147" s="769"/>
      <c r="C147" s="769"/>
      <c r="D147" s="769"/>
      <c r="E147" s="769"/>
      <c r="F147" s="769"/>
      <c r="G147" s="769"/>
      <c r="H147" s="769"/>
      <c r="I147" s="769"/>
      <c r="J147" s="769"/>
      <c r="K147" s="769"/>
      <c r="L147" s="769"/>
      <c r="M147" s="769"/>
      <c r="N147" s="769"/>
      <c r="O147" s="769"/>
      <c r="P147" s="769"/>
      <c r="Q147" s="769"/>
      <c r="R147" s="769"/>
      <c r="S147" s="769"/>
      <c r="T147" s="769"/>
      <c r="U147" s="769"/>
      <c r="V147" s="769"/>
      <c r="W147" s="769"/>
      <c r="X147" s="769"/>
      <c r="Y147" s="769"/>
      <c r="Z147" s="769"/>
      <c r="AA147" s="769"/>
      <c r="AB147" s="769"/>
      <c r="AC147" s="769"/>
      <c r="AD147" s="769"/>
      <c r="AH147"/>
      <c r="AI147"/>
    </row>
    <row r="148" spans="2:35" hidden="1" x14ac:dyDescent="0.35">
      <c r="B148" s="769"/>
      <c r="C148" s="769"/>
      <c r="D148" s="769"/>
      <c r="E148" s="769"/>
      <c r="F148" s="769"/>
      <c r="G148" s="769"/>
      <c r="H148" s="769"/>
      <c r="I148" s="769"/>
      <c r="J148" s="769"/>
      <c r="K148" s="769"/>
      <c r="L148" s="769"/>
      <c r="M148" s="769"/>
      <c r="N148" s="769"/>
      <c r="O148" s="769"/>
      <c r="P148" s="769"/>
      <c r="Q148" s="769"/>
      <c r="R148" s="769"/>
      <c r="S148" s="769"/>
      <c r="T148" s="769"/>
      <c r="U148" s="769"/>
      <c r="V148" s="769"/>
      <c r="W148" s="769"/>
      <c r="X148" s="769"/>
      <c r="Y148" s="769"/>
      <c r="Z148" s="769"/>
      <c r="AA148" s="769"/>
      <c r="AB148" s="769"/>
      <c r="AC148" s="769"/>
      <c r="AD148" s="769"/>
      <c r="AH148"/>
      <c r="AI148"/>
    </row>
    <row r="149" spans="2:35" hidden="1" x14ac:dyDescent="0.35">
      <c r="B149" s="769"/>
      <c r="C149" s="769"/>
      <c r="D149" s="769"/>
      <c r="E149" s="769"/>
      <c r="F149" s="769"/>
      <c r="G149" s="769"/>
      <c r="H149" s="769"/>
      <c r="I149" s="769"/>
      <c r="J149" s="769"/>
      <c r="K149" s="769"/>
      <c r="L149" s="769"/>
      <c r="M149" s="769"/>
      <c r="N149" s="769"/>
      <c r="O149" s="769"/>
      <c r="P149" s="769"/>
      <c r="Q149" s="769"/>
      <c r="R149" s="769"/>
      <c r="S149" s="769"/>
      <c r="T149" s="769"/>
      <c r="U149" s="769"/>
      <c r="V149" s="769"/>
      <c r="W149" s="769"/>
      <c r="X149" s="769"/>
      <c r="Y149" s="769"/>
      <c r="Z149" s="769"/>
      <c r="AA149" s="769"/>
      <c r="AB149" s="769"/>
      <c r="AC149" s="769"/>
      <c r="AD149" s="769"/>
      <c r="AH149"/>
      <c r="AI149"/>
    </row>
    <row r="150" spans="2:35" hidden="1" x14ac:dyDescent="0.35">
      <c r="B150" s="769"/>
      <c r="C150" s="769"/>
      <c r="D150" s="769"/>
      <c r="E150" s="769"/>
      <c r="F150" s="769"/>
      <c r="G150" s="769"/>
      <c r="H150" s="769"/>
      <c r="I150" s="769"/>
      <c r="J150" s="769"/>
      <c r="K150" s="769"/>
      <c r="L150" s="769"/>
      <c r="M150" s="769"/>
      <c r="N150" s="769"/>
      <c r="O150" s="769"/>
      <c r="P150" s="769"/>
      <c r="Q150" s="769"/>
      <c r="R150" s="769"/>
      <c r="S150" s="769"/>
      <c r="T150" s="769"/>
      <c r="U150" s="769"/>
      <c r="V150" s="769"/>
      <c r="W150" s="769"/>
      <c r="X150" s="769"/>
      <c r="Y150" s="769"/>
      <c r="Z150" s="769"/>
      <c r="AA150" s="769"/>
      <c r="AB150" s="769"/>
      <c r="AC150" s="769"/>
      <c r="AD150" s="769"/>
      <c r="AH150"/>
      <c r="AI150"/>
    </row>
    <row r="151" spans="2:35" hidden="1" x14ac:dyDescent="0.35">
      <c r="B151" s="769"/>
      <c r="C151" s="769"/>
      <c r="D151" s="769"/>
      <c r="E151" s="769"/>
      <c r="F151" s="769"/>
      <c r="G151" s="769"/>
      <c r="H151" s="769"/>
      <c r="I151" s="769"/>
      <c r="J151" s="769"/>
      <c r="K151" s="769"/>
      <c r="L151" s="769"/>
      <c r="M151" s="769"/>
      <c r="N151" s="769"/>
      <c r="O151" s="769"/>
      <c r="P151" s="769"/>
      <c r="Q151" s="769"/>
      <c r="R151" s="769"/>
      <c r="S151" s="769"/>
      <c r="T151" s="769"/>
      <c r="U151" s="769"/>
      <c r="V151" s="769"/>
      <c r="W151" s="769"/>
      <c r="X151" s="769"/>
      <c r="Y151" s="769"/>
      <c r="Z151" s="769"/>
      <c r="AA151" s="769"/>
      <c r="AB151" s="769"/>
      <c r="AC151" s="769"/>
      <c r="AD151" s="769"/>
      <c r="AH151"/>
      <c r="AI151"/>
    </row>
    <row r="152" spans="2:35" hidden="1" x14ac:dyDescent="0.35">
      <c r="B152" s="769"/>
      <c r="C152" s="769"/>
      <c r="D152" s="769"/>
      <c r="E152" s="769"/>
      <c r="F152" s="769"/>
      <c r="G152" s="769"/>
      <c r="H152" s="769"/>
      <c r="I152" s="769"/>
      <c r="J152" s="769"/>
      <c r="K152" s="769"/>
      <c r="L152" s="769"/>
      <c r="M152" s="769"/>
      <c r="N152" s="769"/>
      <c r="O152" s="769"/>
      <c r="P152" s="769"/>
      <c r="Q152" s="769"/>
      <c r="R152" s="769"/>
      <c r="S152" s="769"/>
      <c r="T152" s="769"/>
      <c r="U152" s="769"/>
      <c r="V152" s="769"/>
      <c r="W152" s="769"/>
      <c r="X152" s="769"/>
      <c r="Y152" s="769"/>
      <c r="Z152" s="769"/>
      <c r="AA152" s="769"/>
      <c r="AB152" s="769"/>
      <c r="AC152" s="769"/>
      <c r="AD152" s="769"/>
      <c r="AH152"/>
      <c r="AI152"/>
    </row>
    <row r="153" spans="2:35" hidden="1" x14ac:dyDescent="0.35">
      <c r="B153" s="769"/>
      <c r="C153" s="769"/>
      <c r="D153" s="769"/>
      <c r="E153" s="769"/>
      <c r="F153" s="769"/>
      <c r="G153" s="769"/>
      <c r="H153" s="769"/>
      <c r="I153" s="769"/>
      <c r="J153" s="769"/>
      <c r="K153" s="769"/>
      <c r="L153" s="769"/>
      <c r="M153" s="769"/>
      <c r="N153" s="769"/>
      <c r="O153" s="769"/>
      <c r="P153" s="769"/>
      <c r="Q153" s="769"/>
      <c r="R153" s="769"/>
      <c r="S153" s="769"/>
      <c r="T153" s="769"/>
      <c r="U153" s="769"/>
      <c r="V153" s="769"/>
      <c r="W153" s="769"/>
      <c r="X153" s="769"/>
      <c r="Y153" s="769"/>
      <c r="Z153" s="769"/>
      <c r="AA153" s="769"/>
      <c r="AB153" s="769"/>
      <c r="AC153" s="769"/>
      <c r="AD153" s="769"/>
      <c r="AH153"/>
      <c r="AI153"/>
    </row>
    <row r="154" spans="2:35" hidden="1" x14ac:dyDescent="0.35">
      <c r="B154" s="769"/>
      <c r="C154" s="769"/>
      <c r="D154" s="769"/>
      <c r="E154" s="769"/>
      <c r="F154" s="769"/>
      <c r="G154" s="769"/>
      <c r="H154" s="769"/>
      <c r="I154" s="769"/>
      <c r="J154" s="769"/>
      <c r="K154" s="769"/>
      <c r="L154" s="769"/>
      <c r="M154" s="769"/>
      <c r="N154" s="769"/>
      <c r="O154" s="769"/>
      <c r="P154" s="769"/>
      <c r="Q154" s="769"/>
      <c r="R154" s="769"/>
      <c r="S154" s="769"/>
      <c r="T154" s="769"/>
      <c r="U154" s="769"/>
      <c r="V154" s="769"/>
      <c r="W154" s="769"/>
      <c r="X154" s="769"/>
      <c r="Y154" s="769"/>
      <c r="Z154" s="769"/>
      <c r="AA154" s="769"/>
      <c r="AB154" s="769"/>
      <c r="AC154" s="769"/>
      <c r="AD154" s="769"/>
      <c r="AH154"/>
      <c r="AI154"/>
    </row>
    <row r="155" spans="2:35" hidden="1" x14ac:dyDescent="0.35">
      <c r="B155" s="769"/>
      <c r="C155" s="769"/>
      <c r="D155" s="769"/>
      <c r="E155" s="769"/>
      <c r="F155" s="769"/>
      <c r="G155" s="769"/>
      <c r="H155" s="769"/>
      <c r="I155" s="769"/>
      <c r="J155" s="769"/>
      <c r="K155" s="769"/>
      <c r="L155" s="769"/>
      <c r="M155" s="769"/>
      <c r="N155" s="769"/>
      <c r="O155" s="769"/>
      <c r="P155" s="769"/>
      <c r="Q155" s="769"/>
      <c r="R155" s="769"/>
      <c r="S155" s="769"/>
      <c r="T155" s="769"/>
      <c r="U155" s="769"/>
      <c r="V155" s="769"/>
      <c r="W155" s="769"/>
      <c r="X155" s="769"/>
      <c r="Y155" s="769"/>
      <c r="Z155" s="769"/>
      <c r="AA155" s="769"/>
      <c r="AB155" s="769"/>
      <c r="AC155" s="769"/>
      <c r="AD155" s="769"/>
      <c r="AH155"/>
      <c r="AI155"/>
    </row>
    <row r="156" spans="2:35" hidden="1" x14ac:dyDescent="0.35">
      <c r="B156" s="769"/>
      <c r="C156" s="769"/>
      <c r="D156" s="769"/>
      <c r="E156" s="769"/>
      <c r="F156" s="769"/>
      <c r="G156" s="769"/>
      <c r="H156" s="769"/>
      <c r="I156" s="769"/>
      <c r="J156" s="769"/>
      <c r="K156" s="769"/>
      <c r="L156" s="769"/>
      <c r="M156" s="769"/>
      <c r="N156" s="769"/>
      <c r="O156" s="769"/>
      <c r="P156" s="769"/>
      <c r="Q156" s="769"/>
      <c r="R156" s="769"/>
      <c r="S156" s="769"/>
      <c r="T156" s="769"/>
      <c r="U156" s="769"/>
      <c r="V156" s="769"/>
      <c r="W156" s="769"/>
      <c r="X156" s="769"/>
      <c r="Y156" s="769"/>
      <c r="Z156" s="769"/>
      <c r="AA156" s="769"/>
      <c r="AB156" s="769"/>
      <c r="AC156" s="769"/>
      <c r="AD156" s="769"/>
      <c r="AH156"/>
      <c r="AI156"/>
    </row>
    <row r="157" spans="2:35" hidden="1" x14ac:dyDescent="0.35">
      <c r="B157" s="769"/>
      <c r="C157" s="769"/>
      <c r="D157" s="769"/>
      <c r="E157" s="769"/>
      <c r="F157" s="769"/>
      <c r="G157" s="769"/>
      <c r="H157" s="769"/>
      <c r="I157" s="769"/>
      <c r="J157" s="769"/>
      <c r="K157" s="769"/>
      <c r="L157" s="769"/>
      <c r="M157" s="769"/>
      <c r="N157" s="769"/>
      <c r="O157" s="769"/>
      <c r="P157" s="769"/>
      <c r="Q157" s="769"/>
      <c r="R157" s="769"/>
      <c r="S157" s="769"/>
      <c r="T157" s="769"/>
      <c r="U157" s="769"/>
      <c r="V157" s="769"/>
      <c r="W157" s="769"/>
      <c r="X157" s="769"/>
      <c r="Y157" s="769"/>
      <c r="Z157" s="769"/>
      <c r="AA157" s="769"/>
      <c r="AB157" s="769"/>
      <c r="AC157" s="769"/>
      <c r="AD157" s="769"/>
      <c r="AH157"/>
      <c r="AI157"/>
    </row>
    <row r="158" spans="2:35" hidden="1" x14ac:dyDescent="0.35">
      <c r="B158" s="769"/>
      <c r="C158" s="769"/>
      <c r="D158" s="769"/>
      <c r="E158" s="769"/>
      <c r="F158" s="769"/>
      <c r="G158" s="769"/>
      <c r="H158" s="769"/>
      <c r="I158" s="769"/>
      <c r="J158" s="769"/>
      <c r="K158" s="769"/>
      <c r="L158" s="769"/>
      <c r="M158" s="769"/>
      <c r="N158" s="769"/>
      <c r="O158" s="769"/>
      <c r="P158" s="769"/>
      <c r="Q158" s="769"/>
      <c r="R158" s="769"/>
      <c r="S158" s="769"/>
      <c r="T158" s="769"/>
      <c r="U158" s="769"/>
      <c r="V158" s="769"/>
      <c r="W158" s="769"/>
      <c r="X158" s="769"/>
      <c r="Y158" s="769"/>
      <c r="Z158" s="769"/>
      <c r="AA158" s="769"/>
      <c r="AB158" s="769"/>
      <c r="AC158" s="769"/>
      <c r="AD158" s="769"/>
      <c r="AH158"/>
      <c r="AI158"/>
    </row>
    <row r="159" spans="2:35" hidden="1" x14ac:dyDescent="0.35">
      <c r="B159" s="769"/>
      <c r="C159" s="769"/>
      <c r="D159" s="769"/>
      <c r="E159" s="769"/>
      <c r="F159" s="769"/>
      <c r="G159" s="769"/>
      <c r="H159" s="769"/>
      <c r="I159" s="769"/>
      <c r="J159" s="769"/>
      <c r="K159" s="769"/>
      <c r="L159" s="769"/>
      <c r="M159" s="769"/>
      <c r="N159" s="769"/>
      <c r="O159" s="769"/>
      <c r="P159" s="769"/>
      <c r="Q159" s="769"/>
      <c r="R159" s="769"/>
      <c r="S159" s="769"/>
      <c r="T159" s="769"/>
      <c r="U159" s="769"/>
      <c r="V159" s="769"/>
      <c r="W159" s="769"/>
      <c r="X159" s="769"/>
      <c r="Y159" s="769"/>
      <c r="Z159" s="769"/>
      <c r="AA159" s="769"/>
      <c r="AB159" s="769"/>
      <c r="AC159" s="769"/>
      <c r="AD159" s="769"/>
      <c r="AH159"/>
      <c r="AI159"/>
    </row>
    <row r="160" spans="2:35" hidden="1" x14ac:dyDescent="0.35">
      <c r="B160" s="769"/>
      <c r="C160" s="769"/>
      <c r="D160" s="769"/>
      <c r="E160" s="769"/>
      <c r="F160" s="769"/>
      <c r="G160" s="769"/>
      <c r="H160" s="769"/>
      <c r="I160" s="769"/>
      <c r="J160" s="769"/>
      <c r="K160" s="769"/>
      <c r="L160" s="769"/>
      <c r="M160" s="769"/>
      <c r="N160" s="769"/>
      <c r="O160" s="769"/>
      <c r="P160" s="769"/>
      <c r="Q160" s="769"/>
      <c r="R160" s="769"/>
      <c r="S160" s="769"/>
      <c r="T160" s="769"/>
      <c r="U160" s="769"/>
      <c r="V160" s="769"/>
      <c r="W160" s="769"/>
      <c r="X160" s="769"/>
      <c r="Y160" s="769"/>
      <c r="Z160" s="769"/>
      <c r="AA160" s="769"/>
      <c r="AB160" s="769"/>
      <c r="AC160" s="769"/>
      <c r="AD160" s="769"/>
      <c r="AH160"/>
      <c r="AI160"/>
    </row>
    <row r="161" spans="2:35" hidden="1" x14ac:dyDescent="0.35">
      <c r="B161" s="769"/>
      <c r="C161" s="769"/>
      <c r="D161" s="769"/>
      <c r="E161" s="769"/>
      <c r="F161" s="769"/>
      <c r="G161" s="769"/>
      <c r="H161" s="769"/>
      <c r="I161" s="769"/>
      <c r="J161" s="769"/>
      <c r="K161" s="769"/>
      <c r="L161" s="769"/>
      <c r="M161" s="769"/>
      <c r="N161" s="769"/>
      <c r="O161" s="769"/>
      <c r="P161" s="769"/>
      <c r="Q161" s="769"/>
      <c r="R161" s="769"/>
      <c r="S161" s="769"/>
      <c r="T161" s="769"/>
      <c r="U161" s="769"/>
      <c r="V161" s="769"/>
      <c r="W161" s="769"/>
      <c r="X161" s="769"/>
      <c r="Y161" s="769"/>
      <c r="Z161" s="769"/>
      <c r="AA161" s="769"/>
      <c r="AB161" s="769"/>
      <c r="AC161" s="769"/>
      <c r="AD161" s="769"/>
      <c r="AH161"/>
      <c r="AI161"/>
    </row>
    <row r="162" spans="2:35" hidden="1" x14ac:dyDescent="0.35">
      <c r="B162" s="769"/>
      <c r="C162" s="769"/>
      <c r="D162" s="769"/>
      <c r="E162" s="769"/>
      <c r="F162" s="769"/>
      <c r="G162" s="769"/>
      <c r="H162" s="769"/>
      <c r="I162" s="769"/>
      <c r="J162" s="769"/>
      <c r="K162" s="769"/>
      <c r="L162" s="769"/>
      <c r="M162" s="769"/>
      <c r="N162" s="769"/>
      <c r="O162" s="769"/>
      <c r="P162" s="769"/>
      <c r="Q162" s="769"/>
      <c r="R162" s="769"/>
      <c r="S162" s="769"/>
      <c r="T162" s="769"/>
      <c r="U162" s="769"/>
      <c r="V162" s="769"/>
      <c r="W162" s="769"/>
      <c r="X162" s="769"/>
      <c r="Y162" s="769"/>
      <c r="Z162" s="769"/>
      <c r="AA162" s="769"/>
      <c r="AB162" s="769"/>
      <c r="AC162" s="769"/>
      <c r="AD162" s="769"/>
      <c r="AH162"/>
      <c r="AI162"/>
    </row>
    <row r="163" spans="2:35" hidden="1" x14ac:dyDescent="0.35">
      <c r="B163" s="769"/>
      <c r="C163" s="769"/>
      <c r="D163" s="769"/>
      <c r="E163" s="769"/>
      <c r="F163" s="769"/>
      <c r="G163" s="769"/>
      <c r="H163" s="769"/>
      <c r="I163" s="769"/>
      <c r="J163" s="769"/>
      <c r="K163" s="769"/>
      <c r="L163" s="769"/>
      <c r="M163" s="769"/>
      <c r="N163" s="769"/>
      <c r="O163" s="769"/>
      <c r="P163" s="769"/>
      <c r="Q163" s="769"/>
      <c r="R163" s="769"/>
      <c r="S163" s="769"/>
      <c r="T163" s="769"/>
      <c r="U163" s="769"/>
      <c r="V163" s="769"/>
      <c r="W163" s="769"/>
      <c r="X163" s="769"/>
      <c r="Y163" s="769"/>
      <c r="Z163" s="769"/>
      <c r="AA163" s="769"/>
      <c r="AB163" s="769"/>
      <c r="AC163" s="769"/>
      <c r="AD163" s="769"/>
      <c r="AH163"/>
      <c r="AI163"/>
    </row>
    <row r="164" spans="2:35" hidden="1" x14ac:dyDescent="0.35">
      <c r="B164" s="769"/>
      <c r="C164" s="769"/>
      <c r="D164" s="769"/>
      <c r="E164" s="769"/>
      <c r="F164" s="769"/>
      <c r="G164" s="769"/>
      <c r="H164" s="769"/>
      <c r="I164" s="769"/>
      <c r="J164" s="769"/>
      <c r="K164" s="769"/>
      <c r="L164" s="769"/>
      <c r="M164" s="769"/>
      <c r="N164" s="769"/>
      <c r="O164" s="769"/>
      <c r="P164" s="769"/>
      <c r="Q164" s="769"/>
      <c r="R164" s="769"/>
      <c r="S164" s="769"/>
      <c r="T164" s="769"/>
      <c r="U164" s="769"/>
      <c r="V164" s="769"/>
      <c r="W164" s="769"/>
      <c r="X164" s="769"/>
      <c r="Y164" s="769"/>
      <c r="Z164" s="769"/>
      <c r="AA164" s="769"/>
      <c r="AB164" s="769"/>
      <c r="AC164" s="769"/>
      <c r="AD164" s="769"/>
      <c r="AH164"/>
      <c r="AI164"/>
    </row>
    <row r="165" spans="2:35" hidden="1" x14ac:dyDescent="0.35">
      <c r="B165" s="769"/>
      <c r="C165" s="769"/>
      <c r="D165" s="769"/>
      <c r="E165" s="769"/>
      <c r="F165" s="769"/>
      <c r="G165" s="769"/>
      <c r="H165" s="769"/>
      <c r="I165" s="769"/>
      <c r="J165" s="769"/>
      <c r="K165" s="769"/>
      <c r="L165" s="769"/>
      <c r="M165" s="769"/>
      <c r="N165" s="769"/>
      <c r="O165" s="769"/>
      <c r="P165" s="769"/>
      <c r="Q165" s="769"/>
      <c r="R165" s="769"/>
      <c r="S165" s="769"/>
      <c r="T165" s="769"/>
      <c r="U165" s="769"/>
      <c r="V165" s="769"/>
      <c r="W165" s="769"/>
      <c r="X165" s="769"/>
      <c r="Y165" s="769"/>
      <c r="Z165" s="769"/>
      <c r="AA165" s="769"/>
      <c r="AB165" s="769"/>
      <c r="AC165" s="769"/>
      <c r="AD165" s="769"/>
      <c r="AH165"/>
      <c r="AI165"/>
    </row>
    <row r="166" spans="2:35" hidden="1" x14ac:dyDescent="0.35">
      <c r="B166" s="769"/>
      <c r="C166" s="769"/>
      <c r="D166" s="769"/>
      <c r="E166" s="769"/>
      <c r="F166" s="769"/>
      <c r="G166" s="769"/>
      <c r="H166" s="769"/>
      <c r="I166" s="769"/>
      <c r="J166" s="769"/>
      <c r="K166" s="769"/>
      <c r="L166" s="769"/>
      <c r="M166" s="769"/>
      <c r="N166" s="769"/>
      <c r="O166" s="769"/>
      <c r="P166" s="769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  <c r="AA166" s="769"/>
      <c r="AB166" s="769"/>
      <c r="AC166" s="769"/>
      <c r="AD166" s="769"/>
      <c r="AH166"/>
      <c r="AI166"/>
    </row>
    <row r="167" spans="2:35" hidden="1" x14ac:dyDescent="0.35">
      <c r="B167" s="769"/>
      <c r="C167" s="769"/>
      <c r="D167" s="769"/>
      <c r="E167" s="769"/>
      <c r="F167" s="769"/>
      <c r="G167" s="769"/>
      <c r="H167" s="769"/>
      <c r="I167" s="769"/>
      <c r="J167" s="769"/>
      <c r="K167" s="769"/>
      <c r="L167" s="769"/>
      <c r="M167" s="769"/>
      <c r="N167" s="769"/>
      <c r="O167" s="769"/>
      <c r="P167" s="769"/>
      <c r="Q167" s="769"/>
      <c r="R167" s="769"/>
      <c r="S167" s="769"/>
      <c r="T167" s="769"/>
      <c r="U167" s="769"/>
      <c r="V167" s="769"/>
      <c r="W167" s="769"/>
      <c r="X167" s="769"/>
      <c r="Y167" s="769"/>
      <c r="Z167" s="769"/>
      <c r="AA167" s="769"/>
      <c r="AB167" s="769"/>
      <c r="AC167" s="769"/>
      <c r="AD167" s="769"/>
      <c r="AH167"/>
      <c r="AI167"/>
    </row>
    <row r="168" spans="2:35" hidden="1" x14ac:dyDescent="0.35">
      <c r="B168" s="769"/>
      <c r="C168" s="769"/>
      <c r="D168" s="769"/>
      <c r="E168" s="769"/>
      <c r="F168" s="769"/>
      <c r="G168" s="769"/>
      <c r="H168" s="769"/>
      <c r="I168" s="769"/>
      <c r="J168" s="769"/>
      <c r="K168" s="769"/>
      <c r="L168" s="769"/>
      <c r="M168" s="769"/>
      <c r="N168" s="769"/>
      <c r="O168" s="769"/>
      <c r="P168" s="769"/>
      <c r="Q168" s="769"/>
      <c r="R168" s="769"/>
      <c r="S168" s="769"/>
      <c r="T168" s="769"/>
      <c r="U168" s="769"/>
      <c r="V168" s="769"/>
      <c r="W168" s="769"/>
      <c r="X168" s="769"/>
      <c r="Y168" s="769"/>
      <c r="Z168" s="769"/>
      <c r="AA168" s="769"/>
      <c r="AB168" s="769"/>
      <c r="AC168" s="769"/>
      <c r="AD168" s="769"/>
    </row>
    <row r="169" spans="2:35" hidden="1" x14ac:dyDescent="0.35">
      <c r="B169" s="769"/>
      <c r="C169" s="769"/>
      <c r="D169" s="769"/>
      <c r="E169" s="769"/>
      <c r="F169" s="769"/>
      <c r="G169" s="769"/>
      <c r="H169" s="769"/>
      <c r="I169" s="769"/>
      <c r="J169" s="769"/>
      <c r="K169" s="769"/>
      <c r="L169" s="769"/>
      <c r="M169" s="769"/>
      <c r="N169" s="769"/>
      <c r="O169" s="769"/>
      <c r="P169" s="769"/>
      <c r="Q169" s="769"/>
      <c r="R169" s="769"/>
      <c r="S169" s="769"/>
      <c r="T169" s="769"/>
      <c r="U169" s="769"/>
      <c r="V169" s="769"/>
      <c r="W169" s="769"/>
      <c r="X169" s="769"/>
      <c r="Y169" s="769"/>
      <c r="Z169" s="769"/>
      <c r="AA169" s="769"/>
      <c r="AB169" s="769"/>
      <c r="AC169" s="769"/>
      <c r="AD169" s="769"/>
    </row>
    <row r="170" spans="2:35" hidden="1" x14ac:dyDescent="0.35">
      <c r="B170" s="769"/>
      <c r="C170" s="769"/>
      <c r="D170" s="769"/>
      <c r="E170" s="769"/>
      <c r="F170" s="769"/>
      <c r="G170" s="769"/>
      <c r="H170" s="769"/>
      <c r="I170" s="769"/>
      <c r="J170" s="769"/>
      <c r="K170" s="769"/>
      <c r="L170" s="769"/>
      <c r="M170" s="769"/>
      <c r="N170" s="769"/>
      <c r="O170" s="769"/>
      <c r="P170" s="769"/>
      <c r="Q170" s="769"/>
      <c r="R170" s="769"/>
      <c r="S170" s="769"/>
      <c r="T170" s="769"/>
      <c r="U170" s="769"/>
      <c r="V170" s="769"/>
      <c r="W170" s="769"/>
      <c r="X170" s="769"/>
      <c r="Y170" s="769"/>
      <c r="Z170" s="769"/>
      <c r="AA170" s="769"/>
      <c r="AB170" s="769"/>
      <c r="AC170" s="769"/>
      <c r="AD170" s="769"/>
    </row>
    <row r="171" spans="2:35" hidden="1" x14ac:dyDescent="0.35">
      <c r="B171" s="769"/>
      <c r="C171" s="769"/>
      <c r="D171" s="769"/>
      <c r="E171" s="769"/>
      <c r="F171" s="769"/>
      <c r="G171" s="769"/>
      <c r="H171" s="769"/>
      <c r="I171" s="769"/>
      <c r="J171" s="769"/>
      <c r="K171" s="769"/>
      <c r="L171" s="769"/>
      <c r="M171" s="769"/>
      <c r="N171" s="769"/>
      <c r="O171" s="769"/>
      <c r="P171" s="769"/>
      <c r="Q171" s="769"/>
      <c r="R171" s="769"/>
      <c r="S171" s="769"/>
      <c r="T171" s="769"/>
      <c r="U171" s="769"/>
      <c r="V171" s="769"/>
      <c r="W171" s="769"/>
      <c r="X171" s="769"/>
      <c r="Y171" s="769"/>
      <c r="Z171" s="769"/>
      <c r="AA171" s="769"/>
      <c r="AB171" s="769"/>
      <c r="AC171" s="769"/>
      <c r="AD171" s="769"/>
    </row>
    <row r="172" spans="2:35" hidden="1" x14ac:dyDescent="0.35">
      <c r="B172" s="769"/>
      <c r="C172" s="769"/>
      <c r="D172" s="769"/>
      <c r="E172" s="769"/>
      <c r="F172" s="769"/>
      <c r="G172" s="769"/>
      <c r="H172" s="769"/>
      <c r="I172" s="769"/>
      <c r="J172" s="769"/>
      <c r="K172" s="769"/>
      <c r="L172" s="769"/>
      <c r="M172" s="769"/>
      <c r="N172" s="769"/>
      <c r="O172" s="769"/>
      <c r="P172" s="769"/>
      <c r="Q172" s="769"/>
      <c r="R172" s="769"/>
      <c r="S172" s="769"/>
      <c r="T172" s="769"/>
      <c r="U172" s="769"/>
      <c r="V172" s="769"/>
      <c r="W172" s="769"/>
      <c r="X172" s="769"/>
      <c r="Y172" s="769"/>
      <c r="Z172" s="769"/>
      <c r="AA172" s="769"/>
      <c r="AB172" s="769"/>
      <c r="AC172" s="769"/>
      <c r="AD172" s="769"/>
    </row>
    <row r="173" spans="2:35" hidden="1" x14ac:dyDescent="0.35">
      <c r="B173" s="769"/>
      <c r="C173" s="769"/>
      <c r="D173" s="769"/>
      <c r="E173" s="769"/>
      <c r="F173" s="769"/>
      <c r="G173" s="769"/>
      <c r="H173" s="769"/>
      <c r="I173" s="769"/>
      <c r="J173" s="769"/>
      <c r="K173" s="769"/>
      <c r="L173" s="769"/>
      <c r="M173" s="769"/>
      <c r="N173" s="769"/>
      <c r="O173" s="769"/>
      <c r="P173" s="769"/>
      <c r="Q173" s="769"/>
      <c r="R173" s="769"/>
      <c r="S173" s="769"/>
      <c r="T173" s="769"/>
      <c r="U173" s="769"/>
      <c r="V173" s="769"/>
      <c r="W173" s="769"/>
      <c r="X173" s="769"/>
      <c r="Y173" s="769"/>
      <c r="Z173" s="769"/>
      <c r="AA173" s="769"/>
      <c r="AB173" s="769"/>
      <c r="AC173" s="769"/>
      <c r="AD173" s="769"/>
    </row>
    <row r="174" spans="2:35" hidden="1" x14ac:dyDescent="0.35">
      <c r="B174" s="769"/>
      <c r="C174" s="769"/>
      <c r="D174" s="769"/>
      <c r="E174" s="769"/>
      <c r="F174" s="769"/>
      <c r="G174" s="769"/>
      <c r="H174" s="769"/>
      <c r="I174" s="769"/>
      <c r="J174" s="769"/>
      <c r="K174" s="769"/>
      <c r="L174" s="769"/>
      <c r="M174" s="769"/>
      <c r="N174" s="769"/>
      <c r="O174" s="769"/>
      <c r="P174" s="769"/>
      <c r="Q174" s="769"/>
      <c r="R174" s="769"/>
      <c r="S174" s="769"/>
      <c r="T174" s="769"/>
      <c r="U174" s="769"/>
      <c r="V174" s="769"/>
      <c r="W174" s="769"/>
      <c r="X174" s="769"/>
      <c r="Y174" s="769"/>
      <c r="Z174" s="769"/>
      <c r="AA174" s="769"/>
      <c r="AB174" s="769"/>
      <c r="AC174" s="769"/>
      <c r="AD174" s="769"/>
    </row>
    <row r="175" spans="2:35" hidden="1" x14ac:dyDescent="0.35">
      <c r="B175" s="769"/>
      <c r="C175" s="769"/>
      <c r="D175" s="769"/>
      <c r="E175" s="769"/>
      <c r="F175" s="769"/>
      <c r="G175" s="769"/>
      <c r="H175" s="769"/>
      <c r="I175" s="769"/>
      <c r="J175" s="769"/>
      <c r="K175" s="769"/>
      <c r="L175" s="769"/>
      <c r="M175" s="769"/>
      <c r="N175" s="769"/>
      <c r="O175" s="769"/>
      <c r="P175" s="769"/>
      <c r="Q175" s="769"/>
      <c r="R175" s="769"/>
      <c r="S175" s="769"/>
      <c r="T175" s="769"/>
      <c r="U175" s="769"/>
      <c r="V175" s="769"/>
      <c r="W175" s="769"/>
      <c r="X175" s="769"/>
      <c r="Y175" s="769"/>
      <c r="Z175" s="769"/>
      <c r="AA175" s="769"/>
      <c r="AB175" s="769"/>
      <c r="AC175" s="769"/>
      <c r="AD175" s="769"/>
    </row>
    <row r="176" spans="2:35" hidden="1" x14ac:dyDescent="0.35">
      <c r="B176" s="769"/>
      <c r="C176" s="769"/>
      <c r="D176" s="769"/>
      <c r="E176" s="769"/>
      <c r="F176" s="769"/>
      <c r="G176" s="769"/>
      <c r="H176" s="769"/>
      <c r="I176" s="769"/>
      <c r="J176" s="769"/>
      <c r="K176" s="769"/>
      <c r="L176" s="769"/>
      <c r="M176" s="769"/>
      <c r="N176" s="769"/>
      <c r="O176" s="769"/>
      <c r="P176" s="769"/>
      <c r="Q176" s="769"/>
      <c r="R176" s="769"/>
      <c r="S176" s="769"/>
      <c r="T176" s="769"/>
      <c r="U176" s="769"/>
      <c r="V176" s="769"/>
      <c r="W176" s="769"/>
      <c r="X176" s="769"/>
      <c r="Y176" s="769"/>
      <c r="Z176" s="769"/>
      <c r="AA176" s="769"/>
      <c r="AB176" s="769"/>
      <c r="AC176" s="769"/>
      <c r="AD176" s="769"/>
    </row>
    <row r="177" spans="2:30" hidden="1" x14ac:dyDescent="0.35">
      <c r="B177" s="769"/>
      <c r="C177" s="769"/>
      <c r="D177" s="769"/>
      <c r="E177" s="769"/>
      <c r="F177" s="769"/>
      <c r="G177" s="769"/>
      <c r="H177" s="769"/>
      <c r="I177" s="769"/>
      <c r="J177" s="769"/>
      <c r="K177" s="769"/>
      <c r="L177" s="769"/>
      <c r="M177" s="769"/>
      <c r="N177" s="769"/>
      <c r="O177" s="769"/>
      <c r="P177" s="769"/>
      <c r="Q177" s="769"/>
      <c r="R177" s="769"/>
      <c r="S177" s="769"/>
      <c r="T177" s="769"/>
      <c r="U177" s="769"/>
      <c r="V177" s="769"/>
      <c r="W177" s="769"/>
      <c r="X177" s="769"/>
      <c r="Y177" s="769"/>
      <c r="Z177" s="769"/>
      <c r="AA177" s="769"/>
      <c r="AB177" s="769"/>
      <c r="AC177" s="769"/>
      <c r="AD177" s="769"/>
    </row>
    <row r="178" spans="2:30" hidden="1" x14ac:dyDescent="0.35">
      <c r="B178" s="769"/>
      <c r="C178" s="769"/>
      <c r="D178" s="769"/>
      <c r="E178" s="769"/>
      <c r="F178" s="769"/>
      <c r="G178" s="769"/>
      <c r="H178" s="769"/>
      <c r="I178" s="769"/>
      <c r="J178" s="769"/>
      <c r="K178" s="769"/>
      <c r="L178" s="769"/>
      <c r="M178" s="769"/>
      <c r="N178" s="769"/>
      <c r="O178" s="769"/>
      <c r="P178" s="769"/>
      <c r="Q178" s="769"/>
      <c r="R178" s="769"/>
      <c r="S178" s="769"/>
      <c r="T178" s="769"/>
      <c r="U178" s="769"/>
      <c r="V178" s="769"/>
      <c r="W178" s="769"/>
      <c r="X178" s="769"/>
      <c r="Y178" s="769"/>
      <c r="Z178" s="769"/>
      <c r="AA178" s="769"/>
      <c r="AB178" s="769"/>
      <c r="AC178" s="769"/>
      <c r="AD178" s="769"/>
    </row>
    <row r="179" spans="2:30" hidden="1" x14ac:dyDescent="0.35">
      <c r="B179" s="769"/>
      <c r="C179" s="769"/>
      <c r="D179" s="769"/>
      <c r="E179" s="769"/>
      <c r="F179" s="769"/>
      <c r="G179" s="769"/>
      <c r="H179" s="769"/>
      <c r="I179" s="769"/>
      <c r="J179" s="769"/>
      <c r="K179" s="769"/>
      <c r="L179" s="769"/>
      <c r="M179" s="769"/>
      <c r="N179" s="769"/>
      <c r="O179" s="769"/>
      <c r="P179" s="769"/>
      <c r="Q179" s="769"/>
      <c r="R179" s="769"/>
      <c r="S179" s="769"/>
      <c r="T179" s="769"/>
      <c r="U179" s="769"/>
      <c r="V179" s="769"/>
      <c r="W179" s="769"/>
      <c r="X179" s="769"/>
      <c r="Y179" s="769"/>
      <c r="Z179" s="769"/>
      <c r="AA179" s="769"/>
      <c r="AB179" s="769"/>
      <c r="AC179" s="769"/>
      <c r="AD179" s="769"/>
    </row>
    <row r="180" spans="2:30" hidden="1" x14ac:dyDescent="0.35">
      <c r="B180" s="769"/>
      <c r="C180" s="769"/>
      <c r="D180" s="769"/>
      <c r="E180" s="769"/>
      <c r="F180" s="769"/>
      <c r="G180" s="769"/>
      <c r="H180" s="769"/>
      <c r="I180" s="769"/>
      <c r="J180" s="769"/>
      <c r="K180" s="769"/>
      <c r="L180" s="769"/>
      <c r="M180" s="769"/>
      <c r="N180" s="769"/>
      <c r="O180" s="769"/>
      <c r="P180" s="769"/>
      <c r="Q180" s="769"/>
      <c r="R180" s="769"/>
      <c r="S180" s="769"/>
      <c r="T180" s="769"/>
      <c r="U180" s="769"/>
      <c r="V180" s="769"/>
      <c r="W180" s="769"/>
      <c r="X180" s="769"/>
      <c r="Y180" s="769"/>
      <c r="Z180" s="769"/>
      <c r="AA180" s="769"/>
      <c r="AB180" s="769"/>
      <c r="AC180" s="769"/>
      <c r="AD180" s="769"/>
    </row>
    <row r="181" spans="2:30" hidden="1" x14ac:dyDescent="0.35">
      <c r="B181" s="769"/>
      <c r="C181" s="769"/>
      <c r="D181" s="769"/>
      <c r="E181" s="769"/>
      <c r="F181" s="769"/>
      <c r="G181" s="769"/>
      <c r="H181" s="769"/>
      <c r="I181" s="769"/>
      <c r="J181" s="769"/>
      <c r="K181" s="769"/>
      <c r="L181" s="769"/>
      <c r="M181" s="769"/>
      <c r="N181" s="769"/>
      <c r="O181" s="769"/>
      <c r="P181" s="769"/>
      <c r="Q181" s="769"/>
      <c r="R181" s="769"/>
      <c r="S181" s="769"/>
      <c r="T181" s="769"/>
      <c r="U181" s="769"/>
      <c r="V181" s="769"/>
      <c r="W181" s="769"/>
      <c r="X181" s="769"/>
      <c r="Y181" s="769"/>
      <c r="Z181" s="769"/>
      <c r="AA181" s="769"/>
      <c r="AB181" s="769"/>
      <c r="AC181" s="769"/>
      <c r="AD181" s="769"/>
    </row>
    <row r="182" spans="2:30" hidden="1" x14ac:dyDescent="0.35">
      <c r="B182" s="769"/>
      <c r="C182" s="769"/>
      <c r="D182" s="769"/>
      <c r="E182" s="769"/>
      <c r="F182" s="769"/>
      <c r="G182" s="769"/>
      <c r="H182" s="769"/>
      <c r="I182" s="769"/>
      <c r="J182" s="769"/>
      <c r="K182" s="769"/>
      <c r="L182" s="769"/>
      <c r="M182" s="769"/>
      <c r="N182" s="769"/>
      <c r="O182" s="769"/>
      <c r="P182" s="769"/>
      <c r="Q182" s="769"/>
      <c r="R182" s="769"/>
      <c r="S182" s="769"/>
      <c r="T182" s="769"/>
      <c r="U182" s="769"/>
      <c r="V182" s="769"/>
      <c r="W182" s="769"/>
      <c r="X182" s="769"/>
      <c r="Y182" s="769"/>
      <c r="Z182" s="769"/>
      <c r="AA182" s="769"/>
      <c r="AB182" s="769"/>
      <c r="AC182" s="769"/>
      <c r="AD182" s="769"/>
    </row>
    <row r="183" spans="2:30" hidden="1" x14ac:dyDescent="0.35">
      <c r="B183" s="769"/>
      <c r="C183" s="769"/>
      <c r="D183" s="769"/>
      <c r="E183" s="769"/>
      <c r="F183" s="769"/>
      <c r="G183" s="769"/>
      <c r="H183" s="769"/>
      <c r="I183" s="769"/>
      <c r="J183" s="769"/>
      <c r="K183" s="769"/>
      <c r="L183" s="769"/>
      <c r="M183" s="769"/>
      <c r="N183" s="769"/>
      <c r="O183" s="769"/>
      <c r="P183" s="769"/>
      <c r="Q183" s="769"/>
      <c r="R183" s="769"/>
      <c r="S183" s="769"/>
      <c r="T183" s="769"/>
      <c r="U183" s="769"/>
      <c r="V183" s="769"/>
      <c r="W183" s="769"/>
      <c r="X183" s="769"/>
      <c r="Y183" s="769"/>
      <c r="Z183" s="769"/>
      <c r="AA183" s="769"/>
      <c r="AB183" s="769"/>
      <c r="AC183" s="769"/>
      <c r="AD183" s="769"/>
    </row>
    <row r="184" spans="2:30" hidden="1" x14ac:dyDescent="0.35">
      <c r="B184" s="769"/>
      <c r="C184" s="769"/>
      <c r="D184" s="769"/>
      <c r="E184" s="769"/>
      <c r="F184" s="769"/>
      <c r="G184" s="769"/>
      <c r="H184" s="769"/>
      <c r="I184" s="769"/>
      <c r="J184" s="769"/>
      <c r="K184" s="769"/>
      <c r="L184" s="769"/>
      <c r="M184" s="769"/>
      <c r="N184" s="769"/>
      <c r="O184" s="769"/>
      <c r="P184" s="769"/>
      <c r="Q184" s="769"/>
      <c r="R184" s="769"/>
      <c r="S184" s="769"/>
      <c r="T184" s="769"/>
      <c r="U184" s="769"/>
      <c r="V184" s="769"/>
      <c r="W184" s="769"/>
      <c r="X184" s="769"/>
      <c r="Y184" s="769"/>
      <c r="Z184" s="769"/>
      <c r="AA184" s="769"/>
      <c r="AB184" s="769"/>
      <c r="AC184" s="769"/>
      <c r="AD184" s="769"/>
    </row>
    <row r="185" spans="2:30" hidden="1" x14ac:dyDescent="0.35">
      <c r="B185" s="769"/>
      <c r="C185" s="769"/>
      <c r="D185" s="769"/>
      <c r="E185" s="769"/>
      <c r="F185" s="769"/>
      <c r="G185" s="769"/>
      <c r="H185" s="769"/>
      <c r="I185" s="769"/>
      <c r="J185" s="769"/>
      <c r="K185" s="769"/>
      <c r="L185" s="769"/>
      <c r="M185" s="769"/>
      <c r="N185" s="769"/>
      <c r="O185" s="769"/>
      <c r="P185" s="769"/>
      <c r="Q185" s="769"/>
      <c r="R185" s="769"/>
      <c r="S185" s="769"/>
      <c r="T185" s="769"/>
      <c r="U185" s="769"/>
      <c r="V185" s="769"/>
      <c r="W185" s="769"/>
      <c r="X185" s="769"/>
      <c r="Y185" s="769"/>
      <c r="Z185" s="769"/>
      <c r="AA185" s="769"/>
      <c r="AB185" s="769"/>
      <c r="AC185" s="769"/>
      <c r="AD185" s="769"/>
    </row>
    <row r="186" spans="2:30" hidden="1" x14ac:dyDescent="0.35">
      <c r="B186" s="769"/>
      <c r="C186" s="769"/>
      <c r="D186" s="769"/>
      <c r="E186" s="769"/>
      <c r="F186" s="769"/>
      <c r="G186" s="769"/>
      <c r="H186" s="769"/>
      <c r="I186" s="769"/>
      <c r="J186" s="769"/>
      <c r="K186" s="769"/>
      <c r="L186" s="769"/>
      <c r="M186" s="769"/>
      <c r="N186" s="769"/>
      <c r="O186" s="769"/>
      <c r="P186" s="769"/>
      <c r="Q186" s="769"/>
      <c r="R186" s="769"/>
      <c r="S186" s="769"/>
      <c r="T186" s="769"/>
      <c r="U186" s="769"/>
      <c r="V186" s="769"/>
      <c r="W186" s="769"/>
      <c r="X186" s="769"/>
      <c r="Y186" s="769"/>
      <c r="Z186" s="769"/>
      <c r="AA186" s="769"/>
      <c r="AB186" s="769"/>
      <c r="AC186" s="769"/>
      <c r="AD186" s="769"/>
    </row>
    <row r="187" spans="2:30" hidden="1" x14ac:dyDescent="0.35">
      <c r="B187" s="769"/>
      <c r="C187" s="769"/>
      <c r="D187" s="769"/>
      <c r="E187" s="769"/>
      <c r="F187" s="769"/>
      <c r="G187" s="769"/>
      <c r="H187" s="769"/>
      <c r="I187" s="769"/>
      <c r="J187" s="769"/>
      <c r="K187" s="769"/>
      <c r="L187" s="769"/>
      <c r="M187" s="769"/>
      <c r="N187" s="769"/>
      <c r="O187" s="769"/>
      <c r="P187" s="769"/>
      <c r="Q187" s="769"/>
      <c r="R187" s="769"/>
      <c r="S187" s="769"/>
      <c r="T187" s="769"/>
      <c r="U187" s="769"/>
      <c r="V187" s="769"/>
      <c r="W187" s="769"/>
      <c r="X187" s="769"/>
      <c r="Y187" s="769"/>
      <c r="Z187" s="769"/>
      <c r="AA187" s="769"/>
      <c r="AB187" s="769"/>
      <c r="AC187" s="769"/>
      <c r="AD187" s="769"/>
    </row>
    <row r="188" spans="2:30" hidden="1" x14ac:dyDescent="0.35">
      <c r="B188" s="769"/>
      <c r="C188" s="769"/>
      <c r="D188" s="769"/>
      <c r="E188" s="769"/>
      <c r="F188" s="769"/>
      <c r="G188" s="769"/>
      <c r="H188" s="769"/>
      <c r="I188" s="769"/>
      <c r="J188" s="769"/>
      <c r="K188" s="769"/>
      <c r="L188" s="769"/>
      <c r="M188" s="769"/>
      <c r="N188" s="769"/>
      <c r="O188" s="769"/>
      <c r="P188" s="769"/>
      <c r="Q188" s="769"/>
      <c r="R188" s="769"/>
      <c r="S188" s="769"/>
      <c r="T188" s="769"/>
      <c r="U188" s="769"/>
      <c r="V188" s="769"/>
      <c r="W188" s="769"/>
      <c r="X188" s="769"/>
      <c r="Y188" s="769"/>
      <c r="Z188" s="769"/>
      <c r="AA188" s="769"/>
      <c r="AB188" s="769"/>
      <c r="AC188" s="769"/>
      <c r="AD188" s="769"/>
    </row>
    <row r="189" spans="2:30" hidden="1" x14ac:dyDescent="0.35">
      <c r="B189" s="769"/>
      <c r="C189" s="769"/>
      <c r="D189" s="769"/>
      <c r="E189" s="769"/>
      <c r="F189" s="769"/>
      <c r="G189" s="769"/>
      <c r="H189" s="769"/>
      <c r="I189" s="769"/>
      <c r="J189" s="769"/>
      <c r="K189" s="769"/>
      <c r="L189" s="769"/>
      <c r="M189" s="769"/>
      <c r="N189" s="769"/>
      <c r="O189" s="769"/>
      <c r="P189" s="769"/>
      <c r="Q189" s="769"/>
      <c r="R189" s="769"/>
      <c r="S189" s="769"/>
      <c r="T189" s="769"/>
      <c r="U189" s="769"/>
      <c r="V189" s="769"/>
      <c r="W189" s="769"/>
      <c r="X189" s="769"/>
      <c r="Y189" s="769"/>
      <c r="Z189" s="769"/>
      <c r="AA189" s="769"/>
      <c r="AB189" s="769"/>
      <c r="AC189" s="769"/>
      <c r="AD189" s="769"/>
    </row>
    <row r="190" spans="2:30" hidden="1" x14ac:dyDescent="0.35">
      <c r="B190" s="769"/>
      <c r="C190" s="769"/>
      <c r="D190" s="769"/>
      <c r="E190" s="769"/>
      <c r="F190" s="769"/>
      <c r="G190" s="769"/>
      <c r="H190" s="769"/>
      <c r="I190" s="769"/>
      <c r="J190" s="769"/>
      <c r="K190" s="769"/>
      <c r="L190" s="769"/>
      <c r="M190" s="769"/>
      <c r="N190" s="769"/>
      <c r="O190" s="769"/>
      <c r="P190" s="769"/>
      <c r="Q190" s="769"/>
      <c r="R190" s="769"/>
      <c r="S190" s="769"/>
      <c r="T190" s="769"/>
      <c r="U190" s="769"/>
      <c r="V190" s="769"/>
      <c r="W190" s="769"/>
      <c r="X190" s="769"/>
      <c r="Y190" s="769"/>
      <c r="Z190" s="769"/>
      <c r="AA190" s="769"/>
      <c r="AB190" s="769"/>
      <c r="AC190" s="769"/>
      <c r="AD190" s="769"/>
    </row>
    <row r="191" spans="2:30" hidden="1" x14ac:dyDescent="0.35">
      <c r="B191" s="769"/>
      <c r="C191" s="769"/>
      <c r="D191" s="769"/>
      <c r="E191" s="769"/>
      <c r="F191" s="769"/>
      <c r="G191" s="769"/>
      <c r="H191" s="769"/>
      <c r="I191" s="769"/>
      <c r="J191" s="769"/>
      <c r="K191" s="769"/>
      <c r="L191" s="769"/>
      <c r="M191" s="769"/>
      <c r="N191" s="769"/>
      <c r="O191" s="769"/>
      <c r="P191" s="769"/>
      <c r="Q191" s="769"/>
      <c r="R191" s="769"/>
      <c r="S191" s="769"/>
      <c r="T191" s="769"/>
      <c r="U191" s="769"/>
      <c r="V191" s="769"/>
      <c r="W191" s="769"/>
      <c r="X191" s="769"/>
      <c r="Y191" s="769"/>
      <c r="Z191" s="769"/>
      <c r="AA191" s="769"/>
      <c r="AB191" s="769"/>
      <c r="AC191" s="769"/>
      <c r="AD191" s="769"/>
    </row>
    <row r="192" spans="2:30" hidden="1" x14ac:dyDescent="0.35">
      <c r="B192" s="769"/>
      <c r="C192" s="769"/>
      <c r="D192" s="769"/>
      <c r="E192" s="769"/>
      <c r="F192" s="769"/>
      <c r="G192" s="769"/>
      <c r="H192" s="769"/>
      <c r="I192" s="769"/>
      <c r="J192" s="769"/>
      <c r="K192" s="769"/>
      <c r="L192" s="769"/>
      <c r="M192" s="769"/>
      <c r="N192" s="769"/>
      <c r="O192" s="769"/>
      <c r="P192" s="769"/>
      <c r="Q192" s="769"/>
      <c r="R192" s="769"/>
      <c r="S192" s="769"/>
      <c r="T192" s="769"/>
      <c r="U192" s="769"/>
      <c r="V192" s="769"/>
      <c r="W192" s="769"/>
      <c r="X192" s="769"/>
      <c r="Y192" s="769"/>
      <c r="Z192" s="769"/>
      <c r="AA192" s="769"/>
      <c r="AB192" s="769"/>
      <c r="AC192" s="769"/>
      <c r="AD192" s="769"/>
    </row>
    <row r="193" spans="2:30" hidden="1" x14ac:dyDescent="0.35">
      <c r="B193" s="769"/>
      <c r="C193" s="769"/>
      <c r="D193" s="769"/>
      <c r="E193" s="769"/>
      <c r="F193" s="769"/>
      <c r="G193" s="769"/>
      <c r="H193" s="769"/>
      <c r="I193" s="769"/>
      <c r="J193" s="769"/>
      <c r="K193" s="769"/>
      <c r="L193" s="769"/>
      <c r="M193" s="769"/>
      <c r="N193" s="769"/>
      <c r="O193" s="769"/>
      <c r="P193" s="769"/>
      <c r="Q193" s="769"/>
      <c r="R193" s="769"/>
      <c r="S193" s="769"/>
      <c r="T193" s="769"/>
      <c r="U193" s="769"/>
      <c r="V193" s="769"/>
      <c r="W193" s="769"/>
      <c r="X193" s="769"/>
      <c r="Y193" s="769"/>
      <c r="Z193" s="769"/>
      <c r="AA193" s="769"/>
      <c r="AB193" s="769"/>
      <c r="AC193" s="769"/>
      <c r="AD193" s="769"/>
    </row>
    <row r="194" spans="2:30" hidden="1" x14ac:dyDescent="0.35">
      <c r="B194" s="769"/>
      <c r="C194" s="769"/>
      <c r="D194" s="769"/>
      <c r="E194" s="769"/>
      <c r="F194" s="769"/>
      <c r="G194" s="769"/>
      <c r="H194" s="769"/>
      <c r="I194" s="769"/>
      <c r="J194" s="769"/>
      <c r="K194" s="769"/>
      <c r="L194" s="769"/>
      <c r="M194" s="769"/>
      <c r="N194" s="769"/>
      <c r="O194" s="769"/>
      <c r="P194" s="769"/>
      <c r="Q194" s="769"/>
      <c r="R194" s="769"/>
      <c r="S194" s="769"/>
      <c r="T194" s="769"/>
      <c r="U194" s="769"/>
      <c r="V194" s="769"/>
      <c r="W194" s="769"/>
      <c r="X194" s="769"/>
      <c r="Y194" s="769"/>
      <c r="Z194" s="769"/>
      <c r="AA194" s="769"/>
      <c r="AB194" s="769"/>
      <c r="AC194" s="769"/>
      <c r="AD194" s="769"/>
    </row>
    <row r="195" spans="2:30" hidden="1" x14ac:dyDescent="0.35">
      <c r="B195" s="769"/>
      <c r="C195" s="769"/>
      <c r="D195" s="769"/>
      <c r="E195" s="769"/>
      <c r="F195" s="769"/>
      <c r="G195" s="769"/>
      <c r="H195" s="769"/>
      <c r="I195" s="769"/>
      <c r="J195" s="769"/>
      <c r="K195" s="769"/>
      <c r="L195" s="769"/>
      <c r="M195" s="769"/>
      <c r="N195" s="769"/>
      <c r="O195" s="769"/>
      <c r="P195" s="769"/>
      <c r="Q195" s="769"/>
      <c r="R195" s="769"/>
      <c r="S195" s="769"/>
      <c r="T195" s="769"/>
      <c r="U195" s="769"/>
      <c r="V195" s="769"/>
      <c r="W195" s="769"/>
      <c r="X195" s="769"/>
      <c r="Y195" s="769"/>
      <c r="Z195" s="769"/>
      <c r="AA195" s="769"/>
      <c r="AB195" s="769"/>
      <c r="AC195" s="769"/>
      <c r="AD195" s="769"/>
    </row>
    <row r="196" spans="2:30" hidden="1" x14ac:dyDescent="0.35">
      <c r="B196" s="769"/>
      <c r="C196" s="769"/>
      <c r="D196" s="769"/>
      <c r="E196" s="769"/>
      <c r="F196" s="769"/>
      <c r="G196" s="769"/>
      <c r="H196" s="769"/>
      <c r="I196" s="769"/>
      <c r="J196" s="769"/>
      <c r="K196" s="769"/>
      <c r="L196" s="769"/>
      <c r="M196" s="769"/>
      <c r="N196" s="769"/>
      <c r="O196" s="769"/>
      <c r="P196" s="769"/>
      <c r="Q196" s="769"/>
      <c r="R196" s="769"/>
      <c r="S196" s="769"/>
      <c r="T196" s="769"/>
      <c r="U196" s="769"/>
      <c r="V196" s="769"/>
      <c r="W196" s="769"/>
      <c r="X196" s="769"/>
      <c r="Y196" s="769"/>
      <c r="Z196" s="769"/>
      <c r="AA196" s="769"/>
      <c r="AB196" s="769"/>
      <c r="AC196" s="769"/>
      <c r="AD196" s="769"/>
    </row>
    <row r="197" spans="2:30" hidden="1" x14ac:dyDescent="0.35">
      <c r="B197" s="769"/>
      <c r="C197" s="769"/>
      <c r="D197" s="769"/>
      <c r="E197" s="769"/>
      <c r="F197" s="769"/>
      <c r="G197" s="769"/>
      <c r="H197" s="769"/>
      <c r="I197" s="769"/>
      <c r="J197" s="769"/>
      <c r="K197" s="769"/>
      <c r="L197" s="769"/>
      <c r="M197" s="769"/>
      <c r="N197" s="769"/>
      <c r="O197" s="769"/>
      <c r="P197" s="769"/>
      <c r="Q197" s="769"/>
      <c r="R197" s="769"/>
      <c r="S197" s="769"/>
      <c r="T197" s="769"/>
      <c r="U197" s="769"/>
      <c r="V197" s="769"/>
      <c r="W197" s="769"/>
      <c r="X197" s="769"/>
      <c r="Y197" s="769"/>
      <c r="Z197" s="769"/>
      <c r="AA197" s="769"/>
      <c r="AB197" s="769"/>
      <c r="AC197" s="769"/>
      <c r="AD197" s="769"/>
    </row>
    <row r="198" spans="2:30" hidden="1" x14ac:dyDescent="0.35">
      <c r="B198" s="769"/>
      <c r="C198" s="769"/>
      <c r="D198" s="769"/>
      <c r="E198" s="769"/>
      <c r="F198" s="769"/>
      <c r="G198" s="769"/>
      <c r="H198" s="769"/>
      <c r="I198" s="769"/>
      <c r="J198" s="769"/>
      <c r="K198" s="769"/>
      <c r="L198" s="769"/>
      <c r="M198" s="769"/>
      <c r="N198" s="769"/>
      <c r="O198" s="769"/>
      <c r="P198" s="769"/>
      <c r="Q198" s="769"/>
      <c r="R198" s="769"/>
      <c r="S198" s="769"/>
      <c r="T198" s="769"/>
      <c r="U198" s="769"/>
      <c r="V198" s="769"/>
      <c r="W198" s="769"/>
      <c r="X198" s="769"/>
      <c r="Y198" s="769"/>
      <c r="Z198" s="769"/>
      <c r="AA198" s="769"/>
      <c r="AB198" s="769"/>
      <c r="AC198" s="769"/>
      <c r="AD198" s="769"/>
    </row>
    <row r="199" spans="2:30" hidden="1" x14ac:dyDescent="0.35">
      <c r="B199" s="769"/>
      <c r="C199" s="769"/>
      <c r="D199" s="769"/>
      <c r="E199" s="769"/>
      <c r="F199" s="769"/>
      <c r="G199" s="769"/>
      <c r="H199" s="769"/>
      <c r="I199" s="769"/>
      <c r="J199" s="769"/>
      <c r="K199" s="769"/>
      <c r="L199" s="769"/>
      <c r="M199" s="769"/>
      <c r="N199" s="769"/>
      <c r="O199" s="769"/>
      <c r="P199" s="769"/>
      <c r="Q199" s="769"/>
      <c r="R199" s="769"/>
      <c r="S199" s="769"/>
      <c r="T199" s="769"/>
      <c r="U199" s="769"/>
      <c r="V199" s="769"/>
      <c r="W199" s="769"/>
      <c r="X199" s="769"/>
      <c r="Y199" s="769"/>
      <c r="Z199" s="769"/>
      <c r="AA199" s="769"/>
      <c r="AB199" s="769"/>
      <c r="AC199" s="769"/>
      <c r="AD199" s="769"/>
    </row>
    <row r="200" spans="2:30" hidden="1" x14ac:dyDescent="0.35">
      <c r="B200" s="769"/>
      <c r="C200" s="769"/>
      <c r="D200" s="769"/>
      <c r="E200" s="769"/>
      <c r="F200" s="769"/>
      <c r="G200" s="769"/>
      <c r="H200" s="769"/>
      <c r="I200" s="769"/>
      <c r="J200" s="769"/>
      <c r="K200" s="769"/>
      <c r="L200" s="769"/>
      <c r="M200" s="769"/>
      <c r="N200" s="769"/>
      <c r="O200" s="769"/>
      <c r="P200" s="769"/>
      <c r="Q200" s="769"/>
      <c r="R200" s="769"/>
      <c r="S200" s="769"/>
      <c r="T200" s="769"/>
      <c r="U200" s="769"/>
      <c r="V200" s="769"/>
      <c r="W200" s="769"/>
      <c r="X200" s="769"/>
      <c r="Y200" s="769"/>
      <c r="Z200" s="769"/>
      <c r="AA200" s="769"/>
      <c r="AB200" s="769"/>
      <c r="AC200" s="769"/>
      <c r="AD200" s="769"/>
    </row>
    <row r="201" spans="2:30" hidden="1" x14ac:dyDescent="0.35">
      <c r="B201" s="769"/>
      <c r="C201" s="769"/>
      <c r="D201" s="769"/>
      <c r="E201" s="769"/>
      <c r="F201" s="769"/>
      <c r="G201" s="769"/>
      <c r="H201" s="769"/>
      <c r="I201" s="769"/>
      <c r="J201" s="769"/>
      <c r="K201" s="769"/>
      <c r="L201" s="769"/>
      <c r="M201" s="769"/>
      <c r="N201" s="769"/>
      <c r="O201" s="769"/>
      <c r="P201" s="769"/>
      <c r="Q201" s="769"/>
      <c r="R201" s="769"/>
      <c r="S201" s="769"/>
      <c r="T201" s="769"/>
      <c r="U201" s="769"/>
      <c r="V201" s="769"/>
      <c r="W201" s="769"/>
      <c r="X201" s="769"/>
      <c r="Y201" s="769"/>
      <c r="Z201" s="769"/>
      <c r="AA201" s="769"/>
      <c r="AB201" s="769"/>
      <c r="AC201" s="769"/>
      <c r="AD201" s="769"/>
    </row>
    <row r="202" spans="2:30" hidden="1" x14ac:dyDescent="0.35">
      <c r="B202" s="769"/>
      <c r="C202" s="769"/>
      <c r="D202" s="769"/>
      <c r="E202" s="769"/>
      <c r="F202" s="769"/>
      <c r="G202" s="769"/>
      <c r="H202" s="769"/>
      <c r="I202" s="769"/>
      <c r="J202" s="769"/>
      <c r="K202" s="769"/>
      <c r="L202" s="769"/>
      <c r="M202" s="769"/>
      <c r="N202" s="769"/>
      <c r="O202" s="769"/>
      <c r="P202" s="769"/>
      <c r="Q202" s="769"/>
      <c r="R202" s="769"/>
      <c r="S202" s="769"/>
      <c r="T202" s="769"/>
      <c r="U202" s="769"/>
      <c r="V202" s="769"/>
      <c r="W202" s="769"/>
      <c r="X202" s="769"/>
      <c r="Y202" s="769"/>
      <c r="Z202" s="769"/>
      <c r="AA202" s="769"/>
      <c r="AB202" s="769"/>
      <c r="AC202" s="769"/>
      <c r="AD202" s="769"/>
    </row>
  </sheetData>
  <mergeCells count="265">
    <mergeCell ref="AA2:AB2"/>
    <mergeCell ref="AC2:AD2"/>
    <mergeCell ref="B3:E3"/>
    <mergeCell ref="O3:P3"/>
    <mergeCell ref="S3:T3"/>
    <mergeCell ref="B4:E4"/>
    <mergeCell ref="J4:N4"/>
    <mergeCell ref="O4:P4"/>
    <mergeCell ref="S4:T4"/>
    <mergeCell ref="S7:T7"/>
    <mergeCell ref="D8:E8"/>
    <mergeCell ref="G8:I8"/>
    <mergeCell ref="J8:N8"/>
    <mergeCell ref="B5:E5"/>
    <mergeCell ref="J5:N5"/>
    <mergeCell ref="O5:P5"/>
    <mergeCell ref="S5:T5"/>
    <mergeCell ref="AA5:AB5"/>
    <mergeCell ref="D6:E6"/>
    <mergeCell ref="J6:N6"/>
    <mergeCell ref="O6:P6"/>
    <mergeCell ref="S6:T6"/>
    <mergeCell ref="B9:B10"/>
    <mergeCell ref="C9:C10"/>
    <mergeCell ref="D9:E10"/>
    <mergeCell ref="F9:F10"/>
    <mergeCell ref="H9:H10"/>
    <mergeCell ref="I9:I10"/>
    <mergeCell ref="D7:E7"/>
    <mergeCell ref="J7:N7"/>
    <mergeCell ref="O7:P7"/>
    <mergeCell ref="AC9:AC10"/>
    <mergeCell ref="AD9:AD10"/>
    <mergeCell ref="AE9:AE10"/>
    <mergeCell ref="AF9:AF10"/>
    <mergeCell ref="AG9:AG10"/>
    <mergeCell ref="AO10:AP10"/>
    <mergeCell ref="J9:J10"/>
    <mergeCell ref="K9:K10"/>
    <mergeCell ref="L9:M9"/>
    <mergeCell ref="N9:N10"/>
    <mergeCell ref="S9:AB9"/>
    <mergeCell ref="O9:P9"/>
    <mergeCell ref="Q9:R9"/>
    <mergeCell ref="D29:E29"/>
    <mergeCell ref="D30:E30"/>
    <mergeCell ref="D31:E31"/>
    <mergeCell ref="D32:E32"/>
    <mergeCell ref="D33:E33"/>
    <mergeCell ref="D34:E34"/>
    <mergeCell ref="D27:E27"/>
    <mergeCell ref="D28:E28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47:E47"/>
    <mergeCell ref="D48:E48"/>
    <mergeCell ref="D49:E49"/>
    <mergeCell ref="AA49:AB49"/>
    <mergeCell ref="B50:B51"/>
    <mergeCell ref="E50:F50"/>
    <mergeCell ref="G50:H50"/>
    <mergeCell ref="I50:J50"/>
    <mergeCell ref="K50:L50"/>
    <mergeCell ref="M50:O50"/>
    <mergeCell ref="P50:S51"/>
    <mergeCell ref="T50:Y51"/>
    <mergeCell ref="AA50:AB50"/>
    <mergeCell ref="CO50:CV50"/>
    <mergeCell ref="AA51:AB51"/>
    <mergeCell ref="P52:S52"/>
    <mergeCell ref="T52:Y52"/>
    <mergeCell ref="AA52:AB53"/>
    <mergeCell ref="P53:S53"/>
    <mergeCell ref="T53:Y53"/>
    <mergeCell ref="P57:S57"/>
    <mergeCell ref="T57:Y57"/>
    <mergeCell ref="AA57:AB57"/>
    <mergeCell ref="P58:S58"/>
    <mergeCell ref="T58:Y58"/>
    <mergeCell ref="AA58:AB59"/>
    <mergeCell ref="P59:S59"/>
    <mergeCell ref="T59:Y59"/>
    <mergeCell ref="P54:S54"/>
    <mergeCell ref="T54:Y54"/>
    <mergeCell ref="P55:S55"/>
    <mergeCell ref="T55:Y55"/>
    <mergeCell ref="AA55:AB56"/>
    <mergeCell ref="P56:S56"/>
    <mergeCell ref="T56:Y56"/>
    <mergeCell ref="P60:S60"/>
    <mergeCell ref="T60:Y60"/>
    <mergeCell ref="P61:S61"/>
    <mergeCell ref="T61:Y61"/>
    <mergeCell ref="AB61:AC61"/>
    <mergeCell ref="B63:D63"/>
    <mergeCell ref="E63:F63"/>
    <mergeCell ref="G63:I63"/>
    <mergeCell ref="J63:L63"/>
    <mergeCell ref="M63:N63"/>
    <mergeCell ref="E65:F65"/>
    <mergeCell ref="K65:L65"/>
    <mergeCell ref="N65:O65"/>
    <mergeCell ref="AC65:AD65"/>
    <mergeCell ref="E66:F66"/>
    <mergeCell ref="E67:F67"/>
    <mergeCell ref="C64:D64"/>
    <mergeCell ref="E64:F64"/>
    <mergeCell ref="H64:I64"/>
    <mergeCell ref="J64:L64"/>
    <mergeCell ref="M64:P64"/>
    <mergeCell ref="AC64:AD64"/>
    <mergeCell ref="E68:F68"/>
    <mergeCell ref="C70:P70"/>
    <mergeCell ref="U70:V70"/>
    <mergeCell ref="W70:X70"/>
    <mergeCell ref="Y70:Z70"/>
    <mergeCell ref="I71:J73"/>
    <mergeCell ref="K71:K73"/>
    <mergeCell ref="L71:M71"/>
    <mergeCell ref="O71:P71"/>
    <mergeCell ref="S71:S73"/>
    <mergeCell ref="B75:F75"/>
    <mergeCell ref="I75:J75"/>
    <mergeCell ref="L75:M75"/>
    <mergeCell ref="O75:P75"/>
    <mergeCell ref="B76:F76"/>
    <mergeCell ref="J76:K76"/>
    <mergeCell ref="L76:M76"/>
    <mergeCell ref="O76:P76"/>
    <mergeCell ref="L72:M72"/>
    <mergeCell ref="O72:P72"/>
    <mergeCell ref="L73:M73"/>
    <mergeCell ref="O73:P73"/>
    <mergeCell ref="B74:F74"/>
    <mergeCell ref="I74:J74"/>
    <mergeCell ref="L74:M74"/>
    <mergeCell ref="O74:P74"/>
    <mergeCell ref="O79:P79"/>
    <mergeCell ref="I80:J80"/>
    <mergeCell ref="L80:M80"/>
    <mergeCell ref="O80:P80"/>
    <mergeCell ref="B81:F81"/>
    <mergeCell ref="I81:J81"/>
    <mergeCell ref="L81:M81"/>
    <mergeCell ref="O81:P81"/>
    <mergeCell ref="B77:F77"/>
    <mergeCell ref="I77:J77"/>
    <mergeCell ref="L77:M77"/>
    <mergeCell ref="O77:P77"/>
    <mergeCell ref="E78:E80"/>
    <mergeCell ref="I78:J78"/>
    <mergeCell ref="L78:M78"/>
    <mergeCell ref="O78:P78"/>
    <mergeCell ref="K79:K80"/>
    <mergeCell ref="L79:M79"/>
    <mergeCell ref="L82:M82"/>
    <mergeCell ref="N82:P82"/>
    <mergeCell ref="E83:F83"/>
    <mergeCell ref="H83:H86"/>
    <mergeCell ref="I83:J86"/>
    <mergeCell ref="L83:M83"/>
    <mergeCell ref="O83:P83"/>
    <mergeCell ref="E84:F84"/>
    <mergeCell ref="L84:M84"/>
    <mergeCell ref="O84:P84"/>
    <mergeCell ref="E87:F87"/>
    <mergeCell ref="I87:J87"/>
    <mergeCell ref="L87:M87"/>
    <mergeCell ref="O87:P87"/>
    <mergeCell ref="E88:F88"/>
    <mergeCell ref="I88:J88"/>
    <mergeCell ref="L88:M88"/>
    <mergeCell ref="O88:P88"/>
    <mergeCell ref="E85:F85"/>
    <mergeCell ref="L85:M85"/>
    <mergeCell ref="O85:P85"/>
    <mergeCell ref="E86:F86"/>
    <mergeCell ref="L86:M86"/>
    <mergeCell ref="O86:P86"/>
    <mergeCell ref="Y92:Z92"/>
    <mergeCell ref="M93:N93"/>
    <mergeCell ref="O93:P93"/>
    <mergeCell ref="E89:F89"/>
    <mergeCell ref="I89:J89"/>
    <mergeCell ref="L89:M89"/>
    <mergeCell ref="O89:P89"/>
    <mergeCell ref="Y89:AA90"/>
    <mergeCell ref="E90:F90"/>
    <mergeCell ref="I90:K90"/>
    <mergeCell ref="L90:M90"/>
    <mergeCell ref="O90:P90"/>
    <mergeCell ref="O96:P96"/>
    <mergeCell ref="B97:P97"/>
    <mergeCell ref="B98:D98"/>
    <mergeCell ref="O98:P98"/>
    <mergeCell ref="B99:D99"/>
    <mergeCell ref="J99:K99"/>
    <mergeCell ref="M99:N99"/>
    <mergeCell ref="O99:P99"/>
    <mergeCell ref="B91:P91"/>
    <mergeCell ref="M92:N92"/>
    <mergeCell ref="O92:P92"/>
    <mergeCell ref="O94:P94"/>
    <mergeCell ref="O95:P95"/>
    <mergeCell ref="U99:V99"/>
    <mergeCell ref="W99:X99"/>
    <mergeCell ref="Y99:Z99"/>
    <mergeCell ref="AD99:AE99"/>
    <mergeCell ref="B100:D100"/>
    <mergeCell ref="J100:K101"/>
    <mergeCell ref="M100:N100"/>
    <mergeCell ref="O100:P100"/>
    <mergeCell ref="B101:D101"/>
    <mergeCell ref="O101:P101"/>
    <mergeCell ref="B106:D106"/>
    <mergeCell ref="G106:H106"/>
    <mergeCell ref="J106:K107"/>
    <mergeCell ref="L106:L107"/>
    <mergeCell ref="O106:P106"/>
    <mergeCell ref="B107:D107"/>
    <mergeCell ref="G107:H107"/>
    <mergeCell ref="O107:P107"/>
    <mergeCell ref="B102:D102"/>
    <mergeCell ref="O102:P102"/>
    <mergeCell ref="B103:D103"/>
    <mergeCell ref="O103:P103"/>
    <mergeCell ref="B104:P104"/>
    <mergeCell ref="B105:D105"/>
    <mergeCell ref="G105:H105"/>
    <mergeCell ref="O105:P105"/>
    <mergeCell ref="B110:D110"/>
    <mergeCell ref="G110:H110"/>
    <mergeCell ref="O110:P110"/>
    <mergeCell ref="U110:V110"/>
    <mergeCell ref="W110:X110"/>
    <mergeCell ref="Y110:Z110"/>
    <mergeCell ref="B108:D108"/>
    <mergeCell ref="G108:H108"/>
    <mergeCell ref="O108:P108"/>
    <mergeCell ref="B109:D109"/>
    <mergeCell ref="G109:H109"/>
    <mergeCell ref="O109:P109"/>
    <mergeCell ref="C115:D115"/>
    <mergeCell ref="E115:F115"/>
    <mergeCell ref="H115:I115"/>
    <mergeCell ref="J115:L115"/>
    <mergeCell ref="AC115:AD115"/>
    <mergeCell ref="B111:D111"/>
    <mergeCell ref="G111:H111"/>
    <mergeCell ref="O111:P111"/>
    <mergeCell ref="AC111:AD111"/>
    <mergeCell ref="B114:D114"/>
    <mergeCell ref="E114:F114"/>
    <mergeCell ref="G114:I114"/>
    <mergeCell ref="M114:N114"/>
  </mergeCells>
  <phoneticPr fontId="7" type="noConversion"/>
  <printOptions gridLines="1"/>
  <pageMargins left="0.87" right="0.21" top="0.49" bottom="0.28000000000000003" header="0.17" footer="0.17"/>
  <pageSetup paperSize="5" scale="50" fitToHeight="2" orientation="landscape" r:id="rId1"/>
  <headerFooter alignWithMargins="0">
    <oddHeader>&amp;L&amp;"Arial,Bold"&amp;16&amp;A&amp;C&amp;"Arial,Bold"&amp;16&amp;F&amp;R&amp;16&amp;D   
&amp;10 &amp;P OF &amp;N</oddHeader>
  </headerFooter>
  <rowBreaks count="6" manualBreakCount="6">
    <brk id="65" max="16383" man="1"/>
    <brk id="135" max="16383" man="1"/>
    <brk id="165" max="16383" man="1"/>
    <brk id="195" max="16383" man="1"/>
    <brk id="225" max="16383" man="1"/>
    <brk id="255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XFC202"/>
  <sheetViews>
    <sheetView topLeftCell="A72" zoomScale="80" zoomScaleNormal="80" workbookViewId="0">
      <selection activeCell="E96" sqref="E96"/>
    </sheetView>
  </sheetViews>
  <sheetFormatPr defaultColWidth="0" defaultRowHeight="15.5" zeroHeight="1" x14ac:dyDescent="0.35"/>
  <cols>
    <col min="1" max="1" width="3.54296875" style="702" customWidth="1"/>
    <col min="2" max="2" width="18.7265625" style="702" customWidth="1"/>
    <col min="3" max="3" width="8.1796875" style="702" customWidth="1"/>
    <col min="4" max="4" width="6.54296875" style="702" bestFit="1" customWidth="1"/>
    <col min="5" max="5" width="13.26953125" style="702" bestFit="1" customWidth="1"/>
    <col min="6" max="6" width="10.1796875" style="702" bestFit="1" customWidth="1"/>
    <col min="7" max="7" width="11" style="702" bestFit="1" customWidth="1"/>
    <col min="8" max="8" width="9.6328125" style="702" bestFit="1" customWidth="1"/>
    <col min="9" max="9" width="9.7265625" style="702" customWidth="1"/>
    <col min="10" max="10" width="9.90625" style="702" bestFit="1" customWidth="1"/>
    <col min="11" max="11" width="10.81640625" style="702" bestFit="1" customWidth="1"/>
    <col min="12" max="12" width="8.90625" style="702" bestFit="1" customWidth="1"/>
    <col min="13" max="13" width="8.26953125" style="702" bestFit="1" customWidth="1"/>
    <col min="14" max="14" width="7.7265625" style="702" customWidth="1"/>
    <col min="15" max="15" width="9.26953125" style="702" bestFit="1" customWidth="1"/>
    <col min="16" max="16" width="11.08984375" style="702" customWidth="1"/>
    <col min="17" max="17" width="6.6328125" style="702" bestFit="1" customWidth="1"/>
    <col min="18" max="18" width="10.1796875" style="702" bestFit="1" customWidth="1"/>
    <col min="19" max="19" width="9.453125" style="702" customWidth="1"/>
    <col min="20" max="20" width="8.08984375" style="702" customWidth="1"/>
    <col min="21" max="21" width="8.6328125" style="702" customWidth="1"/>
    <col min="22" max="22" width="6.54296875" style="702" customWidth="1"/>
    <col min="23" max="23" width="7.1796875" style="702" customWidth="1"/>
    <col min="24" max="24" width="5.81640625" style="702" customWidth="1"/>
    <col min="25" max="25" width="7.36328125" style="702" customWidth="1"/>
    <col min="26" max="26" width="6.81640625" style="702" customWidth="1"/>
    <col min="27" max="27" width="5.81640625" style="702" customWidth="1"/>
    <col min="28" max="28" width="13.7265625" style="702" customWidth="1"/>
    <col min="29" max="29" width="16.54296875" style="702" bestFit="1" customWidth="1"/>
    <col min="30" max="30" width="13.81640625" style="702" bestFit="1" customWidth="1"/>
    <col min="31" max="31" width="15.54296875" style="769" bestFit="1" customWidth="1"/>
    <col min="32" max="32" width="16.26953125" style="769" bestFit="1" customWidth="1"/>
    <col min="33" max="33" width="11.1796875" style="769" bestFit="1" customWidth="1"/>
    <col min="34" max="34" width="13.81640625" style="42" bestFit="1" customWidth="1"/>
    <col min="35" max="35" width="3.26953125" style="42" customWidth="1"/>
    <col min="36" max="38" width="9.1796875" style="42" hidden="1"/>
    <col min="39" max="39" width="14.54296875" style="42" hidden="1"/>
    <col min="40" max="40" width="9.1796875" style="42" hidden="1"/>
    <col min="41" max="41" width="10.453125" style="42" hidden="1"/>
    <col min="42" max="42" width="16.1796875" style="42" hidden="1"/>
    <col min="43" max="59" width="20.7265625" style="42" hidden="1"/>
    <col min="60" max="60" width="20.7265625" style="593" hidden="1"/>
    <col min="61" max="74" width="20.7265625" style="42" hidden="1"/>
    <col min="75" max="75" width="25.1796875" style="42" hidden="1"/>
    <col min="76" max="182" width="20.7265625" style="42" hidden="1"/>
    <col min="183" max="202" width="20.7265625" hidden="1"/>
    <col min="203" max="238" width="9.1796875" hidden="1"/>
    <col min="239" max="268" width="9.1796875" style="42" hidden="1"/>
    <col min="269" max="270" width="18.7265625" style="42" hidden="1"/>
    <col min="271" max="16381" width="8.7265625" style="42" hidden="1"/>
    <col min="16382" max="16383" width="3.7265625" style="42" hidden="1"/>
    <col min="16384" max="16384" width="3.36328125" style="42" hidden="1"/>
  </cols>
  <sheetData>
    <row r="1" spans="2:238" s="702" customFormat="1" ht="13" customHeight="1" x14ac:dyDescent="0.35">
      <c r="AE1" s="769"/>
      <c r="AF1" s="769"/>
      <c r="AG1" s="769"/>
      <c r="GA1" s="769"/>
      <c r="GB1" s="769"/>
      <c r="GC1" s="769"/>
      <c r="GD1" s="769"/>
      <c r="GE1" s="769"/>
      <c r="GF1" s="769"/>
      <c r="GG1" s="769"/>
      <c r="GH1" s="769"/>
      <c r="GI1" s="769"/>
      <c r="GJ1" s="769"/>
      <c r="GK1" s="769"/>
      <c r="GL1" s="769"/>
      <c r="GM1" s="769"/>
      <c r="GN1" s="769"/>
      <c r="GO1" s="769"/>
      <c r="GP1" s="769"/>
      <c r="GQ1" s="769"/>
      <c r="GR1" s="769"/>
      <c r="GS1" s="769"/>
      <c r="GT1" s="769"/>
      <c r="GU1" s="769"/>
      <c r="GV1" s="769"/>
      <c r="GW1" s="769"/>
      <c r="GX1" s="769"/>
      <c r="GY1" s="769"/>
      <c r="GZ1" s="769"/>
      <c r="HA1" s="769"/>
      <c r="HB1" s="769"/>
      <c r="HC1" s="769"/>
      <c r="HD1" s="769"/>
      <c r="HE1" s="769"/>
      <c r="HF1" s="769"/>
      <c r="HG1" s="769"/>
      <c r="HH1" s="769"/>
      <c r="HI1" s="769"/>
      <c r="HJ1" s="769"/>
      <c r="HK1" s="769"/>
      <c r="HL1" s="769"/>
      <c r="HM1" s="769"/>
      <c r="HN1" s="769"/>
      <c r="HO1" s="769"/>
      <c r="HP1" s="769"/>
      <c r="HQ1" s="769"/>
      <c r="HR1" s="769"/>
      <c r="HS1" s="769"/>
      <c r="HT1" s="769"/>
      <c r="HU1" s="769"/>
      <c r="HV1" s="769"/>
      <c r="HW1" s="769"/>
      <c r="HX1" s="769"/>
      <c r="HY1" s="769"/>
      <c r="HZ1" s="769"/>
      <c r="IA1" s="769"/>
      <c r="IB1" s="769"/>
      <c r="IC1" s="769"/>
      <c r="ID1" s="769"/>
    </row>
    <row r="2" spans="2:238" ht="16" thickBot="1" x14ac:dyDescent="0.4">
      <c r="B2" s="937" t="s">
        <v>303</v>
      </c>
      <c r="C2" s="897"/>
      <c r="D2" s="897"/>
      <c r="E2" s="897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1916" t="s">
        <v>305</v>
      </c>
      <c r="AB2" s="1916"/>
      <c r="AC2" s="1911">
        <v>37456</v>
      </c>
      <c r="AD2" s="1911"/>
      <c r="AE2" s="299"/>
      <c r="AF2" s="1794"/>
      <c r="AG2" s="1794"/>
      <c r="AH2" s="1794"/>
      <c r="AI2" s="1794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8"/>
      <c r="BA2" s="298"/>
      <c r="BB2" s="298"/>
      <c r="BC2" s="298"/>
      <c r="BD2" s="298"/>
      <c r="BE2" s="298"/>
      <c r="BF2" s="298"/>
      <c r="BG2" s="298"/>
      <c r="BI2" s="298"/>
      <c r="BJ2" s="298"/>
      <c r="BK2" s="298"/>
      <c r="BL2" s="298"/>
      <c r="BM2" s="298"/>
      <c r="BN2" s="298"/>
      <c r="BO2" s="298"/>
      <c r="BP2" s="298"/>
      <c r="BQ2" s="298"/>
      <c r="BR2" s="298"/>
      <c r="BS2" s="298"/>
      <c r="BT2" s="298"/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298"/>
      <c r="CI2" s="298"/>
      <c r="CJ2" s="298"/>
      <c r="CK2" s="298"/>
      <c r="CL2" s="298"/>
      <c r="CM2" s="298"/>
      <c r="CN2" s="298"/>
      <c r="CO2" s="298"/>
      <c r="CP2" s="298"/>
      <c r="CQ2" s="298"/>
      <c r="CR2" s="298"/>
      <c r="CS2" s="298"/>
      <c r="CT2" s="298"/>
      <c r="CU2" s="298"/>
      <c r="CV2" s="298"/>
      <c r="CW2" s="298"/>
      <c r="CX2" s="298"/>
      <c r="CY2" s="298"/>
      <c r="CZ2" s="298"/>
      <c r="DA2" s="298"/>
      <c r="DB2" s="298"/>
    </row>
    <row r="3" spans="2:238" ht="16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880"/>
      <c r="R3" s="880"/>
      <c r="S3" s="1950" t="s">
        <v>306</v>
      </c>
      <c r="T3" s="1951"/>
      <c r="U3" s="298"/>
      <c r="V3" s="298"/>
      <c r="W3" s="298"/>
      <c r="X3" s="298"/>
      <c r="Y3" s="298"/>
      <c r="Z3" s="298"/>
      <c r="AA3" s="792" t="s">
        <v>304</v>
      </c>
      <c r="AB3" s="942"/>
      <c r="AC3" s="943" t="str">
        <f>Information!C8</f>
        <v>Chad McKinney</v>
      </c>
      <c r="AD3" s="944"/>
      <c r="AE3" s="299"/>
      <c r="AF3" s="1794"/>
      <c r="AG3" s="1794"/>
      <c r="AH3" s="1794"/>
      <c r="AI3" s="1794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8"/>
      <c r="BA3" s="298"/>
      <c r="BB3" s="298"/>
      <c r="BC3" s="298"/>
      <c r="BD3" s="298"/>
      <c r="BE3" s="298"/>
      <c r="BF3" s="298"/>
      <c r="BG3" s="298"/>
      <c r="BI3" s="298"/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  <c r="BU3" s="298"/>
      <c r="BV3" s="298"/>
      <c r="BW3" s="298"/>
      <c r="BX3" s="298"/>
      <c r="BY3" s="298"/>
      <c r="BZ3" s="298"/>
      <c r="CA3" s="298"/>
      <c r="CB3" s="298"/>
      <c r="CC3" s="298"/>
      <c r="CD3" s="298"/>
      <c r="CE3" s="298"/>
      <c r="CF3" s="298"/>
      <c r="CG3" s="298"/>
      <c r="CH3" s="298"/>
      <c r="CI3" s="298"/>
      <c r="CJ3" s="298"/>
      <c r="CK3" s="298"/>
      <c r="CL3" s="298"/>
      <c r="CM3" s="298"/>
      <c r="CN3" s="298"/>
      <c r="CO3" s="298"/>
      <c r="CP3" s="298"/>
      <c r="CQ3" s="298"/>
      <c r="CR3" s="298"/>
      <c r="CS3" s="298"/>
      <c r="CT3" s="298"/>
      <c r="CU3" s="298"/>
      <c r="CV3" s="298"/>
      <c r="CW3" s="298"/>
      <c r="CX3" s="298"/>
      <c r="CY3" s="298"/>
      <c r="CZ3" s="298"/>
      <c r="DA3" s="298"/>
      <c r="DB3" s="298"/>
    </row>
    <row r="4" spans="2:238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1947">
        <f>Summary!K3</f>
        <v>0</v>
      </c>
      <c r="K4" s="1948"/>
      <c r="L4" s="1948"/>
      <c r="M4" s="1948"/>
      <c r="N4" s="1948"/>
      <c r="O4" s="1964">
        <f>Summary!O3</f>
        <v>0</v>
      </c>
      <c r="P4" s="1964"/>
      <c r="Q4" s="885"/>
      <c r="R4" s="885"/>
      <c r="S4" s="1964">
        <f>Summary!P3</f>
        <v>0</v>
      </c>
      <c r="T4" s="1965"/>
      <c r="U4" s="298"/>
      <c r="V4" s="298"/>
      <c r="W4" s="298"/>
      <c r="X4" s="298"/>
      <c r="Y4" s="298"/>
      <c r="Z4" s="298"/>
      <c r="AA4" s="790"/>
      <c r="AB4" s="770"/>
      <c r="AC4" s="770"/>
      <c r="AD4" s="876"/>
      <c r="AE4" s="299"/>
      <c r="AF4" s="1794"/>
      <c r="AG4" s="1794"/>
      <c r="AH4" s="1794"/>
      <c r="AI4" s="1794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</row>
    <row r="5" spans="2:238" ht="20.149999999999999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1952">
        <f>Summary!K4</f>
        <v>0</v>
      </c>
      <c r="K5" s="1953"/>
      <c r="L5" s="1953"/>
      <c r="M5" s="1953"/>
      <c r="N5" s="1953"/>
      <c r="O5" s="1927">
        <f>Summary!O4</f>
        <v>0</v>
      </c>
      <c r="P5" s="1927"/>
      <c r="Q5" s="887"/>
      <c r="R5" s="887"/>
      <c r="S5" s="1927">
        <f>Summary!P4</f>
        <v>0</v>
      </c>
      <c r="T5" s="1928"/>
      <c r="U5" s="298"/>
      <c r="V5" s="298"/>
      <c r="W5" s="298"/>
      <c r="X5" s="298"/>
      <c r="Y5" s="298"/>
      <c r="Z5" s="298"/>
      <c r="AA5" s="1929" t="str">
        <f>Information!H5</f>
        <v>Approved by Chad:</v>
      </c>
      <c r="AB5" s="1930"/>
      <c r="AC5" s="945"/>
      <c r="AD5" s="946"/>
      <c r="AE5" s="299"/>
      <c r="AF5" s="1794"/>
      <c r="AG5" s="1794"/>
      <c r="AH5" s="1794"/>
      <c r="AI5" s="1794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298"/>
      <c r="BX5" s="298"/>
      <c r="BY5" s="298"/>
      <c r="BZ5" s="298"/>
      <c r="CA5" s="298"/>
      <c r="CB5" s="298"/>
      <c r="CC5" s="298"/>
      <c r="CD5" s="298"/>
      <c r="CE5" s="298"/>
      <c r="CF5" s="298"/>
      <c r="CG5" s="298"/>
      <c r="CH5" s="298"/>
      <c r="CI5" s="298"/>
      <c r="CJ5" s="298"/>
      <c r="CK5" s="298"/>
      <c r="CL5" s="298"/>
      <c r="CM5" s="298"/>
      <c r="CN5" s="298"/>
      <c r="CO5" s="298"/>
      <c r="CP5" s="298"/>
      <c r="CQ5" s="298"/>
      <c r="CR5" s="298"/>
      <c r="CS5" s="298"/>
      <c r="CT5" s="298"/>
      <c r="CU5" s="298"/>
      <c r="CV5" s="298"/>
      <c r="CW5" s="298"/>
      <c r="CX5" s="298"/>
      <c r="CY5" s="298"/>
      <c r="CZ5" s="298"/>
      <c r="DA5" s="298"/>
      <c r="DB5" s="298"/>
    </row>
    <row r="6" spans="2:238" ht="20.149999999999999" customHeight="1" x14ac:dyDescent="0.35">
      <c r="B6" s="57" t="s">
        <v>115</v>
      </c>
      <c r="C6" s="42"/>
      <c r="D6" s="1959" t="s">
        <v>125</v>
      </c>
      <c r="E6" s="1959"/>
      <c r="F6" s="298"/>
      <c r="G6" s="298"/>
      <c r="H6" s="938"/>
      <c r="I6" s="939" t="s">
        <v>134</v>
      </c>
      <c r="J6" s="1952">
        <f>Summary!K5</f>
        <v>0</v>
      </c>
      <c r="K6" s="1953"/>
      <c r="L6" s="1953"/>
      <c r="M6" s="1953"/>
      <c r="N6" s="1953"/>
      <c r="O6" s="1927">
        <f>Summary!O5</f>
        <v>0</v>
      </c>
      <c r="P6" s="1927"/>
      <c r="Q6" s="887"/>
      <c r="R6" s="887"/>
      <c r="S6" s="1927">
        <f>Summary!P5</f>
        <v>0</v>
      </c>
      <c r="T6" s="1928"/>
      <c r="U6" s="298"/>
      <c r="V6" s="298"/>
      <c r="W6" s="298"/>
      <c r="X6" s="298"/>
      <c r="Y6" s="298"/>
      <c r="Z6" s="298"/>
      <c r="AA6" s="790"/>
      <c r="AB6" s="770"/>
      <c r="AC6" s="770"/>
      <c r="AD6" s="876"/>
      <c r="AE6" s="299"/>
      <c r="AF6" s="1794"/>
      <c r="AG6" s="1794"/>
      <c r="AH6" s="1794"/>
      <c r="AI6" s="1794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I6" s="298"/>
      <c r="BJ6" s="298"/>
      <c r="BK6" s="298"/>
      <c r="BL6" s="298"/>
      <c r="BM6" s="298"/>
      <c r="BN6" s="298"/>
      <c r="BO6" s="298"/>
      <c r="BP6" s="298"/>
      <c r="BQ6" s="298"/>
      <c r="BR6" s="298"/>
      <c r="BS6" s="298"/>
      <c r="BT6" s="298"/>
      <c r="BU6" s="298"/>
      <c r="BV6" s="298"/>
      <c r="BW6" s="298"/>
      <c r="BX6" s="298"/>
      <c r="BY6" s="298"/>
      <c r="BZ6" s="298"/>
      <c r="CA6" s="298"/>
      <c r="CB6" s="298"/>
      <c r="CC6" s="298"/>
      <c r="CD6" s="298"/>
      <c r="CE6" s="298"/>
      <c r="CF6" s="298"/>
      <c r="CG6" s="298"/>
      <c r="CH6" s="298"/>
      <c r="CI6" s="298"/>
      <c r="CJ6" s="298"/>
      <c r="CK6" s="298"/>
      <c r="CL6" s="298"/>
      <c r="CM6" s="298"/>
      <c r="CN6" s="298"/>
      <c r="CO6" s="298"/>
      <c r="CP6" s="298"/>
      <c r="CQ6" s="298"/>
      <c r="CR6" s="298"/>
      <c r="CS6" s="298"/>
      <c r="CT6" s="298"/>
      <c r="CU6" s="298"/>
      <c r="CV6" s="298"/>
      <c r="CW6" s="298"/>
      <c r="CX6" s="298"/>
      <c r="CY6" s="298"/>
      <c r="CZ6" s="298"/>
      <c r="DA6" s="298"/>
      <c r="DB6" s="298"/>
    </row>
    <row r="7" spans="2:238" ht="20.149999999999999" customHeight="1" thickBot="1" x14ac:dyDescent="0.4">
      <c r="B7" s="775">
        <v>0</v>
      </c>
      <c r="C7" s="42"/>
      <c r="D7" s="1969">
        <v>0</v>
      </c>
      <c r="E7" s="1969"/>
      <c r="F7" s="298"/>
      <c r="G7" s="298"/>
      <c r="H7" s="889"/>
      <c r="I7" s="940" t="s">
        <v>135</v>
      </c>
      <c r="J7" s="1966">
        <f>Summary!K6</f>
        <v>0</v>
      </c>
      <c r="K7" s="1967"/>
      <c r="L7" s="1967"/>
      <c r="M7" s="1967"/>
      <c r="N7" s="1967"/>
      <c r="O7" s="1970">
        <f>Summary!O6</f>
        <v>0</v>
      </c>
      <c r="P7" s="1970"/>
      <c r="Q7" s="818"/>
      <c r="R7" s="818"/>
      <c r="S7" s="1970">
        <f>Summary!P6</f>
        <v>0</v>
      </c>
      <c r="T7" s="1971"/>
      <c r="U7" s="298"/>
      <c r="V7" s="298"/>
      <c r="W7" s="298"/>
      <c r="X7" s="298"/>
      <c r="Y7" s="298"/>
      <c r="Z7" s="298"/>
      <c r="AA7" s="791" t="str">
        <f>Information!H6</f>
        <v>Approved by Edward:</v>
      </c>
      <c r="AB7" s="947"/>
      <c r="AC7" s="947"/>
      <c r="AD7" s="948"/>
      <c r="AE7" s="299"/>
      <c r="AF7" s="1794"/>
      <c r="AG7" s="1794"/>
      <c r="AH7" s="1794"/>
      <c r="AI7" s="1794"/>
      <c r="AN7" s="298"/>
      <c r="AO7" s="298"/>
      <c r="AP7" s="298"/>
      <c r="AQ7" s="298"/>
      <c r="AR7" s="298"/>
      <c r="AS7" s="298"/>
      <c r="AT7" s="298"/>
      <c r="AU7" s="298"/>
      <c r="AV7" s="298"/>
      <c r="AW7" s="298"/>
      <c r="AX7" s="298"/>
      <c r="AY7" s="298"/>
      <c r="AZ7" s="298"/>
      <c r="BA7" s="298"/>
      <c r="BB7" s="298"/>
      <c r="BC7" s="298"/>
      <c r="BD7" s="298"/>
      <c r="BE7" s="298"/>
      <c r="BF7" s="298"/>
      <c r="BG7" s="298"/>
      <c r="BI7" s="298"/>
      <c r="BJ7" s="298"/>
      <c r="BK7" s="298"/>
      <c r="BL7" s="298"/>
      <c r="BM7" s="298"/>
      <c r="BN7" s="298"/>
      <c r="BO7" s="298"/>
      <c r="BP7" s="298"/>
      <c r="BQ7" s="298"/>
      <c r="BR7" s="298"/>
      <c r="BS7" s="298"/>
      <c r="BT7" s="298"/>
      <c r="BU7" s="298"/>
      <c r="BV7" s="298"/>
      <c r="BW7" s="298"/>
      <c r="BX7" s="298"/>
      <c r="BY7" s="298"/>
      <c r="BZ7" s="298"/>
      <c r="CA7" s="298"/>
      <c r="CB7" s="298"/>
      <c r="CC7" s="298"/>
      <c r="CD7" s="298"/>
      <c r="CE7" s="298"/>
      <c r="CF7" s="298"/>
      <c r="CG7" s="298"/>
      <c r="CH7" s="298"/>
      <c r="CI7" s="298"/>
      <c r="CJ7" s="298"/>
      <c r="CK7" s="298"/>
      <c r="CL7" s="298"/>
      <c r="CM7" s="298"/>
      <c r="CN7" s="298"/>
      <c r="CO7" s="298"/>
      <c r="CP7" s="298"/>
      <c r="CQ7" s="298"/>
      <c r="CR7" s="298"/>
      <c r="CS7" s="298"/>
      <c r="CT7" s="298"/>
      <c r="CU7" s="298"/>
      <c r="CV7" s="298"/>
      <c r="CW7" s="298"/>
      <c r="CX7" s="298"/>
      <c r="CY7" s="298"/>
      <c r="CZ7" s="298"/>
      <c r="DA7" s="298"/>
      <c r="DB7" s="298"/>
    </row>
    <row r="8" spans="2:238" ht="20.149999999999999" customHeight="1" thickBot="1" x14ac:dyDescent="0.4">
      <c r="B8" s="776">
        <v>0</v>
      </c>
      <c r="C8" s="288"/>
      <c r="D8" s="1960">
        <v>0</v>
      </c>
      <c r="E8" s="1961"/>
      <c r="F8" s="306"/>
      <c r="G8" s="1962" t="s">
        <v>308</v>
      </c>
      <c r="H8" s="1963"/>
      <c r="I8" s="1963"/>
      <c r="J8" s="1972" t="str">
        <f>Pricing!A2</f>
        <v>Martin Marrieta</v>
      </c>
      <c r="K8" s="1972"/>
      <c r="L8" s="1972"/>
      <c r="M8" s="1972"/>
      <c r="N8" s="1972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9"/>
      <c r="AF8" s="1794"/>
      <c r="AG8" s="1794"/>
      <c r="AH8" s="1794"/>
      <c r="AI8" s="1794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I8" s="298"/>
      <c r="BJ8" s="298"/>
      <c r="BK8" s="298"/>
      <c r="BL8" s="298"/>
      <c r="BM8" s="298"/>
      <c r="BN8" s="298"/>
      <c r="BO8" s="298"/>
      <c r="BP8" s="298"/>
      <c r="BQ8" s="298"/>
      <c r="BR8" s="298"/>
      <c r="BS8" s="298"/>
      <c r="BT8" s="298"/>
      <c r="BU8" s="298"/>
      <c r="BV8" s="298"/>
      <c r="BW8" s="298"/>
      <c r="BX8" s="298"/>
      <c r="BY8" s="298"/>
      <c r="BZ8" s="298"/>
      <c r="CA8" s="298"/>
      <c r="CB8" s="298"/>
      <c r="CC8" s="298"/>
      <c r="CD8" s="298"/>
      <c r="CE8" s="298"/>
      <c r="CF8" s="298"/>
      <c r="CG8" s="298"/>
      <c r="CH8" s="298"/>
      <c r="CI8" s="298"/>
      <c r="CJ8" s="298"/>
      <c r="CK8" s="298"/>
      <c r="CL8" s="298"/>
      <c r="CM8" s="298"/>
      <c r="CN8" s="298"/>
      <c r="CO8" s="298"/>
      <c r="CP8" s="298"/>
      <c r="CQ8" s="298"/>
      <c r="CR8" s="298"/>
      <c r="CS8" s="298"/>
      <c r="CT8" s="298"/>
      <c r="CU8" s="298"/>
      <c r="CV8" s="298"/>
      <c r="CW8" s="298"/>
      <c r="CX8" s="298"/>
      <c r="CY8" s="298"/>
      <c r="CZ8" s="298"/>
      <c r="DA8" s="298"/>
      <c r="DB8" s="298"/>
    </row>
    <row r="9" spans="2:238" s="702" customFormat="1" ht="39" customHeight="1" x14ac:dyDescent="0.35">
      <c r="B9" s="1955" t="s">
        <v>47</v>
      </c>
      <c r="C9" s="1957" t="s">
        <v>648</v>
      </c>
      <c r="D9" s="1870"/>
      <c r="E9" s="1871"/>
      <c r="F9" s="1866"/>
      <c r="G9" s="1053"/>
      <c r="H9" s="1973"/>
      <c r="I9" s="1975"/>
      <c r="J9" s="1866"/>
      <c r="K9" s="1866"/>
      <c r="L9" s="1933"/>
      <c r="M9" s="1934"/>
      <c r="N9" s="1860" t="s">
        <v>725</v>
      </c>
      <c r="O9" s="1944" t="s">
        <v>1113</v>
      </c>
      <c r="P9" s="1945"/>
      <c r="Q9" s="1945" t="s">
        <v>581</v>
      </c>
      <c r="R9" s="1946"/>
      <c r="S9" s="1917" t="s">
        <v>48</v>
      </c>
      <c r="T9" s="1917"/>
      <c r="U9" s="1917"/>
      <c r="V9" s="1917"/>
      <c r="W9" s="1917"/>
      <c r="X9" s="1917"/>
      <c r="Y9" s="1917"/>
      <c r="Z9" s="1917"/>
      <c r="AA9" s="1917"/>
      <c r="AB9" s="1918"/>
      <c r="AC9" s="1914" t="s">
        <v>349</v>
      </c>
      <c r="AD9" s="1912" t="s">
        <v>599</v>
      </c>
      <c r="AE9" s="1858" t="s">
        <v>410</v>
      </c>
      <c r="AF9" s="1840" t="s">
        <v>588</v>
      </c>
      <c r="AG9" s="1840" t="s">
        <v>1054</v>
      </c>
      <c r="AH9" s="1757"/>
      <c r="AI9" s="769"/>
      <c r="AV9" s="702" t="s">
        <v>519</v>
      </c>
      <c r="BI9" s="1063"/>
      <c r="CB9" s="702">
        <f>SUM(BZ29:CD29)</f>
        <v>0</v>
      </c>
      <c r="CO9" s="1058" t="s">
        <v>906</v>
      </c>
      <c r="CP9" s="1059" t="s">
        <v>1072</v>
      </c>
      <c r="CQ9" s="1059" t="s">
        <v>907</v>
      </c>
      <c r="CR9" s="1059" t="s">
        <v>908</v>
      </c>
      <c r="CS9" s="1059" t="s">
        <v>909</v>
      </c>
      <c r="CT9" s="1059" t="s">
        <v>1080</v>
      </c>
      <c r="CU9" s="1059" t="s">
        <v>1081</v>
      </c>
      <c r="CV9" s="1060" t="s">
        <v>910</v>
      </c>
      <c r="CW9" s="702" t="s">
        <v>92</v>
      </c>
      <c r="GA9" s="769"/>
      <c r="GB9" s="769"/>
      <c r="GC9" s="769"/>
      <c r="GD9" s="769"/>
      <c r="GE9" s="769"/>
      <c r="GF9" s="769"/>
      <c r="GG9" s="769"/>
      <c r="GH9" s="769"/>
      <c r="GI9" s="769"/>
      <c r="GJ9" s="769"/>
      <c r="GK9" s="769"/>
      <c r="GL9" s="769"/>
      <c r="GM9" s="769"/>
      <c r="GN9" s="769"/>
      <c r="GO9" s="769"/>
      <c r="GP9" s="769"/>
      <c r="GQ9" s="769"/>
      <c r="GR9" s="769"/>
      <c r="GS9" s="769"/>
      <c r="GT9" s="769"/>
      <c r="GU9" s="769"/>
      <c r="GV9" s="769"/>
      <c r="GW9" s="769"/>
      <c r="GX9" s="769"/>
      <c r="GY9" s="769"/>
      <c r="GZ9" s="769"/>
      <c r="HA9" s="769"/>
      <c r="HB9" s="769"/>
      <c r="HC9" s="769"/>
      <c r="HD9" s="769"/>
      <c r="HE9" s="769"/>
      <c r="HF9" s="769"/>
      <c r="HG9" s="769"/>
      <c r="HH9" s="769"/>
      <c r="HI9" s="769"/>
      <c r="HJ9" s="769"/>
      <c r="HK9" s="769"/>
      <c r="HL9" s="769"/>
      <c r="HM9" s="769"/>
      <c r="HN9" s="769"/>
      <c r="HO9" s="769"/>
      <c r="HP9" s="769"/>
      <c r="HQ9" s="769"/>
      <c r="HR9" s="769"/>
      <c r="HS9" s="769"/>
      <c r="HT9" s="769"/>
      <c r="HU9" s="769"/>
      <c r="HV9" s="769"/>
      <c r="HW9" s="769"/>
      <c r="HX9" s="769"/>
      <c r="HY9" s="769"/>
      <c r="HZ9" s="769"/>
      <c r="IA9" s="769"/>
      <c r="IB9" s="769"/>
      <c r="IC9" s="769"/>
      <c r="ID9" s="769"/>
    </row>
    <row r="10" spans="2:238" s="702" customFormat="1" ht="20.149999999999999" customHeight="1" thickBot="1" x14ac:dyDescent="0.4">
      <c r="B10" s="1956"/>
      <c r="C10" s="1958"/>
      <c r="D10" s="1872"/>
      <c r="E10" s="1873"/>
      <c r="F10" s="1867"/>
      <c r="G10" s="1634"/>
      <c r="H10" s="1974"/>
      <c r="I10" s="1976"/>
      <c r="J10" s="1867"/>
      <c r="K10" s="1867"/>
      <c r="L10" s="1398"/>
      <c r="M10" s="871"/>
      <c r="N10" s="1861"/>
      <c r="O10" s="1780" t="s">
        <v>47</v>
      </c>
      <c r="P10" s="1640" t="s">
        <v>556</v>
      </c>
      <c r="Q10" s="1639" t="s">
        <v>47</v>
      </c>
      <c r="R10" s="1781" t="s">
        <v>556</v>
      </c>
      <c r="S10" s="1399" t="s">
        <v>47</v>
      </c>
      <c r="T10" s="1400" t="s">
        <v>42</v>
      </c>
      <c r="U10" s="1779" t="s">
        <v>47</v>
      </c>
      <c r="V10" s="1778" t="s">
        <v>42</v>
      </c>
      <c r="W10" s="1779" t="s">
        <v>47</v>
      </c>
      <c r="X10" s="1778" t="s">
        <v>42</v>
      </c>
      <c r="Y10" s="1401" t="s">
        <v>47</v>
      </c>
      <c r="Z10" s="1400" t="s">
        <v>42</v>
      </c>
      <c r="AA10" s="1399" t="s">
        <v>496</v>
      </c>
      <c r="AB10" s="1402" t="s">
        <v>42</v>
      </c>
      <c r="AC10" s="1915"/>
      <c r="AD10" s="1913"/>
      <c r="AE10" s="1859"/>
      <c r="AF10" s="1841"/>
      <c r="AG10" s="1841"/>
      <c r="AH10" s="1760"/>
      <c r="AI10" s="769"/>
      <c r="AO10" s="1839" t="s">
        <v>1059</v>
      </c>
      <c r="AP10" s="1839"/>
      <c r="AQ10" s="702" t="s">
        <v>582</v>
      </c>
      <c r="AY10" s="702" t="s">
        <v>516</v>
      </c>
      <c r="BD10" s="702" t="s">
        <v>82</v>
      </c>
      <c r="BE10" s="702" t="s">
        <v>580</v>
      </c>
      <c r="BF10" s="702" t="s">
        <v>578</v>
      </c>
      <c r="BG10" s="702" t="s">
        <v>587</v>
      </c>
      <c r="BH10" s="702" t="s">
        <v>386</v>
      </c>
      <c r="BI10" s="702" t="s">
        <v>227</v>
      </c>
      <c r="BJ10" s="702" t="s">
        <v>228</v>
      </c>
      <c r="BK10" s="702" t="s">
        <v>229</v>
      </c>
      <c r="BL10" s="702" t="s">
        <v>230</v>
      </c>
      <c r="BM10" s="702" t="s">
        <v>231</v>
      </c>
      <c r="BN10" s="702" t="s">
        <v>232</v>
      </c>
      <c r="BO10" s="702" t="s">
        <v>114</v>
      </c>
      <c r="BP10" s="702" t="s">
        <v>497</v>
      </c>
      <c r="BQ10" s="702" t="s">
        <v>590</v>
      </c>
      <c r="BR10" s="702" t="s">
        <v>585</v>
      </c>
      <c r="BT10" s="702" t="s">
        <v>98</v>
      </c>
      <c r="BU10" s="702" t="s">
        <v>80</v>
      </c>
      <c r="BW10" s="702" t="s">
        <v>589</v>
      </c>
      <c r="BX10" s="702" t="s">
        <v>106</v>
      </c>
      <c r="BY10" s="702" t="s">
        <v>82</v>
      </c>
      <c r="BZ10" s="702" t="s">
        <v>1073</v>
      </c>
      <c r="CA10" s="702" t="s">
        <v>222</v>
      </c>
      <c r="CB10" s="702" t="s">
        <v>355</v>
      </c>
      <c r="CC10" s="702" t="s">
        <v>405</v>
      </c>
      <c r="CD10" s="702" t="s">
        <v>33</v>
      </c>
      <c r="CE10" s="702" t="s">
        <v>360</v>
      </c>
      <c r="CF10" s="702" t="s">
        <v>67</v>
      </c>
      <c r="CG10" s="702" t="s">
        <v>148</v>
      </c>
      <c r="CH10" s="702" t="s">
        <v>370</v>
      </c>
      <c r="CI10" s="702" t="s">
        <v>500</v>
      </c>
      <c r="CJ10" s="702" t="s">
        <v>492</v>
      </c>
      <c r="CK10" s="702" t="s">
        <v>409</v>
      </c>
      <c r="CL10" s="702" t="s">
        <v>86</v>
      </c>
      <c r="CM10" s="702" t="s">
        <v>80</v>
      </c>
      <c r="CO10" s="1061" t="s">
        <v>904</v>
      </c>
      <c r="CP10" s="702" t="s">
        <v>904</v>
      </c>
      <c r="CQ10" s="702" t="s">
        <v>904</v>
      </c>
      <c r="CR10" s="702" t="s">
        <v>905</v>
      </c>
      <c r="CS10" s="702" t="s">
        <v>905</v>
      </c>
      <c r="CT10" s="702" t="s">
        <v>905</v>
      </c>
      <c r="CU10" s="702" t="s">
        <v>905</v>
      </c>
      <c r="CV10" s="1062"/>
      <c r="GA10" s="769"/>
      <c r="GB10" s="769"/>
      <c r="GC10" s="769"/>
      <c r="GD10" s="769"/>
      <c r="GE10" s="769"/>
      <c r="GF10" s="769"/>
      <c r="GG10" s="769"/>
      <c r="GH10" s="769"/>
      <c r="GI10" s="769"/>
      <c r="GJ10" s="769"/>
      <c r="GK10" s="769"/>
      <c r="GL10" s="769"/>
      <c r="GM10" s="769"/>
      <c r="GN10" s="769"/>
      <c r="GO10" s="769"/>
      <c r="GP10" s="769"/>
      <c r="GQ10" s="769"/>
      <c r="GR10" s="769"/>
      <c r="GS10" s="769"/>
      <c r="GT10" s="769"/>
      <c r="GU10" s="769"/>
      <c r="GV10" s="769"/>
      <c r="GW10" s="769"/>
      <c r="GX10" s="769"/>
      <c r="GY10" s="769"/>
      <c r="GZ10" s="769"/>
      <c r="HA10" s="769"/>
      <c r="HB10" s="769"/>
      <c r="HC10" s="769"/>
      <c r="HD10" s="769"/>
      <c r="HE10" s="769"/>
      <c r="HF10" s="769"/>
      <c r="HG10" s="769"/>
      <c r="HH10" s="769"/>
      <c r="HI10" s="769"/>
      <c r="HJ10" s="769"/>
      <c r="HK10" s="769"/>
      <c r="HL10" s="769"/>
      <c r="HM10" s="769"/>
      <c r="HN10" s="769"/>
      <c r="HO10" s="769"/>
      <c r="HP10" s="769"/>
      <c r="HQ10" s="769"/>
      <c r="HR10" s="769"/>
      <c r="HS10" s="769"/>
      <c r="HT10" s="769"/>
      <c r="HU10" s="769"/>
      <c r="HV10" s="769"/>
      <c r="HW10" s="769"/>
      <c r="HX10" s="769"/>
      <c r="HY10" s="769"/>
      <c r="HZ10" s="769"/>
      <c r="IA10" s="769"/>
      <c r="IB10" s="769"/>
      <c r="IC10" s="769"/>
      <c r="ID10" s="769"/>
    </row>
    <row r="11" spans="2:238" s="702" customFormat="1" ht="20.149999999999999" customHeight="1" x14ac:dyDescent="0.35">
      <c r="B11" s="193" t="s">
        <v>1114</v>
      </c>
      <c r="C11" s="1786"/>
      <c r="D11" s="1977"/>
      <c r="E11" s="1978"/>
      <c r="F11" s="121"/>
      <c r="G11" s="777"/>
      <c r="H11" s="214"/>
      <c r="I11" s="779"/>
      <c r="J11" s="127"/>
      <c r="K11" s="1225"/>
      <c r="L11" s="30"/>
      <c r="M11" s="121"/>
      <c r="N11" s="394"/>
      <c r="O11" s="1788">
        <v>9</v>
      </c>
      <c r="P11" s="470"/>
      <c r="Q11" s="1789">
        <v>10</v>
      </c>
      <c r="R11" s="1782"/>
      <c r="S11" s="176">
        <v>1</v>
      </c>
      <c r="T11" s="555">
        <f t="shared" ref="T11:T35" si="0">K11</f>
        <v>0</v>
      </c>
      <c r="U11" s="1783">
        <v>2</v>
      </c>
      <c r="V11" s="1785"/>
      <c r="W11" s="1783">
        <v>3</v>
      </c>
      <c r="X11" s="531"/>
      <c r="Y11" s="30"/>
      <c r="Z11" s="377"/>
      <c r="AA11" s="176"/>
      <c r="AB11" s="278"/>
      <c r="AC11" s="1380">
        <f>IF(BG11=0,0,SUM(BD11:BE11)/BG11)</f>
        <v>0</v>
      </c>
      <c r="AD11" s="906">
        <f>((D11*F11/324)*(1+K$71)+AV11)</f>
        <v>0</v>
      </c>
      <c r="AE11" s="1633">
        <f>IF(D11=0,0,AF11/D11)</f>
        <v>0</v>
      </c>
      <c r="AF11" s="155">
        <f>SUM(BW11)*(1+M$64+Summary!P$64)</f>
        <v>0</v>
      </c>
      <c r="AG11" s="632" t="e">
        <f t="shared" ref="AG11:AG48" si="1">D11/AD11</f>
        <v>#DIV/0!</v>
      </c>
      <c r="AH11" s="1758">
        <f>AF11*G11</f>
        <v>0</v>
      </c>
      <c r="AI11" s="769"/>
      <c r="AO11" s="702">
        <f>IF(O11=1,P11*$T$52,0)+IF(O11=2,P11*$T$53,0)+IF(O11=3,P11*$T$54,0)+IF(O11=4,P11*$T$55,0)+IF(O11=5,P11*$T$56,0)+IF(O11=6,P11*$T$57,0)+IF(O11=7,P11*$T$58,0)+IF(O11=8,P11*$T$59,0)+IF(O11=9,P11*$T$60,0)+IF(O11=10,P11*$T$61,0)</f>
        <v>0</v>
      </c>
      <c r="AP11" s="702">
        <f>IF(Q11=1,R11*$T$52,0)+IF(Q11=2,R11*$T$53,0)+IF(Q11=3,R11*$T$54,0)+IF(Q11=4,R11*$T$55,0)+IF(Q11=5,R11*$T$56,0)+IF(Q11=6,R11*$T$57,0)+IF(Q11=7,R11*$T$58,0)+IF(Q11=8,R11*$T$59,0)+IF(Q11=9,R11*$T$60,0)+IF(Q11=10,R11*$T$61,0)</f>
        <v>0</v>
      </c>
      <c r="AQ11" s="702">
        <f>IF(S11=1,T11*$T$52,0)+IF(S11=2,T11*$T$53,0)+IF(S11=3,T11*$T$54,0)+IF(S11=4,T11*$T$55,0)+IF(S11=5,T11*$T$56,0)+IF(S11=6,T11*$T$57,0)+IF(S11=7,T11*$T$58,0)+IF(S11=8,T11*$T$59,0)+IF(S11=9,T11*$T$60,0)+IF(S11=10,T11*$T$61,0)</f>
        <v>0</v>
      </c>
      <c r="AR11" s="702">
        <f>IF(U11=1,V11*$T$52,0)+IF(U11=2,V11*$T$53,0)+IF(U11=3,V11*$T$54,0)+IF(U11=4,V11*$T$55,0)+IF(U11=5,V11*$T$56,0)+IF(U11=6,V11*$T$57,0)+IF(U11=7,V11*$T$58,0)+IF(U11=8,V11*$T$59,0)+IF(U11=9,V11*$T$60,0)+IF(U11=10,V11*$T$61,0)</f>
        <v>0</v>
      </c>
      <c r="AS11" s="702">
        <f>IF(W11=1,X11*$T$52,0)+IF(W11=2,X11*$T$53,0)+IF(W11=3,X11*$T$54,0)+IF(W11=4,X11*$T$55,0)+IF(W11=5,X11*$T$56,0)+IF(W11=6,X11*$T$57,0)+IF(W11=7,X11*$T$58,0)+IF(W11=8,X11*$T$59,0)+IF(W11=9,X11*$T$60,0)+IF(W11=10,X11*$T$61,0)</f>
        <v>0</v>
      </c>
      <c r="AT11" s="702">
        <f>IF(Y11=1,Z11*$T$52,0)+IF(Y11=2,Z11*$T$53,0)+IF(Y11=3,Z11*$T$54,0)+IF(Y11=4,Z11*$T$55,0)+IF(Y11=5,Z11*$T$56,0)+IF(Y11=6,Z11*$T$57,0)+IF(Y11=7,Z11*$T$58,0)+IF(Y11=8,Z11*$T$59,0)+IF(Y11=9,Z11*$T$60,0)+IF(Y11=10,Z11*$T$61,0)</f>
        <v>0</v>
      </c>
      <c r="AU11" s="702">
        <f>IF(AA11=1,AB11*$T$52,0)+IF(AA11=2,AB11*$T$53,0)+IF(AA11=3,AB11*$T$54,0)+IF(AA11=4,AB11*$T$55,0)+IF(AA11=5,AB11*$T$56,0)+IF(AA11=6,AB11*$T$57,0)+IF(AA11=7,AB11*$T$58,0)+IF(AA11=8,AB11*$T$59,0)+IF(AA11=9,AB11*$T$60,0)+IF(AA11=10,AB11*$T$61,0)</f>
        <v>0</v>
      </c>
      <c r="AV11" s="1063">
        <f>SUM(AO11:AU11)</f>
        <v>0</v>
      </c>
      <c r="AW11" s="1063">
        <f>ROUNDUP(IF(O11=1,P11*$P$52,0)+IF(O11=2,P11*$P$53,0)+IF(O11=3,P11*$P$54,0)+IF(O11=4,P11*$P$55,0)+IF(O11=5,P11*$P$56,0)+IF(O11=6,P11*$P$57,0)+IF(O11=7,P11*$P$58,0)+IF(O11=8,P11*$P$59,0)+IF(O11=9,P11*$P$60,0)+IF(O11=10,P11*$P$61,0),0)*BG11</f>
        <v>0</v>
      </c>
      <c r="AX11" s="702">
        <f>ROUNDUP(IF(Q11=1,R11*$P$52,0)+IF(Q11=2,R11*$P$53,0)+IF(Q11=3,R11*$P$54,0)+IF(Q11=4,R11*$P$55,0)+IF(Q11=5,R11*$P$56,0)+IF(Q11=6,R11*$P$57,0)+IF(Q11=7,R11*$P$58,0)+IF(Q11=8,R11*$P$59,0)+IF(Q11=9,R11*$P$60,0)+IF(Q11=10,R11*$P$61,0),0)</f>
        <v>0</v>
      </c>
      <c r="AY11" s="702">
        <f>ROUNDUP(IF(S11=1,T11*$P$52,0)+IF(S11=2,T11*$P$53,0)+IF(S11=3,T11*$P$54,0)+IF(S11=4,T11*$P$55,0)+IF(S11=5,T11*$P$56,0)+IF(S11=6,T11*$P$57,0)+IF(S11=7,T11*$P$58,0)+IF(S11=8,T11*$P$59,0)+IF(S11=9,T11*$P$60,0)+IF(S11=10,T11*$P$61,0),0)</f>
        <v>0</v>
      </c>
      <c r="AZ11" s="702">
        <f>ROUNDUP(IF(U11=1,V11*$P$52,0)+IF(U11=2,V11*$P$53,0)+IF(U11=3,V11*$P$54,0)+IF(U11=4,V11*$P$55,0)+IF(U11=5,V11*$P$56,0)+IF(U11=6,V11*$P$57,0)+IF(U11=7,V11*$P$58,0)+IF(U11=8,V11*$P$59,0)+IF(U11=9,V11*$P$60,0)+IF(U11=10,V11*$P$61,0),0)</f>
        <v>0</v>
      </c>
      <c r="BA11" s="702">
        <f>ROUNDUP(IF(W11=1,X11*$P$52,0)+IF(W11=2,X11*$P$53,0)+IF(W11=3,X11*$P$54,0)+IF(W11=4,X11*$P$55,0)+IF(W11=5,X11*$P$56,0)+IF(W11=6,X11*$P$57,0)+IF(W11=7,X11*$P$58,0)+IF(W11=8,X11*$P$59,0)+IF(W11=9,X11*$P$60,0)+IF(W11=10,X11*$P$61,0),0)</f>
        <v>0</v>
      </c>
      <c r="BB11" s="702">
        <f>ROUNDUP(IF(Y11=1,Z11*$P$52,0)+IF(Y11=2,Z11*$P$53,0)+IF(Y11=3,Z11*$P$54,0)+IF(Y11=4,Z11*$P$55,0)+IF(Y11=5,Z11*$P$56,0)+IF(Y11=6,Z11*$P$57,0)+IF(Y11=7,Z11*$P$58,0)+IF(Y11=8,Z11*$P$59,0)+IF(Y11=9,Z11*$P$60,0)+IF(Y11=10,Z11*$P$61,0),0)</f>
        <v>0</v>
      </c>
      <c r="BC11" s="702">
        <f>ROUNDUP(IF(AA11=1,AB11*$P$52,0)+IF(AA11=2,AB11*$P$53,0)+IF(AA11=3,AB11*$P$54,0)+IF(AA11=4,AB11*$P$55,0)+IF(AA11=5,AB11*$P$56,0)+IF(AA11=6,AB11*$P$57,0)+IF(AA11=7,AB11*$P$58,0)+IF(AA11=8,AB11*$P$59,0)+IF(AA11=9,AB11*$P$60,0)+IF(AA11=10,AB11*$P$61,0),0)</f>
        <v>0</v>
      </c>
      <c r="BD11" s="1063">
        <f>SUM(AW11:BC11)*BG11</f>
        <v>0</v>
      </c>
      <c r="BE11" s="1064">
        <f>IF(M11=0,0,(M11/12+M11/12)/(M11/12*M11/12)*D11*((L11/16*L11/16)*10.6870159))*(1+K$74)*BG11</f>
        <v>0</v>
      </c>
      <c r="BF11" s="1063">
        <f>IF(N11="Y",D11*(1+K$75)*BG11,0)</f>
        <v>0</v>
      </c>
      <c r="BG11" s="1065">
        <f>G11</f>
        <v>0</v>
      </c>
      <c r="BH11" s="702">
        <f>IF(N11="y",D11,0)</f>
        <v>0</v>
      </c>
      <c r="BI11" s="1063">
        <f>IF($I11=1,$AD11,0)*BG11</f>
        <v>0</v>
      </c>
      <c r="BJ11" s="1063">
        <f>IF($I11=2,$AD11,0)*BG11</f>
        <v>0</v>
      </c>
      <c r="BK11" s="1063">
        <f>IF($I11=3,$AD11,0)*BG11</f>
        <v>0</v>
      </c>
      <c r="BL11" s="1063">
        <f>IF($I11=4,$AD11,0)*BG11</f>
        <v>0</v>
      </c>
      <c r="BM11" s="1063">
        <f>IF($I11=5,$AD11,0)*BG11</f>
        <v>0</v>
      </c>
      <c r="BN11" s="1064">
        <f>IF($I11=6,$AD11,0)*BG11</f>
        <v>0</v>
      </c>
      <c r="BO11" s="1761">
        <f>SUM(BI11:BN11)</f>
        <v>0</v>
      </c>
      <c r="BP11" s="1063">
        <f>IF(H11="N",0,D11)*BG11</f>
        <v>0</v>
      </c>
      <c r="BQ11" s="1064">
        <f>K11*BG11</f>
        <v>0</v>
      </c>
      <c r="BR11" s="1063">
        <f>IF(O11=1,D$52*P11/12,IF(O11=2,D$53*P11/12,IF(O11=3,D$54*P11/12,IF(O11=4,D$55*P11/12,IF(O11=5,D$56*P11/12,IF(O11=6,D$57*P11/12,IF(O11=7,D$58*P11/12,IF(O11=8,D$59*P11/12,IF(O11=9,D$60*P11/12,IF(O11=10,D$61*P11/12,0))))))*BG11))))</f>
        <v>0</v>
      </c>
      <c r="BS11" s="1063">
        <f>IF(Q11=1,D$52*R11/12,IF(Q11=2,D$53*R11/12,IF(Q11=3,D$54*R11/12,IF(Q11=4,D$55*R11/12,IF(Q11=5,D$56*R11/12,IF(Q11=6,D$57*R11/12,IF(Q11=7,D$58*R11/12,IF(Q11=8,D$59*R11/12,IF(Q11=9,D$60*R11/12,IF(Q11=10,D$61*R11/12,0))))))*BG11))))</f>
        <v>0</v>
      </c>
      <c r="BT11" s="1064">
        <f>D11*BG11</f>
        <v>0</v>
      </c>
      <c r="BU11" s="1064">
        <f>D11*J11/324*(1+K$77)*BG11</f>
        <v>0</v>
      </c>
      <c r="BV11" s="1064">
        <f>AC11*BG11</f>
        <v>0</v>
      </c>
      <c r="BW11" s="1066">
        <f>IF(BG11=0,0,SUM(BX11:CM11)/BG11)</f>
        <v>0</v>
      </c>
      <c r="BX11" s="1063">
        <f>(BI11*Pricing!F$2+BJ11*Pricing!G$2+BK11*Pricing!H$2+BL11*Pricing!I$2+BM11*Pricing!J$2+BN11*Pricing!K$2)*IF(AC$63="N",(1+AE$63),1)</f>
        <v>0</v>
      </c>
      <c r="BY11" s="1063">
        <f>AC11*G$74*IF(AC$63="n",1+AE$63,1)*BG11</f>
        <v>0</v>
      </c>
      <c r="BZ11" s="1063">
        <f>IF(I$83=0,0,D11*(SUM(L$83:M$86)+L$88)/I$83*BG11)</f>
        <v>0</v>
      </c>
      <c r="CA11" s="1063">
        <f>IF(I$83=0,0,D11*(SUM(O$83:P$86)+O$88)/I$83*BG11)</f>
        <v>0</v>
      </c>
      <c r="CB11" s="1067">
        <f>BR11*E$87</f>
        <v>0</v>
      </c>
      <c r="CD11" s="702">
        <f>BD11/2000*E$89</f>
        <v>0</v>
      </c>
      <c r="CE11" s="1063">
        <f t="shared" ref="CE11:CE48" si="2">IF(D$49=0,0,SUM(O$92:P$96)/D$49*D11)*BG11</f>
        <v>0</v>
      </c>
      <c r="CF11" s="1063">
        <f t="shared" ref="CF11:CF48" si="3">IF(D$49=0,0,SUM(AF$72:AF$99)/D$49*D11*BG11)</f>
        <v>0</v>
      </c>
      <c r="CG11" s="1063">
        <f t="shared" ref="CG11:CG48" si="4">IF(D$49=0,0,SUM(O$98:P$103)/D$49*D11)*BG11</f>
        <v>0</v>
      </c>
      <c r="CH11" s="702">
        <f t="shared" ref="CH11:CH48" si="5">IF(D$49=0,0,SUM(O$105:O$111)/D$49)*D11*BG11</f>
        <v>0</v>
      </c>
      <c r="CI11" s="1063">
        <f t="shared" ref="CI11:CI48" si="6">IF(D$49=0,0,SUM(AF$100:AF$111)/D$49*D11*BG11)</f>
        <v>0</v>
      </c>
      <c r="CJ11" s="702">
        <f>IF(J$76&gt;0,J$76/D$49*D11*G11,BP11*(G$76*(1+AE$63)))</f>
        <v>0</v>
      </c>
      <c r="CK11" s="1063">
        <f>IF(L$78=0,0,O$78/L$78)*AW11+IF(L$79=0,0,O$79/L$79)*BC11+IF(L$80=0,0,O$80/L$80)*BC11</f>
        <v>0</v>
      </c>
      <c r="CL11" s="704">
        <f>BF11*G$75*IF(AC$63="Y",1,1+AE$63)</f>
        <v>0</v>
      </c>
      <c r="CM11" s="702">
        <f>BU11*G$77*IF(AC$63="Y",1,1+AE$63)</f>
        <v>0</v>
      </c>
      <c r="CO11" s="1061">
        <f>IF(O11=1,P11*$AM$52,0)+IF(O11=2,P11*$AM$53,0)+IF(O11=3,P11*$AM$54,0)+IF(O11=4,P11*$AM$55,0)+IF(O11=5,P11*$AM$56,0)+IF(O11=6,P11*$AM$57,0)+IF(O11=7,P11*$AM$58,0)+IF(O11=8,P11*$AM$59,0)+IF(O11=9,P11*$AM$60,0)+IF(O11=10,P11*$AM$61,0)</f>
        <v>0</v>
      </c>
      <c r="CP11" s="702">
        <f>IF(Q11=1,R11*$AM$52,0)+IF(Q11=2,R11*$AM$53,0)+IF(Q11=3,R11*$AM$54,0)+IF(Q11=4,R11*$AM$55,0)+IF(Q11=5,R11*$AM$56,0)+IF(Q11=6,R11*$AM$57,0)+IF(Q11=7,R11*$AM$58,0)+IF(Q11=8,R11*$AM$59,0)+IF(Q11=9,R11*$AM$60,0)+IF(Q11=10,R11*$AM$61,0)</f>
        <v>0</v>
      </c>
      <c r="CQ11" s="702">
        <f>IF(S11=1,T11*$AM$52,0)+IF(S11=2,T11*$AM$53,0)+IF(S11=3,T11*$AM$54,0)+IF(S11=4,T11*$AM$55,0)+IF(S11=5,T11*$AM$56,0)+IF(S11=6,T11*$AM$57,0)+IF(S11=7,T11*$AM$58,0)+IF(S11=8,T11*$AM$59,0)+IF(S11=9,T11*$AM$60,0)+IF(S11=10,T11*$AM$61,0)</f>
        <v>0</v>
      </c>
      <c r="CR11" s="702">
        <f>IF(U11=1,V11*$AM$52,0)+IF(U11=2,V11*$AM$53,0)+IF(U11=3,V11*$AM$54,0)+IF(U11=4,V11*$AM$55,0)+IF(U11=5,V11*$AM$56,0)+IF(U11=6,V11*$AM$57,0)+IF(U11=7,V11*$AM$58,0)+IF(U11=8,V11*$AM$59,0)+IF(U11=9,V11*$AM$60,0)+IF(U11=10,V11*$AM$61,0)</f>
        <v>0</v>
      </c>
      <c r="CS11" s="702">
        <f>IF(W11=1,X11*$AM$52,0)+IF(W11=2,X11*$AM$53,0)+IF(W11=3,X11*$AM$54,0)+IF(W11=4,X11*$AM$55,0)+IF(W11=5,X11*$AM$56,0)+IF(W11=6,X11*$AM$57,0)+IF(W11=7,X11*$AM$58,0)+IF(W11=8,X11*$AM$59,0)+IF(W11=9,X11*$AM$60,0)+IF(W11=10,X11*$AM$61,0)</f>
        <v>0</v>
      </c>
      <c r="CT11" s="702">
        <f>IF(Y11=1,Z11*$AM$52,0)+IF(Y11=2,Z11*$AM$53,0)+IF(Y11=3,Z11*$AM$54,0)+IF(Y11=4,Z11*$AM$55,0)+IF(Y11=5,Z11*$AM$56,0)+IF(Y11=6,Z11*$AM$57,0)+IF(Y11=7,Z11*$AM$58,0)+IF(Y11=8,Z11*$AM$59,0)+IF(Y11=9,Z11*$AM$60,0)+IF(Y11=10,Z11*$AM$61,0)</f>
        <v>0</v>
      </c>
      <c r="CU11" s="702">
        <f>IF(AA11=1,AB11*$AM$52,0)+IF(AA11=2,AB11*$AM$53,0)+IF(AA11=3,AB11*$AM$54,0)+IF(AA11=4,AB11*$AM$55,0)+IF(AA11=5,AB11*$AM$56,0)+IF(AA11=6,AB11*$AM$57,0)+IF(AA11=7,AB11*$AM$58,0)+IF(AA11=8,AB11*$AM$59,0)+IF(AA11=9,AB11*$AM$60,0)+IF(AA11=10,AB11*$AM$61,0)</f>
        <v>0</v>
      </c>
      <c r="CV11" s="1068">
        <f t="shared" ref="CV11:CV48" si="7">D11</f>
        <v>0</v>
      </c>
      <c r="CW11" s="1064">
        <f>SUM(CO11:CV11)*BG11</f>
        <v>0</v>
      </c>
      <c r="FU11" s="701"/>
      <c r="FV11" s="701"/>
      <c r="FW11" s="701"/>
      <c r="FX11" s="701"/>
      <c r="FY11" s="701"/>
      <c r="FZ11" s="701"/>
      <c r="GA11" s="701"/>
      <c r="GB11" s="701"/>
      <c r="GC11" s="701"/>
      <c r="GD11" s="701"/>
      <c r="GE11" s="701"/>
      <c r="GF11" s="701"/>
      <c r="GG11" s="701"/>
      <c r="GH11" s="701"/>
      <c r="GI11" s="701"/>
      <c r="GJ11" s="701"/>
      <c r="GK11" s="701"/>
      <c r="GL11" s="701"/>
      <c r="GM11" s="701"/>
      <c r="GN11" s="701"/>
      <c r="GO11" s="701"/>
      <c r="GP11" s="701"/>
      <c r="GQ11" s="701"/>
      <c r="GR11" s="701"/>
      <c r="GS11" s="701"/>
      <c r="GT11" s="701"/>
      <c r="GU11" s="701"/>
      <c r="GV11" s="701"/>
      <c r="GW11" s="701"/>
      <c r="GX11" s="701"/>
      <c r="GY11" s="701"/>
      <c r="GZ11" s="701"/>
      <c r="HA11" s="701"/>
      <c r="HB11" s="701"/>
      <c r="HC11" s="701"/>
      <c r="HD11" s="701"/>
      <c r="HE11" s="701"/>
      <c r="HF11" s="701"/>
      <c r="HG11" s="701"/>
      <c r="HH11" s="701"/>
      <c r="HI11" s="701"/>
      <c r="HJ11" s="701"/>
      <c r="HK11" s="701"/>
      <c r="HL11" s="701"/>
      <c r="HM11" s="701"/>
      <c r="HN11" s="701"/>
      <c r="HO11" s="701"/>
      <c r="HP11" s="701"/>
      <c r="HQ11" s="701"/>
      <c r="HR11" s="701"/>
      <c r="HS11" s="701"/>
      <c r="HT11" s="701"/>
      <c r="HU11" s="701"/>
      <c r="HV11" s="701"/>
      <c r="HW11" s="701"/>
      <c r="HX11" s="701"/>
    </row>
    <row r="12" spans="2:238" s="702" customFormat="1" ht="20.149999999999999" customHeight="1" x14ac:dyDescent="0.35">
      <c r="B12" s="398" t="s">
        <v>1115</v>
      </c>
      <c r="C12" s="1787"/>
      <c r="D12" s="1862"/>
      <c r="E12" s="1863"/>
      <c r="F12" s="211"/>
      <c r="G12" s="777"/>
      <c r="H12" s="97"/>
      <c r="I12" s="779"/>
      <c r="J12" s="97"/>
      <c r="K12" s="781"/>
      <c r="L12" s="32"/>
      <c r="M12" s="211"/>
      <c r="N12" s="397"/>
      <c r="O12" s="1790">
        <v>9</v>
      </c>
      <c r="P12" s="1791"/>
      <c r="Q12" s="1792">
        <v>10</v>
      </c>
      <c r="R12" s="1793"/>
      <c r="S12" s="180">
        <v>1</v>
      </c>
      <c r="T12" s="554">
        <f t="shared" si="0"/>
        <v>0</v>
      </c>
      <c r="U12" s="810">
        <v>2</v>
      </c>
      <c r="V12" s="1784"/>
      <c r="W12" s="810">
        <v>3</v>
      </c>
      <c r="X12" s="1784"/>
      <c r="Y12" s="32"/>
      <c r="Z12" s="371"/>
      <c r="AA12" s="180"/>
      <c r="AB12" s="280"/>
      <c r="AC12" s="1380">
        <f>IF(BG12=0,0,SUM(BD12:BE12)/BG12)</f>
        <v>0</v>
      </c>
      <c r="AD12" s="906">
        <f t="shared" ref="AD12:AD48" si="8">(D12*F12/324)*(1+K$71)+AV12</f>
        <v>0</v>
      </c>
      <c r="AE12" s="794">
        <f t="shared" ref="AE12:AE48" si="9">IF(D12=0,0,AF12/D12)</f>
        <v>0</v>
      </c>
      <c r="AF12" s="155">
        <f>SUM(BW12)*(1+M$64+Summary!P$64)</f>
        <v>0</v>
      </c>
      <c r="AG12" s="632" t="e">
        <f t="shared" si="1"/>
        <v>#DIV/0!</v>
      </c>
      <c r="AH12" s="1758">
        <f t="shared" ref="AH12:AH48" si="10">AF12*G12</f>
        <v>0</v>
      </c>
      <c r="AI12" s="769"/>
      <c r="AO12" s="702">
        <f t="shared" ref="AO12:AO48" si="11">IF(O12=1,P12*$T$52,0)+IF(O12=2,P12*$T$53,0)+IF(O12=3,P12*$T$54,0)+IF(O12=4,P12*$T$55,0)+IF(O12=5,P12*$T$56,0)+IF(O12=6,P12*$T$57,0)+IF(O12=7,P12*$T$58,0)+IF(O12=8,P12*$T$59,0)+IF(O12=9,P12*$T$60,0)+IF(O12=10,P12*$T$61,0)</f>
        <v>0</v>
      </c>
      <c r="AP12" s="702">
        <f t="shared" ref="AP12:AP48" si="12">IF(Q12=1,R12*$T$52,0)+IF(Q12=2,R12*$T$53,0)+IF(Q12=3,R12*$T$54,0)+IF(Q12=4,R12*$T$55,0)+IF(Q12=5,R12*$T$56,0)+IF(Q12=6,R12*$T$57,0)+IF(Q12=7,R12*$T$58,0)+IF(Q12=8,R12*$T$59,0)+IF(Q12=9,R12*$T$60,0)+IF(Q12=10,R12*$T$61,0)</f>
        <v>0</v>
      </c>
      <c r="AQ12" s="702">
        <f t="shared" ref="AQ12:AQ48" si="13">IF(S12=1,T12*$T$52,0)+IF(S12=2,T12*$T$53,0)+IF(S12=3,T12*$T$54,0)+IF(S12=4,T12*$T$55,0)+IF(S12=5,T12*$T$56,0)+IF(S12=6,T12*$T$57,0)+IF(S12=7,T12*$T$58,0)+IF(S12=8,T12*$T$59,0)+IF(S12=9,T12*$T$60,0)+IF(S12=10,T12*$T$61,0)</f>
        <v>0</v>
      </c>
      <c r="AR12" s="702">
        <f t="shared" ref="AR12:AR48" si="14">IF(U12=1,V12*$T$52,0)+IF(U12=2,V12*$T$53,0)+IF(U12=3,V12*$T$54,0)+IF(U12=4,V12*$T$55,0)+IF(U12=5,V12*$T$56,0)+IF(U12=6,V12*$T$57,0)+IF(U12=7,V12*$T$58,0)+IF(U12=8,V12*$T$59,0)+IF(U12=9,V12*$T$60,0)+IF(U12=10,V12*$T$61,0)</f>
        <v>0</v>
      </c>
      <c r="AS12" s="702">
        <f t="shared" ref="AS12:AS48" si="15">IF(W12=1,X12*$T$52,0)+IF(W12=2,X12*$T$53,0)+IF(W12=3,X12*$T$54,0)+IF(W12=4,X12*$T$55,0)+IF(W12=5,X12*$T$56,0)+IF(W12=6,X12*$T$57,0)+IF(W12=7,X12*$T$58,0)+IF(W12=8,X12*$T$59,0)+IF(W12=9,X12*$T$60,0)+IF(W12=10,X12*$T$61,0)</f>
        <v>0</v>
      </c>
      <c r="AT12" s="702">
        <f t="shared" ref="AT12:AT48" si="16">IF(Y12=1,Z12*$T$52,0)+IF(Y12=2,Z12*$T$53,0)+IF(Y12=3,Z12*$T$54,0)+IF(Y12=4,Z12*$T$55,0)+IF(Y12=5,Z12*$T$56,0)+IF(Y12=6,Z12*$T$57,0)+IF(Y12=7,Z12*$T$58,0)+IF(Y12=8,Z12*$T$59,0)+IF(Y12=9,Z12*$T$60,0)+IF(Y12=10,Z12*$T$61,0)</f>
        <v>0</v>
      </c>
      <c r="AU12" s="702">
        <f t="shared" ref="AU12:AU48" si="17">IF(AA12=1,AB12*$T$52,0)+IF(AA12=2,AB12*$T$53,0)+IF(AA12=3,AB12*$T$54,0)+IF(AA12=4,AB12*$T$55,0)+IF(AA12=5,AB12*$T$56,0)+IF(AA12=6,AB12*$T$57,0)+IF(AA12=7,AB12*$T$58,0)+IF(AA12=8,AB12*$T$59,0)+IF(AA12=9,AB12*$T$60,0)+IF(AA12=10,AB12*$T$61,0)</f>
        <v>0</v>
      </c>
      <c r="AV12" s="1063">
        <f t="shared" ref="AV12:AV48" si="18">SUM(AO12:AU12)</f>
        <v>0</v>
      </c>
      <c r="AW12" s="1063">
        <f t="shared" ref="AW12:AW48" si="19">ROUNDUP(IF(O12=1,P12*$P$52,0)+IF(O12=2,P12*$P$53,0)+IF(O12=3,P12*$P$54,0)+IF(O12=4,P12*$P$55,0)+IF(O12=5,P12*$P$56,0)+IF(O12=6,P12*$P$57,0)+IF(O12=7,P12*$P$58,0)+IF(O12=8,P12*$P$59,0)+IF(O12=9,P12*$P$60,0)+IF(O12=10,P12*$P$61,0),0)*BG12</f>
        <v>0</v>
      </c>
      <c r="AX12" s="702">
        <f t="shared" ref="AX12:AX48" si="20">ROUNDUP(IF(Q12=1,R12*$P$52,0)+IF(Q12=2,R12*$P$53,0)+IF(Q12=3,R12*$P$54,0)+IF(Q12=4,R12*$P$55,0)+IF(Q12=5,R12*$P$56,0)+IF(Q12=6,R12*$P$57,0)+IF(Q12=7,R12*$P$58,0)+IF(Q12=8,R12*$P$59,0)+IF(Q12=9,R12*$P$60,0)+IF(Q12=10,R12*$P$61,0),0)</f>
        <v>0</v>
      </c>
      <c r="AY12" s="702">
        <f t="shared" ref="AY12:AY48" si="21">ROUNDUP(IF(S12=1,T12*$P$52,0)+IF(S12=2,T12*$P$53,0)+IF(S12=3,T12*$P$54,0)+IF(S12=4,T12*$P$55,0)+IF(S12=5,T12*$P$56,0)+IF(S12=6,T12*$P$57,0)+IF(S12=7,T12*$P$58,0)+IF(S12=8,T12*$P$59,0)+IF(S12=9,T12*$P$60,0)+IF(S12=10,T12*$P$61,0),0)</f>
        <v>0</v>
      </c>
      <c r="AZ12" s="702">
        <f t="shared" ref="AZ12:AZ48" si="22">ROUNDUP(IF(U12=1,V12*$P$52,0)+IF(U12=2,V12*$P$53,0)+IF(U12=3,V12*$P$54,0)+IF(U12=4,V12*$P$55,0)+IF(U12=5,V12*$P$56,0)+IF(U12=6,V12*$P$57,0)+IF(U12=7,V12*$P$58,0)+IF(U12=8,V12*$P$59,0)+IF(U12=9,V12*$P$60,0)+IF(U12=10,V12*$P$61,0),0)</f>
        <v>0</v>
      </c>
      <c r="BA12" s="702">
        <f t="shared" ref="BA12:BA48" si="23">ROUNDUP(IF(W12=1,X12*$P$52,0)+IF(W12=2,X12*$P$53,0)+IF(W12=3,X12*$P$54,0)+IF(W12=4,X12*$P$55,0)+IF(W12=5,X12*$P$56,0)+IF(W12=6,X12*$P$57,0)+IF(W12=7,X12*$P$58,0)+IF(W12=8,X12*$P$59,0)+IF(W12=9,X12*$P$60,0)+IF(W12=10,X12*$P$61,0),0)</f>
        <v>0</v>
      </c>
      <c r="BB12" s="702">
        <f t="shared" ref="BB12:BB48" si="24">ROUNDUP(IF(Y12=1,Z12*$P$52,0)+IF(Y12=2,Z12*$P$53,0)+IF(Y12=3,Z12*$P$54,0)+IF(Y12=4,Z12*$P$55,0)+IF(Y12=5,Z12*$P$56,0)+IF(Y12=6,Z12*$P$57,0)+IF(Y12=7,Z12*$P$58,0)+IF(Y12=8,Z12*$P$59,0)+IF(Y12=9,Z12*$P$60,0)+IF(Y12=10,Z12*$P$61,0),0)</f>
        <v>0</v>
      </c>
      <c r="BC12" s="702">
        <f t="shared" ref="BC12:BC48" si="25">ROUNDUP(IF(AA12=1,AB12*$P$52,0)+IF(AA12=2,AB12*$P$53,0)+IF(AA12=3,AB12*$P$54,0)+IF(AA12=4,AB12*$P$55,0)+IF(AA12=5,AB12*$P$56,0)+IF(AA12=6,AB12*$P$57,0)+IF(AA12=7,AB12*$P$58,0)+IF(AA12=8,AB12*$P$59,0)+IF(AA12=9,AB12*$P$60,0)+IF(AA12=10,AB12*$P$61,0),0)</f>
        <v>0</v>
      </c>
      <c r="BD12" s="1063">
        <f t="shared" ref="BD12:BD48" si="26">SUM(AW12:BC12)*BG12</f>
        <v>0</v>
      </c>
      <c r="BE12" s="1064">
        <f t="shared" ref="BE12:BE48" si="27">IF(M12=0,0,(M12/12+M12/12)/(M12/12*M12/12)*D12*((L12/16*L12/16)*10.6870159))*(1+K$74)*BG12</f>
        <v>0</v>
      </c>
      <c r="BF12" s="1063">
        <f t="shared" ref="BF12:BF48" si="28">IF(N12="Y",D12*(1+K$75)*BG12,0)</f>
        <v>0</v>
      </c>
      <c r="BG12" s="1065">
        <f t="shared" ref="BG12:BG48" si="29">G12</f>
        <v>0</v>
      </c>
      <c r="BH12" s="702">
        <f t="shared" ref="BH12:BH48" si="30">IF(N12="y",D12,0)</f>
        <v>0</v>
      </c>
      <c r="BI12" s="1063">
        <f t="shared" ref="BI12:BI48" si="31">IF($I12=1,$AD12,0)*BG12</f>
        <v>0</v>
      </c>
      <c r="BJ12" s="1063">
        <f t="shared" ref="BJ12:BJ48" si="32">IF($I12=2,$AD12,0)*BG12</f>
        <v>0</v>
      </c>
      <c r="BK12" s="1063">
        <f t="shared" ref="BK12:BK48" si="33">IF($I12=3,$AD12,0)*BG12</f>
        <v>0</v>
      </c>
      <c r="BL12" s="1063">
        <f t="shared" ref="BL12:BL48" si="34">IF($I12=4,$AD12,0)*BG12</f>
        <v>0</v>
      </c>
      <c r="BM12" s="1063">
        <f t="shared" ref="BM12:BM48" si="35">IF($I12=5,$AD12,0)*BG12</f>
        <v>0</v>
      </c>
      <c r="BN12" s="1064">
        <f t="shared" ref="BN12:BN48" si="36">IF($I12=6,$AD12,0)*BG12</f>
        <v>0</v>
      </c>
      <c r="BO12" s="1761">
        <f t="shared" ref="BO12:BO48" si="37">SUM(BI12:BN12)</f>
        <v>0</v>
      </c>
      <c r="BP12" s="1063">
        <f t="shared" ref="BP12:BP48" si="38">IF(H12="N",0,D12)*BG12</f>
        <v>0</v>
      </c>
      <c r="BQ12" s="1064">
        <f t="shared" ref="BQ12:BQ48" si="39">K12*BG12</f>
        <v>0</v>
      </c>
      <c r="BR12" s="1063">
        <f t="shared" ref="BR12:BR48" si="40">IF(O12=1,D$52*P12/12,IF(O12=2,D$53*P12/12,IF(O12=3,D$54*P12/12,IF(O12=4,D$55*P12/12,IF(O12=5,D$56*P12/12,IF(O12=6,D$57*P12/12,IF(O12=7,D$58*P12/12,IF(O12=8,D$59*P12/12,IF(O12=9,D$60*P12/12,IF(O12=10,D$61*P12/12,0))))))*BG12))))</f>
        <v>0</v>
      </c>
      <c r="BS12" s="1063">
        <f t="shared" ref="BS12:BS48" si="41">IF(Q12=1,D$52*R12/12,IF(Q12=2,D$53*R12/12,IF(Q12=3,D$54*R12/12,IF(Q12=4,D$55*R12/12,IF(Q12=5,D$56*R12/12,IF(Q12=6,D$57*R12/12,IF(Q12=7,D$58*R12/12,IF(Q12=8,D$59*R12/12,IF(Q12=9,D$60*R12/12,IF(Q12=10,D$61*R12/12,0))))))*BG12))))</f>
        <v>0</v>
      </c>
      <c r="BT12" s="1064">
        <f t="shared" ref="BT12:BT48" si="42">D12*BG12</f>
        <v>0</v>
      </c>
      <c r="BU12" s="1064">
        <f t="shared" ref="BU12:BU48" si="43">D12*J12/324*(1+K$77)*BG12</f>
        <v>0</v>
      </c>
      <c r="BV12" s="1064">
        <f t="shared" ref="BV12:BV48" si="44">AC12*BG12</f>
        <v>0</v>
      </c>
      <c r="BW12" s="1066">
        <f t="shared" ref="BW12:BW48" si="45">IF(BG12=0,0,SUM(BX12:CM12)/BG12)</f>
        <v>0</v>
      </c>
      <c r="BX12" s="1063">
        <f>(BI12*Pricing!F$2+BJ12*Pricing!G$2+BK12*Pricing!H$2+BL12*Pricing!I$2+BM12*Pricing!J$2+BN12*Pricing!K$2)*IF(AC$63="N",(1+AE$63),1)</f>
        <v>0</v>
      </c>
      <c r="BY12" s="1063">
        <f t="shared" ref="BY12:BY48" si="46">AC12*G$74*IF(AC$63="n",1+AE$63,1)*BG12</f>
        <v>0</v>
      </c>
      <c r="BZ12" s="1063">
        <f t="shared" ref="BZ12:BZ48" si="47">IF(I$83=0,0,D12*(SUM(L$83:M$86)+L$88)/I$83*BG12)</f>
        <v>0</v>
      </c>
      <c r="CA12" s="1063">
        <f t="shared" ref="CA12:CA48" si="48">IF(I$83=0,0,D12*(SUM(O$83:P$86)+O$88)/I$83*BG12)</f>
        <v>0</v>
      </c>
      <c r="CB12" s="1067">
        <f t="shared" ref="CB12:CB48" si="49">BR12*E$87</f>
        <v>0</v>
      </c>
      <c r="CD12" s="702">
        <f t="shared" ref="CD12:CD48" si="50">BD12/2000*E$89</f>
        <v>0</v>
      </c>
      <c r="CE12" s="1063">
        <f t="shared" si="2"/>
        <v>0</v>
      </c>
      <c r="CF12" s="1063">
        <f t="shared" si="3"/>
        <v>0</v>
      </c>
      <c r="CG12" s="1063">
        <f t="shared" si="4"/>
        <v>0</v>
      </c>
      <c r="CH12" s="702">
        <f t="shared" si="5"/>
        <v>0</v>
      </c>
      <c r="CI12" s="1063">
        <f t="shared" si="6"/>
        <v>0</v>
      </c>
      <c r="CJ12" s="702">
        <f t="shared" ref="CJ12:CJ48" si="51">IF(J$76&gt;0,J$76/D$49*D12*G12,BP12*(G$76*(1+AE$63)))</f>
        <v>0</v>
      </c>
      <c r="CK12" s="1063">
        <f t="shared" ref="CK12:CK48" si="52">IF(L$78=0,0,O$78/L$78)*AW12+IF(L$79=0,0,O$79/L$79)*BC12+IF(L$80=0,0,O$80/L$80)*BC12</f>
        <v>0</v>
      </c>
      <c r="CL12" s="704">
        <f t="shared" ref="CL12:CL48" si="53">BF12*G$75*IF(AC$63="Y",1,1+AE$63)</f>
        <v>0</v>
      </c>
      <c r="CM12" s="702">
        <f t="shared" ref="CM12:CM48" si="54">BU12*G$77*IF(AC$63="Y",1,1+AE$63)</f>
        <v>0</v>
      </c>
      <c r="CO12" s="1061">
        <f t="shared" ref="CO12:CO48" si="55">IF(O12=1,P12*$AM$52,0)+IF(O12=2,P12*$AM$53,0)+IF(O12=3,P12*$AM$54,0)+IF(O12=4,P12*$AM$55,0)+IF(O12=5,P12*$AM$56,0)+IF(O12=6,P12*$AM$57,0)+IF(O12=7,P12*$AM$58,0)+IF(O12=8,P12*$AM$59,0)+IF(O12=9,P12*$AM$60,0)+IF(O12=10,P12*$AM$61,0)</f>
        <v>0</v>
      </c>
      <c r="CP12" s="702">
        <f t="shared" ref="CP12:CP48" si="56">IF(Q12=1,R12*$AM$52,0)+IF(Q12=2,R12*$AM$53,0)+IF(Q12=3,R12*$AM$54,0)+IF(Q12=4,R12*$AM$55,0)+IF(Q12=5,R12*$AM$56,0)+IF(Q12=6,R12*$AM$57,0)+IF(Q12=7,R12*$AM$58,0)+IF(Q12=8,R12*$AM$59,0)+IF(Q12=9,R12*$AM$60,0)+IF(Q12=10,R12*$AM$61,0)</f>
        <v>0</v>
      </c>
      <c r="CQ12" s="702">
        <f t="shared" ref="CQ12:CQ48" si="57">IF(S12=1,T12*$AM$52,0)+IF(S12=2,T12*$AM$53,0)+IF(S12=3,T12*$AM$54,0)+IF(S12=4,T12*$AM$55,0)+IF(S12=5,T12*$AM$56,0)+IF(S12=6,T12*$AM$57,0)+IF(S12=7,T12*$AM$58,0)+IF(S12=8,T12*$AM$59,0)+IF(S12=9,T12*$AM$60,0)+IF(S12=10,T12*$AM$61,0)</f>
        <v>0</v>
      </c>
      <c r="CR12" s="702">
        <f>IF(U12=1,V12*$AM$52,0)+IF(U12=2,V12*$AM$53,0)+IF(U12=3,V12*$AM$54,0)+IF(U12=4,V12*$AM$55,0)+IF(U12=5,V12*$AM$56,0)+IF(U12=6,V12*$AM$57,0)+IF(U12=7,V12*$AM$58,0)+IF(U12=8,V12*$AM$59,0)+IF(U12=9,V12*$AM$60,0)+IF(U12=10,V12*$AM$61,0)</f>
        <v>0</v>
      </c>
      <c r="CS12" s="702">
        <f t="shared" ref="CS12:CS48" si="58">IF(W12=1,X12*$AM$52,0)+IF(W12=2,X12*$AM$53,0)+IF(W12=3,X12*$AM$54,0)+IF(W12=4,X12*$AM$55,0)+IF(W12=5,X12*$AM$56,0)+IF(W12=6,X12*$AM$57,0)+IF(W12=7,X12*$AM$58,0)+IF(W12=8,X12*$AM$59,0)+IF(W12=9,X12*$AM$60,0)+IF(W12=10,X12*$AM$61,0)</f>
        <v>0</v>
      </c>
      <c r="CT12" s="702">
        <f t="shared" ref="CT12:CT48" si="59">IF(Y12=1,Z12*$AM$52,0)+IF(Y12=2,Z12*$AM$53,0)+IF(Y12=3,Z12*$AM$54,0)+IF(Y12=4,Z12*$AM$55,0)+IF(Y12=5,Z12*$AM$56,0)+IF(Y12=6,Z12*$AM$57,0)+IF(Y12=7,Z12*$AM$58,0)+IF(Y12=8,Z12*$AM$59,0)+IF(Y12=9,Z12*$AM$60,0)+IF(Y12=10,Z12*$AM$61,0)</f>
        <v>0</v>
      </c>
      <c r="CU12" s="702">
        <f t="shared" ref="CU12:CU48" si="60">IF(AA12=1,AB12*$AM$52,0)+IF(AA12=2,AB12*$AM$53,0)+IF(AA12=3,AB12*$AM$54,0)+IF(AA12=4,AB12*$AM$55,0)+IF(AA12=5,AB12*$AM$56,0)+IF(AA12=6,AB12*$AM$57,0)+IF(AA12=7,AB12*$AM$58,0)+IF(AA12=8,AB12*$AM$59,0)+IF(AA12=9,AB12*$AM$60,0)+IF(AA12=10,AB12*$AM$61,0)</f>
        <v>0</v>
      </c>
      <c r="CV12" s="1068">
        <f t="shared" si="7"/>
        <v>0</v>
      </c>
      <c r="CW12" s="1064">
        <f t="shared" ref="CW12:CW48" si="61">SUM(CO12:CV12)*BG12</f>
        <v>0</v>
      </c>
      <c r="FX12" s="701"/>
      <c r="FY12" s="701"/>
      <c r="FZ12" s="701"/>
      <c r="GA12" s="701"/>
      <c r="GB12" s="701"/>
      <c r="GC12" s="701"/>
      <c r="GD12" s="701"/>
      <c r="GE12" s="701"/>
      <c r="GF12" s="701"/>
      <c r="GG12" s="701"/>
      <c r="GH12" s="701"/>
      <c r="GI12" s="701"/>
      <c r="GJ12" s="701"/>
      <c r="GK12" s="701"/>
      <c r="GL12" s="701"/>
      <c r="GM12" s="701"/>
      <c r="GN12" s="701"/>
      <c r="GO12" s="701"/>
      <c r="GP12" s="701"/>
      <c r="GQ12" s="701"/>
      <c r="GR12" s="701"/>
      <c r="GS12" s="701"/>
      <c r="GT12" s="701"/>
      <c r="GU12" s="701"/>
      <c r="GV12" s="701"/>
      <c r="GW12" s="701"/>
      <c r="GX12" s="701"/>
      <c r="GY12" s="701"/>
      <c r="GZ12" s="701"/>
      <c r="HA12" s="701"/>
      <c r="HB12" s="701"/>
      <c r="HC12" s="701"/>
      <c r="HD12" s="701"/>
      <c r="HE12" s="701"/>
      <c r="HF12" s="701"/>
      <c r="HG12" s="701"/>
      <c r="HH12" s="701"/>
      <c r="HI12" s="701"/>
      <c r="HJ12" s="701"/>
      <c r="HK12" s="701"/>
      <c r="HL12" s="701"/>
      <c r="HM12" s="701"/>
      <c r="HN12" s="701"/>
      <c r="HO12" s="701"/>
      <c r="HP12" s="701"/>
      <c r="HQ12" s="701"/>
      <c r="HR12" s="701"/>
      <c r="HS12" s="701"/>
      <c r="HT12" s="701"/>
      <c r="HU12" s="701"/>
      <c r="HV12" s="701"/>
      <c r="HW12" s="701"/>
      <c r="HX12" s="701"/>
      <c r="HY12" s="701"/>
      <c r="HZ12" s="701"/>
      <c r="IA12" s="701"/>
    </row>
    <row r="13" spans="2:238" s="702" customFormat="1" ht="20.149999999999999" customHeight="1" x14ac:dyDescent="0.35">
      <c r="B13" s="193" t="s">
        <v>1116</v>
      </c>
      <c r="C13" s="1786"/>
      <c r="D13" s="1864"/>
      <c r="E13" s="1865"/>
      <c r="F13" s="121"/>
      <c r="G13" s="777"/>
      <c r="H13" s="214"/>
      <c r="I13" s="779"/>
      <c r="J13" s="127"/>
      <c r="K13" s="781"/>
      <c r="L13" s="30"/>
      <c r="M13" s="121"/>
      <c r="N13" s="394"/>
      <c r="O13" s="1788">
        <v>9</v>
      </c>
      <c r="P13" s="470"/>
      <c r="Q13" s="1789">
        <v>10</v>
      </c>
      <c r="R13" s="1782"/>
      <c r="S13" s="176">
        <v>1</v>
      </c>
      <c r="T13" s="555">
        <f t="shared" si="0"/>
        <v>0</v>
      </c>
      <c r="U13" s="1783">
        <v>2</v>
      </c>
      <c r="V13" s="1785"/>
      <c r="W13" s="1783">
        <v>3</v>
      </c>
      <c r="X13" s="1785"/>
      <c r="Y13" s="31"/>
      <c r="Z13" s="531"/>
      <c r="AA13" s="178"/>
      <c r="AB13" s="279"/>
      <c r="AC13" s="1380">
        <f t="shared" ref="AC13:AC47" si="62">IF(BG13=0,0,SUM(BD13:BE13)/BG13)</f>
        <v>0</v>
      </c>
      <c r="AD13" s="906">
        <f t="shared" si="8"/>
        <v>0</v>
      </c>
      <c r="AE13" s="794">
        <f t="shared" si="9"/>
        <v>0</v>
      </c>
      <c r="AF13" s="282">
        <f>SUM(BW13)*(1+M$64+Summary!P$64)</f>
        <v>0</v>
      </c>
      <c r="AG13" s="632" t="e">
        <f t="shared" si="1"/>
        <v>#DIV/0!</v>
      </c>
      <c r="AH13" s="1758">
        <f t="shared" si="10"/>
        <v>0</v>
      </c>
      <c r="AI13" s="769"/>
      <c r="AO13" s="702">
        <f t="shared" si="11"/>
        <v>0</v>
      </c>
      <c r="AP13" s="702">
        <f t="shared" si="12"/>
        <v>0</v>
      </c>
      <c r="AQ13" s="702">
        <f t="shared" si="13"/>
        <v>0</v>
      </c>
      <c r="AR13" s="702">
        <f t="shared" si="14"/>
        <v>0</v>
      </c>
      <c r="AS13" s="702">
        <f t="shared" si="15"/>
        <v>0</v>
      </c>
      <c r="AT13" s="702">
        <f t="shared" si="16"/>
        <v>0</v>
      </c>
      <c r="AU13" s="702">
        <f t="shared" si="17"/>
        <v>0</v>
      </c>
      <c r="AV13" s="1063">
        <f t="shared" si="18"/>
        <v>0</v>
      </c>
      <c r="AW13" s="1063">
        <f t="shared" si="19"/>
        <v>0</v>
      </c>
      <c r="AX13" s="702">
        <f t="shared" si="20"/>
        <v>0</v>
      </c>
      <c r="AY13" s="702">
        <f t="shared" si="21"/>
        <v>0</v>
      </c>
      <c r="AZ13" s="702">
        <f t="shared" si="22"/>
        <v>0</v>
      </c>
      <c r="BA13" s="702">
        <f t="shared" si="23"/>
        <v>0</v>
      </c>
      <c r="BB13" s="702">
        <f t="shared" si="24"/>
        <v>0</v>
      </c>
      <c r="BC13" s="702">
        <f t="shared" si="25"/>
        <v>0</v>
      </c>
      <c r="BD13" s="1063">
        <f t="shared" si="26"/>
        <v>0</v>
      </c>
      <c r="BE13" s="1064">
        <f t="shared" si="27"/>
        <v>0</v>
      </c>
      <c r="BF13" s="1063">
        <f t="shared" si="28"/>
        <v>0</v>
      </c>
      <c r="BG13" s="1065">
        <f t="shared" si="29"/>
        <v>0</v>
      </c>
      <c r="BH13" s="702">
        <f t="shared" si="30"/>
        <v>0</v>
      </c>
      <c r="BI13" s="1063">
        <f t="shared" si="31"/>
        <v>0</v>
      </c>
      <c r="BJ13" s="1063">
        <f t="shared" si="32"/>
        <v>0</v>
      </c>
      <c r="BK13" s="1063">
        <f t="shared" si="33"/>
        <v>0</v>
      </c>
      <c r="BL13" s="1063">
        <f t="shared" si="34"/>
        <v>0</v>
      </c>
      <c r="BM13" s="1063">
        <f t="shared" si="35"/>
        <v>0</v>
      </c>
      <c r="BN13" s="1064">
        <f t="shared" si="36"/>
        <v>0</v>
      </c>
      <c r="BO13" s="1761">
        <f t="shared" si="37"/>
        <v>0</v>
      </c>
      <c r="BP13" s="1063">
        <f t="shared" si="38"/>
        <v>0</v>
      </c>
      <c r="BQ13" s="1064">
        <f t="shared" si="39"/>
        <v>0</v>
      </c>
      <c r="BR13" s="1063">
        <f t="shared" si="40"/>
        <v>0</v>
      </c>
      <c r="BS13" s="1063">
        <f t="shared" si="41"/>
        <v>0</v>
      </c>
      <c r="BT13" s="1064">
        <f t="shared" si="42"/>
        <v>0</v>
      </c>
      <c r="BU13" s="1064">
        <f t="shared" si="43"/>
        <v>0</v>
      </c>
      <c r="BV13" s="1064">
        <f t="shared" si="44"/>
        <v>0</v>
      </c>
      <c r="BW13" s="1066">
        <f t="shared" si="45"/>
        <v>0</v>
      </c>
      <c r="BX13" s="1063">
        <f>(BI13*Pricing!F$2+BJ13*Pricing!G$2+BK13*Pricing!H$2+BL13*Pricing!I$2+BM13*Pricing!J$2+BN13*Pricing!K$2)*IF(AC$63="N",(1+AE$63),1)</f>
        <v>0</v>
      </c>
      <c r="BY13" s="1063">
        <f t="shared" si="46"/>
        <v>0</v>
      </c>
      <c r="BZ13" s="1063">
        <f t="shared" si="47"/>
        <v>0</v>
      </c>
      <c r="CA13" s="1063">
        <f t="shared" si="48"/>
        <v>0</v>
      </c>
      <c r="CB13" s="1067">
        <f t="shared" si="49"/>
        <v>0</v>
      </c>
      <c r="CD13" s="702">
        <f t="shared" si="50"/>
        <v>0</v>
      </c>
      <c r="CE13" s="1063">
        <f t="shared" si="2"/>
        <v>0</v>
      </c>
      <c r="CF13" s="1063">
        <f t="shared" si="3"/>
        <v>0</v>
      </c>
      <c r="CG13" s="1063">
        <f t="shared" si="4"/>
        <v>0</v>
      </c>
      <c r="CH13" s="702">
        <f t="shared" si="5"/>
        <v>0</v>
      </c>
      <c r="CI13" s="1063">
        <f t="shared" si="6"/>
        <v>0</v>
      </c>
      <c r="CJ13" s="702">
        <f t="shared" si="51"/>
        <v>0</v>
      </c>
      <c r="CK13" s="1063">
        <f t="shared" si="52"/>
        <v>0</v>
      </c>
      <c r="CL13" s="704">
        <f t="shared" si="53"/>
        <v>0</v>
      </c>
      <c r="CM13" s="702">
        <f t="shared" si="54"/>
        <v>0</v>
      </c>
      <c r="CO13" s="1061">
        <f t="shared" si="55"/>
        <v>0</v>
      </c>
      <c r="CP13" s="702">
        <f t="shared" si="56"/>
        <v>0</v>
      </c>
      <c r="CQ13" s="702">
        <f t="shared" si="57"/>
        <v>0</v>
      </c>
      <c r="CR13" s="702">
        <f t="shared" ref="CR13:CR48" si="63">IF(U13=1,V13*$AM$52,0)+IF(U13=2,V13*$AM$53,0)+IF(U13=3,V13*$AM$54,0)+IF(U13=4,V13*$AM$55,0)+IF(U13=5,V13*$AM$56,0)+IF(U13=6,V13*$AM$57,0)+IF(U13=7,V13*$AM$58,0)+IF(U13=8,V13*$AM$59,0)+IF(U13=9,V13*$AM$60,0)+IF(U13=10,V13*$AM$61,0)</f>
        <v>0</v>
      </c>
      <c r="CS13" s="702">
        <f t="shared" si="58"/>
        <v>0</v>
      </c>
      <c r="CT13" s="702">
        <f t="shared" si="59"/>
        <v>0</v>
      </c>
      <c r="CU13" s="702">
        <f t="shared" si="60"/>
        <v>0</v>
      </c>
      <c r="CV13" s="1068">
        <f t="shared" si="7"/>
        <v>0</v>
      </c>
      <c r="CW13" s="1064">
        <f t="shared" si="61"/>
        <v>0</v>
      </c>
      <c r="FX13" s="701"/>
      <c r="FY13" s="701"/>
      <c r="FZ13" s="701"/>
      <c r="GA13" s="701"/>
      <c r="GB13" s="701"/>
      <c r="GC13" s="701"/>
      <c r="GD13" s="701"/>
      <c r="GE13" s="701"/>
      <c r="GF13" s="701"/>
      <c r="GG13" s="701"/>
      <c r="GH13" s="701"/>
      <c r="GI13" s="701"/>
      <c r="GJ13" s="701"/>
      <c r="GK13" s="701"/>
      <c r="GL13" s="701"/>
      <c r="GM13" s="701"/>
      <c r="GN13" s="701"/>
      <c r="GO13" s="701"/>
      <c r="GP13" s="701"/>
      <c r="GQ13" s="701"/>
      <c r="GR13" s="701"/>
      <c r="GS13" s="701"/>
      <c r="GT13" s="701"/>
      <c r="GU13" s="701"/>
      <c r="GV13" s="701"/>
      <c r="GW13" s="701"/>
      <c r="GX13" s="701"/>
      <c r="GY13" s="701"/>
      <c r="GZ13" s="701"/>
      <c r="HA13" s="701"/>
      <c r="HB13" s="701"/>
      <c r="HC13" s="701"/>
      <c r="HD13" s="701"/>
      <c r="HE13" s="701"/>
      <c r="HF13" s="701"/>
      <c r="HG13" s="701"/>
      <c r="HH13" s="701"/>
      <c r="HI13" s="701"/>
      <c r="HJ13" s="701"/>
      <c r="HK13" s="701"/>
      <c r="HL13" s="701"/>
      <c r="HM13" s="701"/>
      <c r="HN13" s="701"/>
      <c r="HO13" s="701"/>
      <c r="HP13" s="701"/>
      <c r="HQ13" s="701"/>
      <c r="HR13" s="701"/>
      <c r="HS13" s="701"/>
      <c r="HT13" s="701"/>
      <c r="HU13" s="701"/>
      <c r="HV13" s="701"/>
      <c r="HW13" s="701"/>
      <c r="HX13" s="701"/>
      <c r="HY13" s="701"/>
      <c r="HZ13" s="701"/>
      <c r="IA13" s="701"/>
    </row>
    <row r="14" spans="2:238" s="702" customFormat="1" ht="20.149999999999999" customHeight="1" x14ac:dyDescent="0.35">
      <c r="B14" s="398" t="s">
        <v>1117</v>
      </c>
      <c r="C14" s="1787"/>
      <c r="D14" s="1862"/>
      <c r="E14" s="1863"/>
      <c r="F14" s="211"/>
      <c r="G14" s="777"/>
      <c r="H14" s="97"/>
      <c r="I14" s="779"/>
      <c r="J14" s="97"/>
      <c r="K14" s="781"/>
      <c r="L14" s="32"/>
      <c r="M14" s="211"/>
      <c r="N14" s="397"/>
      <c r="O14" s="1790">
        <v>9</v>
      </c>
      <c r="P14" s="1791"/>
      <c r="Q14" s="1792">
        <v>10</v>
      </c>
      <c r="R14" s="1793"/>
      <c r="S14" s="180">
        <v>1</v>
      </c>
      <c r="T14" s="554">
        <f t="shared" si="0"/>
        <v>0</v>
      </c>
      <c r="U14" s="810">
        <v>2</v>
      </c>
      <c r="V14" s="1784"/>
      <c r="W14" s="810">
        <v>3</v>
      </c>
      <c r="X14" s="1784"/>
      <c r="Y14" s="32"/>
      <c r="Z14" s="371"/>
      <c r="AA14" s="180"/>
      <c r="AB14" s="280"/>
      <c r="AC14" s="1380">
        <f t="shared" si="62"/>
        <v>0</v>
      </c>
      <c r="AD14" s="906">
        <f t="shared" si="8"/>
        <v>0</v>
      </c>
      <c r="AE14" s="794">
        <f t="shared" si="9"/>
        <v>0</v>
      </c>
      <c r="AF14" s="282">
        <f>SUM(BW14)*(1+M$64+Summary!P$64)</f>
        <v>0</v>
      </c>
      <c r="AG14" s="632" t="e">
        <f t="shared" si="1"/>
        <v>#DIV/0!</v>
      </c>
      <c r="AH14" s="1758">
        <f t="shared" si="10"/>
        <v>0</v>
      </c>
      <c r="AI14" s="769"/>
      <c r="AO14" s="702">
        <f t="shared" si="11"/>
        <v>0</v>
      </c>
      <c r="AP14" s="702">
        <f t="shared" si="12"/>
        <v>0</v>
      </c>
      <c r="AQ14" s="702">
        <f t="shared" si="13"/>
        <v>0</v>
      </c>
      <c r="AR14" s="702">
        <f t="shared" si="14"/>
        <v>0</v>
      </c>
      <c r="AS14" s="702">
        <f t="shared" si="15"/>
        <v>0</v>
      </c>
      <c r="AT14" s="702">
        <f t="shared" si="16"/>
        <v>0</v>
      </c>
      <c r="AU14" s="702">
        <f t="shared" si="17"/>
        <v>0</v>
      </c>
      <c r="AV14" s="1063">
        <f t="shared" si="18"/>
        <v>0</v>
      </c>
      <c r="AW14" s="1063">
        <f t="shared" si="19"/>
        <v>0</v>
      </c>
      <c r="AX14" s="702">
        <f t="shared" si="20"/>
        <v>0</v>
      </c>
      <c r="AY14" s="702">
        <f t="shared" si="21"/>
        <v>0</v>
      </c>
      <c r="AZ14" s="702">
        <f t="shared" si="22"/>
        <v>0</v>
      </c>
      <c r="BA14" s="702">
        <f t="shared" si="23"/>
        <v>0</v>
      </c>
      <c r="BB14" s="702">
        <f t="shared" si="24"/>
        <v>0</v>
      </c>
      <c r="BC14" s="702">
        <f t="shared" si="25"/>
        <v>0</v>
      </c>
      <c r="BD14" s="1063">
        <f t="shared" si="26"/>
        <v>0</v>
      </c>
      <c r="BE14" s="1064">
        <f t="shared" si="27"/>
        <v>0</v>
      </c>
      <c r="BF14" s="1063">
        <f t="shared" si="28"/>
        <v>0</v>
      </c>
      <c r="BG14" s="1065">
        <f t="shared" si="29"/>
        <v>0</v>
      </c>
      <c r="BH14" s="702">
        <f t="shared" si="30"/>
        <v>0</v>
      </c>
      <c r="BI14" s="1063">
        <f t="shared" si="31"/>
        <v>0</v>
      </c>
      <c r="BJ14" s="1063">
        <f t="shared" si="32"/>
        <v>0</v>
      </c>
      <c r="BK14" s="1063">
        <f t="shared" si="33"/>
        <v>0</v>
      </c>
      <c r="BL14" s="1063">
        <f t="shared" si="34"/>
        <v>0</v>
      </c>
      <c r="BM14" s="1063">
        <f t="shared" si="35"/>
        <v>0</v>
      </c>
      <c r="BN14" s="1064">
        <f t="shared" si="36"/>
        <v>0</v>
      </c>
      <c r="BO14" s="1761">
        <f t="shared" si="37"/>
        <v>0</v>
      </c>
      <c r="BP14" s="1063">
        <f t="shared" si="38"/>
        <v>0</v>
      </c>
      <c r="BQ14" s="1064">
        <f t="shared" si="39"/>
        <v>0</v>
      </c>
      <c r="BR14" s="1063">
        <f t="shared" si="40"/>
        <v>0</v>
      </c>
      <c r="BS14" s="1063">
        <f t="shared" si="41"/>
        <v>0</v>
      </c>
      <c r="BT14" s="1064">
        <f t="shared" si="42"/>
        <v>0</v>
      </c>
      <c r="BU14" s="1064">
        <f t="shared" si="43"/>
        <v>0</v>
      </c>
      <c r="BV14" s="1064">
        <f t="shared" si="44"/>
        <v>0</v>
      </c>
      <c r="BW14" s="1066">
        <f t="shared" si="45"/>
        <v>0</v>
      </c>
      <c r="BX14" s="1063">
        <f>(BI14*Pricing!F$2+BJ14*Pricing!G$2+BK14*Pricing!H$2+BL14*Pricing!I$2+BM14*Pricing!J$2+BN14*Pricing!K$2)*IF(AC$63="N",(1+AE$63),1)</f>
        <v>0</v>
      </c>
      <c r="BY14" s="1063">
        <f t="shared" si="46"/>
        <v>0</v>
      </c>
      <c r="BZ14" s="1063">
        <f t="shared" si="47"/>
        <v>0</v>
      </c>
      <c r="CA14" s="1063">
        <f t="shared" si="48"/>
        <v>0</v>
      </c>
      <c r="CB14" s="1067">
        <f t="shared" si="49"/>
        <v>0</v>
      </c>
      <c r="CD14" s="702">
        <f t="shared" si="50"/>
        <v>0</v>
      </c>
      <c r="CE14" s="1063">
        <f t="shared" si="2"/>
        <v>0</v>
      </c>
      <c r="CF14" s="1063">
        <f t="shared" si="3"/>
        <v>0</v>
      </c>
      <c r="CG14" s="1063">
        <f t="shared" si="4"/>
        <v>0</v>
      </c>
      <c r="CH14" s="702">
        <f t="shared" si="5"/>
        <v>0</v>
      </c>
      <c r="CI14" s="1063">
        <f t="shared" si="6"/>
        <v>0</v>
      </c>
      <c r="CJ14" s="702">
        <f t="shared" si="51"/>
        <v>0</v>
      </c>
      <c r="CK14" s="1063">
        <f t="shared" si="52"/>
        <v>0</v>
      </c>
      <c r="CL14" s="704">
        <f t="shared" si="53"/>
        <v>0</v>
      </c>
      <c r="CM14" s="702">
        <f t="shared" si="54"/>
        <v>0</v>
      </c>
      <c r="CO14" s="1061">
        <f t="shared" si="55"/>
        <v>0</v>
      </c>
      <c r="CP14" s="702">
        <f t="shared" si="56"/>
        <v>0</v>
      </c>
      <c r="CQ14" s="702">
        <f t="shared" si="57"/>
        <v>0</v>
      </c>
      <c r="CR14" s="702">
        <f t="shared" si="63"/>
        <v>0</v>
      </c>
      <c r="CS14" s="702">
        <f t="shared" si="58"/>
        <v>0</v>
      </c>
      <c r="CT14" s="702">
        <f t="shared" si="59"/>
        <v>0</v>
      </c>
      <c r="CU14" s="702">
        <f t="shared" si="60"/>
        <v>0</v>
      </c>
      <c r="CV14" s="1068">
        <f t="shared" si="7"/>
        <v>0</v>
      </c>
      <c r="CW14" s="1064">
        <f t="shared" si="61"/>
        <v>0</v>
      </c>
      <c r="FX14" s="701"/>
      <c r="FY14" s="701"/>
      <c r="FZ14" s="701"/>
      <c r="GA14" s="701"/>
      <c r="GB14" s="701"/>
      <c r="GC14" s="701"/>
      <c r="GD14" s="701"/>
      <c r="GE14" s="701"/>
      <c r="GF14" s="701"/>
      <c r="GG14" s="701"/>
      <c r="GH14" s="701"/>
      <c r="GI14" s="701"/>
      <c r="GJ14" s="701"/>
      <c r="GK14" s="701"/>
      <c r="GL14" s="701"/>
      <c r="GM14" s="701"/>
      <c r="GN14" s="701"/>
      <c r="GO14" s="701"/>
      <c r="GP14" s="701"/>
      <c r="GQ14" s="701"/>
      <c r="GR14" s="701"/>
      <c r="GS14" s="701"/>
      <c r="GT14" s="701"/>
      <c r="GU14" s="701"/>
      <c r="GV14" s="701"/>
      <c r="GW14" s="701"/>
      <c r="GX14" s="701"/>
      <c r="GY14" s="701"/>
      <c r="GZ14" s="701"/>
      <c r="HA14" s="701"/>
      <c r="HB14" s="701"/>
      <c r="HC14" s="701"/>
      <c r="HD14" s="701"/>
      <c r="HE14" s="701"/>
      <c r="HF14" s="701"/>
      <c r="HG14" s="701"/>
      <c r="HH14" s="701"/>
      <c r="HI14" s="701"/>
      <c r="HJ14" s="701"/>
      <c r="HK14" s="701"/>
      <c r="HL14" s="701"/>
      <c r="HM14" s="701"/>
      <c r="HN14" s="701"/>
      <c r="HO14" s="701"/>
      <c r="HP14" s="701"/>
      <c r="HQ14" s="701"/>
      <c r="HR14" s="701"/>
      <c r="HS14" s="701"/>
      <c r="HT14" s="701"/>
      <c r="HU14" s="701"/>
      <c r="HV14" s="701"/>
      <c r="HW14" s="701"/>
      <c r="HX14" s="701"/>
      <c r="HY14" s="701"/>
      <c r="HZ14" s="701"/>
      <c r="IA14" s="701"/>
    </row>
    <row r="15" spans="2:238" s="702" customFormat="1" ht="20.149999999999999" customHeight="1" x14ac:dyDescent="0.35">
      <c r="B15" s="193" t="s">
        <v>1118</v>
      </c>
      <c r="C15" s="1786"/>
      <c r="D15" s="1864"/>
      <c r="E15" s="1865"/>
      <c r="F15" s="121"/>
      <c r="G15" s="777"/>
      <c r="H15" s="214"/>
      <c r="I15" s="779"/>
      <c r="J15" s="127"/>
      <c r="K15" s="781"/>
      <c r="L15" s="30"/>
      <c r="M15" s="121"/>
      <c r="N15" s="394"/>
      <c r="O15" s="1788">
        <v>9</v>
      </c>
      <c r="P15" s="470"/>
      <c r="Q15" s="1789">
        <v>10</v>
      </c>
      <c r="R15" s="1782"/>
      <c r="S15" s="176">
        <v>1</v>
      </c>
      <c r="T15" s="555">
        <f t="shared" si="0"/>
        <v>0</v>
      </c>
      <c r="U15" s="1783">
        <v>2</v>
      </c>
      <c r="V15" s="1785"/>
      <c r="W15" s="1783">
        <v>3</v>
      </c>
      <c r="X15" s="1785"/>
      <c r="Y15" s="31"/>
      <c r="Z15" s="531"/>
      <c r="AA15" s="178"/>
      <c r="AB15" s="279"/>
      <c r="AC15" s="1380">
        <f t="shared" si="62"/>
        <v>0</v>
      </c>
      <c r="AD15" s="906">
        <f t="shared" si="8"/>
        <v>0</v>
      </c>
      <c r="AE15" s="794">
        <f t="shared" si="9"/>
        <v>0</v>
      </c>
      <c r="AF15" s="282">
        <f>SUM(BW15)*(1+M$64+Summary!P$64)</f>
        <v>0</v>
      </c>
      <c r="AG15" s="632" t="e">
        <f t="shared" si="1"/>
        <v>#DIV/0!</v>
      </c>
      <c r="AH15" s="1758">
        <f t="shared" si="10"/>
        <v>0</v>
      </c>
      <c r="AI15" s="769"/>
      <c r="AO15" s="702">
        <f t="shared" si="11"/>
        <v>0</v>
      </c>
      <c r="AP15" s="702">
        <f t="shared" si="12"/>
        <v>0</v>
      </c>
      <c r="AQ15" s="702">
        <f t="shared" si="13"/>
        <v>0</v>
      </c>
      <c r="AR15" s="702">
        <f t="shared" si="14"/>
        <v>0</v>
      </c>
      <c r="AS15" s="702">
        <f t="shared" si="15"/>
        <v>0</v>
      </c>
      <c r="AT15" s="702">
        <f t="shared" si="16"/>
        <v>0</v>
      </c>
      <c r="AU15" s="702">
        <f t="shared" si="17"/>
        <v>0</v>
      </c>
      <c r="AV15" s="1063">
        <f t="shared" si="18"/>
        <v>0</v>
      </c>
      <c r="AW15" s="1063">
        <f t="shared" si="19"/>
        <v>0</v>
      </c>
      <c r="AX15" s="702">
        <f t="shared" si="20"/>
        <v>0</v>
      </c>
      <c r="AY15" s="702">
        <f t="shared" si="21"/>
        <v>0</v>
      </c>
      <c r="AZ15" s="702">
        <f t="shared" si="22"/>
        <v>0</v>
      </c>
      <c r="BA15" s="702">
        <f t="shared" si="23"/>
        <v>0</v>
      </c>
      <c r="BB15" s="702">
        <f t="shared" si="24"/>
        <v>0</v>
      </c>
      <c r="BC15" s="702">
        <f t="shared" si="25"/>
        <v>0</v>
      </c>
      <c r="BD15" s="1063">
        <f t="shared" si="26"/>
        <v>0</v>
      </c>
      <c r="BE15" s="1064">
        <f t="shared" si="27"/>
        <v>0</v>
      </c>
      <c r="BF15" s="1063">
        <f t="shared" si="28"/>
        <v>0</v>
      </c>
      <c r="BG15" s="1065">
        <f t="shared" si="29"/>
        <v>0</v>
      </c>
      <c r="BH15" s="702">
        <f t="shared" si="30"/>
        <v>0</v>
      </c>
      <c r="BI15" s="1063">
        <f t="shared" si="31"/>
        <v>0</v>
      </c>
      <c r="BJ15" s="1063">
        <f t="shared" si="32"/>
        <v>0</v>
      </c>
      <c r="BK15" s="1063">
        <f t="shared" si="33"/>
        <v>0</v>
      </c>
      <c r="BL15" s="1063">
        <f t="shared" si="34"/>
        <v>0</v>
      </c>
      <c r="BM15" s="1063">
        <f t="shared" si="35"/>
        <v>0</v>
      </c>
      <c r="BN15" s="1064">
        <f t="shared" si="36"/>
        <v>0</v>
      </c>
      <c r="BO15" s="1761">
        <f t="shared" si="37"/>
        <v>0</v>
      </c>
      <c r="BP15" s="1063">
        <f t="shared" si="38"/>
        <v>0</v>
      </c>
      <c r="BQ15" s="1064">
        <f t="shared" si="39"/>
        <v>0</v>
      </c>
      <c r="BR15" s="1063">
        <f t="shared" si="40"/>
        <v>0</v>
      </c>
      <c r="BS15" s="1063">
        <f t="shared" si="41"/>
        <v>0</v>
      </c>
      <c r="BT15" s="1064">
        <f t="shared" si="42"/>
        <v>0</v>
      </c>
      <c r="BU15" s="1064">
        <f t="shared" si="43"/>
        <v>0</v>
      </c>
      <c r="BV15" s="1064">
        <f t="shared" si="44"/>
        <v>0</v>
      </c>
      <c r="BW15" s="1066">
        <f t="shared" si="45"/>
        <v>0</v>
      </c>
      <c r="BX15" s="1063">
        <f>(BI15*Pricing!F$2+BJ15*Pricing!G$2+BK15*Pricing!H$2+BL15*Pricing!I$2+BM15*Pricing!J$2+BN15*Pricing!K$2)*IF(AC$63="N",(1+AE$63),1)</f>
        <v>0</v>
      </c>
      <c r="BY15" s="1063">
        <f t="shared" si="46"/>
        <v>0</v>
      </c>
      <c r="BZ15" s="1063">
        <f t="shared" si="47"/>
        <v>0</v>
      </c>
      <c r="CA15" s="1063">
        <f t="shared" si="48"/>
        <v>0</v>
      </c>
      <c r="CB15" s="1067">
        <f t="shared" si="49"/>
        <v>0</v>
      </c>
      <c r="CD15" s="702">
        <f t="shared" si="50"/>
        <v>0</v>
      </c>
      <c r="CE15" s="1063">
        <f t="shared" si="2"/>
        <v>0</v>
      </c>
      <c r="CF15" s="1063">
        <f t="shared" si="3"/>
        <v>0</v>
      </c>
      <c r="CG15" s="1063">
        <f t="shared" si="4"/>
        <v>0</v>
      </c>
      <c r="CH15" s="702">
        <f t="shared" si="5"/>
        <v>0</v>
      </c>
      <c r="CI15" s="1063">
        <f t="shared" si="6"/>
        <v>0</v>
      </c>
      <c r="CJ15" s="702">
        <f t="shared" si="51"/>
        <v>0</v>
      </c>
      <c r="CK15" s="1063">
        <f t="shared" si="52"/>
        <v>0</v>
      </c>
      <c r="CL15" s="704">
        <f t="shared" si="53"/>
        <v>0</v>
      </c>
      <c r="CM15" s="702">
        <f t="shared" si="54"/>
        <v>0</v>
      </c>
      <c r="CO15" s="1061">
        <f t="shared" si="55"/>
        <v>0</v>
      </c>
      <c r="CP15" s="702">
        <f t="shared" si="56"/>
        <v>0</v>
      </c>
      <c r="CQ15" s="702">
        <f t="shared" si="57"/>
        <v>0</v>
      </c>
      <c r="CR15" s="702">
        <f t="shared" si="63"/>
        <v>0</v>
      </c>
      <c r="CS15" s="702">
        <f t="shared" si="58"/>
        <v>0</v>
      </c>
      <c r="CT15" s="702">
        <f t="shared" si="59"/>
        <v>0</v>
      </c>
      <c r="CU15" s="702">
        <f t="shared" si="60"/>
        <v>0</v>
      </c>
      <c r="CV15" s="1068">
        <f t="shared" si="7"/>
        <v>0</v>
      </c>
      <c r="CW15" s="1064">
        <f t="shared" si="61"/>
        <v>0</v>
      </c>
      <c r="FX15" s="701"/>
      <c r="FY15" s="701"/>
      <c r="FZ15" s="701"/>
      <c r="GA15" s="701"/>
      <c r="GB15" s="701"/>
      <c r="GC15" s="701"/>
      <c r="GD15" s="701"/>
      <c r="GE15" s="701"/>
      <c r="GF15" s="701"/>
      <c r="GG15" s="701"/>
      <c r="GH15" s="701"/>
      <c r="GI15" s="701"/>
      <c r="GJ15" s="701"/>
      <c r="GK15" s="701"/>
      <c r="GL15" s="701"/>
      <c r="GM15" s="701"/>
      <c r="GN15" s="701"/>
      <c r="GO15" s="701"/>
      <c r="GP15" s="701"/>
      <c r="GQ15" s="701"/>
      <c r="GR15" s="701"/>
      <c r="GS15" s="701"/>
      <c r="GT15" s="701"/>
      <c r="GU15" s="701"/>
      <c r="GV15" s="701"/>
      <c r="GW15" s="701"/>
      <c r="GX15" s="701"/>
      <c r="GY15" s="701"/>
      <c r="GZ15" s="701"/>
      <c r="HA15" s="701"/>
      <c r="HB15" s="701"/>
      <c r="HC15" s="701"/>
      <c r="HD15" s="701"/>
      <c r="HE15" s="701"/>
      <c r="HF15" s="701"/>
      <c r="HG15" s="701"/>
      <c r="HH15" s="701"/>
      <c r="HI15" s="701"/>
      <c r="HJ15" s="701"/>
      <c r="HK15" s="701"/>
      <c r="HL15" s="701"/>
      <c r="HM15" s="701"/>
      <c r="HN15" s="701"/>
      <c r="HO15" s="701"/>
      <c r="HP15" s="701"/>
      <c r="HQ15" s="701"/>
      <c r="HR15" s="701"/>
      <c r="HS15" s="701"/>
      <c r="HT15" s="701"/>
      <c r="HU15" s="701"/>
      <c r="HV15" s="701"/>
      <c r="HW15" s="701"/>
      <c r="HX15" s="701"/>
      <c r="HY15" s="701"/>
      <c r="HZ15" s="701"/>
      <c r="IA15" s="701"/>
    </row>
    <row r="16" spans="2:238" s="702" customFormat="1" ht="20.149999999999999" customHeight="1" x14ac:dyDescent="0.35">
      <c r="B16" s="398" t="s">
        <v>1119</v>
      </c>
      <c r="C16" s="1787"/>
      <c r="D16" s="1862"/>
      <c r="E16" s="1863"/>
      <c r="F16" s="211"/>
      <c r="G16" s="777"/>
      <c r="H16" s="97"/>
      <c r="I16" s="779"/>
      <c r="J16" s="97"/>
      <c r="K16" s="781"/>
      <c r="L16" s="32"/>
      <c r="M16" s="211"/>
      <c r="N16" s="397"/>
      <c r="O16" s="1790">
        <v>9</v>
      </c>
      <c r="P16" s="1791"/>
      <c r="Q16" s="1792">
        <v>10</v>
      </c>
      <c r="R16" s="1793"/>
      <c r="S16" s="180">
        <v>1</v>
      </c>
      <c r="T16" s="554">
        <f t="shared" si="0"/>
        <v>0</v>
      </c>
      <c r="U16" s="810">
        <v>2</v>
      </c>
      <c r="V16" s="1784"/>
      <c r="W16" s="810">
        <v>3</v>
      </c>
      <c r="X16" s="1784"/>
      <c r="Y16" s="32"/>
      <c r="Z16" s="371"/>
      <c r="AA16" s="180"/>
      <c r="AB16" s="280"/>
      <c r="AC16" s="1380">
        <f t="shared" si="62"/>
        <v>0</v>
      </c>
      <c r="AD16" s="906">
        <f t="shared" si="8"/>
        <v>0</v>
      </c>
      <c r="AE16" s="794">
        <f t="shared" si="9"/>
        <v>0</v>
      </c>
      <c r="AF16" s="282">
        <f>SUM(BW16)*(1+M$64+Summary!P$64)</f>
        <v>0</v>
      </c>
      <c r="AG16" s="632" t="e">
        <f t="shared" si="1"/>
        <v>#DIV/0!</v>
      </c>
      <c r="AH16" s="1758">
        <f t="shared" si="10"/>
        <v>0</v>
      </c>
      <c r="AI16" s="769"/>
      <c r="AO16" s="702">
        <f t="shared" si="11"/>
        <v>0</v>
      </c>
      <c r="AP16" s="702">
        <f t="shared" si="12"/>
        <v>0</v>
      </c>
      <c r="AQ16" s="702">
        <f t="shared" si="13"/>
        <v>0</v>
      </c>
      <c r="AR16" s="702">
        <f t="shared" si="14"/>
        <v>0</v>
      </c>
      <c r="AS16" s="702">
        <f t="shared" si="15"/>
        <v>0</v>
      </c>
      <c r="AT16" s="702">
        <f t="shared" si="16"/>
        <v>0</v>
      </c>
      <c r="AU16" s="702">
        <f t="shared" si="17"/>
        <v>0</v>
      </c>
      <c r="AV16" s="1063">
        <f t="shared" si="18"/>
        <v>0</v>
      </c>
      <c r="AW16" s="1063">
        <f t="shared" si="19"/>
        <v>0</v>
      </c>
      <c r="AX16" s="702">
        <f t="shared" si="20"/>
        <v>0</v>
      </c>
      <c r="AY16" s="702">
        <f t="shared" si="21"/>
        <v>0</v>
      </c>
      <c r="AZ16" s="702">
        <f t="shared" si="22"/>
        <v>0</v>
      </c>
      <c r="BA16" s="702">
        <f t="shared" si="23"/>
        <v>0</v>
      </c>
      <c r="BB16" s="702">
        <f t="shared" si="24"/>
        <v>0</v>
      </c>
      <c r="BC16" s="702">
        <f t="shared" si="25"/>
        <v>0</v>
      </c>
      <c r="BD16" s="1063">
        <f t="shared" si="26"/>
        <v>0</v>
      </c>
      <c r="BE16" s="1064">
        <f t="shared" si="27"/>
        <v>0</v>
      </c>
      <c r="BF16" s="1063">
        <f t="shared" si="28"/>
        <v>0</v>
      </c>
      <c r="BG16" s="1065">
        <f t="shared" si="29"/>
        <v>0</v>
      </c>
      <c r="BH16" s="702">
        <f t="shared" si="30"/>
        <v>0</v>
      </c>
      <c r="BI16" s="1063">
        <f t="shared" si="31"/>
        <v>0</v>
      </c>
      <c r="BJ16" s="1063">
        <f t="shared" si="32"/>
        <v>0</v>
      </c>
      <c r="BK16" s="1063">
        <f t="shared" si="33"/>
        <v>0</v>
      </c>
      <c r="BL16" s="1063">
        <f t="shared" si="34"/>
        <v>0</v>
      </c>
      <c r="BM16" s="1063">
        <f t="shared" si="35"/>
        <v>0</v>
      </c>
      <c r="BN16" s="1064">
        <f t="shared" si="36"/>
        <v>0</v>
      </c>
      <c r="BO16" s="1761">
        <f t="shared" si="37"/>
        <v>0</v>
      </c>
      <c r="BP16" s="1063">
        <f t="shared" si="38"/>
        <v>0</v>
      </c>
      <c r="BQ16" s="1064">
        <f t="shared" si="39"/>
        <v>0</v>
      </c>
      <c r="BR16" s="1063">
        <f t="shared" si="40"/>
        <v>0</v>
      </c>
      <c r="BS16" s="1063">
        <f t="shared" si="41"/>
        <v>0</v>
      </c>
      <c r="BT16" s="1064">
        <f t="shared" si="42"/>
        <v>0</v>
      </c>
      <c r="BU16" s="1064">
        <f t="shared" si="43"/>
        <v>0</v>
      </c>
      <c r="BV16" s="1064">
        <f t="shared" si="44"/>
        <v>0</v>
      </c>
      <c r="BW16" s="1066">
        <f t="shared" si="45"/>
        <v>0</v>
      </c>
      <c r="BX16" s="1063">
        <f>(BI16*Pricing!F$2+BJ16*Pricing!G$2+BK16*Pricing!H$2+BL16*Pricing!I$2+BM16*Pricing!J$2+BN16*Pricing!K$2)*IF(AC$63="N",(1+AE$63),1)</f>
        <v>0</v>
      </c>
      <c r="BY16" s="1063">
        <f t="shared" si="46"/>
        <v>0</v>
      </c>
      <c r="BZ16" s="1063">
        <f t="shared" si="47"/>
        <v>0</v>
      </c>
      <c r="CA16" s="1063">
        <f t="shared" si="48"/>
        <v>0</v>
      </c>
      <c r="CB16" s="1067">
        <f t="shared" si="49"/>
        <v>0</v>
      </c>
      <c r="CD16" s="702">
        <f t="shared" si="50"/>
        <v>0</v>
      </c>
      <c r="CE16" s="1063">
        <f t="shared" si="2"/>
        <v>0</v>
      </c>
      <c r="CF16" s="1063">
        <f t="shared" si="3"/>
        <v>0</v>
      </c>
      <c r="CG16" s="1063">
        <f t="shared" si="4"/>
        <v>0</v>
      </c>
      <c r="CH16" s="702">
        <f t="shared" si="5"/>
        <v>0</v>
      </c>
      <c r="CI16" s="1063">
        <f t="shared" si="6"/>
        <v>0</v>
      </c>
      <c r="CJ16" s="702">
        <f t="shared" si="51"/>
        <v>0</v>
      </c>
      <c r="CK16" s="1063">
        <f t="shared" si="52"/>
        <v>0</v>
      </c>
      <c r="CL16" s="704">
        <f t="shared" si="53"/>
        <v>0</v>
      </c>
      <c r="CM16" s="702">
        <f t="shared" si="54"/>
        <v>0</v>
      </c>
      <c r="CO16" s="1061">
        <f t="shared" si="55"/>
        <v>0</v>
      </c>
      <c r="CP16" s="702">
        <f t="shared" si="56"/>
        <v>0</v>
      </c>
      <c r="CQ16" s="702">
        <f t="shared" si="57"/>
        <v>0</v>
      </c>
      <c r="CR16" s="702">
        <f t="shared" si="63"/>
        <v>0</v>
      </c>
      <c r="CS16" s="702">
        <f t="shared" si="58"/>
        <v>0</v>
      </c>
      <c r="CT16" s="702">
        <f t="shared" si="59"/>
        <v>0</v>
      </c>
      <c r="CU16" s="702">
        <f t="shared" si="60"/>
        <v>0</v>
      </c>
      <c r="CV16" s="1068">
        <f t="shared" si="7"/>
        <v>0</v>
      </c>
      <c r="CW16" s="1064">
        <f t="shared" si="61"/>
        <v>0</v>
      </c>
      <c r="FX16" s="701"/>
      <c r="FY16" s="701"/>
      <c r="FZ16" s="701"/>
      <c r="GA16" s="701"/>
      <c r="GB16" s="701"/>
      <c r="GC16" s="701"/>
      <c r="GD16" s="701"/>
      <c r="GE16" s="701"/>
      <c r="GF16" s="701"/>
      <c r="GG16" s="701"/>
      <c r="GH16" s="701"/>
      <c r="GI16" s="701"/>
      <c r="GJ16" s="701"/>
      <c r="GK16" s="701"/>
      <c r="GL16" s="701"/>
      <c r="GM16" s="701"/>
      <c r="GN16" s="701"/>
      <c r="GO16" s="701"/>
      <c r="GP16" s="701"/>
      <c r="GQ16" s="701"/>
      <c r="GR16" s="701"/>
      <c r="GS16" s="701"/>
      <c r="GT16" s="701"/>
      <c r="GU16" s="701"/>
      <c r="GV16" s="701"/>
      <c r="GW16" s="701"/>
      <c r="GX16" s="701"/>
      <c r="GY16" s="701"/>
      <c r="GZ16" s="701"/>
      <c r="HA16" s="701"/>
      <c r="HB16" s="701"/>
      <c r="HC16" s="701"/>
      <c r="HD16" s="701"/>
      <c r="HE16" s="701"/>
      <c r="HF16" s="701"/>
      <c r="HG16" s="701"/>
      <c r="HH16" s="701"/>
      <c r="HI16" s="701"/>
      <c r="HJ16" s="701"/>
      <c r="HK16" s="701"/>
      <c r="HL16" s="701"/>
      <c r="HM16" s="701"/>
      <c r="HN16" s="701"/>
      <c r="HO16" s="701"/>
      <c r="HP16" s="701"/>
      <c r="HQ16" s="701"/>
      <c r="HR16" s="701"/>
      <c r="HS16" s="701"/>
      <c r="HT16" s="701"/>
      <c r="HU16" s="701"/>
      <c r="HV16" s="701"/>
      <c r="HW16" s="701"/>
      <c r="HX16" s="701"/>
      <c r="HY16" s="701"/>
      <c r="HZ16" s="701"/>
      <c r="IA16" s="701"/>
    </row>
    <row r="17" spans="2:235" s="702" customFormat="1" ht="18" customHeight="1" x14ac:dyDescent="0.35">
      <c r="B17" s="193" t="s">
        <v>1120</v>
      </c>
      <c r="C17" s="1786"/>
      <c r="D17" s="1864"/>
      <c r="E17" s="1865"/>
      <c r="F17" s="121"/>
      <c r="G17" s="777"/>
      <c r="H17" s="214"/>
      <c r="I17" s="779"/>
      <c r="J17" s="127"/>
      <c r="K17" s="781"/>
      <c r="L17" s="30"/>
      <c r="M17" s="121"/>
      <c r="N17" s="394"/>
      <c r="O17" s="1788">
        <v>9</v>
      </c>
      <c r="P17" s="470"/>
      <c r="Q17" s="1789">
        <v>10</v>
      </c>
      <c r="R17" s="1782"/>
      <c r="S17" s="176">
        <v>1</v>
      </c>
      <c r="T17" s="555">
        <f t="shared" si="0"/>
        <v>0</v>
      </c>
      <c r="U17" s="1783">
        <v>2</v>
      </c>
      <c r="V17" s="1785"/>
      <c r="W17" s="1783">
        <v>3</v>
      </c>
      <c r="X17" s="1785"/>
      <c r="Y17" s="31"/>
      <c r="Z17" s="531"/>
      <c r="AA17" s="178"/>
      <c r="AB17" s="279"/>
      <c r="AC17" s="1380">
        <f t="shared" si="62"/>
        <v>0</v>
      </c>
      <c r="AD17" s="906">
        <f t="shared" si="8"/>
        <v>0</v>
      </c>
      <c r="AE17" s="794">
        <f t="shared" si="9"/>
        <v>0</v>
      </c>
      <c r="AF17" s="282">
        <f>SUM(BW17)*(1+M$64+Summary!P$64)</f>
        <v>0</v>
      </c>
      <c r="AG17" s="632" t="e">
        <f t="shared" si="1"/>
        <v>#DIV/0!</v>
      </c>
      <c r="AH17" s="1758">
        <f t="shared" si="10"/>
        <v>0</v>
      </c>
      <c r="AI17" s="769"/>
      <c r="AO17" s="702">
        <f t="shared" si="11"/>
        <v>0</v>
      </c>
      <c r="AP17" s="702">
        <f t="shared" si="12"/>
        <v>0</v>
      </c>
      <c r="AQ17" s="702">
        <f t="shared" si="13"/>
        <v>0</v>
      </c>
      <c r="AR17" s="702">
        <f t="shared" si="14"/>
        <v>0</v>
      </c>
      <c r="AS17" s="702">
        <f t="shared" si="15"/>
        <v>0</v>
      </c>
      <c r="AT17" s="702">
        <f t="shared" si="16"/>
        <v>0</v>
      </c>
      <c r="AU17" s="702">
        <f t="shared" si="17"/>
        <v>0</v>
      </c>
      <c r="AV17" s="1063">
        <f t="shared" si="18"/>
        <v>0</v>
      </c>
      <c r="AW17" s="1063">
        <f t="shared" si="19"/>
        <v>0</v>
      </c>
      <c r="AX17" s="702">
        <f t="shared" si="20"/>
        <v>0</v>
      </c>
      <c r="AY17" s="702">
        <f t="shared" si="21"/>
        <v>0</v>
      </c>
      <c r="AZ17" s="702">
        <f t="shared" si="22"/>
        <v>0</v>
      </c>
      <c r="BA17" s="702">
        <f t="shared" si="23"/>
        <v>0</v>
      </c>
      <c r="BB17" s="702">
        <f t="shared" si="24"/>
        <v>0</v>
      </c>
      <c r="BC17" s="702">
        <f t="shared" si="25"/>
        <v>0</v>
      </c>
      <c r="BD17" s="1063">
        <f t="shared" si="26"/>
        <v>0</v>
      </c>
      <c r="BE17" s="1064">
        <f t="shared" si="27"/>
        <v>0</v>
      </c>
      <c r="BF17" s="1063">
        <f t="shared" si="28"/>
        <v>0</v>
      </c>
      <c r="BG17" s="1065">
        <f t="shared" si="29"/>
        <v>0</v>
      </c>
      <c r="BH17" s="702">
        <f t="shared" si="30"/>
        <v>0</v>
      </c>
      <c r="BI17" s="1063">
        <f t="shared" si="31"/>
        <v>0</v>
      </c>
      <c r="BJ17" s="1063">
        <f t="shared" si="32"/>
        <v>0</v>
      </c>
      <c r="BK17" s="1063">
        <f t="shared" si="33"/>
        <v>0</v>
      </c>
      <c r="BL17" s="1063">
        <f t="shared" si="34"/>
        <v>0</v>
      </c>
      <c r="BM17" s="1063">
        <f t="shared" si="35"/>
        <v>0</v>
      </c>
      <c r="BN17" s="1064">
        <f t="shared" si="36"/>
        <v>0</v>
      </c>
      <c r="BO17" s="1761">
        <f t="shared" si="37"/>
        <v>0</v>
      </c>
      <c r="BP17" s="1063">
        <f t="shared" si="38"/>
        <v>0</v>
      </c>
      <c r="BQ17" s="1064">
        <f t="shared" si="39"/>
        <v>0</v>
      </c>
      <c r="BR17" s="1063">
        <f t="shared" si="40"/>
        <v>0</v>
      </c>
      <c r="BS17" s="1063">
        <f t="shared" si="41"/>
        <v>0</v>
      </c>
      <c r="BT17" s="1064">
        <f t="shared" si="42"/>
        <v>0</v>
      </c>
      <c r="BU17" s="1064">
        <f t="shared" si="43"/>
        <v>0</v>
      </c>
      <c r="BV17" s="1064">
        <f t="shared" si="44"/>
        <v>0</v>
      </c>
      <c r="BW17" s="1066">
        <f t="shared" si="45"/>
        <v>0</v>
      </c>
      <c r="BX17" s="1063">
        <f>(BI17*Pricing!F$2+BJ17*Pricing!G$2+BK17*Pricing!H$2+BL17*Pricing!I$2+BM17*Pricing!J$2+BN17*Pricing!K$2)*IF(AC$63="N",(1+AE$63),1)</f>
        <v>0</v>
      </c>
      <c r="BY17" s="1063">
        <f t="shared" si="46"/>
        <v>0</v>
      </c>
      <c r="BZ17" s="1063">
        <f t="shared" si="47"/>
        <v>0</v>
      </c>
      <c r="CA17" s="1063">
        <f t="shared" si="48"/>
        <v>0</v>
      </c>
      <c r="CB17" s="1067">
        <f t="shared" si="49"/>
        <v>0</v>
      </c>
      <c r="CD17" s="702">
        <f t="shared" si="50"/>
        <v>0</v>
      </c>
      <c r="CE17" s="1063">
        <f t="shared" si="2"/>
        <v>0</v>
      </c>
      <c r="CF17" s="1063">
        <f t="shared" si="3"/>
        <v>0</v>
      </c>
      <c r="CG17" s="1063">
        <f t="shared" si="4"/>
        <v>0</v>
      </c>
      <c r="CH17" s="702">
        <f t="shared" si="5"/>
        <v>0</v>
      </c>
      <c r="CI17" s="1063">
        <f t="shared" si="6"/>
        <v>0</v>
      </c>
      <c r="CJ17" s="702">
        <f t="shared" si="51"/>
        <v>0</v>
      </c>
      <c r="CK17" s="1063">
        <f t="shared" si="52"/>
        <v>0</v>
      </c>
      <c r="CL17" s="704">
        <f t="shared" si="53"/>
        <v>0</v>
      </c>
      <c r="CM17" s="702">
        <f t="shared" si="54"/>
        <v>0</v>
      </c>
      <c r="CO17" s="1061">
        <f t="shared" si="55"/>
        <v>0</v>
      </c>
      <c r="CP17" s="702">
        <f t="shared" si="56"/>
        <v>0</v>
      </c>
      <c r="CQ17" s="702">
        <f t="shared" si="57"/>
        <v>0</v>
      </c>
      <c r="CR17" s="702">
        <f t="shared" si="63"/>
        <v>0</v>
      </c>
      <c r="CS17" s="702">
        <f t="shared" si="58"/>
        <v>0</v>
      </c>
      <c r="CT17" s="702">
        <f t="shared" si="59"/>
        <v>0</v>
      </c>
      <c r="CU17" s="702">
        <f t="shared" si="60"/>
        <v>0</v>
      </c>
      <c r="CV17" s="1068">
        <f t="shared" si="7"/>
        <v>0</v>
      </c>
      <c r="CW17" s="1064">
        <f t="shared" si="61"/>
        <v>0</v>
      </c>
      <c r="FX17" s="701"/>
      <c r="FY17" s="701"/>
      <c r="FZ17" s="701"/>
      <c r="GA17" s="701"/>
      <c r="GB17" s="701"/>
      <c r="GC17" s="701"/>
      <c r="GD17" s="701"/>
      <c r="GE17" s="701"/>
      <c r="GF17" s="701"/>
      <c r="GG17" s="701"/>
      <c r="GH17" s="701"/>
      <c r="GI17" s="701"/>
      <c r="GJ17" s="701"/>
      <c r="GK17" s="701"/>
      <c r="GL17" s="701"/>
      <c r="GM17" s="701"/>
      <c r="GN17" s="701"/>
      <c r="GO17" s="701"/>
      <c r="GP17" s="701"/>
      <c r="GQ17" s="701"/>
      <c r="GR17" s="701"/>
      <c r="GS17" s="701"/>
      <c r="GT17" s="701"/>
      <c r="GU17" s="701"/>
      <c r="GV17" s="701"/>
      <c r="GW17" s="701"/>
      <c r="GX17" s="701"/>
      <c r="GY17" s="701"/>
      <c r="GZ17" s="701"/>
      <c r="HA17" s="701"/>
      <c r="HB17" s="701"/>
      <c r="HC17" s="701"/>
      <c r="HD17" s="701"/>
      <c r="HE17" s="701"/>
      <c r="HF17" s="701"/>
      <c r="HG17" s="701"/>
      <c r="HH17" s="701"/>
      <c r="HI17" s="701"/>
      <c r="HJ17" s="701"/>
      <c r="HK17" s="701"/>
      <c r="HL17" s="701"/>
      <c r="HM17" s="701"/>
      <c r="HN17" s="701"/>
      <c r="HO17" s="701"/>
      <c r="HP17" s="701"/>
      <c r="HQ17" s="701"/>
      <c r="HR17" s="701"/>
      <c r="HS17" s="701"/>
      <c r="HT17" s="701"/>
      <c r="HU17" s="701"/>
      <c r="HV17" s="701"/>
      <c r="HW17" s="701"/>
      <c r="HX17" s="701"/>
      <c r="HY17" s="701"/>
      <c r="HZ17" s="701"/>
      <c r="IA17" s="701"/>
    </row>
    <row r="18" spans="2:235" s="702" customFormat="1" ht="20.149999999999999" customHeight="1" x14ac:dyDescent="0.35">
      <c r="B18" s="398" t="s">
        <v>1121</v>
      </c>
      <c r="C18" s="1787"/>
      <c r="D18" s="1862"/>
      <c r="E18" s="1863"/>
      <c r="F18" s="211"/>
      <c r="G18" s="777"/>
      <c r="H18" s="97"/>
      <c r="I18" s="779"/>
      <c r="J18" s="97"/>
      <c r="K18" s="781"/>
      <c r="L18" s="32"/>
      <c r="M18" s="211"/>
      <c r="N18" s="397"/>
      <c r="O18" s="1790">
        <v>9</v>
      </c>
      <c r="P18" s="1791"/>
      <c r="Q18" s="1792">
        <v>10</v>
      </c>
      <c r="R18" s="1793"/>
      <c r="S18" s="180">
        <v>1</v>
      </c>
      <c r="T18" s="554">
        <f t="shared" si="0"/>
        <v>0</v>
      </c>
      <c r="U18" s="810">
        <v>2</v>
      </c>
      <c r="V18" s="1784"/>
      <c r="W18" s="810">
        <v>3</v>
      </c>
      <c r="X18" s="1784"/>
      <c r="Y18" s="32"/>
      <c r="Z18" s="371"/>
      <c r="AA18" s="180"/>
      <c r="AB18" s="280"/>
      <c r="AC18" s="1380">
        <f t="shared" si="62"/>
        <v>0</v>
      </c>
      <c r="AD18" s="906">
        <f t="shared" si="8"/>
        <v>0</v>
      </c>
      <c r="AE18" s="794">
        <f t="shared" si="9"/>
        <v>0</v>
      </c>
      <c r="AF18" s="282">
        <f>SUM(BW18)*(1+M$64+Summary!P$64)</f>
        <v>0</v>
      </c>
      <c r="AG18" s="632" t="e">
        <f t="shared" si="1"/>
        <v>#DIV/0!</v>
      </c>
      <c r="AH18" s="1758">
        <f t="shared" si="10"/>
        <v>0</v>
      </c>
      <c r="AI18" s="769"/>
      <c r="AO18" s="702">
        <f t="shared" si="11"/>
        <v>0</v>
      </c>
      <c r="AP18" s="702">
        <f t="shared" si="12"/>
        <v>0</v>
      </c>
      <c r="AQ18" s="702">
        <f t="shared" si="13"/>
        <v>0</v>
      </c>
      <c r="AR18" s="702">
        <f t="shared" si="14"/>
        <v>0</v>
      </c>
      <c r="AS18" s="702">
        <f t="shared" si="15"/>
        <v>0</v>
      </c>
      <c r="AT18" s="702">
        <f t="shared" si="16"/>
        <v>0</v>
      </c>
      <c r="AU18" s="702">
        <f t="shared" si="17"/>
        <v>0</v>
      </c>
      <c r="AV18" s="1063">
        <f t="shared" si="18"/>
        <v>0</v>
      </c>
      <c r="AW18" s="1063">
        <f t="shared" si="19"/>
        <v>0</v>
      </c>
      <c r="AX18" s="702">
        <f t="shared" si="20"/>
        <v>0</v>
      </c>
      <c r="AY18" s="702">
        <f t="shared" si="21"/>
        <v>0</v>
      </c>
      <c r="AZ18" s="702">
        <f t="shared" si="22"/>
        <v>0</v>
      </c>
      <c r="BA18" s="702">
        <f t="shared" si="23"/>
        <v>0</v>
      </c>
      <c r="BB18" s="702">
        <f t="shared" si="24"/>
        <v>0</v>
      </c>
      <c r="BC18" s="702">
        <f t="shared" si="25"/>
        <v>0</v>
      </c>
      <c r="BD18" s="1063">
        <f t="shared" si="26"/>
        <v>0</v>
      </c>
      <c r="BE18" s="1064">
        <f t="shared" si="27"/>
        <v>0</v>
      </c>
      <c r="BF18" s="1063">
        <f t="shared" si="28"/>
        <v>0</v>
      </c>
      <c r="BG18" s="1065">
        <f t="shared" si="29"/>
        <v>0</v>
      </c>
      <c r="BH18" s="702">
        <f t="shared" si="30"/>
        <v>0</v>
      </c>
      <c r="BI18" s="1063">
        <f t="shared" si="31"/>
        <v>0</v>
      </c>
      <c r="BJ18" s="1063">
        <f t="shared" si="32"/>
        <v>0</v>
      </c>
      <c r="BK18" s="1063">
        <f t="shared" si="33"/>
        <v>0</v>
      </c>
      <c r="BL18" s="1063">
        <f t="shared" si="34"/>
        <v>0</v>
      </c>
      <c r="BM18" s="1063">
        <f t="shared" si="35"/>
        <v>0</v>
      </c>
      <c r="BN18" s="1064">
        <f t="shared" si="36"/>
        <v>0</v>
      </c>
      <c r="BO18" s="1761">
        <f t="shared" si="37"/>
        <v>0</v>
      </c>
      <c r="BP18" s="1063">
        <f t="shared" si="38"/>
        <v>0</v>
      </c>
      <c r="BQ18" s="1064">
        <f t="shared" si="39"/>
        <v>0</v>
      </c>
      <c r="BR18" s="1063">
        <f t="shared" si="40"/>
        <v>0</v>
      </c>
      <c r="BS18" s="1063">
        <f t="shared" si="41"/>
        <v>0</v>
      </c>
      <c r="BT18" s="1064">
        <f t="shared" si="42"/>
        <v>0</v>
      </c>
      <c r="BU18" s="1064">
        <f t="shared" si="43"/>
        <v>0</v>
      </c>
      <c r="BV18" s="1064">
        <f t="shared" si="44"/>
        <v>0</v>
      </c>
      <c r="BW18" s="1066">
        <f t="shared" si="45"/>
        <v>0</v>
      </c>
      <c r="BX18" s="1063">
        <f>(BI18*Pricing!F$2+BJ18*Pricing!G$2+BK18*Pricing!H$2+BL18*Pricing!I$2+BM18*Pricing!J$2+BN18*Pricing!K$2)*IF(AC$63="N",(1+AE$63),1)</f>
        <v>0</v>
      </c>
      <c r="BY18" s="1063">
        <f t="shared" si="46"/>
        <v>0</v>
      </c>
      <c r="BZ18" s="1063">
        <f t="shared" si="47"/>
        <v>0</v>
      </c>
      <c r="CA18" s="1063">
        <f t="shared" si="48"/>
        <v>0</v>
      </c>
      <c r="CB18" s="1067">
        <f t="shared" si="49"/>
        <v>0</v>
      </c>
      <c r="CD18" s="702">
        <f t="shared" si="50"/>
        <v>0</v>
      </c>
      <c r="CE18" s="1063">
        <f t="shared" si="2"/>
        <v>0</v>
      </c>
      <c r="CF18" s="1063">
        <f t="shared" si="3"/>
        <v>0</v>
      </c>
      <c r="CG18" s="1063">
        <f t="shared" si="4"/>
        <v>0</v>
      </c>
      <c r="CH18" s="702">
        <f t="shared" si="5"/>
        <v>0</v>
      </c>
      <c r="CI18" s="1063">
        <f t="shared" si="6"/>
        <v>0</v>
      </c>
      <c r="CJ18" s="702">
        <f t="shared" si="51"/>
        <v>0</v>
      </c>
      <c r="CK18" s="1063">
        <f t="shared" si="52"/>
        <v>0</v>
      </c>
      <c r="CL18" s="704">
        <f t="shared" si="53"/>
        <v>0</v>
      </c>
      <c r="CM18" s="702">
        <f t="shared" si="54"/>
        <v>0</v>
      </c>
      <c r="CO18" s="1061">
        <f t="shared" si="55"/>
        <v>0</v>
      </c>
      <c r="CP18" s="702">
        <f t="shared" si="56"/>
        <v>0</v>
      </c>
      <c r="CQ18" s="702">
        <f t="shared" si="57"/>
        <v>0</v>
      </c>
      <c r="CR18" s="702">
        <f t="shared" si="63"/>
        <v>0</v>
      </c>
      <c r="CS18" s="702">
        <f t="shared" si="58"/>
        <v>0</v>
      </c>
      <c r="CT18" s="702">
        <f t="shared" si="59"/>
        <v>0</v>
      </c>
      <c r="CU18" s="702">
        <f t="shared" si="60"/>
        <v>0</v>
      </c>
      <c r="CV18" s="1068">
        <f t="shared" si="7"/>
        <v>0</v>
      </c>
      <c r="CW18" s="1064">
        <f t="shared" si="61"/>
        <v>0</v>
      </c>
      <c r="FX18" s="701"/>
      <c r="FY18" s="701"/>
      <c r="FZ18" s="701"/>
      <c r="GA18" s="701"/>
      <c r="GB18" s="701"/>
      <c r="GC18" s="701"/>
      <c r="GD18" s="701"/>
      <c r="GE18" s="701"/>
      <c r="GF18" s="701"/>
      <c r="GG18" s="701"/>
      <c r="GH18" s="701"/>
      <c r="GI18" s="701"/>
      <c r="GJ18" s="701"/>
      <c r="GK18" s="701"/>
      <c r="GL18" s="701"/>
      <c r="GM18" s="701"/>
      <c r="GN18" s="701"/>
      <c r="GO18" s="701"/>
      <c r="GP18" s="701"/>
      <c r="GQ18" s="701"/>
      <c r="GR18" s="701"/>
      <c r="GS18" s="701"/>
      <c r="GT18" s="701"/>
      <c r="GU18" s="701"/>
      <c r="GV18" s="701"/>
      <c r="GW18" s="701"/>
      <c r="GX18" s="701"/>
      <c r="GY18" s="701"/>
      <c r="GZ18" s="701"/>
      <c r="HA18" s="701"/>
      <c r="HB18" s="701"/>
      <c r="HC18" s="701"/>
      <c r="HD18" s="701"/>
      <c r="HE18" s="701"/>
      <c r="HF18" s="701"/>
      <c r="HG18" s="701"/>
      <c r="HH18" s="701"/>
      <c r="HI18" s="701"/>
      <c r="HJ18" s="701"/>
      <c r="HK18" s="701"/>
      <c r="HL18" s="701"/>
      <c r="HM18" s="701"/>
      <c r="HN18" s="701"/>
      <c r="HO18" s="701"/>
      <c r="HP18" s="701"/>
      <c r="HQ18" s="701"/>
      <c r="HR18" s="701"/>
      <c r="HS18" s="701"/>
      <c r="HT18" s="701"/>
      <c r="HU18" s="701"/>
      <c r="HV18" s="701"/>
      <c r="HW18" s="701"/>
      <c r="HX18" s="701"/>
      <c r="HY18" s="701"/>
      <c r="HZ18" s="701"/>
      <c r="IA18" s="701"/>
    </row>
    <row r="19" spans="2:235" s="702" customFormat="1" ht="20.149999999999999" customHeight="1" x14ac:dyDescent="0.35">
      <c r="B19" s="193" t="s">
        <v>1122</v>
      </c>
      <c r="C19" s="1786"/>
      <c r="D19" s="1864"/>
      <c r="E19" s="1865"/>
      <c r="F19" s="121"/>
      <c r="G19" s="777"/>
      <c r="H19" s="214"/>
      <c r="I19" s="779"/>
      <c r="J19" s="127"/>
      <c r="K19" s="781"/>
      <c r="L19" s="30"/>
      <c r="M19" s="121"/>
      <c r="N19" s="394"/>
      <c r="O19" s="1788">
        <v>9</v>
      </c>
      <c r="P19" s="470"/>
      <c r="Q19" s="1789">
        <v>10</v>
      </c>
      <c r="R19" s="1782"/>
      <c r="S19" s="176">
        <v>1</v>
      </c>
      <c r="T19" s="555">
        <f t="shared" si="0"/>
        <v>0</v>
      </c>
      <c r="U19" s="1783">
        <v>2</v>
      </c>
      <c r="V19" s="1785"/>
      <c r="W19" s="1783">
        <v>3</v>
      </c>
      <c r="X19" s="1785"/>
      <c r="Y19" s="31"/>
      <c r="Z19" s="531"/>
      <c r="AA19" s="178"/>
      <c r="AB19" s="279"/>
      <c r="AC19" s="1380">
        <f t="shared" si="62"/>
        <v>0</v>
      </c>
      <c r="AD19" s="906">
        <f t="shared" si="8"/>
        <v>0</v>
      </c>
      <c r="AE19" s="794">
        <f t="shared" si="9"/>
        <v>0</v>
      </c>
      <c r="AF19" s="282">
        <f>SUM(BW19)*(1+M$64+Summary!P$64)</f>
        <v>0</v>
      </c>
      <c r="AG19" s="632" t="e">
        <f t="shared" si="1"/>
        <v>#DIV/0!</v>
      </c>
      <c r="AH19" s="1758">
        <f t="shared" si="10"/>
        <v>0</v>
      </c>
      <c r="AI19" s="769"/>
      <c r="AO19" s="702">
        <f t="shared" si="11"/>
        <v>0</v>
      </c>
      <c r="AP19" s="702">
        <f t="shared" si="12"/>
        <v>0</v>
      </c>
      <c r="AQ19" s="702">
        <f t="shared" si="13"/>
        <v>0</v>
      </c>
      <c r="AR19" s="702">
        <f t="shared" si="14"/>
        <v>0</v>
      </c>
      <c r="AS19" s="702">
        <f t="shared" si="15"/>
        <v>0</v>
      </c>
      <c r="AT19" s="702">
        <f t="shared" si="16"/>
        <v>0</v>
      </c>
      <c r="AU19" s="702">
        <f t="shared" si="17"/>
        <v>0</v>
      </c>
      <c r="AV19" s="1063">
        <f t="shared" si="18"/>
        <v>0</v>
      </c>
      <c r="AW19" s="1063">
        <f t="shared" si="19"/>
        <v>0</v>
      </c>
      <c r="AX19" s="702">
        <f t="shared" si="20"/>
        <v>0</v>
      </c>
      <c r="AY19" s="702">
        <f t="shared" si="21"/>
        <v>0</v>
      </c>
      <c r="AZ19" s="702">
        <f t="shared" si="22"/>
        <v>0</v>
      </c>
      <c r="BA19" s="702">
        <f t="shared" si="23"/>
        <v>0</v>
      </c>
      <c r="BB19" s="702">
        <f t="shared" si="24"/>
        <v>0</v>
      </c>
      <c r="BC19" s="702">
        <f t="shared" si="25"/>
        <v>0</v>
      </c>
      <c r="BD19" s="1063">
        <f t="shared" si="26"/>
        <v>0</v>
      </c>
      <c r="BE19" s="1064">
        <f t="shared" si="27"/>
        <v>0</v>
      </c>
      <c r="BF19" s="1063">
        <f t="shared" si="28"/>
        <v>0</v>
      </c>
      <c r="BG19" s="1065">
        <f t="shared" si="29"/>
        <v>0</v>
      </c>
      <c r="BH19" s="702">
        <f t="shared" si="30"/>
        <v>0</v>
      </c>
      <c r="BI19" s="1063">
        <f t="shared" si="31"/>
        <v>0</v>
      </c>
      <c r="BJ19" s="1063">
        <f t="shared" si="32"/>
        <v>0</v>
      </c>
      <c r="BK19" s="1063">
        <f t="shared" si="33"/>
        <v>0</v>
      </c>
      <c r="BL19" s="1063">
        <f t="shared" si="34"/>
        <v>0</v>
      </c>
      <c r="BM19" s="1063">
        <f t="shared" si="35"/>
        <v>0</v>
      </c>
      <c r="BN19" s="1064">
        <f t="shared" si="36"/>
        <v>0</v>
      </c>
      <c r="BO19" s="1761">
        <f t="shared" si="37"/>
        <v>0</v>
      </c>
      <c r="BP19" s="1063">
        <f t="shared" si="38"/>
        <v>0</v>
      </c>
      <c r="BQ19" s="1064">
        <f t="shared" si="39"/>
        <v>0</v>
      </c>
      <c r="BR19" s="1063">
        <f t="shared" si="40"/>
        <v>0</v>
      </c>
      <c r="BS19" s="1063">
        <f t="shared" si="41"/>
        <v>0</v>
      </c>
      <c r="BT19" s="1064">
        <f t="shared" si="42"/>
        <v>0</v>
      </c>
      <c r="BU19" s="1064">
        <f t="shared" si="43"/>
        <v>0</v>
      </c>
      <c r="BV19" s="1064">
        <f t="shared" si="44"/>
        <v>0</v>
      </c>
      <c r="BW19" s="1066">
        <f t="shared" si="45"/>
        <v>0</v>
      </c>
      <c r="BX19" s="1063">
        <f>(BI19*Pricing!F$2+BJ19*Pricing!G$2+BK19*Pricing!H$2+BL19*Pricing!I$2+BM19*Pricing!J$2+BN19*Pricing!K$2)*IF(AC$63="N",(1+AE$63),1)</f>
        <v>0</v>
      </c>
      <c r="BY19" s="1063">
        <f t="shared" si="46"/>
        <v>0</v>
      </c>
      <c r="BZ19" s="1063">
        <f t="shared" si="47"/>
        <v>0</v>
      </c>
      <c r="CA19" s="1063">
        <f t="shared" si="48"/>
        <v>0</v>
      </c>
      <c r="CB19" s="1067">
        <f t="shared" si="49"/>
        <v>0</v>
      </c>
      <c r="CD19" s="702">
        <f t="shared" si="50"/>
        <v>0</v>
      </c>
      <c r="CE19" s="1063">
        <f t="shared" si="2"/>
        <v>0</v>
      </c>
      <c r="CF19" s="1063">
        <f t="shared" si="3"/>
        <v>0</v>
      </c>
      <c r="CG19" s="1063">
        <f t="shared" si="4"/>
        <v>0</v>
      </c>
      <c r="CH19" s="702">
        <f t="shared" si="5"/>
        <v>0</v>
      </c>
      <c r="CI19" s="1063">
        <f t="shared" si="6"/>
        <v>0</v>
      </c>
      <c r="CJ19" s="702">
        <f t="shared" si="51"/>
        <v>0</v>
      </c>
      <c r="CK19" s="1063">
        <f t="shared" si="52"/>
        <v>0</v>
      </c>
      <c r="CL19" s="704">
        <f t="shared" si="53"/>
        <v>0</v>
      </c>
      <c r="CM19" s="702">
        <f t="shared" si="54"/>
        <v>0</v>
      </c>
      <c r="CO19" s="1061">
        <f t="shared" si="55"/>
        <v>0</v>
      </c>
      <c r="CP19" s="702">
        <f t="shared" si="56"/>
        <v>0</v>
      </c>
      <c r="CQ19" s="702">
        <f t="shared" si="57"/>
        <v>0</v>
      </c>
      <c r="CR19" s="702">
        <f t="shared" si="63"/>
        <v>0</v>
      </c>
      <c r="CS19" s="702">
        <f t="shared" si="58"/>
        <v>0</v>
      </c>
      <c r="CT19" s="702">
        <f t="shared" si="59"/>
        <v>0</v>
      </c>
      <c r="CU19" s="702">
        <f t="shared" si="60"/>
        <v>0</v>
      </c>
      <c r="CV19" s="1068">
        <f t="shared" si="7"/>
        <v>0</v>
      </c>
      <c r="CW19" s="1064">
        <f t="shared" si="61"/>
        <v>0</v>
      </c>
      <c r="FX19" s="701"/>
      <c r="FY19" s="701"/>
      <c r="FZ19" s="701"/>
      <c r="GA19" s="701"/>
      <c r="GB19" s="701"/>
      <c r="GC19" s="701"/>
      <c r="GD19" s="701"/>
      <c r="GE19" s="701"/>
      <c r="GF19" s="701"/>
      <c r="GG19" s="701"/>
      <c r="GH19" s="701"/>
      <c r="GI19" s="701"/>
      <c r="GJ19" s="701"/>
      <c r="GK19" s="701"/>
      <c r="GL19" s="701"/>
      <c r="GM19" s="701"/>
      <c r="GN19" s="701"/>
      <c r="GO19" s="701"/>
      <c r="GP19" s="701"/>
      <c r="GQ19" s="701"/>
      <c r="GR19" s="701"/>
      <c r="GS19" s="701"/>
      <c r="GT19" s="701"/>
      <c r="GU19" s="701"/>
      <c r="GV19" s="701"/>
      <c r="GW19" s="701"/>
      <c r="GX19" s="701"/>
      <c r="GY19" s="701"/>
      <c r="GZ19" s="701"/>
      <c r="HA19" s="701"/>
      <c r="HB19" s="701"/>
      <c r="HC19" s="701"/>
      <c r="HD19" s="701"/>
      <c r="HE19" s="701"/>
      <c r="HF19" s="701"/>
      <c r="HG19" s="701"/>
      <c r="HH19" s="701"/>
      <c r="HI19" s="701"/>
      <c r="HJ19" s="701"/>
      <c r="HK19" s="701"/>
      <c r="HL19" s="701"/>
      <c r="HM19" s="701"/>
      <c r="HN19" s="701"/>
      <c r="HO19" s="701"/>
      <c r="HP19" s="701"/>
      <c r="HQ19" s="701"/>
      <c r="HR19" s="701"/>
      <c r="HS19" s="701"/>
      <c r="HT19" s="701"/>
      <c r="HU19" s="701"/>
      <c r="HV19" s="701"/>
      <c r="HW19" s="701"/>
      <c r="HX19" s="701"/>
      <c r="HY19" s="701"/>
      <c r="HZ19" s="701"/>
      <c r="IA19" s="701"/>
    </row>
    <row r="20" spans="2:235" s="702" customFormat="1" ht="20.149999999999999" customHeight="1" x14ac:dyDescent="0.35">
      <c r="B20" s="398" t="s">
        <v>1123</v>
      </c>
      <c r="C20" s="1787"/>
      <c r="D20" s="1862"/>
      <c r="E20" s="1863"/>
      <c r="F20" s="211"/>
      <c r="G20" s="777"/>
      <c r="H20" s="97"/>
      <c r="I20" s="779"/>
      <c r="J20" s="97"/>
      <c r="K20" s="781"/>
      <c r="L20" s="32"/>
      <c r="M20" s="211"/>
      <c r="N20" s="397"/>
      <c r="O20" s="1790">
        <v>9</v>
      </c>
      <c r="P20" s="1791"/>
      <c r="Q20" s="1792">
        <v>10</v>
      </c>
      <c r="R20" s="1793"/>
      <c r="S20" s="180">
        <v>1</v>
      </c>
      <c r="T20" s="554">
        <f t="shared" si="0"/>
        <v>0</v>
      </c>
      <c r="U20" s="810">
        <v>2</v>
      </c>
      <c r="V20" s="1784"/>
      <c r="W20" s="810">
        <v>3</v>
      </c>
      <c r="X20" s="1784"/>
      <c r="Y20" s="32"/>
      <c r="Z20" s="371"/>
      <c r="AA20" s="180"/>
      <c r="AB20" s="280"/>
      <c r="AC20" s="1380">
        <f t="shared" si="62"/>
        <v>0</v>
      </c>
      <c r="AD20" s="906">
        <f t="shared" si="8"/>
        <v>0</v>
      </c>
      <c r="AE20" s="794">
        <f t="shared" si="9"/>
        <v>0</v>
      </c>
      <c r="AF20" s="282">
        <f>SUM(BW20)*(1+M$64+Summary!P$64)</f>
        <v>0</v>
      </c>
      <c r="AG20" s="632" t="e">
        <f t="shared" si="1"/>
        <v>#DIV/0!</v>
      </c>
      <c r="AH20" s="1758">
        <f t="shared" si="10"/>
        <v>0</v>
      </c>
      <c r="AI20" s="769"/>
      <c r="AO20" s="702">
        <f t="shared" si="11"/>
        <v>0</v>
      </c>
      <c r="AP20" s="702">
        <f t="shared" si="12"/>
        <v>0</v>
      </c>
      <c r="AQ20" s="702">
        <f t="shared" si="13"/>
        <v>0</v>
      </c>
      <c r="AR20" s="702">
        <f t="shared" si="14"/>
        <v>0</v>
      </c>
      <c r="AS20" s="702">
        <f t="shared" si="15"/>
        <v>0</v>
      </c>
      <c r="AT20" s="702">
        <f t="shared" si="16"/>
        <v>0</v>
      </c>
      <c r="AU20" s="702">
        <f t="shared" si="17"/>
        <v>0</v>
      </c>
      <c r="AV20" s="1063">
        <f t="shared" si="18"/>
        <v>0</v>
      </c>
      <c r="AW20" s="1063">
        <f t="shared" si="19"/>
        <v>0</v>
      </c>
      <c r="AX20" s="702">
        <f t="shared" si="20"/>
        <v>0</v>
      </c>
      <c r="AY20" s="702">
        <f t="shared" si="21"/>
        <v>0</v>
      </c>
      <c r="AZ20" s="702">
        <f t="shared" si="22"/>
        <v>0</v>
      </c>
      <c r="BA20" s="702">
        <f t="shared" si="23"/>
        <v>0</v>
      </c>
      <c r="BB20" s="702">
        <f t="shared" si="24"/>
        <v>0</v>
      </c>
      <c r="BC20" s="702">
        <f t="shared" si="25"/>
        <v>0</v>
      </c>
      <c r="BD20" s="1063">
        <f t="shared" si="26"/>
        <v>0</v>
      </c>
      <c r="BE20" s="1064">
        <f t="shared" si="27"/>
        <v>0</v>
      </c>
      <c r="BF20" s="1063">
        <f t="shared" si="28"/>
        <v>0</v>
      </c>
      <c r="BG20" s="1065">
        <f t="shared" si="29"/>
        <v>0</v>
      </c>
      <c r="BH20" s="702">
        <f t="shared" si="30"/>
        <v>0</v>
      </c>
      <c r="BI20" s="1063">
        <f t="shared" si="31"/>
        <v>0</v>
      </c>
      <c r="BJ20" s="1063">
        <f t="shared" si="32"/>
        <v>0</v>
      </c>
      <c r="BK20" s="1063">
        <f t="shared" si="33"/>
        <v>0</v>
      </c>
      <c r="BL20" s="1063">
        <f t="shared" si="34"/>
        <v>0</v>
      </c>
      <c r="BM20" s="1063">
        <f t="shared" si="35"/>
        <v>0</v>
      </c>
      <c r="BN20" s="1064">
        <f t="shared" si="36"/>
        <v>0</v>
      </c>
      <c r="BO20" s="1761">
        <f t="shared" si="37"/>
        <v>0</v>
      </c>
      <c r="BP20" s="1063">
        <f t="shared" si="38"/>
        <v>0</v>
      </c>
      <c r="BQ20" s="1064">
        <f t="shared" si="39"/>
        <v>0</v>
      </c>
      <c r="BR20" s="1063">
        <f t="shared" si="40"/>
        <v>0</v>
      </c>
      <c r="BS20" s="1063">
        <f t="shared" si="41"/>
        <v>0</v>
      </c>
      <c r="BT20" s="1064">
        <f t="shared" si="42"/>
        <v>0</v>
      </c>
      <c r="BU20" s="1064">
        <f t="shared" si="43"/>
        <v>0</v>
      </c>
      <c r="BV20" s="1064">
        <f t="shared" si="44"/>
        <v>0</v>
      </c>
      <c r="BW20" s="1066">
        <f t="shared" si="45"/>
        <v>0</v>
      </c>
      <c r="BX20" s="1063">
        <f>(BI20*Pricing!F$2+BJ20*Pricing!G$2+BK20*Pricing!H$2+BL20*Pricing!I$2+BM20*Pricing!J$2+BN20*Pricing!K$2)*IF(AC$63="N",(1+AE$63),1)</f>
        <v>0</v>
      </c>
      <c r="BY20" s="1063">
        <f t="shared" si="46"/>
        <v>0</v>
      </c>
      <c r="BZ20" s="1063">
        <f t="shared" si="47"/>
        <v>0</v>
      </c>
      <c r="CA20" s="1063">
        <f t="shared" si="48"/>
        <v>0</v>
      </c>
      <c r="CB20" s="1067">
        <f t="shared" si="49"/>
        <v>0</v>
      </c>
      <c r="CD20" s="702">
        <f t="shared" si="50"/>
        <v>0</v>
      </c>
      <c r="CE20" s="1063">
        <f t="shared" si="2"/>
        <v>0</v>
      </c>
      <c r="CF20" s="1063">
        <f t="shared" si="3"/>
        <v>0</v>
      </c>
      <c r="CG20" s="1063">
        <f t="shared" si="4"/>
        <v>0</v>
      </c>
      <c r="CH20" s="702">
        <f t="shared" si="5"/>
        <v>0</v>
      </c>
      <c r="CI20" s="1063">
        <f t="shared" si="6"/>
        <v>0</v>
      </c>
      <c r="CJ20" s="702">
        <f t="shared" si="51"/>
        <v>0</v>
      </c>
      <c r="CK20" s="1063">
        <f t="shared" si="52"/>
        <v>0</v>
      </c>
      <c r="CL20" s="704">
        <f t="shared" si="53"/>
        <v>0</v>
      </c>
      <c r="CM20" s="702">
        <f t="shared" si="54"/>
        <v>0</v>
      </c>
      <c r="CO20" s="1061">
        <f t="shared" si="55"/>
        <v>0</v>
      </c>
      <c r="CP20" s="702">
        <f t="shared" si="56"/>
        <v>0</v>
      </c>
      <c r="CQ20" s="702">
        <f t="shared" si="57"/>
        <v>0</v>
      </c>
      <c r="CR20" s="702">
        <f t="shared" si="63"/>
        <v>0</v>
      </c>
      <c r="CS20" s="702">
        <f t="shared" si="58"/>
        <v>0</v>
      </c>
      <c r="CT20" s="702">
        <f t="shared" si="59"/>
        <v>0</v>
      </c>
      <c r="CU20" s="702">
        <f t="shared" si="60"/>
        <v>0</v>
      </c>
      <c r="CV20" s="1068">
        <f t="shared" si="7"/>
        <v>0</v>
      </c>
      <c r="CW20" s="1064">
        <f t="shared" si="61"/>
        <v>0</v>
      </c>
      <c r="FX20" s="701"/>
      <c r="FY20" s="701"/>
      <c r="FZ20" s="701"/>
      <c r="GA20" s="701"/>
      <c r="GB20" s="701"/>
      <c r="GC20" s="701"/>
      <c r="GD20" s="701"/>
      <c r="GE20" s="701"/>
      <c r="GF20" s="701"/>
      <c r="GG20" s="701"/>
      <c r="GH20" s="701"/>
      <c r="GI20" s="701"/>
      <c r="GJ20" s="701"/>
      <c r="GK20" s="701"/>
      <c r="GL20" s="701"/>
      <c r="GM20" s="701"/>
      <c r="GN20" s="701"/>
      <c r="GO20" s="701"/>
      <c r="GP20" s="701"/>
      <c r="GQ20" s="701"/>
      <c r="GR20" s="701"/>
      <c r="GS20" s="701"/>
      <c r="GT20" s="701"/>
      <c r="GU20" s="701"/>
      <c r="GV20" s="701"/>
      <c r="GW20" s="701"/>
      <c r="GX20" s="701"/>
      <c r="GY20" s="701"/>
      <c r="GZ20" s="701"/>
      <c r="HA20" s="701"/>
      <c r="HB20" s="701"/>
      <c r="HC20" s="701"/>
      <c r="HD20" s="701"/>
      <c r="HE20" s="701"/>
      <c r="HF20" s="701"/>
      <c r="HG20" s="701"/>
      <c r="HH20" s="701"/>
      <c r="HI20" s="701"/>
      <c r="HJ20" s="701"/>
      <c r="HK20" s="701"/>
      <c r="HL20" s="701"/>
      <c r="HM20" s="701"/>
      <c r="HN20" s="701"/>
      <c r="HO20" s="701"/>
      <c r="HP20" s="701"/>
      <c r="HQ20" s="701"/>
      <c r="HR20" s="701"/>
      <c r="HS20" s="701"/>
      <c r="HT20" s="701"/>
      <c r="HU20" s="701"/>
      <c r="HV20" s="701"/>
      <c r="HW20" s="701"/>
      <c r="HX20" s="701"/>
      <c r="HY20" s="701"/>
      <c r="HZ20" s="701"/>
      <c r="IA20" s="701"/>
    </row>
    <row r="21" spans="2:235" s="702" customFormat="1" ht="20.149999999999999" customHeight="1" x14ac:dyDescent="0.35">
      <c r="B21" s="193" t="s">
        <v>1124</v>
      </c>
      <c r="C21" s="1786"/>
      <c r="D21" s="1864"/>
      <c r="E21" s="1865"/>
      <c r="F21" s="121"/>
      <c r="G21" s="777"/>
      <c r="H21" s="214"/>
      <c r="I21" s="779"/>
      <c r="J21" s="127"/>
      <c r="K21" s="781"/>
      <c r="L21" s="30"/>
      <c r="M21" s="121"/>
      <c r="N21" s="394"/>
      <c r="O21" s="1788">
        <v>9</v>
      </c>
      <c r="P21" s="470"/>
      <c r="Q21" s="1789">
        <v>10</v>
      </c>
      <c r="R21" s="1782"/>
      <c r="S21" s="176">
        <v>1</v>
      </c>
      <c r="T21" s="555">
        <f t="shared" si="0"/>
        <v>0</v>
      </c>
      <c r="U21" s="1783">
        <v>2</v>
      </c>
      <c r="V21" s="1785"/>
      <c r="W21" s="1783">
        <v>3</v>
      </c>
      <c r="X21" s="1785"/>
      <c r="Y21" s="31"/>
      <c r="Z21" s="531"/>
      <c r="AA21" s="178"/>
      <c r="AB21" s="279"/>
      <c r="AC21" s="1380">
        <f t="shared" si="62"/>
        <v>0</v>
      </c>
      <c r="AD21" s="906">
        <f t="shared" si="8"/>
        <v>0</v>
      </c>
      <c r="AE21" s="794">
        <f t="shared" si="9"/>
        <v>0</v>
      </c>
      <c r="AF21" s="282">
        <f>SUM(BW21)*(1+M$64+Summary!P$64)</f>
        <v>0</v>
      </c>
      <c r="AG21" s="632" t="e">
        <f t="shared" si="1"/>
        <v>#DIV/0!</v>
      </c>
      <c r="AH21" s="1758">
        <f t="shared" si="10"/>
        <v>0</v>
      </c>
      <c r="AI21" s="769"/>
      <c r="AO21" s="702">
        <f t="shared" si="11"/>
        <v>0</v>
      </c>
      <c r="AP21" s="702">
        <f t="shared" si="12"/>
        <v>0</v>
      </c>
      <c r="AQ21" s="702">
        <f t="shared" si="13"/>
        <v>0</v>
      </c>
      <c r="AR21" s="702">
        <f t="shared" si="14"/>
        <v>0</v>
      </c>
      <c r="AS21" s="702">
        <f t="shared" si="15"/>
        <v>0</v>
      </c>
      <c r="AT21" s="702">
        <f t="shared" si="16"/>
        <v>0</v>
      </c>
      <c r="AU21" s="702">
        <f t="shared" si="17"/>
        <v>0</v>
      </c>
      <c r="AV21" s="1063">
        <f t="shared" si="18"/>
        <v>0</v>
      </c>
      <c r="AW21" s="1063">
        <f t="shared" si="19"/>
        <v>0</v>
      </c>
      <c r="AX21" s="702">
        <f t="shared" si="20"/>
        <v>0</v>
      </c>
      <c r="AY21" s="702">
        <f t="shared" si="21"/>
        <v>0</v>
      </c>
      <c r="AZ21" s="702">
        <f t="shared" si="22"/>
        <v>0</v>
      </c>
      <c r="BA21" s="702">
        <f t="shared" si="23"/>
        <v>0</v>
      </c>
      <c r="BB21" s="702">
        <f t="shared" si="24"/>
        <v>0</v>
      </c>
      <c r="BC21" s="702">
        <f t="shared" si="25"/>
        <v>0</v>
      </c>
      <c r="BD21" s="1063">
        <f t="shared" si="26"/>
        <v>0</v>
      </c>
      <c r="BE21" s="1064">
        <f t="shared" si="27"/>
        <v>0</v>
      </c>
      <c r="BF21" s="1063">
        <f t="shared" si="28"/>
        <v>0</v>
      </c>
      <c r="BG21" s="1065">
        <f t="shared" si="29"/>
        <v>0</v>
      </c>
      <c r="BH21" s="702">
        <f t="shared" si="30"/>
        <v>0</v>
      </c>
      <c r="BI21" s="1063">
        <f t="shared" si="31"/>
        <v>0</v>
      </c>
      <c r="BJ21" s="1063">
        <f t="shared" si="32"/>
        <v>0</v>
      </c>
      <c r="BK21" s="1063">
        <f t="shared" si="33"/>
        <v>0</v>
      </c>
      <c r="BL21" s="1063">
        <f t="shared" si="34"/>
        <v>0</v>
      </c>
      <c r="BM21" s="1063">
        <f t="shared" si="35"/>
        <v>0</v>
      </c>
      <c r="BN21" s="1064">
        <f t="shared" si="36"/>
        <v>0</v>
      </c>
      <c r="BO21" s="1761">
        <f t="shared" si="37"/>
        <v>0</v>
      </c>
      <c r="BP21" s="1063">
        <f t="shared" si="38"/>
        <v>0</v>
      </c>
      <c r="BQ21" s="1064">
        <f t="shared" si="39"/>
        <v>0</v>
      </c>
      <c r="BR21" s="1063">
        <f t="shared" si="40"/>
        <v>0</v>
      </c>
      <c r="BS21" s="1063">
        <f t="shared" si="41"/>
        <v>0</v>
      </c>
      <c r="BT21" s="1064">
        <f t="shared" si="42"/>
        <v>0</v>
      </c>
      <c r="BU21" s="1064">
        <f t="shared" si="43"/>
        <v>0</v>
      </c>
      <c r="BV21" s="1064">
        <f t="shared" si="44"/>
        <v>0</v>
      </c>
      <c r="BW21" s="1066">
        <f t="shared" si="45"/>
        <v>0</v>
      </c>
      <c r="BX21" s="1063">
        <f>(BI21*Pricing!F$2+BJ21*Pricing!G$2+BK21*Pricing!H$2+BL21*Pricing!I$2+BM21*Pricing!J$2+BN21*Pricing!K$2)*IF(AC$63="N",(1+AE$63),1)</f>
        <v>0</v>
      </c>
      <c r="BY21" s="1063">
        <f t="shared" si="46"/>
        <v>0</v>
      </c>
      <c r="BZ21" s="1063">
        <f t="shared" si="47"/>
        <v>0</v>
      </c>
      <c r="CA21" s="1063">
        <f t="shared" si="48"/>
        <v>0</v>
      </c>
      <c r="CB21" s="1067">
        <f t="shared" si="49"/>
        <v>0</v>
      </c>
      <c r="CD21" s="702">
        <f t="shared" si="50"/>
        <v>0</v>
      </c>
      <c r="CE21" s="1063">
        <f t="shared" si="2"/>
        <v>0</v>
      </c>
      <c r="CF21" s="1063">
        <f t="shared" si="3"/>
        <v>0</v>
      </c>
      <c r="CG21" s="1063">
        <f t="shared" si="4"/>
        <v>0</v>
      </c>
      <c r="CH21" s="702">
        <f t="shared" si="5"/>
        <v>0</v>
      </c>
      <c r="CI21" s="1063">
        <f t="shared" si="6"/>
        <v>0</v>
      </c>
      <c r="CJ21" s="702">
        <f t="shared" si="51"/>
        <v>0</v>
      </c>
      <c r="CK21" s="1063">
        <f t="shared" si="52"/>
        <v>0</v>
      </c>
      <c r="CL21" s="704">
        <f t="shared" si="53"/>
        <v>0</v>
      </c>
      <c r="CM21" s="702">
        <f t="shared" si="54"/>
        <v>0</v>
      </c>
      <c r="CO21" s="1061">
        <f t="shared" si="55"/>
        <v>0</v>
      </c>
      <c r="CP21" s="702">
        <f t="shared" si="56"/>
        <v>0</v>
      </c>
      <c r="CQ21" s="702">
        <f t="shared" si="57"/>
        <v>0</v>
      </c>
      <c r="CR21" s="702">
        <f t="shared" si="63"/>
        <v>0</v>
      </c>
      <c r="CS21" s="702">
        <f t="shared" si="58"/>
        <v>0</v>
      </c>
      <c r="CT21" s="702">
        <f t="shared" si="59"/>
        <v>0</v>
      </c>
      <c r="CU21" s="702">
        <f t="shared" si="60"/>
        <v>0</v>
      </c>
      <c r="CV21" s="1068">
        <f t="shared" si="7"/>
        <v>0</v>
      </c>
      <c r="CW21" s="1064">
        <f t="shared" si="61"/>
        <v>0</v>
      </c>
      <c r="FX21" s="701"/>
      <c r="FY21" s="701"/>
      <c r="FZ21" s="701"/>
      <c r="GA21" s="701"/>
      <c r="GB21" s="701"/>
      <c r="GC21" s="701"/>
      <c r="GD21" s="701"/>
      <c r="GE21" s="701"/>
      <c r="GF21" s="701"/>
      <c r="GG21" s="701"/>
      <c r="GH21" s="701"/>
      <c r="GI21" s="701"/>
      <c r="GJ21" s="701"/>
      <c r="GK21" s="701"/>
      <c r="GL21" s="701"/>
      <c r="GM21" s="701"/>
      <c r="GN21" s="701"/>
      <c r="GO21" s="701"/>
      <c r="GP21" s="701"/>
      <c r="GQ21" s="701"/>
      <c r="GR21" s="701"/>
      <c r="GS21" s="701"/>
      <c r="GT21" s="701"/>
      <c r="GU21" s="701"/>
      <c r="GV21" s="701"/>
      <c r="GW21" s="701"/>
      <c r="GX21" s="701"/>
      <c r="GY21" s="701"/>
      <c r="GZ21" s="701"/>
      <c r="HA21" s="701"/>
      <c r="HB21" s="701"/>
      <c r="HC21" s="701"/>
      <c r="HD21" s="701"/>
      <c r="HE21" s="701"/>
      <c r="HF21" s="701"/>
      <c r="HG21" s="701"/>
      <c r="HH21" s="701"/>
      <c r="HI21" s="701"/>
      <c r="HJ21" s="701"/>
      <c r="HK21" s="701"/>
      <c r="HL21" s="701"/>
      <c r="HM21" s="701"/>
      <c r="HN21" s="701"/>
      <c r="HO21" s="701"/>
      <c r="HP21" s="701"/>
      <c r="HQ21" s="701"/>
      <c r="HR21" s="701"/>
      <c r="HS21" s="701"/>
      <c r="HT21" s="701"/>
      <c r="HU21" s="701"/>
      <c r="HV21" s="701"/>
      <c r="HW21" s="701"/>
      <c r="HX21" s="701"/>
      <c r="HY21" s="701"/>
      <c r="HZ21" s="701"/>
      <c r="IA21" s="701"/>
    </row>
    <row r="22" spans="2:235" s="702" customFormat="1" ht="20.149999999999999" customHeight="1" x14ac:dyDescent="0.35">
      <c r="B22" s="398" t="s">
        <v>1125</v>
      </c>
      <c r="C22" s="1787"/>
      <c r="D22" s="1862"/>
      <c r="E22" s="1863"/>
      <c r="F22" s="211"/>
      <c r="G22" s="777"/>
      <c r="H22" s="97"/>
      <c r="I22" s="779"/>
      <c r="J22" s="97"/>
      <c r="K22" s="781"/>
      <c r="L22" s="32"/>
      <c r="M22" s="211"/>
      <c r="N22" s="397"/>
      <c r="O22" s="1790">
        <v>9</v>
      </c>
      <c r="P22" s="1791"/>
      <c r="Q22" s="1792">
        <v>10</v>
      </c>
      <c r="R22" s="1793"/>
      <c r="S22" s="180">
        <v>1</v>
      </c>
      <c r="T22" s="554">
        <f t="shared" si="0"/>
        <v>0</v>
      </c>
      <c r="U22" s="810">
        <v>2</v>
      </c>
      <c r="V22" s="1784"/>
      <c r="W22" s="810">
        <v>3</v>
      </c>
      <c r="X22" s="1784"/>
      <c r="Y22" s="32"/>
      <c r="Z22" s="371"/>
      <c r="AA22" s="180"/>
      <c r="AB22" s="280"/>
      <c r="AC22" s="1380">
        <f t="shared" si="62"/>
        <v>0</v>
      </c>
      <c r="AD22" s="906">
        <f t="shared" si="8"/>
        <v>0</v>
      </c>
      <c r="AE22" s="794">
        <f t="shared" si="9"/>
        <v>0</v>
      </c>
      <c r="AF22" s="282">
        <f>SUM(BW22)*(1+M$64+Summary!P$64)</f>
        <v>0</v>
      </c>
      <c r="AG22" s="632" t="e">
        <f t="shared" si="1"/>
        <v>#DIV/0!</v>
      </c>
      <c r="AH22" s="1758">
        <f t="shared" si="10"/>
        <v>0</v>
      </c>
      <c r="AI22" s="769"/>
      <c r="AO22" s="702">
        <f t="shared" si="11"/>
        <v>0</v>
      </c>
      <c r="AP22" s="702">
        <f t="shared" si="12"/>
        <v>0</v>
      </c>
      <c r="AQ22" s="702">
        <f t="shared" si="13"/>
        <v>0</v>
      </c>
      <c r="AR22" s="702">
        <f t="shared" si="14"/>
        <v>0</v>
      </c>
      <c r="AS22" s="702">
        <f t="shared" si="15"/>
        <v>0</v>
      </c>
      <c r="AT22" s="702">
        <f t="shared" si="16"/>
        <v>0</v>
      </c>
      <c r="AU22" s="702">
        <f t="shared" si="17"/>
        <v>0</v>
      </c>
      <c r="AV22" s="1063">
        <f t="shared" si="18"/>
        <v>0</v>
      </c>
      <c r="AW22" s="1063">
        <f t="shared" si="19"/>
        <v>0</v>
      </c>
      <c r="AX22" s="702">
        <f t="shared" si="20"/>
        <v>0</v>
      </c>
      <c r="AY22" s="702">
        <f t="shared" si="21"/>
        <v>0</v>
      </c>
      <c r="AZ22" s="702">
        <f t="shared" si="22"/>
        <v>0</v>
      </c>
      <c r="BA22" s="702">
        <f t="shared" si="23"/>
        <v>0</v>
      </c>
      <c r="BB22" s="702">
        <f t="shared" si="24"/>
        <v>0</v>
      </c>
      <c r="BC22" s="702">
        <f t="shared" si="25"/>
        <v>0</v>
      </c>
      <c r="BD22" s="1063">
        <f t="shared" si="26"/>
        <v>0</v>
      </c>
      <c r="BE22" s="1064">
        <f t="shared" si="27"/>
        <v>0</v>
      </c>
      <c r="BF22" s="1063">
        <f t="shared" si="28"/>
        <v>0</v>
      </c>
      <c r="BG22" s="1065">
        <f t="shared" si="29"/>
        <v>0</v>
      </c>
      <c r="BH22" s="702">
        <f t="shared" si="30"/>
        <v>0</v>
      </c>
      <c r="BI22" s="1063">
        <f t="shared" si="31"/>
        <v>0</v>
      </c>
      <c r="BJ22" s="1063">
        <f t="shared" si="32"/>
        <v>0</v>
      </c>
      <c r="BK22" s="1063">
        <f t="shared" si="33"/>
        <v>0</v>
      </c>
      <c r="BL22" s="1063">
        <f t="shared" si="34"/>
        <v>0</v>
      </c>
      <c r="BM22" s="1063">
        <f t="shared" si="35"/>
        <v>0</v>
      </c>
      <c r="BN22" s="1064">
        <f t="shared" si="36"/>
        <v>0</v>
      </c>
      <c r="BO22" s="1761">
        <f t="shared" si="37"/>
        <v>0</v>
      </c>
      <c r="BP22" s="1063">
        <f t="shared" si="38"/>
        <v>0</v>
      </c>
      <c r="BQ22" s="1064">
        <f t="shared" si="39"/>
        <v>0</v>
      </c>
      <c r="BR22" s="1063">
        <f t="shared" si="40"/>
        <v>0</v>
      </c>
      <c r="BS22" s="1063">
        <f t="shared" si="41"/>
        <v>0</v>
      </c>
      <c r="BT22" s="1064">
        <f t="shared" si="42"/>
        <v>0</v>
      </c>
      <c r="BU22" s="1064">
        <f t="shared" si="43"/>
        <v>0</v>
      </c>
      <c r="BV22" s="1064">
        <f t="shared" si="44"/>
        <v>0</v>
      </c>
      <c r="BW22" s="1066">
        <f t="shared" si="45"/>
        <v>0</v>
      </c>
      <c r="BX22" s="1063">
        <f>(BI22*Pricing!F$2+BJ22*Pricing!G$2+BK22*Pricing!H$2+BL22*Pricing!I$2+BM22*Pricing!J$2+BN22*Pricing!K$2)*IF(AC$63="N",(1+AE$63),1)</f>
        <v>0</v>
      </c>
      <c r="BY22" s="1063">
        <f t="shared" si="46"/>
        <v>0</v>
      </c>
      <c r="BZ22" s="1063">
        <f t="shared" si="47"/>
        <v>0</v>
      </c>
      <c r="CA22" s="1063">
        <f t="shared" si="48"/>
        <v>0</v>
      </c>
      <c r="CB22" s="1067">
        <f t="shared" si="49"/>
        <v>0</v>
      </c>
      <c r="CD22" s="702">
        <f t="shared" si="50"/>
        <v>0</v>
      </c>
      <c r="CE22" s="1063">
        <f t="shared" si="2"/>
        <v>0</v>
      </c>
      <c r="CF22" s="1063">
        <f t="shared" si="3"/>
        <v>0</v>
      </c>
      <c r="CG22" s="1063">
        <f t="shared" si="4"/>
        <v>0</v>
      </c>
      <c r="CH22" s="702">
        <f t="shared" si="5"/>
        <v>0</v>
      </c>
      <c r="CI22" s="1063">
        <f t="shared" si="6"/>
        <v>0</v>
      </c>
      <c r="CJ22" s="702">
        <f t="shared" si="51"/>
        <v>0</v>
      </c>
      <c r="CK22" s="1063">
        <f t="shared" si="52"/>
        <v>0</v>
      </c>
      <c r="CL22" s="704">
        <f t="shared" si="53"/>
        <v>0</v>
      </c>
      <c r="CM22" s="702">
        <f t="shared" si="54"/>
        <v>0</v>
      </c>
      <c r="CO22" s="1061">
        <f t="shared" si="55"/>
        <v>0</v>
      </c>
      <c r="CP22" s="702">
        <f t="shared" si="56"/>
        <v>0</v>
      </c>
      <c r="CQ22" s="702">
        <f t="shared" si="57"/>
        <v>0</v>
      </c>
      <c r="CR22" s="702">
        <f t="shared" si="63"/>
        <v>0</v>
      </c>
      <c r="CS22" s="702">
        <f t="shared" si="58"/>
        <v>0</v>
      </c>
      <c r="CT22" s="702">
        <f t="shared" si="59"/>
        <v>0</v>
      </c>
      <c r="CU22" s="702">
        <f t="shared" si="60"/>
        <v>0</v>
      </c>
      <c r="CV22" s="1068">
        <f t="shared" si="7"/>
        <v>0</v>
      </c>
      <c r="CW22" s="1064">
        <f t="shared" si="61"/>
        <v>0</v>
      </c>
      <c r="FX22" s="701"/>
      <c r="FY22" s="701"/>
      <c r="FZ22" s="701"/>
      <c r="GA22" s="701"/>
      <c r="GB22" s="701"/>
      <c r="GC22" s="701"/>
      <c r="GD22" s="701"/>
      <c r="GE22" s="701"/>
      <c r="GF22" s="701"/>
      <c r="GG22" s="701"/>
      <c r="GH22" s="701"/>
      <c r="GI22" s="701"/>
      <c r="GJ22" s="701"/>
      <c r="GK22" s="701"/>
      <c r="GL22" s="701"/>
      <c r="GM22" s="701"/>
      <c r="GN22" s="701"/>
      <c r="GO22" s="701"/>
      <c r="GP22" s="701"/>
      <c r="GQ22" s="701"/>
      <c r="GR22" s="701"/>
      <c r="GS22" s="701"/>
      <c r="GT22" s="701"/>
      <c r="GU22" s="701"/>
      <c r="GV22" s="701"/>
      <c r="GW22" s="701"/>
      <c r="GX22" s="701"/>
      <c r="GY22" s="701"/>
      <c r="GZ22" s="701"/>
      <c r="HA22" s="701"/>
      <c r="HB22" s="701"/>
      <c r="HC22" s="701"/>
      <c r="HD22" s="701"/>
      <c r="HE22" s="701"/>
      <c r="HF22" s="701"/>
      <c r="HG22" s="701"/>
      <c r="HH22" s="701"/>
      <c r="HI22" s="701"/>
      <c r="HJ22" s="701"/>
      <c r="HK22" s="701"/>
      <c r="HL22" s="701"/>
      <c r="HM22" s="701"/>
      <c r="HN22" s="701"/>
      <c r="HO22" s="701"/>
      <c r="HP22" s="701"/>
      <c r="HQ22" s="701"/>
      <c r="HR22" s="701"/>
      <c r="HS22" s="701"/>
      <c r="HT22" s="701"/>
      <c r="HU22" s="701"/>
      <c r="HV22" s="701"/>
      <c r="HW22" s="701"/>
      <c r="HX22" s="701"/>
      <c r="HY22" s="701"/>
      <c r="HZ22" s="701"/>
      <c r="IA22" s="701"/>
    </row>
    <row r="23" spans="2:235" s="702" customFormat="1" ht="20.149999999999999" customHeight="1" x14ac:dyDescent="0.35">
      <c r="B23" s="193" t="s">
        <v>1126</v>
      </c>
      <c r="C23" s="1786"/>
      <c r="D23" s="1864"/>
      <c r="E23" s="1865"/>
      <c r="F23" s="121"/>
      <c r="G23" s="777"/>
      <c r="H23" s="214"/>
      <c r="I23" s="779"/>
      <c r="J23" s="127"/>
      <c r="K23" s="781"/>
      <c r="L23" s="30"/>
      <c r="M23" s="121"/>
      <c r="N23" s="394"/>
      <c r="O23" s="1788">
        <v>9</v>
      </c>
      <c r="P23" s="470"/>
      <c r="Q23" s="1789">
        <v>10</v>
      </c>
      <c r="R23" s="1782"/>
      <c r="S23" s="176">
        <v>1</v>
      </c>
      <c r="T23" s="555">
        <f t="shared" si="0"/>
        <v>0</v>
      </c>
      <c r="U23" s="1783">
        <v>2</v>
      </c>
      <c r="V23" s="1785"/>
      <c r="W23" s="1783">
        <v>3</v>
      </c>
      <c r="X23" s="1785"/>
      <c r="Y23" s="31"/>
      <c r="Z23" s="531"/>
      <c r="AA23" s="178"/>
      <c r="AB23" s="279"/>
      <c r="AC23" s="1380">
        <f t="shared" si="62"/>
        <v>0</v>
      </c>
      <c r="AD23" s="906">
        <f t="shared" si="8"/>
        <v>0</v>
      </c>
      <c r="AE23" s="794">
        <f t="shared" si="9"/>
        <v>0</v>
      </c>
      <c r="AF23" s="282">
        <f>SUM(BW23)*(1+M$64+Summary!P$64)</f>
        <v>0</v>
      </c>
      <c r="AG23" s="632" t="e">
        <f t="shared" si="1"/>
        <v>#DIV/0!</v>
      </c>
      <c r="AH23" s="1758">
        <f t="shared" si="10"/>
        <v>0</v>
      </c>
      <c r="AI23" s="769"/>
      <c r="AO23" s="702">
        <f t="shared" si="11"/>
        <v>0</v>
      </c>
      <c r="AP23" s="702">
        <f t="shared" si="12"/>
        <v>0</v>
      </c>
      <c r="AQ23" s="702">
        <f t="shared" si="13"/>
        <v>0</v>
      </c>
      <c r="AR23" s="702">
        <f t="shared" si="14"/>
        <v>0</v>
      </c>
      <c r="AS23" s="702">
        <f t="shared" si="15"/>
        <v>0</v>
      </c>
      <c r="AT23" s="702">
        <f t="shared" si="16"/>
        <v>0</v>
      </c>
      <c r="AU23" s="702">
        <f t="shared" si="17"/>
        <v>0</v>
      </c>
      <c r="AV23" s="1063">
        <f t="shared" si="18"/>
        <v>0</v>
      </c>
      <c r="AW23" s="1063">
        <f t="shared" si="19"/>
        <v>0</v>
      </c>
      <c r="AX23" s="702">
        <f t="shared" si="20"/>
        <v>0</v>
      </c>
      <c r="AY23" s="702">
        <f t="shared" si="21"/>
        <v>0</v>
      </c>
      <c r="AZ23" s="702">
        <f t="shared" si="22"/>
        <v>0</v>
      </c>
      <c r="BA23" s="702">
        <f t="shared" si="23"/>
        <v>0</v>
      </c>
      <c r="BB23" s="702">
        <f t="shared" si="24"/>
        <v>0</v>
      </c>
      <c r="BC23" s="702">
        <f t="shared" si="25"/>
        <v>0</v>
      </c>
      <c r="BD23" s="1063">
        <f t="shared" si="26"/>
        <v>0</v>
      </c>
      <c r="BE23" s="1064">
        <f t="shared" si="27"/>
        <v>0</v>
      </c>
      <c r="BF23" s="1063">
        <f t="shared" si="28"/>
        <v>0</v>
      </c>
      <c r="BG23" s="1065">
        <f t="shared" si="29"/>
        <v>0</v>
      </c>
      <c r="BH23" s="702">
        <f t="shared" si="30"/>
        <v>0</v>
      </c>
      <c r="BI23" s="1063">
        <f t="shared" si="31"/>
        <v>0</v>
      </c>
      <c r="BJ23" s="1063">
        <f t="shared" si="32"/>
        <v>0</v>
      </c>
      <c r="BK23" s="1063">
        <f t="shared" si="33"/>
        <v>0</v>
      </c>
      <c r="BL23" s="1063">
        <f t="shared" si="34"/>
        <v>0</v>
      </c>
      <c r="BM23" s="1063">
        <f t="shared" si="35"/>
        <v>0</v>
      </c>
      <c r="BN23" s="1064">
        <f t="shared" si="36"/>
        <v>0</v>
      </c>
      <c r="BO23" s="1761">
        <f t="shared" si="37"/>
        <v>0</v>
      </c>
      <c r="BP23" s="1063">
        <f t="shared" si="38"/>
        <v>0</v>
      </c>
      <c r="BQ23" s="1064">
        <f t="shared" si="39"/>
        <v>0</v>
      </c>
      <c r="BR23" s="1063">
        <f t="shared" si="40"/>
        <v>0</v>
      </c>
      <c r="BS23" s="1063">
        <f t="shared" si="41"/>
        <v>0</v>
      </c>
      <c r="BT23" s="1064">
        <f t="shared" si="42"/>
        <v>0</v>
      </c>
      <c r="BU23" s="1064">
        <f t="shared" si="43"/>
        <v>0</v>
      </c>
      <c r="BV23" s="1064">
        <f t="shared" si="44"/>
        <v>0</v>
      </c>
      <c r="BW23" s="1066">
        <f t="shared" si="45"/>
        <v>0</v>
      </c>
      <c r="BX23" s="1063">
        <f>(BI23*Pricing!F$2+BJ23*Pricing!G$2+BK23*Pricing!H$2+BL23*Pricing!I$2+BM23*Pricing!J$2+BN23*Pricing!K$2)*IF(AC$63="N",(1+AE$63),1)</f>
        <v>0</v>
      </c>
      <c r="BY23" s="1063">
        <f t="shared" si="46"/>
        <v>0</v>
      </c>
      <c r="BZ23" s="1063">
        <f t="shared" si="47"/>
        <v>0</v>
      </c>
      <c r="CA23" s="1063">
        <f t="shared" si="48"/>
        <v>0</v>
      </c>
      <c r="CB23" s="1067">
        <f t="shared" si="49"/>
        <v>0</v>
      </c>
      <c r="CD23" s="702">
        <f t="shared" si="50"/>
        <v>0</v>
      </c>
      <c r="CE23" s="1063">
        <f t="shared" si="2"/>
        <v>0</v>
      </c>
      <c r="CF23" s="1063">
        <f t="shared" si="3"/>
        <v>0</v>
      </c>
      <c r="CG23" s="1063">
        <f t="shared" si="4"/>
        <v>0</v>
      </c>
      <c r="CH23" s="702">
        <f t="shared" si="5"/>
        <v>0</v>
      </c>
      <c r="CI23" s="1063">
        <f t="shared" si="6"/>
        <v>0</v>
      </c>
      <c r="CJ23" s="702">
        <f t="shared" si="51"/>
        <v>0</v>
      </c>
      <c r="CK23" s="1063">
        <f t="shared" si="52"/>
        <v>0</v>
      </c>
      <c r="CL23" s="704">
        <f t="shared" si="53"/>
        <v>0</v>
      </c>
      <c r="CM23" s="702">
        <f t="shared" si="54"/>
        <v>0</v>
      </c>
      <c r="CO23" s="1061">
        <f t="shared" si="55"/>
        <v>0</v>
      </c>
      <c r="CP23" s="702">
        <f t="shared" si="56"/>
        <v>0</v>
      </c>
      <c r="CQ23" s="702">
        <f t="shared" si="57"/>
        <v>0</v>
      </c>
      <c r="CR23" s="702">
        <f t="shared" si="63"/>
        <v>0</v>
      </c>
      <c r="CS23" s="702">
        <f t="shared" si="58"/>
        <v>0</v>
      </c>
      <c r="CT23" s="702">
        <f t="shared" si="59"/>
        <v>0</v>
      </c>
      <c r="CU23" s="702">
        <f t="shared" si="60"/>
        <v>0</v>
      </c>
      <c r="CV23" s="1068">
        <f t="shared" si="7"/>
        <v>0</v>
      </c>
      <c r="CW23" s="1064">
        <f t="shared" si="61"/>
        <v>0</v>
      </c>
      <c r="FX23" s="701"/>
      <c r="FY23" s="701"/>
      <c r="FZ23" s="701"/>
      <c r="GA23" s="701"/>
      <c r="GB23" s="701"/>
      <c r="GC23" s="701"/>
      <c r="GD23" s="701"/>
      <c r="GE23" s="701"/>
      <c r="GF23" s="701"/>
      <c r="GG23" s="701"/>
      <c r="GH23" s="701"/>
      <c r="GI23" s="701"/>
      <c r="GJ23" s="701"/>
      <c r="GK23" s="701"/>
      <c r="GL23" s="701"/>
      <c r="GM23" s="701"/>
      <c r="GN23" s="701"/>
      <c r="GO23" s="701"/>
      <c r="GP23" s="701"/>
      <c r="GQ23" s="701"/>
      <c r="GR23" s="701"/>
      <c r="GS23" s="701"/>
      <c r="GT23" s="701"/>
      <c r="GU23" s="701"/>
      <c r="GV23" s="701"/>
      <c r="GW23" s="701"/>
      <c r="GX23" s="701"/>
      <c r="GY23" s="701"/>
      <c r="GZ23" s="701"/>
      <c r="HA23" s="701"/>
      <c r="HB23" s="701"/>
      <c r="HC23" s="701"/>
      <c r="HD23" s="701"/>
      <c r="HE23" s="701"/>
      <c r="HF23" s="701"/>
      <c r="HG23" s="701"/>
      <c r="HH23" s="701"/>
      <c r="HI23" s="701"/>
      <c r="HJ23" s="701"/>
      <c r="HK23" s="701"/>
      <c r="HL23" s="701"/>
      <c r="HM23" s="701"/>
      <c r="HN23" s="701"/>
      <c r="HO23" s="701"/>
      <c r="HP23" s="701"/>
      <c r="HQ23" s="701"/>
      <c r="HR23" s="701"/>
      <c r="HS23" s="701"/>
      <c r="HT23" s="701"/>
      <c r="HU23" s="701"/>
      <c r="HV23" s="701"/>
      <c r="HW23" s="701"/>
      <c r="HX23" s="701"/>
      <c r="HY23" s="701"/>
      <c r="HZ23" s="701"/>
      <c r="IA23" s="701"/>
    </row>
    <row r="24" spans="2:235" s="702" customFormat="1" ht="20.149999999999999" customHeight="1" x14ac:dyDescent="0.35">
      <c r="B24" s="398" t="s">
        <v>1127</v>
      </c>
      <c r="C24" s="1787"/>
      <c r="D24" s="1862"/>
      <c r="E24" s="1863"/>
      <c r="F24" s="211"/>
      <c r="G24" s="777"/>
      <c r="H24" s="97"/>
      <c r="I24" s="779"/>
      <c r="J24" s="97"/>
      <c r="K24" s="781"/>
      <c r="L24" s="32"/>
      <c r="M24" s="211"/>
      <c r="N24" s="397"/>
      <c r="O24" s="1790">
        <v>9</v>
      </c>
      <c r="P24" s="1791"/>
      <c r="Q24" s="1792">
        <v>10</v>
      </c>
      <c r="R24" s="1793"/>
      <c r="S24" s="180">
        <v>1</v>
      </c>
      <c r="T24" s="554">
        <f t="shared" si="0"/>
        <v>0</v>
      </c>
      <c r="U24" s="810">
        <v>2</v>
      </c>
      <c r="V24" s="1784"/>
      <c r="W24" s="810">
        <v>3</v>
      </c>
      <c r="X24" s="1784"/>
      <c r="Y24" s="32"/>
      <c r="Z24" s="371"/>
      <c r="AA24" s="180"/>
      <c r="AB24" s="280"/>
      <c r="AC24" s="1380">
        <f t="shared" si="62"/>
        <v>0</v>
      </c>
      <c r="AD24" s="906">
        <f t="shared" si="8"/>
        <v>0</v>
      </c>
      <c r="AE24" s="794">
        <f t="shared" si="9"/>
        <v>0</v>
      </c>
      <c r="AF24" s="282">
        <f>SUM(BW24)*(1+M$64+Summary!P$64)</f>
        <v>0</v>
      </c>
      <c r="AG24" s="632" t="e">
        <f t="shared" si="1"/>
        <v>#DIV/0!</v>
      </c>
      <c r="AH24" s="1758">
        <f t="shared" si="10"/>
        <v>0</v>
      </c>
      <c r="AI24" s="769"/>
      <c r="AO24" s="702">
        <f t="shared" si="11"/>
        <v>0</v>
      </c>
      <c r="AP24" s="702">
        <f t="shared" si="12"/>
        <v>0</v>
      </c>
      <c r="AQ24" s="702">
        <f t="shared" si="13"/>
        <v>0</v>
      </c>
      <c r="AR24" s="702">
        <f t="shared" si="14"/>
        <v>0</v>
      </c>
      <c r="AS24" s="702">
        <f t="shared" si="15"/>
        <v>0</v>
      </c>
      <c r="AT24" s="702">
        <f t="shared" si="16"/>
        <v>0</v>
      </c>
      <c r="AU24" s="702">
        <f t="shared" si="17"/>
        <v>0</v>
      </c>
      <c r="AV24" s="1063">
        <f t="shared" si="18"/>
        <v>0</v>
      </c>
      <c r="AW24" s="1063">
        <f t="shared" si="19"/>
        <v>0</v>
      </c>
      <c r="AX24" s="702">
        <f t="shared" si="20"/>
        <v>0</v>
      </c>
      <c r="AY24" s="702">
        <f t="shared" si="21"/>
        <v>0</v>
      </c>
      <c r="AZ24" s="702">
        <f t="shared" si="22"/>
        <v>0</v>
      </c>
      <c r="BA24" s="702">
        <f t="shared" si="23"/>
        <v>0</v>
      </c>
      <c r="BB24" s="702">
        <f t="shared" si="24"/>
        <v>0</v>
      </c>
      <c r="BC24" s="702">
        <f t="shared" si="25"/>
        <v>0</v>
      </c>
      <c r="BD24" s="1063">
        <f t="shared" si="26"/>
        <v>0</v>
      </c>
      <c r="BE24" s="1064">
        <f t="shared" si="27"/>
        <v>0</v>
      </c>
      <c r="BF24" s="1063">
        <f t="shared" si="28"/>
        <v>0</v>
      </c>
      <c r="BG24" s="1065">
        <f t="shared" si="29"/>
        <v>0</v>
      </c>
      <c r="BH24" s="702">
        <f t="shared" si="30"/>
        <v>0</v>
      </c>
      <c r="BI24" s="1063">
        <f t="shared" si="31"/>
        <v>0</v>
      </c>
      <c r="BJ24" s="1063">
        <f t="shared" si="32"/>
        <v>0</v>
      </c>
      <c r="BK24" s="1063">
        <f t="shared" si="33"/>
        <v>0</v>
      </c>
      <c r="BL24" s="1063">
        <f t="shared" si="34"/>
        <v>0</v>
      </c>
      <c r="BM24" s="1063">
        <f t="shared" si="35"/>
        <v>0</v>
      </c>
      <c r="BN24" s="1064">
        <f t="shared" si="36"/>
        <v>0</v>
      </c>
      <c r="BO24" s="1761">
        <f t="shared" si="37"/>
        <v>0</v>
      </c>
      <c r="BP24" s="1063">
        <f t="shared" si="38"/>
        <v>0</v>
      </c>
      <c r="BQ24" s="1064">
        <f t="shared" si="39"/>
        <v>0</v>
      </c>
      <c r="BR24" s="1063">
        <f t="shared" si="40"/>
        <v>0</v>
      </c>
      <c r="BS24" s="1063">
        <f t="shared" si="41"/>
        <v>0</v>
      </c>
      <c r="BT24" s="1064">
        <f t="shared" si="42"/>
        <v>0</v>
      </c>
      <c r="BU24" s="1064">
        <f t="shared" si="43"/>
        <v>0</v>
      </c>
      <c r="BV24" s="1064">
        <f t="shared" si="44"/>
        <v>0</v>
      </c>
      <c r="BW24" s="1066">
        <f t="shared" si="45"/>
        <v>0</v>
      </c>
      <c r="BX24" s="1063">
        <f>(BI24*Pricing!F$2+BJ24*Pricing!G$2+BK24*Pricing!H$2+BL24*Pricing!I$2+BM24*Pricing!J$2+BN24*Pricing!K$2)*IF(AC$63="N",(1+AE$63),1)</f>
        <v>0</v>
      </c>
      <c r="BY24" s="1063">
        <f t="shared" si="46"/>
        <v>0</v>
      </c>
      <c r="BZ24" s="1063">
        <f t="shared" si="47"/>
        <v>0</v>
      </c>
      <c r="CA24" s="1063">
        <f t="shared" si="48"/>
        <v>0</v>
      </c>
      <c r="CB24" s="1067">
        <f t="shared" si="49"/>
        <v>0</v>
      </c>
      <c r="CD24" s="702">
        <f t="shared" si="50"/>
        <v>0</v>
      </c>
      <c r="CE24" s="1063">
        <f t="shared" si="2"/>
        <v>0</v>
      </c>
      <c r="CF24" s="1063">
        <f t="shared" si="3"/>
        <v>0</v>
      </c>
      <c r="CG24" s="1063">
        <f t="shared" si="4"/>
        <v>0</v>
      </c>
      <c r="CH24" s="702">
        <f t="shared" si="5"/>
        <v>0</v>
      </c>
      <c r="CI24" s="1063">
        <f t="shared" si="6"/>
        <v>0</v>
      </c>
      <c r="CJ24" s="702">
        <f t="shared" si="51"/>
        <v>0</v>
      </c>
      <c r="CK24" s="1063">
        <f t="shared" si="52"/>
        <v>0</v>
      </c>
      <c r="CL24" s="704">
        <f t="shared" si="53"/>
        <v>0</v>
      </c>
      <c r="CM24" s="702">
        <f t="shared" si="54"/>
        <v>0</v>
      </c>
      <c r="CO24" s="1061">
        <f t="shared" si="55"/>
        <v>0</v>
      </c>
      <c r="CP24" s="702">
        <f t="shared" si="56"/>
        <v>0</v>
      </c>
      <c r="CQ24" s="702">
        <f t="shared" si="57"/>
        <v>0</v>
      </c>
      <c r="CR24" s="702">
        <f t="shared" si="63"/>
        <v>0</v>
      </c>
      <c r="CS24" s="702">
        <f t="shared" si="58"/>
        <v>0</v>
      </c>
      <c r="CT24" s="702">
        <f t="shared" si="59"/>
        <v>0</v>
      </c>
      <c r="CU24" s="702">
        <f t="shared" si="60"/>
        <v>0</v>
      </c>
      <c r="CV24" s="1068">
        <f t="shared" si="7"/>
        <v>0</v>
      </c>
      <c r="CW24" s="1064">
        <f t="shared" si="61"/>
        <v>0</v>
      </c>
      <c r="FX24" s="701"/>
      <c r="FY24" s="701"/>
      <c r="FZ24" s="701"/>
      <c r="GA24" s="701"/>
      <c r="GB24" s="701"/>
      <c r="GC24" s="701"/>
      <c r="GD24" s="701"/>
      <c r="GE24" s="701"/>
      <c r="GF24" s="701"/>
      <c r="GG24" s="701"/>
      <c r="GH24" s="701"/>
      <c r="GI24" s="701"/>
      <c r="GJ24" s="701"/>
      <c r="GK24" s="701"/>
      <c r="GL24" s="701"/>
      <c r="GM24" s="701"/>
      <c r="GN24" s="701"/>
      <c r="GO24" s="701"/>
      <c r="GP24" s="701"/>
      <c r="GQ24" s="701"/>
      <c r="GR24" s="701"/>
      <c r="GS24" s="701"/>
      <c r="GT24" s="701"/>
      <c r="GU24" s="701"/>
      <c r="GV24" s="701"/>
      <c r="GW24" s="701"/>
      <c r="GX24" s="701"/>
      <c r="GY24" s="701"/>
      <c r="GZ24" s="701"/>
      <c r="HA24" s="701"/>
      <c r="HB24" s="701"/>
      <c r="HC24" s="701"/>
      <c r="HD24" s="701"/>
      <c r="HE24" s="701"/>
      <c r="HF24" s="701"/>
      <c r="HG24" s="701"/>
      <c r="HH24" s="701"/>
      <c r="HI24" s="701"/>
      <c r="HJ24" s="701"/>
      <c r="HK24" s="701"/>
      <c r="HL24" s="701"/>
      <c r="HM24" s="701"/>
      <c r="HN24" s="701"/>
      <c r="HO24" s="701"/>
      <c r="HP24" s="701"/>
      <c r="HQ24" s="701"/>
      <c r="HR24" s="701"/>
      <c r="HS24" s="701"/>
      <c r="HT24" s="701"/>
      <c r="HU24" s="701"/>
      <c r="HV24" s="701"/>
      <c r="HW24" s="701"/>
      <c r="HX24" s="701"/>
      <c r="HY24" s="701"/>
      <c r="HZ24" s="701"/>
      <c r="IA24" s="701"/>
    </row>
    <row r="25" spans="2:235" s="702" customFormat="1" ht="20.149999999999999" customHeight="1" x14ac:dyDescent="0.35">
      <c r="B25" s="193" t="s">
        <v>1128</v>
      </c>
      <c r="C25" s="1786"/>
      <c r="D25" s="1864"/>
      <c r="E25" s="1865"/>
      <c r="F25" s="121"/>
      <c r="G25" s="777"/>
      <c r="H25" s="214"/>
      <c r="I25" s="779"/>
      <c r="J25" s="127"/>
      <c r="K25" s="781"/>
      <c r="L25" s="30"/>
      <c r="M25" s="121"/>
      <c r="N25" s="394"/>
      <c r="O25" s="1788">
        <v>9</v>
      </c>
      <c r="P25" s="470"/>
      <c r="Q25" s="1789">
        <v>10</v>
      </c>
      <c r="R25" s="1782"/>
      <c r="S25" s="176">
        <v>1</v>
      </c>
      <c r="T25" s="555">
        <f t="shared" si="0"/>
        <v>0</v>
      </c>
      <c r="U25" s="1783">
        <v>2</v>
      </c>
      <c r="V25" s="1785"/>
      <c r="W25" s="1783">
        <v>3</v>
      </c>
      <c r="X25" s="1785"/>
      <c r="Y25" s="31"/>
      <c r="Z25" s="531"/>
      <c r="AA25" s="178"/>
      <c r="AB25" s="279"/>
      <c r="AC25" s="1380">
        <f t="shared" si="62"/>
        <v>0</v>
      </c>
      <c r="AD25" s="906">
        <f t="shared" si="8"/>
        <v>0</v>
      </c>
      <c r="AE25" s="794">
        <f t="shared" si="9"/>
        <v>0</v>
      </c>
      <c r="AF25" s="282">
        <f>SUM(BW25)*(1+M$64+Summary!P$64)</f>
        <v>0</v>
      </c>
      <c r="AG25" s="632" t="e">
        <f t="shared" si="1"/>
        <v>#DIV/0!</v>
      </c>
      <c r="AH25" s="1758">
        <f t="shared" si="10"/>
        <v>0</v>
      </c>
      <c r="AI25" s="769"/>
      <c r="AO25" s="702">
        <f t="shared" si="11"/>
        <v>0</v>
      </c>
      <c r="AP25" s="702">
        <f t="shared" si="12"/>
        <v>0</v>
      </c>
      <c r="AQ25" s="702">
        <f t="shared" si="13"/>
        <v>0</v>
      </c>
      <c r="AR25" s="702">
        <f t="shared" si="14"/>
        <v>0</v>
      </c>
      <c r="AS25" s="702">
        <f t="shared" si="15"/>
        <v>0</v>
      </c>
      <c r="AT25" s="702">
        <f t="shared" si="16"/>
        <v>0</v>
      </c>
      <c r="AU25" s="702">
        <f t="shared" si="17"/>
        <v>0</v>
      </c>
      <c r="AV25" s="1063">
        <f t="shared" si="18"/>
        <v>0</v>
      </c>
      <c r="AW25" s="1063">
        <f t="shared" si="19"/>
        <v>0</v>
      </c>
      <c r="AX25" s="702">
        <f t="shared" si="20"/>
        <v>0</v>
      </c>
      <c r="AY25" s="702">
        <f t="shared" si="21"/>
        <v>0</v>
      </c>
      <c r="AZ25" s="702">
        <f t="shared" si="22"/>
        <v>0</v>
      </c>
      <c r="BA25" s="702">
        <f t="shared" si="23"/>
        <v>0</v>
      </c>
      <c r="BB25" s="702">
        <f t="shared" si="24"/>
        <v>0</v>
      </c>
      <c r="BC25" s="702">
        <f t="shared" si="25"/>
        <v>0</v>
      </c>
      <c r="BD25" s="1063">
        <f t="shared" si="26"/>
        <v>0</v>
      </c>
      <c r="BE25" s="1064">
        <f t="shared" si="27"/>
        <v>0</v>
      </c>
      <c r="BF25" s="1063">
        <f t="shared" si="28"/>
        <v>0</v>
      </c>
      <c r="BG25" s="1065">
        <f t="shared" si="29"/>
        <v>0</v>
      </c>
      <c r="BH25" s="702">
        <f t="shared" si="30"/>
        <v>0</v>
      </c>
      <c r="BI25" s="1063">
        <f t="shared" si="31"/>
        <v>0</v>
      </c>
      <c r="BJ25" s="1063">
        <f t="shared" si="32"/>
        <v>0</v>
      </c>
      <c r="BK25" s="1063">
        <f t="shared" si="33"/>
        <v>0</v>
      </c>
      <c r="BL25" s="1063">
        <f t="shared" si="34"/>
        <v>0</v>
      </c>
      <c r="BM25" s="1063">
        <f t="shared" si="35"/>
        <v>0</v>
      </c>
      <c r="BN25" s="1064">
        <f t="shared" si="36"/>
        <v>0</v>
      </c>
      <c r="BO25" s="1761">
        <f t="shared" si="37"/>
        <v>0</v>
      </c>
      <c r="BP25" s="1063">
        <f t="shared" si="38"/>
        <v>0</v>
      </c>
      <c r="BQ25" s="1064">
        <f t="shared" si="39"/>
        <v>0</v>
      </c>
      <c r="BR25" s="1063">
        <f t="shared" si="40"/>
        <v>0</v>
      </c>
      <c r="BS25" s="1063">
        <f t="shared" si="41"/>
        <v>0</v>
      </c>
      <c r="BT25" s="1064">
        <f t="shared" si="42"/>
        <v>0</v>
      </c>
      <c r="BU25" s="1064">
        <f t="shared" si="43"/>
        <v>0</v>
      </c>
      <c r="BV25" s="1064">
        <f t="shared" si="44"/>
        <v>0</v>
      </c>
      <c r="BW25" s="1066">
        <f t="shared" si="45"/>
        <v>0</v>
      </c>
      <c r="BX25" s="1063">
        <f>(BI25*Pricing!F$2+BJ25*Pricing!G$2+BK25*Pricing!H$2+BL25*Pricing!I$2+BM25*Pricing!J$2+BN25*Pricing!K$2)*IF(AC$63="N",(1+AE$63),1)</f>
        <v>0</v>
      </c>
      <c r="BY25" s="1063">
        <f t="shared" si="46"/>
        <v>0</v>
      </c>
      <c r="BZ25" s="1063">
        <f t="shared" si="47"/>
        <v>0</v>
      </c>
      <c r="CA25" s="1063">
        <f t="shared" si="48"/>
        <v>0</v>
      </c>
      <c r="CB25" s="1067">
        <f t="shared" si="49"/>
        <v>0</v>
      </c>
      <c r="CD25" s="702">
        <f t="shared" si="50"/>
        <v>0</v>
      </c>
      <c r="CE25" s="1063">
        <f t="shared" si="2"/>
        <v>0</v>
      </c>
      <c r="CF25" s="1063">
        <f t="shared" si="3"/>
        <v>0</v>
      </c>
      <c r="CG25" s="1063">
        <f t="shared" si="4"/>
        <v>0</v>
      </c>
      <c r="CH25" s="702">
        <f t="shared" si="5"/>
        <v>0</v>
      </c>
      <c r="CI25" s="1063">
        <f t="shared" si="6"/>
        <v>0</v>
      </c>
      <c r="CJ25" s="702">
        <f t="shared" si="51"/>
        <v>0</v>
      </c>
      <c r="CK25" s="1063">
        <f t="shared" si="52"/>
        <v>0</v>
      </c>
      <c r="CL25" s="704">
        <f t="shared" si="53"/>
        <v>0</v>
      </c>
      <c r="CM25" s="702">
        <f t="shared" si="54"/>
        <v>0</v>
      </c>
      <c r="CO25" s="1061">
        <f t="shared" si="55"/>
        <v>0</v>
      </c>
      <c r="CP25" s="702">
        <f t="shared" si="56"/>
        <v>0</v>
      </c>
      <c r="CQ25" s="702">
        <f t="shared" si="57"/>
        <v>0</v>
      </c>
      <c r="CR25" s="702">
        <f t="shared" si="63"/>
        <v>0</v>
      </c>
      <c r="CS25" s="702">
        <f t="shared" si="58"/>
        <v>0</v>
      </c>
      <c r="CT25" s="702">
        <f t="shared" si="59"/>
        <v>0</v>
      </c>
      <c r="CU25" s="702">
        <f t="shared" si="60"/>
        <v>0</v>
      </c>
      <c r="CV25" s="1068">
        <f t="shared" si="7"/>
        <v>0</v>
      </c>
      <c r="CW25" s="1064">
        <f t="shared" si="61"/>
        <v>0</v>
      </c>
      <c r="FX25" s="701"/>
      <c r="FY25" s="701"/>
      <c r="FZ25" s="701"/>
      <c r="GA25" s="701"/>
      <c r="GB25" s="701"/>
      <c r="GC25" s="701"/>
      <c r="GD25" s="701"/>
      <c r="GE25" s="701"/>
      <c r="GF25" s="701"/>
      <c r="GG25" s="701"/>
      <c r="GH25" s="701"/>
      <c r="GI25" s="701"/>
      <c r="GJ25" s="701"/>
      <c r="GK25" s="701"/>
      <c r="GL25" s="701"/>
      <c r="GM25" s="701"/>
      <c r="GN25" s="701"/>
      <c r="GO25" s="701"/>
      <c r="GP25" s="701"/>
      <c r="GQ25" s="701"/>
      <c r="GR25" s="701"/>
      <c r="GS25" s="701"/>
      <c r="GT25" s="701"/>
      <c r="GU25" s="701"/>
      <c r="GV25" s="701"/>
      <c r="GW25" s="701"/>
      <c r="GX25" s="701"/>
      <c r="GY25" s="701"/>
      <c r="GZ25" s="701"/>
      <c r="HA25" s="701"/>
      <c r="HB25" s="701"/>
      <c r="HC25" s="701"/>
      <c r="HD25" s="701"/>
      <c r="HE25" s="701"/>
      <c r="HF25" s="701"/>
      <c r="HG25" s="701"/>
      <c r="HH25" s="701"/>
      <c r="HI25" s="701"/>
      <c r="HJ25" s="701"/>
      <c r="HK25" s="701"/>
      <c r="HL25" s="701"/>
      <c r="HM25" s="701"/>
      <c r="HN25" s="701"/>
      <c r="HO25" s="701"/>
      <c r="HP25" s="701"/>
      <c r="HQ25" s="701"/>
      <c r="HR25" s="701"/>
      <c r="HS25" s="701"/>
      <c r="HT25" s="701"/>
      <c r="HU25" s="701"/>
      <c r="HV25" s="701"/>
      <c r="HW25" s="701"/>
      <c r="HX25" s="701"/>
      <c r="HY25" s="701"/>
      <c r="HZ25" s="701"/>
      <c r="IA25" s="701"/>
    </row>
    <row r="26" spans="2:235" s="702" customFormat="1" ht="20.149999999999999" customHeight="1" x14ac:dyDescent="0.35">
      <c r="B26" s="398" t="s">
        <v>1129</v>
      </c>
      <c r="C26" s="1787"/>
      <c r="D26" s="1862"/>
      <c r="E26" s="1863"/>
      <c r="F26" s="211"/>
      <c r="G26" s="777"/>
      <c r="H26" s="97"/>
      <c r="I26" s="779"/>
      <c r="J26" s="97"/>
      <c r="K26" s="781"/>
      <c r="L26" s="32"/>
      <c r="M26" s="211"/>
      <c r="N26" s="397"/>
      <c r="O26" s="1790">
        <v>9</v>
      </c>
      <c r="P26" s="1791"/>
      <c r="Q26" s="1792">
        <v>10</v>
      </c>
      <c r="R26" s="1793"/>
      <c r="S26" s="180">
        <v>1</v>
      </c>
      <c r="T26" s="554">
        <f t="shared" si="0"/>
        <v>0</v>
      </c>
      <c r="U26" s="810">
        <v>2</v>
      </c>
      <c r="V26" s="1784"/>
      <c r="W26" s="810">
        <v>3</v>
      </c>
      <c r="X26" s="1784"/>
      <c r="Y26" s="32"/>
      <c r="Z26" s="371"/>
      <c r="AA26" s="180"/>
      <c r="AB26" s="280"/>
      <c r="AC26" s="1380">
        <f t="shared" si="62"/>
        <v>0</v>
      </c>
      <c r="AD26" s="906">
        <f t="shared" si="8"/>
        <v>0</v>
      </c>
      <c r="AE26" s="794">
        <f t="shared" si="9"/>
        <v>0</v>
      </c>
      <c r="AF26" s="282">
        <f>SUM(BW26)*(1+M$64+Summary!P$64)</f>
        <v>0</v>
      </c>
      <c r="AG26" s="632" t="e">
        <f t="shared" si="1"/>
        <v>#DIV/0!</v>
      </c>
      <c r="AH26" s="1758">
        <f t="shared" si="10"/>
        <v>0</v>
      </c>
      <c r="AI26" s="769"/>
      <c r="AO26" s="702">
        <f t="shared" si="11"/>
        <v>0</v>
      </c>
      <c r="AP26" s="702">
        <f t="shared" si="12"/>
        <v>0</v>
      </c>
      <c r="AQ26" s="702">
        <f t="shared" si="13"/>
        <v>0</v>
      </c>
      <c r="AR26" s="702">
        <f t="shared" si="14"/>
        <v>0</v>
      </c>
      <c r="AS26" s="702">
        <f t="shared" si="15"/>
        <v>0</v>
      </c>
      <c r="AT26" s="702">
        <f t="shared" si="16"/>
        <v>0</v>
      </c>
      <c r="AU26" s="702">
        <f t="shared" si="17"/>
        <v>0</v>
      </c>
      <c r="AV26" s="1063">
        <f t="shared" si="18"/>
        <v>0</v>
      </c>
      <c r="AW26" s="1063">
        <f t="shared" si="19"/>
        <v>0</v>
      </c>
      <c r="AX26" s="702">
        <f t="shared" si="20"/>
        <v>0</v>
      </c>
      <c r="AY26" s="702">
        <f t="shared" si="21"/>
        <v>0</v>
      </c>
      <c r="AZ26" s="702">
        <f t="shared" si="22"/>
        <v>0</v>
      </c>
      <c r="BA26" s="702">
        <f t="shared" si="23"/>
        <v>0</v>
      </c>
      <c r="BB26" s="702">
        <f t="shared" si="24"/>
        <v>0</v>
      </c>
      <c r="BC26" s="702">
        <f t="shared" si="25"/>
        <v>0</v>
      </c>
      <c r="BD26" s="1063">
        <f t="shared" si="26"/>
        <v>0</v>
      </c>
      <c r="BE26" s="1064">
        <f t="shared" si="27"/>
        <v>0</v>
      </c>
      <c r="BF26" s="1063">
        <f t="shared" si="28"/>
        <v>0</v>
      </c>
      <c r="BG26" s="1065">
        <f t="shared" si="29"/>
        <v>0</v>
      </c>
      <c r="BH26" s="702">
        <f t="shared" si="30"/>
        <v>0</v>
      </c>
      <c r="BI26" s="1063">
        <f t="shared" si="31"/>
        <v>0</v>
      </c>
      <c r="BJ26" s="1063">
        <f t="shared" si="32"/>
        <v>0</v>
      </c>
      <c r="BK26" s="1063">
        <f t="shared" si="33"/>
        <v>0</v>
      </c>
      <c r="BL26" s="1063">
        <f t="shared" si="34"/>
        <v>0</v>
      </c>
      <c r="BM26" s="1063">
        <f t="shared" si="35"/>
        <v>0</v>
      </c>
      <c r="BN26" s="1064">
        <f t="shared" si="36"/>
        <v>0</v>
      </c>
      <c r="BO26" s="1761">
        <f t="shared" si="37"/>
        <v>0</v>
      </c>
      <c r="BP26" s="1063">
        <f t="shared" si="38"/>
        <v>0</v>
      </c>
      <c r="BQ26" s="1064">
        <f t="shared" si="39"/>
        <v>0</v>
      </c>
      <c r="BR26" s="1063">
        <f t="shared" si="40"/>
        <v>0</v>
      </c>
      <c r="BS26" s="1063">
        <f t="shared" si="41"/>
        <v>0</v>
      </c>
      <c r="BT26" s="1064">
        <f t="shared" si="42"/>
        <v>0</v>
      </c>
      <c r="BU26" s="1064">
        <f t="shared" si="43"/>
        <v>0</v>
      </c>
      <c r="BV26" s="1064">
        <f t="shared" si="44"/>
        <v>0</v>
      </c>
      <c r="BW26" s="1066">
        <f t="shared" si="45"/>
        <v>0</v>
      </c>
      <c r="BX26" s="1063">
        <f>(BI26*Pricing!F$2+BJ26*Pricing!G$2+BK26*Pricing!H$2+BL26*Pricing!I$2+BM26*Pricing!J$2+BN26*Pricing!K$2)*IF(AC$63="N",(1+AE$63),1)</f>
        <v>0</v>
      </c>
      <c r="BY26" s="1063">
        <f t="shared" si="46"/>
        <v>0</v>
      </c>
      <c r="BZ26" s="1063">
        <f t="shared" si="47"/>
        <v>0</v>
      </c>
      <c r="CA26" s="1063">
        <f t="shared" si="48"/>
        <v>0</v>
      </c>
      <c r="CB26" s="1067">
        <f t="shared" si="49"/>
        <v>0</v>
      </c>
      <c r="CD26" s="702">
        <f t="shared" si="50"/>
        <v>0</v>
      </c>
      <c r="CE26" s="1063">
        <f t="shared" si="2"/>
        <v>0</v>
      </c>
      <c r="CF26" s="1063">
        <f t="shared" si="3"/>
        <v>0</v>
      </c>
      <c r="CG26" s="1063">
        <f t="shared" si="4"/>
        <v>0</v>
      </c>
      <c r="CH26" s="702">
        <f t="shared" si="5"/>
        <v>0</v>
      </c>
      <c r="CI26" s="1063">
        <f t="shared" si="6"/>
        <v>0</v>
      </c>
      <c r="CJ26" s="702">
        <f t="shared" si="51"/>
        <v>0</v>
      </c>
      <c r="CK26" s="1063">
        <f t="shared" si="52"/>
        <v>0</v>
      </c>
      <c r="CL26" s="704">
        <f t="shared" si="53"/>
        <v>0</v>
      </c>
      <c r="CM26" s="702">
        <f t="shared" si="54"/>
        <v>0</v>
      </c>
      <c r="CO26" s="1061">
        <f t="shared" si="55"/>
        <v>0</v>
      </c>
      <c r="CP26" s="702">
        <f t="shared" si="56"/>
        <v>0</v>
      </c>
      <c r="CQ26" s="702">
        <f t="shared" si="57"/>
        <v>0</v>
      </c>
      <c r="CR26" s="702">
        <f t="shared" si="63"/>
        <v>0</v>
      </c>
      <c r="CS26" s="702">
        <f t="shared" si="58"/>
        <v>0</v>
      </c>
      <c r="CT26" s="702">
        <f t="shared" si="59"/>
        <v>0</v>
      </c>
      <c r="CU26" s="702">
        <f t="shared" si="60"/>
        <v>0</v>
      </c>
      <c r="CV26" s="1068">
        <f t="shared" si="7"/>
        <v>0</v>
      </c>
      <c r="CW26" s="1064">
        <f t="shared" si="61"/>
        <v>0</v>
      </c>
      <c r="FX26" s="701"/>
      <c r="FY26" s="701"/>
      <c r="FZ26" s="701"/>
      <c r="GA26" s="701"/>
      <c r="GB26" s="701"/>
      <c r="GC26" s="701"/>
      <c r="GD26" s="701"/>
      <c r="GE26" s="701"/>
      <c r="GF26" s="701"/>
      <c r="GG26" s="701"/>
      <c r="GH26" s="701"/>
      <c r="GI26" s="701"/>
      <c r="GJ26" s="701"/>
      <c r="GK26" s="701"/>
      <c r="GL26" s="701"/>
      <c r="GM26" s="701"/>
      <c r="GN26" s="701"/>
      <c r="GO26" s="701"/>
      <c r="GP26" s="701"/>
      <c r="GQ26" s="701"/>
      <c r="GR26" s="701"/>
      <c r="GS26" s="701"/>
      <c r="GT26" s="701"/>
      <c r="GU26" s="701"/>
      <c r="GV26" s="701"/>
      <c r="GW26" s="701"/>
      <c r="GX26" s="701"/>
      <c r="GY26" s="701"/>
      <c r="GZ26" s="701"/>
      <c r="HA26" s="701"/>
      <c r="HB26" s="701"/>
      <c r="HC26" s="701"/>
      <c r="HD26" s="701"/>
      <c r="HE26" s="701"/>
      <c r="HF26" s="701"/>
      <c r="HG26" s="701"/>
      <c r="HH26" s="701"/>
      <c r="HI26" s="701"/>
      <c r="HJ26" s="701"/>
      <c r="HK26" s="701"/>
      <c r="HL26" s="701"/>
      <c r="HM26" s="701"/>
      <c r="HN26" s="701"/>
      <c r="HO26" s="701"/>
      <c r="HP26" s="701"/>
      <c r="HQ26" s="701"/>
      <c r="HR26" s="701"/>
      <c r="HS26" s="701"/>
      <c r="HT26" s="701"/>
      <c r="HU26" s="701"/>
      <c r="HV26" s="701"/>
      <c r="HW26" s="701"/>
      <c r="HX26" s="701"/>
      <c r="HY26" s="701"/>
      <c r="HZ26" s="701"/>
      <c r="IA26" s="701"/>
    </row>
    <row r="27" spans="2:235" s="702" customFormat="1" ht="20.149999999999999" customHeight="1" x14ac:dyDescent="0.35">
      <c r="B27" s="193" t="s">
        <v>1130</v>
      </c>
      <c r="C27" s="1786"/>
      <c r="D27" s="1864"/>
      <c r="E27" s="1865"/>
      <c r="F27" s="121"/>
      <c r="G27" s="777"/>
      <c r="H27" s="214"/>
      <c r="I27" s="779"/>
      <c r="J27" s="127"/>
      <c r="K27" s="781"/>
      <c r="L27" s="30"/>
      <c r="M27" s="121"/>
      <c r="N27" s="394"/>
      <c r="O27" s="1788">
        <v>9</v>
      </c>
      <c r="P27" s="470"/>
      <c r="Q27" s="1789">
        <v>10</v>
      </c>
      <c r="R27" s="1782"/>
      <c r="S27" s="176">
        <v>1</v>
      </c>
      <c r="T27" s="555">
        <f t="shared" si="0"/>
        <v>0</v>
      </c>
      <c r="U27" s="1783">
        <v>2</v>
      </c>
      <c r="V27" s="1785"/>
      <c r="W27" s="1783">
        <v>3</v>
      </c>
      <c r="X27" s="1785"/>
      <c r="Y27" s="31"/>
      <c r="Z27" s="531"/>
      <c r="AA27" s="178"/>
      <c r="AB27" s="279"/>
      <c r="AC27" s="1380">
        <f t="shared" si="62"/>
        <v>0</v>
      </c>
      <c r="AD27" s="906">
        <f t="shared" si="8"/>
        <v>0</v>
      </c>
      <c r="AE27" s="794">
        <f t="shared" si="9"/>
        <v>0</v>
      </c>
      <c r="AF27" s="282">
        <f>SUM(BW27)*(1+M$64+Summary!P$64)</f>
        <v>0</v>
      </c>
      <c r="AG27" s="632" t="e">
        <f t="shared" si="1"/>
        <v>#DIV/0!</v>
      </c>
      <c r="AH27" s="1758">
        <f t="shared" si="10"/>
        <v>0</v>
      </c>
      <c r="AI27" s="769"/>
      <c r="AO27" s="702">
        <f t="shared" si="11"/>
        <v>0</v>
      </c>
      <c r="AP27" s="702">
        <f t="shared" si="12"/>
        <v>0</v>
      </c>
      <c r="AQ27" s="702">
        <f t="shared" si="13"/>
        <v>0</v>
      </c>
      <c r="AR27" s="702">
        <f t="shared" si="14"/>
        <v>0</v>
      </c>
      <c r="AS27" s="702">
        <f t="shared" si="15"/>
        <v>0</v>
      </c>
      <c r="AT27" s="702">
        <f t="shared" si="16"/>
        <v>0</v>
      </c>
      <c r="AU27" s="702">
        <f t="shared" si="17"/>
        <v>0</v>
      </c>
      <c r="AV27" s="1063">
        <f t="shared" si="18"/>
        <v>0</v>
      </c>
      <c r="AW27" s="1063">
        <f t="shared" si="19"/>
        <v>0</v>
      </c>
      <c r="AX27" s="702">
        <f t="shared" si="20"/>
        <v>0</v>
      </c>
      <c r="AY27" s="702">
        <f t="shared" si="21"/>
        <v>0</v>
      </c>
      <c r="AZ27" s="702">
        <f t="shared" si="22"/>
        <v>0</v>
      </c>
      <c r="BA27" s="702">
        <f t="shared" si="23"/>
        <v>0</v>
      </c>
      <c r="BB27" s="702">
        <f t="shared" si="24"/>
        <v>0</v>
      </c>
      <c r="BC27" s="702">
        <f t="shared" si="25"/>
        <v>0</v>
      </c>
      <c r="BD27" s="1063">
        <f t="shared" si="26"/>
        <v>0</v>
      </c>
      <c r="BE27" s="1064">
        <f t="shared" si="27"/>
        <v>0</v>
      </c>
      <c r="BF27" s="1063">
        <f t="shared" si="28"/>
        <v>0</v>
      </c>
      <c r="BG27" s="1065">
        <f t="shared" si="29"/>
        <v>0</v>
      </c>
      <c r="BH27" s="702">
        <f t="shared" si="30"/>
        <v>0</v>
      </c>
      <c r="BI27" s="1063">
        <f t="shared" si="31"/>
        <v>0</v>
      </c>
      <c r="BJ27" s="1063">
        <f t="shared" si="32"/>
        <v>0</v>
      </c>
      <c r="BK27" s="1063">
        <f t="shared" si="33"/>
        <v>0</v>
      </c>
      <c r="BL27" s="1063">
        <f t="shared" si="34"/>
        <v>0</v>
      </c>
      <c r="BM27" s="1063">
        <f t="shared" si="35"/>
        <v>0</v>
      </c>
      <c r="BN27" s="1064">
        <f t="shared" si="36"/>
        <v>0</v>
      </c>
      <c r="BO27" s="1761">
        <f t="shared" si="37"/>
        <v>0</v>
      </c>
      <c r="BP27" s="1063">
        <f t="shared" si="38"/>
        <v>0</v>
      </c>
      <c r="BQ27" s="1064">
        <f t="shared" si="39"/>
        <v>0</v>
      </c>
      <c r="BR27" s="1063">
        <f t="shared" si="40"/>
        <v>0</v>
      </c>
      <c r="BS27" s="1063">
        <f t="shared" si="41"/>
        <v>0</v>
      </c>
      <c r="BT27" s="1064">
        <f t="shared" si="42"/>
        <v>0</v>
      </c>
      <c r="BU27" s="1064">
        <f t="shared" si="43"/>
        <v>0</v>
      </c>
      <c r="BV27" s="1064">
        <f t="shared" si="44"/>
        <v>0</v>
      </c>
      <c r="BW27" s="1066">
        <f t="shared" si="45"/>
        <v>0</v>
      </c>
      <c r="BX27" s="1063">
        <f>(BI27*Pricing!F$2+BJ27*Pricing!G$2+BK27*Pricing!H$2+BL27*Pricing!I$2+BM27*Pricing!J$2+BN27*Pricing!K$2)*IF(AC$63="N",(1+AE$63),1)</f>
        <v>0</v>
      </c>
      <c r="BY27" s="1063">
        <f t="shared" si="46"/>
        <v>0</v>
      </c>
      <c r="BZ27" s="1063">
        <f t="shared" si="47"/>
        <v>0</v>
      </c>
      <c r="CA27" s="1063">
        <f t="shared" si="48"/>
        <v>0</v>
      </c>
      <c r="CB27" s="1067">
        <f t="shared" si="49"/>
        <v>0</v>
      </c>
      <c r="CD27" s="702">
        <f t="shared" si="50"/>
        <v>0</v>
      </c>
      <c r="CE27" s="1063">
        <f t="shared" si="2"/>
        <v>0</v>
      </c>
      <c r="CF27" s="1063">
        <f t="shared" si="3"/>
        <v>0</v>
      </c>
      <c r="CG27" s="1063">
        <f t="shared" si="4"/>
        <v>0</v>
      </c>
      <c r="CH27" s="702">
        <f t="shared" si="5"/>
        <v>0</v>
      </c>
      <c r="CI27" s="1063">
        <f t="shared" si="6"/>
        <v>0</v>
      </c>
      <c r="CJ27" s="702">
        <f t="shared" si="51"/>
        <v>0</v>
      </c>
      <c r="CK27" s="1063">
        <f t="shared" si="52"/>
        <v>0</v>
      </c>
      <c r="CL27" s="704">
        <f t="shared" si="53"/>
        <v>0</v>
      </c>
      <c r="CM27" s="702">
        <f t="shared" si="54"/>
        <v>0</v>
      </c>
      <c r="CO27" s="1061">
        <f t="shared" si="55"/>
        <v>0</v>
      </c>
      <c r="CP27" s="702">
        <f t="shared" si="56"/>
        <v>0</v>
      </c>
      <c r="CQ27" s="702">
        <f t="shared" si="57"/>
        <v>0</v>
      </c>
      <c r="CR27" s="702">
        <f t="shared" si="63"/>
        <v>0</v>
      </c>
      <c r="CS27" s="702">
        <f t="shared" si="58"/>
        <v>0</v>
      </c>
      <c r="CT27" s="702">
        <f t="shared" si="59"/>
        <v>0</v>
      </c>
      <c r="CU27" s="702">
        <f t="shared" si="60"/>
        <v>0</v>
      </c>
      <c r="CV27" s="1068">
        <f t="shared" si="7"/>
        <v>0</v>
      </c>
      <c r="CW27" s="1064">
        <f t="shared" si="61"/>
        <v>0</v>
      </c>
      <c r="FX27" s="701"/>
      <c r="FY27" s="701"/>
      <c r="FZ27" s="701"/>
      <c r="GA27" s="701"/>
      <c r="GB27" s="701"/>
      <c r="GC27" s="701"/>
      <c r="GD27" s="701"/>
      <c r="GE27" s="701"/>
      <c r="GF27" s="701"/>
      <c r="GG27" s="701"/>
      <c r="GH27" s="701"/>
      <c r="GI27" s="701"/>
      <c r="GJ27" s="701"/>
      <c r="GK27" s="701"/>
      <c r="GL27" s="701"/>
      <c r="GM27" s="701"/>
      <c r="GN27" s="701"/>
      <c r="GO27" s="701"/>
      <c r="GP27" s="701"/>
      <c r="GQ27" s="701"/>
      <c r="GR27" s="701"/>
      <c r="GS27" s="701"/>
      <c r="GT27" s="701"/>
      <c r="GU27" s="701"/>
      <c r="GV27" s="701"/>
      <c r="GW27" s="701"/>
      <c r="GX27" s="701"/>
      <c r="GY27" s="701"/>
      <c r="GZ27" s="701"/>
      <c r="HA27" s="701"/>
      <c r="HB27" s="701"/>
      <c r="HC27" s="701"/>
      <c r="HD27" s="701"/>
      <c r="HE27" s="701"/>
      <c r="HF27" s="701"/>
      <c r="HG27" s="701"/>
      <c r="HH27" s="701"/>
      <c r="HI27" s="701"/>
      <c r="HJ27" s="701"/>
      <c r="HK27" s="701"/>
      <c r="HL27" s="701"/>
      <c r="HM27" s="701"/>
      <c r="HN27" s="701"/>
      <c r="HO27" s="701"/>
      <c r="HP27" s="701"/>
      <c r="HQ27" s="701"/>
      <c r="HR27" s="701"/>
      <c r="HS27" s="701"/>
      <c r="HT27" s="701"/>
      <c r="HU27" s="701"/>
      <c r="HV27" s="701"/>
      <c r="HW27" s="701"/>
      <c r="HX27" s="701"/>
      <c r="HY27" s="701"/>
      <c r="HZ27" s="701"/>
      <c r="IA27" s="701"/>
    </row>
    <row r="28" spans="2:235" s="702" customFormat="1" ht="20.149999999999999" customHeight="1" x14ac:dyDescent="0.35">
      <c r="B28" s="398" t="s">
        <v>1146</v>
      </c>
      <c r="C28" s="1787"/>
      <c r="D28" s="1862"/>
      <c r="E28" s="1863"/>
      <c r="F28" s="211"/>
      <c r="G28" s="777"/>
      <c r="H28" s="97"/>
      <c r="I28" s="779"/>
      <c r="J28" s="97"/>
      <c r="K28" s="781"/>
      <c r="L28" s="32"/>
      <c r="M28" s="211"/>
      <c r="N28" s="397"/>
      <c r="O28" s="1790">
        <v>9</v>
      </c>
      <c r="P28" s="1791"/>
      <c r="Q28" s="1792">
        <v>10</v>
      </c>
      <c r="R28" s="1793"/>
      <c r="S28" s="180">
        <v>1</v>
      </c>
      <c r="T28" s="554">
        <f t="shared" si="0"/>
        <v>0</v>
      </c>
      <c r="U28" s="810">
        <v>2</v>
      </c>
      <c r="V28" s="1784"/>
      <c r="W28" s="810">
        <v>3</v>
      </c>
      <c r="X28" s="1784"/>
      <c r="Y28" s="32"/>
      <c r="Z28" s="371"/>
      <c r="AA28" s="180"/>
      <c r="AB28" s="280"/>
      <c r="AC28" s="1380">
        <f t="shared" si="62"/>
        <v>0</v>
      </c>
      <c r="AD28" s="906">
        <f t="shared" si="8"/>
        <v>0</v>
      </c>
      <c r="AE28" s="794">
        <f t="shared" si="9"/>
        <v>0</v>
      </c>
      <c r="AF28" s="282">
        <f>SUM(BW28)*(1+M$64+Summary!P$64)</f>
        <v>0</v>
      </c>
      <c r="AG28" s="632" t="e">
        <f t="shared" si="1"/>
        <v>#DIV/0!</v>
      </c>
      <c r="AH28" s="1758">
        <f t="shared" si="10"/>
        <v>0</v>
      </c>
      <c r="AI28" s="769"/>
      <c r="AO28" s="702">
        <f t="shared" si="11"/>
        <v>0</v>
      </c>
      <c r="AP28" s="702">
        <f t="shared" si="12"/>
        <v>0</v>
      </c>
      <c r="AQ28" s="702">
        <f t="shared" si="13"/>
        <v>0</v>
      </c>
      <c r="AR28" s="702">
        <f t="shared" si="14"/>
        <v>0</v>
      </c>
      <c r="AS28" s="702">
        <f t="shared" si="15"/>
        <v>0</v>
      </c>
      <c r="AT28" s="702">
        <f t="shared" si="16"/>
        <v>0</v>
      </c>
      <c r="AU28" s="702">
        <f t="shared" si="17"/>
        <v>0</v>
      </c>
      <c r="AV28" s="1063">
        <f t="shared" si="18"/>
        <v>0</v>
      </c>
      <c r="AW28" s="1063">
        <f t="shared" si="19"/>
        <v>0</v>
      </c>
      <c r="AX28" s="702">
        <f t="shared" si="20"/>
        <v>0</v>
      </c>
      <c r="AY28" s="702">
        <f t="shared" si="21"/>
        <v>0</v>
      </c>
      <c r="AZ28" s="702">
        <f t="shared" si="22"/>
        <v>0</v>
      </c>
      <c r="BA28" s="702">
        <f t="shared" si="23"/>
        <v>0</v>
      </c>
      <c r="BB28" s="702">
        <f t="shared" si="24"/>
        <v>0</v>
      </c>
      <c r="BC28" s="702">
        <f t="shared" si="25"/>
        <v>0</v>
      </c>
      <c r="BD28" s="1063">
        <f t="shared" si="26"/>
        <v>0</v>
      </c>
      <c r="BE28" s="1064">
        <f t="shared" si="27"/>
        <v>0</v>
      </c>
      <c r="BF28" s="1063">
        <f t="shared" si="28"/>
        <v>0</v>
      </c>
      <c r="BG28" s="1065">
        <f t="shared" si="29"/>
        <v>0</v>
      </c>
      <c r="BH28" s="702">
        <f t="shared" si="30"/>
        <v>0</v>
      </c>
      <c r="BI28" s="1063">
        <f t="shared" si="31"/>
        <v>0</v>
      </c>
      <c r="BJ28" s="1063">
        <f t="shared" si="32"/>
        <v>0</v>
      </c>
      <c r="BK28" s="1063">
        <f t="shared" si="33"/>
        <v>0</v>
      </c>
      <c r="BL28" s="1063">
        <f t="shared" si="34"/>
        <v>0</v>
      </c>
      <c r="BM28" s="1063">
        <f t="shared" si="35"/>
        <v>0</v>
      </c>
      <c r="BN28" s="1064">
        <f t="shared" si="36"/>
        <v>0</v>
      </c>
      <c r="BO28" s="1761">
        <f t="shared" si="37"/>
        <v>0</v>
      </c>
      <c r="BP28" s="1063">
        <f t="shared" si="38"/>
        <v>0</v>
      </c>
      <c r="BQ28" s="1064">
        <f t="shared" si="39"/>
        <v>0</v>
      </c>
      <c r="BR28" s="1063">
        <f t="shared" si="40"/>
        <v>0</v>
      </c>
      <c r="BS28" s="1063">
        <f t="shared" si="41"/>
        <v>0</v>
      </c>
      <c r="BT28" s="1064">
        <f t="shared" si="42"/>
        <v>0</v>
      </c>
      <c r="BU28" s="1064">
        <f t="shared" si="43"/>
        <v>0</v>
      </c>
      <c r="BV28" s="1064">
        <f t="shared" si="44"/>
        <v>0</v>
      </c>
      <c r="BW28" s="1066">
        <f t="shared" si="45"/>
        <v>0</v>
      </c>
      <c r="BX28" s="1063">
        <f>(BI28*Pricing!F$2+BJ28*Pricing!G$2+BK28*Pricing!H$2+BL28*Pricing!I$2+BM28*Pricing!J$2+BN28*Pricing!K$2)*IF(AC$63="N",(1+AE$63),1)</f>
        <v>0</v>
      </c>
      <c r="BY28" s="1063">
        <f t="shared" si="46"/>
        <v>0</v>
      </c>
      <c r="BZ28" s="1063">
        <f t="shared" si="47"/>
        <v>0</v>
      </c>
      <c r="CA28" s="1063">
        <f t="shared" si="48"/>
        <v>0</v>
      </c>
      <c r="CB28" s="1067">
        <f t="shared" si="49"/>
        <v>0</v>
      </c>
      <c r="CD28" s="702">
        <f t="shared" si="50"/>
        <v>0</v>
      </c>
      <c r="CE28" s="1063">
        <f t="shared" si="2"/>
        <v>0</v>
      </c>
      <c r="CF28" s="1063">
        <f t="shared" si="3"/>
        <v>0</v>
      </c>
      <c r="CG28" s="1063">
        <f t="shared" si="4"/>
        <v>0</v>
      </c>
      <c r="CH28" s="702">
        <f t="shared" si="5"/>
        <v>0</v>
      </c>
      <c r="CI28" s="1063">
        <f t="shared" si="6"/>
        <v>0</v>
      </c>
      <c r="CJ28" s="702">
        <f t="shared" si="51"/>
        <v>0</v>
      </c>
      <c r="CK28" s="1063">
        <f t="shared" si="52"/>
        <v>0</v>
      </c>
      <c r="CL28" s="704">
        <f t="shared" si="53"/>
        <v>0</v>
      </c>
      <c r="CM28" s="702">
        <f t="shared" si="54"/>
        <v>0</v>
      </c>
      <c r="CO28" s="1061">
        <f t="shared" si="55"/>
        <v>0</v>
      </c>
      <c r="CP28" s="702">
        <f t="shared" si="56"/>
        <v>0</v>
      </c>
      <c r="CQ28" s="702">
        <f t="shared" si="57"/>
        <v>0</v>
      </c>
      <c r="CR28" s="702">
        <f t="shared" si="63"/>
        <v>0</v>
      </c>
      <c r="CS28" s="702">
        <f t="shared" si="58"/>
        <v>0</v>
      </c>
      <c r="CT28" s="702">
        <f t="shared" si="59"/>
        <v>0</v>
      </c>
      <c r="CU28" s="702">
        <f t="shared" si="60"/>
        <v>0</v>
      </c>
      <c r="CV28" s="1068">
        <f t="shared" si="7"/>
        <v>0</v>
      </c>
      <c r="CW28" s="1064">
        <f t="shared" si="61"/>
        <v>0</v>
      </c>
      <c r="FX28" s="701"/>
      <c r="FY28" s="701"/>
      <c r="FZ28" s="701"/>
      <c r="GA28" s="701"/>
      <c r="GB28" s="701"/>
      <c r="GC28" s="701"/>
      <c r="GD28" s="701"/>
      <c r="GE28" s="701"/>
      <c r="GF28" s="701"/>
      <c r="GG28" s="701"/>
      <c r="GH28" s="701"/>
      <c r="GI28" s="701"/>
      <c r="GJ28" s="701"/>
      <c r="GK28" s="701"/>
      <c r="GL28" s="701"/>
      <c r="GM28" s="701"/>
      <c r="GN28" s="701"/>
      <c r="GO28" s="701"/>
      <c r="GP28" s="701"/>
      <c r="GQ28" s="701"/>
      <c r="GR28" s="701"/>
      <c r="GS28" s="701"/>
      <c r="GT28" s="701"/>
      <c r="GU28" s="701"/>
      <c r="GV28" s="701"/>
      <c r="GW28" s="701"/>
      <c r="GX28" s="701"/>
      <c r="GY28" s="701"/>
      <c r="GZ28" s="701"/>
      <c r="HA28" s="701"/>
      <c r="HB28" s="701"/>
      <c r="HC28" s="701"/>
      <c r="HD28" s="701"/>
      <c r="HE28" s="701"/>
      <c r="HF28" s="701"/>
      <c r="HG28" s="701"/>
      <c r="HH28" s="701"/>
      <c r="HI28" s="701"/>
      <c r="HJ28" s="701"/>
      <c r="HK28" s="701"/>
      <c r="HL28" s="701"/>
      <c r="HM28" s="701"/>
      <c r="HN28" s="701"/>
      <c r="HO28" s="701"/>
      <c r="HP28" s="701"/>
      <c r="HQ28" s="701"/>
      <c r="HR28" s="701"/>
      <c r="HS28" s="701"/>
      <c r="HT28" s="701"/>
      <c r="HU28" s="701"/>
      <c r="HV28" s="701"/>
      <c r="HW28" s="701"/>
      <c r="HX28" s="701"/>
      <c r="HY28" s="701"/>
      <c r="HZ28" s="701"/>
      <c r="IA28" s="701"/>
    </row>
    <row r="29" spans="2:235" s="702" customFormat="1" ht="19.5" customHeight="1" x14ac:dyDescent="0.35">
      <c r="B29" s="193" t="s">
        <v>1147</v>
      </c>
      <c r="C29" s="393"/>
      <c r="D29" s="1864"/>
      <c r="E29" s="1865"/>
      <c r="F29" s="121"/>
      <c r="G29" s="777"/>
      <c r="H29" s="214"/>
      <c r="I29" s="779"/>
      <c r="J29" s="127"/>
      <c r="K29" s="781"/>
      <c r="L29" s="30"/>
      <c r="M29" s="121"/>
      <c r="N29" s="394"/>
      <c r="O29" s="1788">
        <v>9</v>
      </c>
      <c r="P29" s="470"/>
      <c r="Q29" s="1789">
        <v>10</v>
      </c>
      <c r="R29" s="1782"/>
      <c r="S29" s="176">
        <v>1</v>
      </c>
      <c r="T29" s="555">
        <f t="shared" si="0"/>
        <v>0</v>
      </c>
      <c r="U29" s="30">
        <v>2</v>
      </c>
      <c r="V29" s="1785"/>
      <c r="W29" s="1783">
        <v>3</v>
      </c>
      <c r="X29" s="1785"/>
      <c r="Y29" s="31"/>
      <c r="Z29" s="531"/>
      <c r="AA29" s="178"/>
      <c r="AB29" s="279"/>
      <c r="AC29" s="1380">
        <f t="shared" si="62"/>
        <v>0</v>
      </c>
      <c r="AD29" s="906">
        <f t="shared" si="8"/>
        <v>0</v>
      </c>
      <c r="AE29" s="794">
        <f t="shared" si="9"/>
        <v>0</v>
      </c>
      <c r="AF29" s="282">
        <f>SUM(BW29)*(1+M$64+Summary!P$64)</f>
        <v>0</v>
      </c>
      <c r="AG29" s="632" t="e">
        <f t="shared" si="1"/>
        <v>#DIV/0!</v>
      </c>
      <c r="AH29" s="1758">
        <f t="shared" si="10"/>
        <v>0</v>
      </c>
      <c r="AI29" s="769"/>
      <c r="AO29" s="702">
        <f t="shared" si="11"/>
        <v>0</v>
      </c>
      <c r="AP29" s="702">
        <f t="shared" si="12"/>
        <v>0</v>
      </c>
      <c r="AQ29" s="702">
        <f t="shared" si="13"/>
        <v>0</v>
      </c>
      <c r="AR29" s="702">
        <f t="shared" si="14"/>
        <v>0</v>
      </c>
      <c r="AS29" s="702">
        <f t="shared" si="15"/>
        <v>0</v>
      </c>
      <c r="AT29" s="702">
        <f t="shared" si="16"/>
        <v>0</v>
      </c>
      <c r="AU29" s="702">
        <f t="shared" si="17"/>
        <v>0</v>
      </c>
      <c r="AV29" s="1063">
        <f t="shared" si="18"/>
        <v>0</v>
      </c>
      <c r="AW29" s="1063">
        <f t="shared" si="19"/>
        <v>0</v>
      </c>
      <c r="AX29" s="702">
        <f t="shared" si="20"/>
        <v>0</v>
      </c>
      <c r="AY29" s="702">
        <f t="shared" si="21"/>
        <v>0</v>
      </c>
      <c r="AZ29" s="702">
        <f t="shared" si="22"/>
        <v>0</v>
      </c>
      <c r="BA29" s="702">
        <f t="shared" si="23"/>
        <v>0</v>
      </c>
      <c r="BB29" s="702">
        <f t="shared" si="24"/>
        <v>0</v>
      </c>
      <c r="BC29" s="702">
        <f t="shared" si="25"/>
        <v>0</v>
      </c>
      <c r="BD29" s="1063">
        <f t="shared" si="26"/>
        <v>0</v>
      </c>
      <c r="BE29" s="1064">
        <f t="shared" si="27"/>
        <v>0</v>
      </c>
      <c r="BF29" s="1063">
        <f t="shared" si="28"/>
        <v>0</v>
      </c>
      <c r="BG29" s="1065">
        <f t="shared" si="29"/>
        <v>0</v>
      </c>
      <c r="BH29" s="702">
        <f t="shared" si="30"/>
        <v>0</v>
      </c>
      <c r="BI29" s="1063">
        <f t="shared" si="31"/>
        <v>0</v>
      </c>
      <c r="BJ29" s="1063">
        <f t="shared" si="32"/>
        <v>0</v>
      </c>
      <c r="BK29" s="1063">
        <f t="shared" si="33"/>
        <v>0</v>
      </c>
      <c r="BL29" s="1063">
        <f t="shared" si="34"/>
        <v>0</v>
      </c>
      <c r="BM29" s="1063">
        <f t="shared" si="35"/>
        <v>0</v>
      </c>
      <c r="BN29" s="1064">
        <f t="shared" si="36"/>
        <v>0</v>
      </c>
      <c r="BO29" s="1761">
        <f t="shared" si="37"/>
        <v>0</v>
      </c>
      <c r="BP29" s="1063">
        <f t="shared" si="38"/>
        <v>0</v>
      </c>
      <c r="BQ29" s="1064">
        <f t="shared" si="39"/>
        <v>0</v>
      </c>
      <c r="BR29" s="1063">
        <f t="shared" si="40"/>
        <v>0</v>
      </c>
      <c r="BS29" s="1063">
        <f t="shared" si="41"/>
        <v>0</v>
      </c>
      <c r="BT29" s="1064">
        <f t="shared" si="42"/>
        <v>0</v>
      </c>
      <c r="BU29" s="1064">
        <f t="shared" si="43"/>
        <v>0</v>
      </c>
      <c r="BV29" s="1064">
        <f t="shared" si="44"/>
        <v>0</v>
      </c>
      <c r="BW29" s="1066">
        <f t="shared" si="45"/>
        <v>0</v>
      </c>
      <c r="BX29" s="1063">
        <f>(BI29*Pricing!F$2+BJ29*Pricing!G$2+BK29*Pricing!H$2+BL29*Pricing!I$2+BM29*Pricing!J$2+BN29*Pricing!K$2)*IF(AC$63="N",(1+AE$63),1)</f>
        <v>0</v>
      </c>
      <c r="BY29" s="1063">
        <f t="shared" si="46"/>
        <v>0</v>
      </c>
      <c r="BZ29" s="1063">
        <f t="shared" si="47"/>
        <v>0</v>
      </c>
      <c r="CA29" s="1063">
        <f t="shared" si="48"/>
        <v>0</v>
      </c>
      <c r="CB29" s="1067">
        <f t="shared" si="49"/>
        <v>0</v>
      </c>
      <c r="CD29" s="702">
        <f t="shared" si="50"/>
        <v>0</v>
      </c>
      <c r="CE29" s="1063">
        <f t="shared" si="2"/>
        <v>0</v>
      </c>
      <c r="CF29" s="1063">
        <f t="shared" si="3"/>
        <v>0</v>
      </c>
      <c r="CG29" s="1063">
        <f t="shared" si="4"/>
        <v>0</v>
      </c>
      <c r="CH29" s="702">
        <f t="shared" si="5"/>
        <v>0</v>
      </c>
      <c r="CI29" s="1063">
        <f t="shared" si="6"/>
        <v>0</v>
      </c>
      <c r="CJ29" s="702">
        <f t="shared" si="51"/>
        <v>0</v>
      </c>
      <c r="CK29" s="1063">
        <f t="shared" si="52"/>
        <v>0</v>
      </c>
      <c r="CL29" s="704">
        <f t="shared" si="53"/>
        <v>0</v>
      </c>
      <c r="CM29" s="702">
        <f t="shared" si="54"/>
        <v>0</v>
      </c>
      <c r="CO29" s="1061">
        <f t="shared" si="55"/>
        <v>0</v>
      </c>
      <c r="CP29" s="702">
        <f t="shared" si="56"/>
        <v>0</v>
      </c>
      <c r="CQ29" s="702">
        <f t="shared" si="57"/>
        <v>0</v>
      </c>
      <c r="CR29" s="702">
        <f t="shared" si="63"/>
        <v>0</v>
      </c>
      <c r="CS29" s="702">
        <f t="shared" si="58"/>
        <v>0</v>
      </c>
      <c r="CT29" s="702">
        <f t="shared" si="59"/>
        <v>0</v>
      </c>
      <c r="CU29" s="702">
        <f t="shared" si="60"/>
        <v>0</v>
      </c>
      <c r="CV29" s="1068">
        <f t="shared" si="7"/>
        <v>0</v>
      </c>
      <c r="CW29" s="1064">
        <f t="shared" si="61"/>
        <v>0</v>
      </c>
      <c r="FX29" s="701"/>
      <c r="FY29" s="701"/>
      <c r="FZ29" s="701"/>
      <c r="GA29" s="701"/>
      <c r="GB29" s="701"/>
      <c r="GC29" s="701"/>
      <c r="GD29" s="701"/>
      <c r="GE29" s="701"/>
      <c r="GF29" s="701"/>
      <c r="GG29" s="701"/>
      <c r="GH29" s="701"/>
      <c r="GI29" s="701"/>
      <c r="GJ29" s="701"/>
      <c r="GK29" s="701"/>
      <c r="GL29" s="701"/>
      <c r="GM29" s="701"/>
      <c r="GN29" s="701"/>
      <c r="GO29" s="701"/>
      <c r="GP29" s="701"/>
      <c r="GQ29" s="701"/>
      <c r="GR29" s="701"/>
      <c r="GS29" s="701"/>
      <c r="GT29" s="701"/>
      <c r="GU29" s="701"/>
      <c r="GV29" s="701"/>
      <c r="GW29" s="701"/>
      <c r="GX29" s="701"/>
      <c r="GY29" s="701"/>
      <c r="GZ29" s="701"/>
      <c r="HA29" s="701"/>
      <c r="HB29" s="701"/>
      <c r="HC29" s="701"/>
      <c r="HD29" s="701"/>
      <c r="HE29" s="701"/>
      <c r="HF29" s="701"/>
      <c r="HG29" s="701"/>
      <c r="HH29" s="701"/>
      <c r="HI29" s="701"/>
      <c r="HJ29" s="701"/>
      <c r="HK29" s="701"/>
      <c r="HL29" s="701"/>
      <c r="HM29" s="701"/>
      <c r="HN29" s="701"/>
      <c r="HO29" s="701"/>
      <c r="HP29" s="701"/>
      <c r="HQ29" s="701"/>
      <c r="HR29" s="701"/>
      <c r="HS29" s="701"/>
      <c r="HT29" s="701"/>
      <c r="HU29" s="701"/>
      <c r="HV29" s="701"/>
      <c r="HW29" s="701"/>
      <c r="HX29" s="701"/>
      <c r="HY29" s="701"/>
      <c r="HZ29" s="701"/>
      <c r="IA29" s="701"/>
    </row>
    <row r="30" spans="2:235" s="702" customFormat="1" ht="20.149999999999999" customHeight="1" x14ac:dyDescent="0.35">
      <c r="B30" s="398" t="s">
        <v>1148</v>
      </c>
      <c r="C30" s="396"/>
      <c r="D30" s="1862"/>
      <c r="E30" s="1863"/>
      <c r="F30" s="211"/>
      <c r="G30" s="777"/>
      <c r="H30" s="97"/>
      <c r="I30" s="779"/>
      <c r="J30" s="97"/>
      <c r="K30" s="781"/>
      <c r="L30" s="32"/>
      <c r="M30" s="211"/>
      <c r="N30" s="397"/>
      <c r="O30" s="1790">
        <v>9</v>
      </c>
      <c r="P30" s="1791"/>
      <c r="Q30" s="1792">
        <v>10</v>
      </c>
      <c r="R30" s="1793"/>
      <c r="S30" s="180">
        <v>1</v>
      </c>
      <c r="T30" s="554">
        <f t="shared" si="0"/>
        <v>0</v>
      </c>
      <c r="U30" s="32">
        <v>2</v>
      </c>
      <c r="V30" s="1784"/>
      <c r="W30" s="810">
        <v>3</v>
      </c>
      <c r="X30" s="1784"/>
      <c r="Y30" s="32"/>
      <c r="Z30" s="371"/>
      <c r="AA30" s="180"/>
      <c r="AB30" s="280"/>
      <c r="AC30" s="1380">
        <f t="shared" si="62"/>
        <v>0</v>
      </c>
      <c r="AD30" s="906">
        <f t="shared" si="8"/>
        <v>0</v>
      </c>
      <c r="AE30" s="794">
        <f t="shared" si="9"/>
        <v>0</v>
      </c>
      <c r="AF30" s="282">
        <f>SUM(BW30)*(1+M$64+Summary!P$64)</f>
        <v>0</v>
      </c>
      <c r="AG30" s="632" t="e">
        <f t="shared" si="1"/>
        <v>#DIV/0!</v>
      </c>
      <c r="AH30" s="1758">
        <f t="shared" si="10"/>
        <v>0</v>
      </c>
      <c r="AI30" s="769"/>
      <c r="AO30" s="702">
        <f t="shared" si="11"/>
        <v>0</v>
      </c>
      <c r="AP30" s="702">
        <f t="shared" si="12"/>
        <v>0</v>
      </c>
      <c r="AQ30" s="702">
        <f t="shared" si="13"/>
        <v>0</v>
      </c>
      <c r="AR30" s="702">
        <f t="shared" si="14"/>
        <v>0</v>
      </c>
      <c r="AS30" s="702">
        <f t="shared" si="15"/>
        <v>0</v>
      </c>
      <c r="AT30" s="702">
        <f t="shared" si="16"/>
        <v>0</v>
      </c>
      <c r="AU30" s="702">
        <f t="shared" si="17"/>
        <v>0</v>
      </c>
      <c r="AV30" s="1063">
        <f t="shared" si="18"/>
        <v>0</v>
      </c>
      <c r="AW30" s="1063">
        <f t="shared" si="19"/>
        <v>0</v>
      </c>
      <c r="AX30" s="702">
        <f t="shared" si="20"/>
        <v>0</v>
      </c>
      <c r="AY30" s="702">
        <f t="shared" si="21"/>
        <v>0</v>
      </c>
      <c r="AZ30" s="702">
        <f t="shared" si="22"/>
        <v>0</v>
      </c>
      <c r="BA30" s="702">
        <f t="shared" si="23"/>
        <v>0</v>
      </c>
      <c r="BB30" s="702">
        <f t="shared" si="24"/>
        <v>0</v>
      </c>
      <c r="BC30" s="702">
        <f t="shared" si="25"/>
        <v>0</v>
      </c>
      <c r="BD30" s="1063">
        <f t="shared" si="26"/>
        <v>0</v>
      </c>
      <c r="BE30" s="1064">
        <f t="shared" si="27"/>
        <v>0</v>
      </c>
      <c r="BF30" s="1063">
        <f t="shared" si="28"/>
        <v>0</v>
      </c>
      <c r="BG30" s="1065">
        <f t="shared" si="29"/>
        <v>0</v>
      </c>
      <c r="BH30" s="702">
        <f t="shared" si="30"/>
        <v>0</v>
      </c>
      <c r="BI30" s="1063">
        <f t="shared" si="31"/>
        <v>0</v>
      </c>
      <c r="BJ30" s="1063">
        <f t="shared" si="32"/>
        <v>0</v>
      </c>
      <c r="BK30" s="1063">
        <f t="shared" si="33"/>
        <v>0</v>
      </c>
      <c r="BL30" s="1063">
        <f t="shared" si="34"/>
        <v>0</v>
      </c>
      <c r="BM30" s="1063">
        <f t="shared" si="35"/>
        <v>0</v>
      </c>
      <c r="BN30" s="1064">
        <f t="shared" si="36"/>
        <v>0</v>
      </c>
      <c r="BO30" s="1761">
        <f t="shared" si="37"/>
        <v>0</v>
      </c>
      <c r="BP30" s="1063">
        <f t="shared" si="38"/>
        <v>0</v>
      </c>
      <c r="BQ30" s="1064">
        <f t="shared" si="39"/>
        <v>0</v>
      </c>
      <c r="BR30" s="1063">
        <f t="shared" si="40"/>
        <v>0</v>
      </c>
      <c r="BS30" s="1063">
        <f t="shared" si="41"/>
        <v>0</v>
      </c>
      <c r="BT30" s="1064">
        <f t="shared" si="42"/>
        <v>0</v>
      </c>
      <c r="BU30" s="1064">
        <f t="shared" si="43"/>
        <v>0</v>
      </c>
      <c r="BV30" s="1064">
        <f t="shared" si="44"/>
        <v>0</v>
      </c>
      <c r="BW30" s="1066">
        <f t="shared" si="45"/>
        <v>0</v>
      </c>
      <c r="BX30" s="1063">
        <f>(BI30*Pricing!F$2+BJ30*Pricing!G$2+BK30*Pricing!H$2+BL30*Pricing!I$2+BM30*Pricing!J$2+BN30*Pricing!K$2)*IF(AC$63="N",(1+AE$63),1)</f>
        <v>0</v>
      </c>
      <c r="BY30" s="1063">
        <f t="shared" si="46"/>
        <v>0</v>
      </c>
      <c r="BZ30" s="1063">
        <f t="shared" si="47"/>
        <v>0</v>
      </c>
      <c r="CA30" s="1063">
        <f t="shared" si="48"/>
        <v>0</v>
      </c>
      <c r="CB30" s="1067">
        <f t="shared" si="49"/>
        <v>0</v>
      </c>
      <c r="CD30" s="702">
        <f t="shared" si="50"/>
        <v>0</v>
      </c>
      <c r="CE30" s="1063">
        <f t="shared" si="2"/>
        <v>0</v>
      </c>
      <c r="CF30" s="1063">
        <f t="shared" si="3"/>
        <v>0</v>
      </c>
      <c r="CG30" s="1063">
        <f t="shared" si="4"/>
        <v>0</v>
      </c>
      <c r="CH30" s="702">
        <f t="shared" si="5"/>
        <v>0</v>
      </c>
      <c r="CI30" s="1063">
        <f t="shared" si="6"/>
        <v>0</v>
      </c>
      <c r="CJ30" s="702">
        <f t="shared" si="51"/>
        <v>0</v>
      </c>
      <c r="CK30" s="1063">
        <f t="shared" si="52"/>
        <v>0</v>
      </c>
      <c r="CL30" s="704">
        <f t="shared" si="53"/>
        <v>0</v>
      </c>
      <c r="CM30" s="702">
        <f t="shared" si="54"/>
        <v>0</v>
      </c>
      <c r="CO30" s="1061">
        <f t="shared" si="55"/>
        <v>0</v>
      </c>
      <c r="CP30" s="702">
        <f t="shared" si="56"/>
        <v>0</v>
      </c>
      <c r="CQ30" s="702">
        <f t="shared" si="57"/>
        <v>0</v>
      </c>
      <c r="CR30" s="702">
        <f t="shared" si="63"/>
        <v>0</v>
      </c>
      <c r="CS30" s="702">
        <f t="shared" si="58"/>
        <v>0</v>
      </c>
      <c r="CT30" s="702">
        <f t="shared" si="59"/>
        <v>0</v>
      </c>
      <c r="CU30" s="702">
        <f t="shared" si="60"/>
        <v>0</v>
      </c>
      <c r="CV30" s="1068">
        <f t="shared" si="7"/>
        <v>0</v>
      </c>
      <c r="CW30" s="1064">
        <f t="shared" si="61"/>
        <v>0</v>
      </c>
      <c r="FX30" s="701"/>
      <c r="FY30" s="701"/>
      <c r="FZ30" s="701"/>
      <c r="GA30" s="701"/>
      <c r="GB30" s="701"/>
      <c r="GC30" s="701"/>
      <c r="GD30" s="701"/>
      <c r="GE30" s="701"/>
      <c r="GF30" s="701"/>
      <c r="GG30" s="701"/>
      <c r="GH30" s="701"/>
      <c r="GI30" s="701"/>
      <c r="GJ30" s="701"/>
      <c r="GK30" s="701"/>
      <c r="GL30" s="701"/>
      <c r="GM30" s="701"/>
      <c r="GN30" s="701"/>
      <c r="GO30" s="701"/>
      <c r="GP30" s="701"/>
      <c r="GQ30" s="701"/>
      <c r="GR30" s="701"/>
      <c r="GS30" s="701"/>
      <c r="GT30" s="701"/>
      <c r="GU30" s="701"/>
      <c r="GV30" s="701"/>
      <c r="GW30" s="701"/>
      <c r="GX30" s="701"/>
      <c r="GY30" s="701"/>
      <c r="GZ30" s="701"/>
      <c r="HA30" s="701"/>
      <c r="HB30" s="701"/>
      <c r="HC30" s="701"/>
      <c r="HD30" s="701"/>
      <c r="HE30" s="701"/>
      <c r="HF30" s="701"/>
      <c r="HG30" s="701"/>
      <c r="HH30" s="701"/>
      <c r="HI30" s="701"/>
      <c r="HJ30" s="701"/>
      <c r="HK30" s="701"/>
      <c r="HL30" s="701"/>
      <c r="HM30" s="701"/>
      <c r="HN30" s="701"/>
      <c r="HO30" s="701"/>
      <c r="HP30" s="701"/>
      <c r="HQ30" s="701"/>
      <c r="HR30" s="701"/>
      <c r="HS30" s="701"/>
      <c r="HT30" s="701"/>
      <c r="HU30" s="701"/>
      <c r="HV30" s="701"/>
      <c r="HW30" s="701"/>
      <c r="HX30" s="701"/>
      <c r="HY30" s="701"/>
      <c r="HZ30" s="701"/>
      <c r="IA30" s="701"/>
    </row>
    <row r="31" spans="2:235" s="702" customFormat="1" ht="20.149999999999999" customHeight="1" x14ac:dyDescent="0.35">
      <c r="B31" s="193" t="s">
        <v>1149</v>
      </c>
      <c r="C31" s="393"/>
      <c r="D31" s="1864"/>
      <c r="E31" s="1865"/>
      <c r="F31" s="121"/>
      <c r="G31" s="777"/>
      <c r="H31" s="214"/>
      <c r="I31" s="779"/>
      <c r="J31" s="127"/>
      <c r="K31" s="781"/>
      <c r="L31" s="30"/>
      <c r="M31" s="121"/>
      <c r="N31" s="394"/>
      <c r="O31" s="1788">
        <v>9</v>
      </c>
      <c r="P31" s="470"/>
      <c r="Q31" s="1789">
        <v>10</v>
      </c>
      <c r="R31" s="1782"/>
      <c r="S31" s="176">
        <v>1</v>
      </c>
      <c r="T31" s="555">
        <f t="shared" si="0"/>
        <v>0</v>
      </c>
      <c r="U31" s="31">
        <v>2</v>
      </c>
      <c r="V31" s="1785"/>
      <c r="W31" s="1783">
        <v>3</v>
      </c>
      <c r="X31" s="1785"/>
      <c r="Y31" s="31"/>
      <c r="Z31" s="531"/>
      <c r="AA31" s="178"/>
      <c r="AB31" s="279"/>
      <c r="AC31" s="1380">
        <f t="shared" si="62"/>
        <v>0</v>
      </c>
      <c r="AD31" s="906">
        <f t="shared" si="8"/>
        <v>0</v>
      </c>
      <c r="AE31" s="794">
        <f t="shared" si="9"/>
        <v>0</v>
      </c>
      <c r="AF31" s="282">
        <f>SUM(BW31)*(1+M$64+Summary!P$64)</f>
        <v>0</v>
      </c>
      <c r="AG31" s="632" t="e">
        <f t="shared" si="1"/>
        <v>#DIV/0!</v>
      </c>
      <c r="AH31" s="1758">
        <f t="shared" si="10"/>
        <v>0</v>
      </c>
      <c r="AI31" s="769"/>
      <c r="AO31" s="702">
        <f t="shared" si="11"/>
        <v>0</v>
      </c>
      <c r="AP31" s="702">
        <f t="shared" si="12"/>
        <v>0</v>
      </c>
      <c r="AQ31" s="702">
        <f t="shared" si="13"/>
        <v>0</v>
      </c>
      <c r="AR31" s="702">
        <f t="shared" si="14"/>
        <v>0</v>
      </c>
      <c r="AS31" s="702">
        <f t="shared" si="15"/>
        <v>0</v>
      </c>
      <c r="AT31" s="702">
        <f t="shared" si="16"/>
        <v>0</v>
      </c>
      <c r="AU31" s="702">
        <f t="shared" si="17"/>
        <v>0</v>
      </c>
      <c r="AV31" s="1063">
        <f t="shared" si="18"/>
        <v>0</v>
      </c>
      <c r="AW31" s="1063">
        <f t="shared" si="19"/>
        <v>0</v>
      </c>
      <c r="AX31" s="702">
        <f t="shared" si="20"/>
        <v>0</v>
      </c>
      <c r="AY31" s="702">
        <f t="shared" si="21"/>
        <v>0</v>
      </c>
      <c r="AZ31" s="702">
        <f t="shared" si="22"/>
        <v>0</v>
      </c>
      <c r="BA31" s="702">
        <f t="shared" si="23"/>
        <v>0</v>
      </c>
      <c r="BB31" s="702">
        <f t="shared" si="24"/>
        <v>0</v>
      </c>
      <c r="BC31" s="702">
        <f t="shared" si="25"/>
        <v>0</v>
      </c>
      <c r="BD31" s="1063">
        <f t="shared" si="26"/>
        <v>0</v>
      </c>
      <c r="BE31" s="1064">
        <f t="shared" si="27"/>
        <v>0</v>
      </c>
      <c r="BF31" s="1063">
        <f t="shared" si="28"/>
        <v>0</v>
      </c>
      <c r="BG31" s="1065">
        <f t="shared" si="29"/>
        <v>0</v>
      </c>
      <c r="BH31" s="702">
        <f t="shared" si="30"/>
        <v>0</v>
      </c>
      <c r="BI31" s="1063">
        <f t="shared" si="31"/>
        <v>0</v>
      </c>
      <c r="BJ31" s="1063">
        <f t="shared" si="32"/>
        <v>0</v>
      </c>
      <c r="BK31" s="1063">
        <f t="shared" si="33"/>
        <v>0</v>
      </c>
      <c r="BL31" s="1063">
        <f t="shared" si="34"/>
        <v>0</v>
      </c>
      <c r="BM31" s="1063">
        <f t="shared" si="35"/>
        <v>0</v>
      </c>
      <c r="BN31" s="1064">
        <f t="shared" si="36"/>
        <v>0</v>
      </c>
      <c r="BO31" s="1761">
        <f t="shared" si="37"/>
        <v>0</v>
      </c>
      <c r="BP31" s="1063">
        <f t="shared" si="38"/>
        <v>0</v>
      </c>
      <c r="BQ31" s="1064">
        <f t="shared" si="39"/>
        <v>0</v>
      </c>
      <c r="BR31" s="1063">
        <f t="shared" si="40"/>
        <v>0</v>
      </c>
      <c r="BS31" s="1063">
        <f t="shared" si="41"/>
        <v>0</v>
      </c>
      <c r="BT31" s="1064">
        <f t="shared" si="42"/>
        <v>0</v>
      </c>
      <c r="BU31" s="1064">
        <f t="shared" si="43"/>
        <v>0</v>
      </c>
      <c r="BV31" s="1064">
        <f t="shared" si="44"/>
        <v>0</v>
      </c>
      <c r="BW31" s="1066">
        <f t="shared" si="45"/>
        <v>0</v>
      </c>
      <c r="BX31" s="1063">
        <f>(BI31*Pricing!F$2+BJ31*Pricing!G$2+BK31*Pricing!H$2+BL31*Pricing!I$2+BM31*Pricing!J$2+BN31*Pricing!K$2)*IF(AC$63="N",(1+AE$63),1)</f>
        <v>0</v>
      </c>
      <c r="BY31" s="1063">
        <f t="shared" si="46"/>
        <v>0</v>
      </c>
      <c r="BZ31" s="1063">
        <f t="shared" si="47"/>
        <v>0</v>
      </c>
      <c r="CA31" s="1063">
        <f t="shared" si="48"/>
        <v>0</v>
      </c>
      <c r="CB31" s="1067">
        <f t="shared" si="49"/>
        <v>0</v>
      </c>
      <c r="CD31" s="702">
        <f t="shared" si="50"/>
        <v>0</v>
      </c>
      <c r="CE31" s="1063">
        <f t="shared" si="2"/>
        <v>0</v>
      </c>
      <c r="CF31" s="1063">
        <f t="shared" si="3"/>
        <v>0</v>
      </c>
      <c r="CG31" s="1063">
        <f t="shared" si="4"/>
        <v>0</v>
      </c>
      <c r="CH31" s="702">
        <f t="shared" si="5"/>
        <v>0</v>
      </c>
      <c r="CI31" s="1063">
        <f t="shared" si="6"/>
        <v>0</v>
      </c>
      <c r="CJ31" s="702">
        <f t="shared" si="51"/>
        <v>0</v>
      </c>
      <c r="CK31" s="1063">
        <f t="shared" si="52"/>
        <v>0</v>
      </c>
      <c r="CL31" s="704">
        <f t="shared" si="53"/>
        <v>0</v>
      </c>
      <c r="CM31" s="702">
        <f t="shared" si="54"/>
        <v>0</v>
      </c>
      <c r="CO31" s="1061">
        <f t="shared" si="55"/>
        <v>0</v>
      </c>
      <c r="CP31" s="702">
        <f t="shared" si="56"/>
        <v>0</v>
      </c>
      <c r="CQ31" s="702">
        <f t="shared" si="57"/>
        <v>0</v>
      </c>
      <c r="CR31" s="702">
        <f t="shared" si="63"/>
        <v>0</v>
      </c>
      <c r="CS31" s="702">
        <f t="shared" si="58"/>
        <v>0</v>
      </c>
      <c r="CT31" s="702">
        <f t="shared" si="59"/>
        <v>0</v>
      </c>
      <c r="CU31" s="702">
        <f t="shared" si="60"/>
        <v>0</v>
      </c>
      <c r="CV31" s="1068">
        <f t="shared" si="7"/>
        <v>0</v>
      </c>
      <c r="CW31" s="1064">
        <f t="shared" si="61"/>
        <v>0</v>
      </c>
      <c r="FX31" s="701"/>
      <c r="FY31" s="701"/>
      <c r="FZ31" s="701"/>
      <c r="GA31" s="701"/>
      <c r="GB31" s="701"/>
      <c r="GC31" s="701"/>
      <c r="GD31" s="701"/>
      <c r="GE31" s="701"/>
      <c r="GF31" s="701"/>
      <c r="GG31" s="701"/>
      <c r="GH31" s="701"/>
      <c r="GI31" s="701"/>
      <c r="GJ31" s="701"/>
      <c r="GK31" s="701"/>
      <c r="GL31" s="701"/>
      <c r="GM31" s="701"/>
      <c r="GN31" s="701"/>
      <c r="GO31" s="701"/>
      <c r="GP31" s="701"/>
      <c r="GQ31" s="701"/>
      <c r="GR31" s="701"/>
      <c r="GS31" s="701"/>
      <c r="GT31" s="701"/>
      <c r="GU31" s="701"/>
      <c r="GV31" s="701"/>
      <c r="GW31" s="701"/>
      <c r="GX31" s="701"/>
      <c r="GY31" s="701"/>
      <c r="GZ31" s="701"/>
      <c r="HA31" s="701"/>
      <c r="HB31" s="701"/>
      <c r="HC31" s="701"/>
      <c r="HD31" s="701"/>
      <c r="HE31" s="701"/>
      <c r="HF31" s="701"/>
      <c r="HG31" s="701"/>
      <c r="HH31" s="701"/>
      <c r="HI31" s="701"/>
      <c r="HJ31" s="701"/>
      <c r="HK31" s="701"/>
      <c r="HL31" s="701"/>
      <c r="HM31" s="701"/>
      <c r="HN31" s="701"/>
      <c r="HO31" s="701"/>
      <c r="HP31" s="701"/>
      <c r="HQ31" s="701"/>
      <c r="HR31" s="701"/>
      <c r="HS31" s="701"/>
      <c r="HT31" s="701"/>
      <c r="HU31" s="701"/>
      <c r="HV31" s="701"/>
      <c r="HW31" s="701"/>
      <c r="HX31" s="701"/>
      <c r="HY31" s="701"/>
      <c r="HZ31" s="701"/>
      <c r="IA31" s="701"/>
    </row>
    <row r="32" spans="2:235" s="702" customFormat="1" ht="20.149999999999999" customHeight="1" x14ac:dyDescent="0.35">
      <c r="B32" s="398" t="s">
        <v>1150</v>
      </c>
      <c r="C32" s="396"/>
      <c r="D32" s="1862"/>
      <c r="E32" s="1863"/>
      <c r="F32" s="211"/>
      <c r="G32" s="777"/>
      <c r="H32" s="97"/>
      <c r="I32" s="779"/>
      <c r="J32" s="97"/>
      <c r="K32" s="781"/>
      <c r="L32" s="32"/>
      <c r="M32" s="211"/>
      <c r="N32" s="397"/>
      <c r="O32" s="1790">
        <v>9</v>
      </c>
      <c r="P32" s="1791"/>
      <c r="Q32" s="1792">
        <v>10</v>
      </c>
      <c r="R32" s="1793"/>
      <c r="S32" s="180">
        <v>1</v>
      </c>
      <c r="T32" s="554">
        <f t="shared" si="0"/>
        <v>0</v>
      </c>
      <c r="U32" s="32">
        <v>2</v>
      </c>
      <c r="V32" s="1784"/>
      <c r="W32" s="810">
        <v>3</v>
      </c>
      <c r="X32" s="1784"/>
      <c r="Y32" s="32"/>
      <c r="Z32" s="371"/>
      <c r="AA32" s="180"/>
      <c r="AB32" s="280"/>
      <c r="AC32" s="1380">
        <f t="shared" si="62"/>
        <v>0</v>
      </c>
      <c r="AD32" s="906">
        <f t="shared" si="8"/>
        <v>0</v>
      </c>
      <c r="AE32" s="794">
        <f t="shared" si="9"/>
        <v>0</v>
      </c>
      <c r="AF32" s="282">
        <f>SUM(BW32)*(1+M$64+Summary!P$64)</f>
        <v>0</v>
      </c>
      <c r="AG32" s="632" t="e">
        <f t="shared" si="1"/>
        <v>#DIV/0!</v>
      </c>
      <c r="AH32" s="1758">
        <f t="shared" si="10"/>
        <v>0</v>
      </c>
      <c r="AI32" s="769"/>
      <c r="AO32" s="702">
        <f t="shared" si="11"/>
        <v>0</v>
      </c>
      <c r="AP32" s="702">
        <f t="shared" si="12"/>
        <v>0</v>
      </c>
      <c r="AQ32" s="702">
        <f t="shared" si="13"/>
        <v>0</v>
      </c>
      <c r="AR32" s="702">
        <f t="shared" si="14"/>
        <v>0</v>
      </c>
      <c r="AS32" s="702">
        <f t="shared" si="15"/>
        <v>0</v>
      </c>
      <c r="AT32" s="702">
        <f t="shared" si="16"/>
        <v>0</v>
      </c>
      <c r="AU32" s="702">
        <f t="shared" si="17"/>
        <v>0</v>
      </c>
      <c r="AV32" s="1063">
        <f t="shared" si="18"/>
        <v>0</v>
      </c>
      <c r="AW32" s="1063">
        <f t="shared" si="19"/>
        <v>0</v>
      </c>
      <c r="AX32" s="702">
        <f t="shared" si="20"/>
        <v>0</v>
      </c>
      <c r="AY32" s="702">
        <f t="shared" si="21"/>
        <v>0</v>
      </c>
      <c r="AZ32" s="702">
        <f t="shared" si="22"/>
        <v>0</v>
      </c>
      <c r="BA32" s="702">
        <f t="shared" si="23"/>
        <v>0</v>
      </c>
      <c r="BB32" s="702">
        <f t="shared" si="24"/>
        <v>0</v>
      </c>
      <c r="BC32" s="702">
        <f t="shared" si="25"/>
        <v>0</v>
      </c>
      <c r="BD32" s="1063">
        <f t="shared" si="26"/>
        <v>0</v>
      </c>
      <c r="BE32" s="1064">
        <f t="shared" si="27"/>
        <v>0</v>
      </c>
      <c r="BF32" s="1063">
        <f t="shared" si="28"/>
        <v>0</v>
      </c>
      <c r="BG32" s="1065">
        <f t="shared" si="29"/>
        <v>0</v>
      </c>
      <c r="BH32" s="702">
        <f t="shared" si="30"/>
        <v>0</v>
      </c>
      <c r="BI32" s="1063">
        <f t="shared" si="31"/>
        <v>0</v>
      </c>
      <c r="BJ32" s="1063">
        <f t="shared" si="32"/>
        <v>0</v>
      </c>
      <c r="BK32" s="1063">
        <f t="shared" si="33"/>
        <v>0</v>
      </c>
      <c r="BL32" s="1063">
        <f t="shared" si="34"/>
        <v>0</v>
      </c>
      <c r="BM32" s="1063">
        <f t="shared" si="35"/>
        <v>0</v>
      </c>
      <c r="BN32" s="1064">
        <f t="shared" si="36"/>
        <v>0</v>
      </c>
      <c r="BO32" s="1761">
        <f t="shared" si="37"/>
        <v>0</v>
      </c>
      <c r="BP32" s="1063">
        <f t="shared" si="38"/>
        <v>0</v>
      </c>
      <c r="BQ32" s="1064">
        <f t="shared" si="39"/>
        <v>0</v>
      </c>
      <c r="BR32" s="1063">
        <f t="shared" si="40"/>
        <v>0</v>
      </c>
      <c r="BS32" s="1063">
        <f t="shared" si="41"/>
        <v>0</v>
      </c>
      <c r="BT32" s="1064">
        <f t="shared" si="42"/>
        <v>0</v>
      </c>
      <c r="BU32" s="1064">
        <f t="shared" si="43"/>
        <v>0</v>
      </c>
      <c r="BV32" s="1064">
        <f t="shared" si="44"/>
        <v>0</v>
      </c>
      <c r="BW32" s="1066">
        <f t="shared" si="45"/>
        <v>0</v>
      </c>
      <c r="BX32" s="1063">
        <f>(BI32*Pricing!F$2+BJ32*Pricing!G$2+BK32*Pricing!H$2+BL32*Pricing!I$2+BM32*Pricing!J$2+BN32*Pricing!K$2)*IF(AC$63="N",(1+AE$63),1)</f>
        <v>0</v>
      </c>
      <c r="BY32" s="1063">
        <f t="shared" si="46"/>
        <v>0</v>
      </c>
      <c r="BZ32" s="1063">
        <f t="shared" si="47"/>
        <v>0</v>
      </c>
      <c r="CA32" s="1063">
        <f t="shared" si="48"/>
        <v>0</v>
      </c>
      <c r="CB32" s="1067">
        <f t="shared" si="49"/>
        <v>0</v>
      </c>
      <c r="CD32" s="702">
        <f t="shared" si="50"/>
        <v>0</v>
      </c>
      <c r="CE32" s="1063">
        <f t="shared" si="2"/>
        <v>0</v>
      </c>
      <c r="CF32" s="1063">
        <f t="shared" si="3"/>
        <v>0</v>
      </c>
      <c r="CG32" s="1063">
        <f t="shared" si="4"/>
        <v>0</v>
      </c>
      <c r="CH32" s="702">
        <f t="shared" si="5"/>
        <v>0</v>
      </c>
      <c r="CI32" s="1063">
        <f t="shared" si="6"/>
        <v>0</v>
      </c>
      <c r="CJ32" s="702">
        <f t="shared" si="51"/>
        <v>0</v>
      </c>
      <c r="CK32" s="1063">
        <f t="shared" si="52"/>
        <v>0</v>
      </c>
      <c r="CL32" s="704">
        <f t="shared" si="53"/>
        <v>0</v>
      </c>
      <c r="CM32" s="702">
        <f t="shared" si="54"/>
        <v>0</v>
      </c>
      <c r="CO32" s="1061">
        <f t="shared" si="55"/>
        <v>0</v>
      </c>
      <c r="CP32" s="702">
        <f t="shared" si="56"/>
        <v>0</v>
      </c>
      <c r="CQ32" s="702">
        <f t="shared" si="57"/>
        <v>0</v>
      </c>
      <c r="CR32" s="702">
        <f t="shared" si="63"/>
        <v>0</v>
      </c>
      <c r="CS32" s="702">
        <f t="shared" si="58"/>
        <v>0</v>
      </c>
      <c r="CT32" s="702">
        <f t="shared" si="59"/>
        <v>0</v>
      </c>
      <c r="CU32" s="702">
        <f t="shared" si="60"/>
        <v>0</v>
      </c>
      <c r="CV32" s="1068">
        <f t="shared" si="7"/>
        <v>0</v>
      </c>
      <c r="CW32" s="1064">
        <f t="shared" si="61"/>
        <v>0</v>
      </c>
      <c r="FX32" s="701"/>
      <c r="FY32" s="701"/>
      <c r="FZ32" s="701"/>
      <c r="GA32" s="701"/>
      <c r="GB32" s="701"/>
      <c r="GC32" s="701"/>
      <c r="GD32" s="701"/>
      <c r="GE32" s="701"/>
      <c r="GF32" s="701"/>
      <c r="GG32" s="701"/>
      <c r="GH32" s="701"/>
      <c r="GI32" s="701"/>
      <c r="GJ32" s="701"/>
      <c r="GK32" s="701"/>
      <c r="GL32" s="701"/>
      <c r="GM32" s="701"/>
      <c r="GN32" s="701"/>
      <c r="GO32" s="701"/>
      <c r="GP32" s="701"/>
      <c r="GQ32" s="701"/>
      <c r="GR32" s="701"/>
      <c r="GS32" s="701"/>
      <c r="GT32" s="701"/>
      <c r="GU32" s="701"/>
      <c r="GV32" s="701"/>
      <c r="GW32" s="701"/>
      <c r="GX32" s="701"/>
      <c r="GY32" s="701"/>
      <c r="GZ32" s="701"/>
      <c r="HA32" s="701"/>
      <c r="HB32" s="701"/>
      <c r="HC32" s="701"/>
      <c r="HD32" s="701"/>
      <c r="HE32" s="701"/>
      <c r="HF32" s="701"/>
      <c r="HG32" s="701"/>
      <c r="HH32" s="701"/>
      <c r="HI32" s="701"/>
      <c r="HJ32" s="701"/>
      <c r="HK32" s="701"/>
      <c r="HL32" s="701"/>
      <c r="HM32" s="701"/>
      <c r="HN32" s="701"/>
      <c r="HO32" s="701"/>
      <c r="HP32" s="701"/>
      <c r="HQ32" s="701"/>
      <c r="HR32" s="701"/>
      <c r="HS32" s="701"/>
      <c r="HT32" s="701"/>
      <c r="HU32" s="701"/>
      <c r="HV32" s="701"/>
      <c r="HW32" s="701"/>
      <c r="HX32" s="701"/>
      <c r="HY32" s="701"/>
      <c r="HZ32" s="701"/>
      <c r="IA32" s="701"/>
    </row>
    <row r="33" spans="2:235" s="702" customFormat="1" ht="20.149999999999999" customHeight="1" x14ac:dyDescent="0.35">
      <c r="B33" s="193" t="s">
        <v>1151</v>
      </c>
      <c r="C33" s="393"/>
      <c r="D33" s="1864"/>
      <c r="E33" s="1865"/>
      <c r="F33" s="121"/>
      <c r="G33" s="777"/>
      <c r="H33" s="214"/>
      <c r="I33" s="779"/>
      <c r="J33" s="127"/>
      <c r="K33" s="781"/>
      <c r="L33" s="30"/>
      <c r="M33" s="121"/>
      <c r="N33" s="394"/>
      <c r="O33" s="1788">
        <v>9</v>
      </c>
      <c r="P33" s="470"/>
      <c r="Q33" s="1789">
        <v>10</v>
      </c>
      <c r="R33" s="1782"/>
      <c r="S33" s="176">
        <v>1</v>
      </c>
      <c r="T33" s="555">
        <f t="shared" si="0"/>
        <v>0</v>
      </c>
      <c r="U33" s="31">
        <v>2</v>
      </c>
      <c r="V33" s="1785"/>
      <c r="W33" s="1783">
        <v>3</v>
      </c>
      <c r="X33" s="1785"/>
      <c r="Y33" s="30"/>
      <c r="Z33" s="377"/>
      <c r="AA33" s="178"/>
      <c r="AB33" s="279"/>
      <c r="AC33" s="1380">
        <f t="shared" si="62"/>
        <v>0</v>
      </c>
      <c r="AD33" s="906">
        <f t="shared" si="8"/>
        <v>0</v>
      </c>
      <c r="AE33" s="794">
        <f t="shared" si="9"/>
        <v>0</v>
      </c>
      <c r="AF33" s="282">
        <f>SUM(BW33)*(1+M$64+Summary!P$64)</f>
        <v>0</v>
      </c>
      <c r="AG33" s="632" t="e">
        <f t="shared" si="1"/>
        <v>#DIV/0!</v>
      </c>
      <c r="AH33" s="1758">
        <f t="shared" si="10"/>
        <v>0</v>
      </c>
      <c r="AI33" s="769"/>
      <c r="AO33" s="702">
        <f t="shared" si="11"/>
        <v>0</v>
      </c>
      <c r="AP33" s="702">
        <f t="shared" si="12"/>
        <v>0</v>
      </c>
      <c r="AQ33" s="702">
        <f t="shared" si="13"/>
        <v>0</v>
      </c>
      <c r="AR33" s="702">
        <f t="shared" si="14"/>
        <v>0</v>
      </c>
      <c r="AS33" s="702">
        <f t="shared" si="15"/>
        <v>0</v>
      </c>
      <c r="AT33" s="702">
        <f t="shared" si="16"/>
        <v>0</v>
      </c>
      <c r="AU33" s="702">
        <f t="shared" si="17"/>
        <v>0</v>
      </c>
      <c r="AV33" s="1063">
        <f t="shared" si="18"/>
        <v>0</v>
      </c>
      <c r="AW33" s="1063">
        <f t="shared" si="19"/>
        <v>0</v>
      </c>
      <c r="AX33" s="702">
        <f t="shared" si="20"/>
        <v>0</v>
      </c>
      <c r="AY33" s="702">
        <f t="shared" si="21"/>
        <v>0</v>
      </c>
      <c r="AZ33" s="702">
        <f t="shared" si="22"/>
        <v>0</v>
      </c>
      <c r="BA33" s="702">
        <f t="shared" si="23"/>
        <v>0</v>
      </c>
      <c r="BB33" s="702">
        <f t="shared" si="24"/>
        <v>0</v>
      </c>
      <c r="BC33" s="702">
        <f t="shared" si="25"/>
        <v>0</v>
      </c>
      <c r="BD33" s="1063">
        <f t="shared" si="26"/>
        <v>0</v>
      </c>
      <c r="BE33" s="1064">
        <f t="shared" si="27"/>
        <v>0</v>
      </c>
      <c r="BF33" s="1063">
        <f t="shared" si="28"/>
        <v>0</v>
      </c>
      <c r="BG33" s="1065">
        <f t="shared" si="29"/>
        <v>0</v>
      </c>
      <c r="BH33" s="702">
        <f t="shared" si="30"/>
        <v>0</v>
      </c>
      <c r="BI33" s="1063">
        <f t="shared" si="31"/>
        <v>0</v>
      </c>
      <c r="BJ33" s="1063">
        <f t="shared" si="32"/>
        <v>0</v>
      </c>
      <c r="BK33" s="1063">
        <f t="shared" si="33"/>
        <v>0</v>
      </c>
      <c r="BL33" s="1063">
        <f t="shared" si="34"/>
        <v>0</v>
      </c>
      <c r="BM33" s="1063">
        <f t="shared" si="35"/>
        <v>0</v>
      </c>
      <c r="BN33" s="1064">
        <f t="shared" si="36"/>
        <v>0</v>
      </c>
      <c r="BO33" s="1761">
        <f t="shared" si="37"/>
        <v>0</v>
      </c>
      <c r="BP33" s="1063">
        <f t="shared" si="38"/>
        <v>0</v>
      </c>
      <c r="BQ33" s="1064">
        <f t="shared" si="39"/>
        <v>0</v>
      </c>
      <c r="BR33" s="1063">
        <f t="shared" si="40"/>
        <v>0</v>
      </c>
      <c r="BS33" s="1063">
        <f t="shared" si="41"/>
        <v>0</v>
      </c>
      <c r="BT33" s="1064">
        <f t="shared" si="42"/>
        <v>0</v>
      </c>
      <c r="BU33" s="1064">
        <f t="shared" si="43"/>
        <v>0</v>
      </c>
      <c r="BV33" s="1064">
        <f t="shared" si="44"/>
        <v>0</v>
      </c>
      <c r="BW33" s="1066">
        <f t="shared" si="45"/>
        <v>0</v>
      </c>
      <c r="BX33" s="1063">
        <f>(BI33*Pricing!F$2+BJ33*Pricing!G$2+BK33*Pricing!H$2+BL33*Pricing!I$2+BM33*Pricing!J$2+BN33*Pricing!K$2)*IF(AC$63="N",(1+AE$63),1)</f>
        <v>0</v>
      </c>
      <c r="BY33" s="1063">
        <f t="shared" si="46"/>
        <v>0</v>
      </c>
      <c r="BZ33" s="1063">
        <f t="shared" si="47"/>
        <v>0</v>
      </c>
      <c r="CA33" s="1063">
        <f t="shared" si="48"/>
        <v>0</v>
      </c>
      <c r="CB33" s="1067">
        <f t="shared" si="49"/>
        <v>0</v>
      </c>
      <c r="CD33" s="702">
        <f t="shared" si="50"/>
        <v>0</v>
      </c>
      <c r="CE33" s="1063">
        <f t="shared" si="2"/>
        <v>0</v>
      </c>
      <c r="CF33" s="1063">
        <f t="shared" si="3"/>
        <v>0</v>
      </c>
      <c r="CG33" s="1063">
        <f t="shared" si="4"/>
        <v>0</v>
      </c>
      <c r="CH33" s="702">
        <f t="shared" si="5"/>
        <v>0</v>
      </c>
      <c r="CI33" s="1063">
        <f t="shared" si="6"/>
        <v>0</v>
      </c>
      <c r="CJ33" s="702">
        <f t="shared" si="51"/>
        <v>0</v>
      </c>
      <c r="CK33" s="1063">
        <f t="shared" si="52"/>
        <v>0</v>
      </c>
      <c r="CL33" s="704">
        <f t="shared" si="53"/>
        <v>0</v>
      </c>
      <c r="CM33" s="702">
        <f t="shared" si="54"/>
        <v>0</v>
      </c>
      <c r="CO33" s="1061">
        <f t="shared" si="55"/>
        <v>0</v>
      </c>
      <c r="CP33" s="702">
        <f t="shared" si="56"/>
        <v>0</v>
      </c>
      <c r="CQ33" s="702">
        <f t="shared" si="57"/>
        <v>0</v>
      </c>
      <c r="CR33" s="702">
        <f t="shared" si="63"/>
        <v>0</v>
      </c>
      <c r="CS33" s="702">
        <f t="shared" si="58"/>
        <v>0</v>
      </c>
      <c r="CT33" s="702">
        <f t="shared" si="59"/>
        <v>0</v>
      </c>
      <c r="CU33" s="702">
        <f t="shared" si="60"/>
        <v>0</v>
      </c>
      <c r="CV33" s="1068">
        <f t="shared" si="7"/>
        <v>0</v>
      </c>
      <c r="CW33" s="1064">
        <f t="shared" si="61"/>
        <v>0</v>
      </c>
      <c r="FX33" s="701"/>
      <c r="FY33" s="701"/>
      <c r="FZ33" s="701"/>
      <c r="GA33" s="701"/>
      <c r="GB33" s="701"/>
      <c r="GC33" s="701"/>
      <c r="GD33" s="701"/>
      <c r="GE33" s="701"/>
      <c r="GF33" s="701"/>
      <c r="GG33" s="701"/>
      <c r="GH33" s="701"/>
      <c r="GI33" s="701"/>
      <c r="GJ33" s="701"/>
      <c r="GK33" s="701"/>
      <c r="GL33" s="701"/>
      <c r="GM33" s="701"/>
      <c r="GN33" s="701"/>
      <c r="GO33" s="701"/>
      <c r="GP33" s="701"/>
      <c r="GQ33" s="701"/>
      <c r="GR33" s="701"/>
      <c r="GS33" s="701"/>
      <c r="GT33" s="701"/>
      <c r="GU33" s="701"/>
      <c r="GV33" s="701"/>
      <c r="GW33" s="701"/>
      <c r="GX33" s="701"/>
      <c r="GY33" s="701"/>
      <c r="GZ33" s="701"/>
      <c r="HA33" s="701"/>
      <c r="HB33" s="701"/>
      <c r="HC33" s="701"/>
      <c r="HD33" s="701"/>
      <c r="HE33" s="701"/>
      <c r="HF33" s="701"/>
      <c r="HG33" s="701"/>
      <c r="HH33" s="701"/>
      <c r="HI33" s="701"/>
      <c r="HJ33" s="701"/>
      <c r="HK33" s="701"/>
      <c r="HL33" s="701"/>
      <c r="HM33" s="701"/>
      <c r="HN33" s="701"/>
      <c r="HO33" s="701"/>
      <c r="HP33" s="701"/>
      <c r="HQ33" s="701"/>
      <c r="HR33" s="701"/>
      <c r="HS33" s="701"/>
      <c r="HT33" s="701"/>
      <c r="HU33" s="701"/>
      <c r="HV33" s="701"/>
      <c r="HW33" s="701"/>
      <c r="HX33" s="701"/>
      <c r="HY33" s="701"/>
      <c r="HZ33" s="701"/>
      <c r="IA33" s="701"/>
    </row>
    <row r="34" spans="2:235" s="702" customFormat="1" ht="20.149999999999999" customHeight="1" x14ac:dyDescent="0.35">
      <c r="B34" s="398" t="s">
        <v>1152</v>
      </c>
      <c r="C34" s="396"/>
      <c r="D34" s="1862"/>
      <c r="E34" s="1863"/>
      <c r="F34" s="211"/>
      <c r="G34" s="777"/>
      <c r="H34" s="97"/>
      <c r="I34" s="779"/>
      <c r="J34" s="97"/>
      <c r="K34" s="781"/>
      <c r="L34" s="32"/>
      <c r="M34" s="211"/>
      <c r="N34" s="397"/>
      <c r="O34" s="1790">
        <v>9</v>
      </c>
      <c r="P34" s="1791"/>
      <c r="Q34" s="1792">
        <v>10</v>
      </c>
      <c r="R34" s="1793"/>
      <c r="S34" s="180">
        <v>1</v>
      </c>
      <c r="T34" s="554">
        <f t="shared" si="0"/>
        <v>0</v>
      </c>
      <c r="U34" s="32">
        <v>2</v>
      </c>
      <c r="V34" s="1784"/>
      <c r="W34" s="810">
        <v>3</v>
      </c>
      <c r="X34" s="1784"/>
      <c r="Y34" s="32"/>
      <c r="Z34" s="371"/>
      <c r="AA34" s="180"/>
      <c r="AB34" s="280"/>
      <c r="AC34" s="1380">
        <f t="shared" si="62"/>
        <v>0</v>
      </c>
      <c r="AD34" s="906">
        <f t="shared" si="8"/>
        <v>0</v>
      </c>
      <c r="AE34" s="794">
        <f t="shared" si="9"/>
        <v>0</v>
      </c>
      <c r="AF34" s="282">
        <f>SUM(BW34)*(1+M$64+Summary!P$64)</f>
        <v>0</v>
      </c>
      <c r="AG34" s="632" t="e">
        <f t="shared" si="1"/>
        <v>#DIV/0!</v>
      </c>
      <c r="AH34" s="1758">
        <f t="shared" si="10"/>
        <v>0</v>
      </c>
      <c r="AI34" s="769"/>
      <c r="AO34" s="702">
        <f t="shared" si="11"/>
        <v>0</v>
      </c>
      <c r="AP34" s="702">
        <f t="shared" si="12"/>
        <v>0</v>
      </c>
      <c r="AQ34" s="702">
        <f t="shared" si="13"/>
        <v>0</v>
      </c>
      <c r="AR34" s="702">
        <f t="shared" si="14"/>
        <v>0</v>
      </c>
      <c r="AS34" s="702">
        <f t="shared" si="15"/>
        <v>0</v>
      </c>
      <c r="AT34" s="702">
        <f t="shared" si="16"/>
        <v>0</v>
      </c>
      <c r="AU34" s="702">
        <f t="shared" si="17"/>
        <v>0</v>
      </c>
      <c r="AV34" s="1063">
        <f t="shared" si="18"/>
        <v>0</v>
      </c>
      <c r="AW34" s="1063">
        <f t="shared" si="19"/>
        <v>0</v>
      </c>
      <c r="AX34" s="702">
        <f t="shared" si="20"/>
        <v>0</v>
      </c>
      <c r="AY34" s="702">
        <f t="shared" si="21"/>
        <v>0</v>
      </c>
      <c r="AZ34" s="702">
        <f t="shared" si="22"/>
        <v>0</v>
      </c>
      <c r="BA34" s="702">
        <f t="shared" si="23"/>
        <v>0</v>
      </c>
      <c r="BB34" s="702">
        <f t="shared" si="24"/>
        <v>0</v>
      </c>
      <c r="BC34" s="702">
        <f t="shared" si="25"/>
        <v>0</v>
      </c>
      <c r="BD34" s="1063">
        <f t="shared" si="26"/>
        <v>0</v>
      </c>
      <c r="BE34" s="1064">
        <f t="shared" si="27"/>
        <v>0</v>
      </c>
      <c r="BF34" s="1063">
        <f t="shared" si="28"/>
        <v>0</v>
      </c>
      <c r="BG34" s="1065">
        <f t="shared" si="29"/>
        <v>0</v>
      </c>
      <c r="BH34" s="702">
        <f t="shared" si="30"/>
        <v>0</v>
      </c>
      <c r="BI34" s="1063">
        <f t="shared" si="31"/>
        <v>0</v>
      </c>
      <c r="BJ34" s="1063">
        <f t="shared" si="32"/>
        <v>0</v>
      </c>
      <c r="BK34" s="1063">
        <f t="shared" si="33"/>
        <v>0</v>
      </c>
      <c r="BL34" s="1063">
        <f t="shared" si="34"/>
        <v>0</v>
      </c>
      <c r="BM34" s="1063">
        <f t="shared" si="35"/>
        <v>0</v>
      </c>
      <c r="BN34" s="1064">
        <f t="shared" si="36"/>
        <v>0</v>
      </c>
      <c r="BO34" s="1761">
        <f t="shared" si="37"/>
        <v>0</v>
      </c>
      <c r="BP34" s="1063">
        <f t="shared" si="38"/>
        <v>0</v>
      </c>
      <c r="BQ34" s="1064">
        <f t="shared" si="39"/>
        <v>0</v>
      </c>
      <c r="BR34" s="1063">
        <f t="shared" si="40"/>
        <v>0</v>
      </c>
      <c r="BS34" s="1063">
        <f t="shared" si="41"/>
        <v>0</v>
      </c>
      <c r="BT34" s="1064">
        <f t="shared" si="42"/>
        <v>0</v>
      </c>
      <c r="BU34" s="1064">
        <f t="shared" si="43"/>
        <v>0</v>
      </c>
      <c r="BV34" s="1064">
        <f t="shared" si="44"/>
        <v>0</v>
      </c>
      <c r="BW34" s="1066">
        <f t="shared" si="45"/>
        <v>0</v>
      </c>
      <c r="BX34" s="1063">
        <f>(BI34*Pricing!F$2+BJ34*Pricing!G$2+BK34*Pricing!H$2+BL34*Pricing!I$2+BM34*Pricing!J$2+BN34*Pricing!K$2)*IF(AC$63="N",(1+AE$63),1)</f>
        <v>0</v>
      </c>
      <c r="BY34" s="1063">
        <f t="shared" si="46"/>
        <v>0</v>
      </c>
      <c r="BZ34" s="1063">
        <f t="shared" si="47"/>
        <v>0</v>
      </c>
      <c r="CA34" s="1063">
        <f t="shared" si="48"/>
        <v>0</v>
      </c>
      <c r="CB34" s="1067">
        <f t="shared" si="49"/>
        <v>0</v>
      </c>
      <c r="CD34" s="702">
        <f t="shared" si="50"/>
        <v>0</v>
      </c>
      <c r="CE34" s="1063">
        <f t="shared" si="2"/>
        <v>0</v>
      </c>
      <c r="CF34" s="1063">
        <f t="shared" si="3"/>
        <v>0</v>
      </c>
      <c r="CG34" s="1063">
        <f t="shared" si="4"/>
        <v>0</v>
      </c>
      <c r="CH34" s="702">
        <f t="shared" si="5"/>
        <v>0</v>
      </c>
      <c r="CI34" s="1063">
        <f t="shared" si="6"/>
        <v>0</v>
      </c>
      <c r="CJ34" s="702">
        <f t="shared" si="51"/>
        <v>0</v>
      </c>
      <c r="CK34" s="1063">
        <f t="shared" si="52"/>
        <v>0</v>
      </c>
      <c r="CL34" s="704">
        <f t="shared" si="53"/>
        <v>0</v>
      </c>
      <c r="CM34" s="702">
        <f t="shared" si="54"/>
        <v>0</v>
      </c>
      <c r="CO34" s="1061">
        <f t="shared" si="55"/>
        <v>0</v>
      </c>
      <c r="CP34" s="702">
        <f t="shared" si="56"/>
        <v>0</v>
      </c>
      <c r="CQ34" s="702">
        <f t="shared" si="57"/>
        <v>0</v>
      </c>
      <c r="CR34" s="702">
        <f t="shared" si="63"/>
        <v>0</v>
      </c>
      <c r="CS34" s="702">
        <f t="shared" si="58"/>
        <v>0</v>
      </c>
      <c r="CT34" s="702">
        <f t="shared" si="59"/>
        <v>0</v>
      </c>
      <c r="CU34" s="702">
        <f t="shared" si="60"/>
        <v>0</v>
      </c>
      <c r="CV34" s="1068">
        <f t="shared" si="7"/>
        <v>0</v>
      </c>
      <c r="CW34" s="1064">
        <f t="shared" si="61"/>
        <v>0</v>
      </c>
      <c r="FX34" s="701"/>
      <c r="FY34" s="701"/>
      <c r="FZ34" s="701"/>
      <c r="GA34" s="701"/>
      <c r="GB34" s="701"/>
      <c r="GC34" s="701"/>
      <c r="GD34" s="701"/>
      <c r="GE34" s="701"/>
      <c r="GF34" s="701"/>
      <c r="GG34" s="701"/>
      <c r="GH34" s="701"/>
      <c r="GI34" s="701"/>
      <c r="GJ34" s="701"/>
      <c r="GK34" s="701"/>
      <c r="GL34" s="701"/>
      <c r="GM34" s="701"/>
      <c r="GN34" s="701"/>
      <c r="GO34" s="701"/>
      <c r="GP34" s="701"/>
      <c r="GQ34" s="701"/>
      <c r="GR34" s="701"/>
      <c r="GS34" s="701"/>
      <c r="GT34" s="701"/>
      <c r="GU34" s="701"/>
      <c r="GV34" s="701"/>
      <c r="GW34" s="701"/>
      <c r="GX34" s="701"/>
      <c r="GY34" s="701"/>
      <c r="GZ34" s="701"/>
      <c r="HA34" s="701"/>
      <c r="HB34" s="701"/>
      <c r="HC34" s="701"/>
      <c r="HD34" s="701"/>
      <c r="HE34" s="701"/>
      <c r="HF34" s="701"/>
      <c r="HG34" s="701"/>
      <c r="HH34" s="701"/>
      <c r="HI34" s="701"/>
      <c r="HJ34" s="701"/>
      <c r="HK34" s="701"/>
      <c r="HL34" s="701"/>
      <c r="HM34" s="701"/>
      <c r="HN34" s="701"/>
      <c r="HO34" s="701"/>
      <c r="HP34" s="701"/>
      <c r="HQ34" s="701"/>
      <c r="HR34" s="701"/>
      <c r="HS34" s="701"/>
      <c r="HT34" s="701"/>
      <c r="HU34" s="701"/>
      <c r="HV34" s="701"/>
      <c r="HW34" s="701"/>
      <c r="HX34" s="701"/>
      <c r="HY34" s="701"/>
      <c r="HZ34" s="701"/>
      <c r="IA34" s="701"/>
    </row>
    <row r="35" spans="2:235" s="702" customFormat="1" ht="20.149999999999999" customHeight="1" x14ac:dyDescent="0.35">
      <c r="B35" s="193" t="s">
        <v>1153</v>
      </c>
      <c r="C35" s="393"/>
      <c r="D35" s="1864"/>
      <c r="E35" s="1865"/>
      <c r="F35" s="121"/>
      <c r="G35" s="777"/>
      <c r="H35" s="214"/>
      <c r="I35" s="779"/>
      <c r="J35" s="127"/>
      <c r="K35" s="781"/>
      <c r="L35" s="30"/>
      <c r="M35" s="121"/>
      <c r="N35" s="394"/>
      <c r="O35" s="1788">
        <v>9</v>
      </c>
      <c r="P35" s="470"/>
      <c r="Q35" s="1789">
        <v>10</v>
      </c>
      <c r="R35" s="1782"/>
      <c r="S35" s="176">
        <v>1</v>
      </c>
      <c r="T35" s="555">
        <f t="shared" si="0"/>
        <v>0</v>
      </c>
      <c r="U35" s="31">
        <v>2</v>
      </c>
      <c r="V35" s="1785"/>
      <c r="W35" s="1783">
        <v>3</v>
      </c>
      <c r="X35" s="1785"/>
      <c r="Y35" s="30"/>
      <c r="Z35" s="377"/>
      <c r="AA35" s="178"/>
      <c r="AB35" s="279"/>
      <c r="AC35" s="1380">
        <f t="shared" si="62"/>
        <v>0</v>
      </c>
      <c r="AD35" s="906">
        <f t="shared" si="8"/>
        <v>0</v>
      </c>
      <c r="AE35" s="794">
        <f t="shared" si="9"/>
        <v>0</v>
      </c>
      <c r="AF35" s="282">
        <f>SUM(BW35)*(1+M$64+Summary!P$64)</f>
        <v>0</v>
      </c>
      <c r="AG35" s="632" t="e">
        <f t="shared" si="1"/>
        <v>#DIV/0!</v>
      </c>
      <c r="AH35" s="1758">
        <f t="shared" si="10"/>
        <v>0</v>
      </c>
      <c r="AI35" s="769"/>
      <c r="AO35" s="702">
        <f t="shared" si="11"/>
        <v>0</v>
      </c>
      <c r="AP35" s="702">
        <f t="shared" si="12"/>
        <v>0</v>
      </c>
      <c r="AQ35" s="702">
        <f t="shared" si="13"/>
        <v>0</v>
      </c>
      <c r="AR35" s="702">
        <f t="shared" si="14"/>
        <v>0</v>
      </c>
      <c r="AS35" s="702">
        <f t="shared" si="15"/>
        <v>0</v>
      </c>
      <c r="AT35" s="702">
        <f t="shared" si="16"/>
        <v>0</v>
      </c>
      <c r="AU35" s="702">
        <f t="shared" si="17"/>
        <v>0</v>
      </c>
      <c r="AV35" s="1063">
        <f t="shared" si="18"/>
        <v>0</v>
      </c>
      <c r="AW35" s="1063">
        <f t="shared" si="19"/>
        <v>0</v>
      </c>
      <c r="AX35" s="702">
        <f t="shared" si="20"/>
        <v>0</v>
      </c>
      <c r="AY35" s="702">
        <f t="shared" si="21"/>
        <v>0</v>
      </c>
      <c r="AZ35" s="702">
        <f t="shared" si="22"/>
        <v>0</v>
      </c>
      <c r="BA35" s="702">
        <f t="shared" si="23"/>
        <v>0</v>
      </c>
      <c r="BB35" s="702">
        <f t="shared" si="24"/>
        <v>0</v>
      </c>
      <c r="BC35" s="702">
        <f t="shared" si="25"/>
        <v>0</v>
      </c>
      <c r="BD35" s="1063">
        <f t="shared" si="26"/>
        <v>0</v>
      </c>
      <c r="BE35" s="1064">
        <f t="shared" si="27"/>
        <v>0</v>
      </c>
      <c r="BF35" s="1063">
        <f t="shared" si="28"/>
        <v>0</v>
      </c>
      <c r="BG35" s="1065">
        <f t="shared" si="29"/>
        <v>0</v>
      </c>
      <c r="BH35" s="702">
        <f t="shared" si="30"/>
        <v>0</v>
      </c>
      <c r="BI35" s="1063">
        <f t="shared" si="31"/>
        <v>0</v>
      </c>
      <c r="BJ35" s="1063">
        <f t="shared" si="32"/>
        <v>0</v>
      </c>
      <c r="BK35" s="1063">
        <f t="shared" si="33"/>
        <v>0</v>
      </c>
      <c r="BL35" s="1063">
        <f t="shared" si="34"/>
        <v>0</v>
      </c>
      <c r="BM35" s="1063">
        <f t="shared" si="35"/>
        <v>0</v>
      </c>
      <c r="BN35" s="1064">
        <f t="shared" si="36"/>
        <v>0</v>
      </c>
      <c r="BO35" s="1761">
        <f t="shared" si="37"/>
        <v>0</v>
      </c>
      <c r="BP35" s="1063">
        <f t="shared" si="38"/>
        <v>0</v>
      </c>
      <c r="BQ35" s="1064">
        <f t="shared" si="39"/>
        <v>0</v>
      </c>
      <c r="BR35" s="1063">
        <f t="shared" si="40"/>
        <v>0</v>
      </c>
      <c r="BS35" s="1063">
        <f t="shared" si="41"/>
        <v>0</v>
      </c>
      <c r="BT35" s="1064">
        <f t="shared" si="42"/>
        <v>0</v>
      </c>
      <c r="BU35" s="1064">
        <f t="shared" si="43"/>
        <v>0</v>
      </c>
      <c r="BV35" s="1064">
        <f t="shared" si="44"/>
        <v>0</v>
      </c>
      <c r="BW35" s="1066">
        <f t="shared" si="45"/>
        <v>0</v>
      </c>
      <c r="BX35" s="1063">
        <f>(BI35*Pricing!F$2+BJ35*Pricing!G$2+BK35*Pricing!H$2+BL35*Pricing!I$2+BM35*Pricing!J$2+BN35*Pricing!K$2)*IF(AC$63="N",(1+AE$63),1)</f>
        <v>0</v>
      </c>
      <c r="BY35" s="1063">
        <f t="shared" si="46"/>
        <v>0</v>
      </c>
      <c r="BZ35" s="1063">
        <f t="shared" si="47"/>
        <v>0</v>
      </c>
      <c r="CA35" s="1063">
        <f t="shared" si="48"/>
        <v>0</v>
      </c>
      <c r="CB35" s="1067">
        <f t="shared" si="49"/>
        <v>0</v>
      </c>
      <c r="CD35" s="702">
        <f t="shared" si="50"/>
        <v>0</v>
      </c>
      <c r="CE35" s="1063">
        <f t="shared" si="2"/>
        <v>0</v>
      </c>
      <c r="CF35" s="1063">
        <f t="shared" si="3"/>
        <v>0</v>
      </c>
      <c r="CG35" s="1063">
        <f t="shared" si="4"/>
        <v>0</v>
      </c>
      <c r="CH35" s="702">
        <f t="shared" si="5"/>
        <v>0</v>
      </c>
      <c r="CI35" s="1063">
        <f t="shared" si="6"/>
        <v>0</v>
      </c>
      <c r="CJ35" s="702">
        <f t="shared" si="51"/>
        <v>0</v>
      </c>
      <c r="CK35" s="1063">
        <f t="shared" si="52"/>
        <v>0</v>
      </c>
      <c r="CL35" s="704">
        <f t="shared" si="53"/>
        <v>0</v>
      </c>
      <c r="CM35" s="702">
        <f t="shared" si="54"/>
        <v>0</v>
      </c>
      <c r="CO35" s="1061">
        <f t="shared" si="55"/>
        <v>0</v>
      </c>
      <c r="CP35" s="702">
        <f t="shared" si="56"/>
        <v>0</v>
      </c>
      <c r="CQ35" s="702">
        <f t="shared" si="57"/>
        <v>0</v>
      </c>
      <c r="CR35" s="702">
        <f t="shared" si="63"/>
        <v>0</v>
      </c>
      <c r="CS35" s="702">
        <f t="shared" si="58"/>
        <v>0</v>
      </c>
      <c r="CT35" s="702">
        <f t="shared" si="59"/>
        <v>0</v>
      </c>
      <c r="CU35" s="702">
        <f t="shared" si="60"/>
        <v>0</v>
      </c>
      <c r="CV35" s="1068">
        <f t="shared" si="7"/>
        <v>0</v>
      </c>
      <c r="CW35" s="1064">
        <f t="shared" si="61"/>
        <v>0</v>
      </c>
      <c r="FX35" s="701"/>
      <c r="FY35" s="701"/>
      <c r="FZ35" s="701"/>
      <c r="GA35" s="701"/>
      <c r="GB35" s="701"/>
      <c r="GC35" s="701"/>
      <c r="GD35" s="701"/>
      <c r="GE35" s="701"/>
      <c r="GF35" s="701"/>
      <c r="GG35" s="701"/>
      <c r="GH35" s="701"/>
      <c r="GI35" s="701"/>
      <c r="GJ35" s="701"/>
      <c r="GK35" s="701"/>
      <c r="GL35" s="701"/>
      <c r="GM35" s="701"/>
      <c r="GN35" s="701"/>
      <c r="GO35" s="701"/>
      <c r="GP35" s="701"/>
      <c r="GQ35" s="701"/>
      <c r="GR35" s="701"/>
      <c r="GS35" s="701"/>
      <c r="GT35" s="701"/>
      <c r="GU35" s="701"/>
      <c r="GV35" s="701"/>
      <c r="GW35" s="701"/>
      <c r="GX35" s="701"/>
      <c r="GY35" s="701"/>
      <c r="GZ35" s="701"/>
      <c r="HA35" s="701"/>
      <c r="HB35" s="701"/>
      <c r="HC35" s="701"/>
      <c r="HD35" s="701"/>
      <c r="HE35" s="701"/>
      <c r="HF35" s="701"/>
      <c r="HG35" s="701"/>
      <c r="HH35" s="701"/>
      <c r="HI35" s="701"/>
      <c r="HJ35" s="701"/>
      <c r="HK35" s="701"/>
      <c r="HL35" s="701"/>
      <c r="HM35" s="701"/>
      <c r="HN35" s="701"/>
      <c r="HO35" s="701"/>
      <c r="HP35" s="701"/>
      <c r="HQ35" s="701"/>
      <c r="HR35" s="701"/>
      <c r="HS35" s="701"/>
      <c r="HT35" s="701"/>
      <c r="HU35" s="701"/>
      <c r="HV35" s="701"/>
      <c r="HW35" s="701"/>
      <c r="HX35" s="701"/>
      <c r="HY35" s="701"/>
      <c r="HZ35" s="701"/>
      <c r="IA35" s="701"/>
    </row>
    <row r="36" spans="2:235" s="702" customFormat="1" ht="20.149999999999999" customHeight="1" x14ac:dyDescent="0.35">
      <c r="B36" s="398"/>
      <c r="C36" s="396"/>
      <c r="D36" s="1862"/>
      <c r="E36" s="1863"/>
      <c r="F36" s="211"/>
      <c r="G36" s="777"/>
      <c r="H36" s="97"/>
      <c r="I36" s="779"/>
      <c r="J36" s="97"/>
      <c r="K36" s="781"/>
      <c r="L36" s="32"/>
      <c r="M36" s="211"/>
      <c r="N36" s="397"/>
      <c r="O36" s="1790"/>
      <c r="P36" s="1791"/>
      <c r="Q36" s="1792"/>
      <c r="R36" s="1793"/>
      <c r="S36" s="180">
        <v>1</v>
      </c>
      <c r="T36" s="554">
        <f t="shared" ref="T36:T42" si="64">K36</f>
        <v>0</v>
      </c>
      <c r="U36" s="32">
        <v>2</v>
      </c>
      <c r="V36" s="371"/>
      <c r="W36" s="810"/>
      <c r="X36" s="1784"/>
      <c r="Y36" s="32"/>
      <c r="Z36" s="371"/>
      <c r="AA36" s="180"/>
      <c r="AB36" s="280"/>
      <c r="AC36" s="1380">
        <f t="shared" si="62"/>
        <v>0</v>
      </c>
      <c r="AD36" s="906">
        <f t="shared" si="8"/>
        <v>0</v>
      </c>
      <c r="AE36" s="794">
        <f t="shared" si="9"/>
        <v>0</v>
      </c>
      <c r="AF36" s="282">
        <f>SUM(BW36)*(1+M$64+Summary!P$64)</f>
        <v>0</v>
      </c>
      <c r="AG36" s="632" t="e">
        <f t="shared" si="1"/>
        <v>#DIV/0!</v>
      </c>
      <c r="AH36" s="1758">
        <f t="shared" si="10"/>
        <v>0</v>
      </c>
      <c r="AI36" s="769"/>
      <c r="AO36" s="702">
        <f t="shared" si="11"/>
        <v>0</v>
      </c>
      <c r="AP36" s="702">
        <f t="shared" si="12"/>
        <v>0</v>
      </c>
      <c r="AQ36" s="702">
        <f t="shared" si="13"/>
        <v>0</v>
      </c>
      <c r="AR36" s="702">
        <f t="shared" si="14"/>
        <v>0</v>
      </c>
      <c r="AS36" s="702">
        <f t="shared" si="15"/>
        <v>0</v>
      </c>
      <c r="AT36" s="702">
        <f t="shared" si="16"/>
        <v>0</v>
      </c>
      <c r="AU36" s="702">
        <f t="shared" si="17"/>
        <v>0</v>
      </c>
      <c r="AV36" s="1063">
        <f t="shared" si="18"/>
        <v>0</v>
      </c>
      <c r="AW36" s="1063">
        <f t="shared" si="19"/>
        <v>0</v>
      </c>
      <c r="AX36" s="702">
        <f t="shared" si="20"/>
        <v>0</v>
      </c>
      <c r="AY36" s="702">
        <f t="shared" si="21"/>
        <v>0</v>
      </c>
      <c r="AZ36" s="702">
        <f t="shared" si="22"/>
        <v>0</v>
      </c>
      <c r="BA36" s="702">
        <f t="shared" si="23"/>
        <v>0</v>
      </c>
      <c r="BB36" s="702">
        <f t="shared" si="24"/>
        <v>0</v>
      </c>
      <c r="BC36" s="702">
        <f t="shared" si="25"/>
        <v>0</v>
      </c>
      <c r="BD36" s="1063">
        <f t="shared" si="26"/>
        <v>0</v>
      </c>
      <c r="BE36" s="1064">
        <f t="shared" si="27"/>
        <v>0</v>
      </c>
      <c r="BF36" s="1063">
        <f t="shared" si="28"/>
        <v>0</v>
      </c>
      <c r="BG36" s="1065">
        <f t="shared" si="29"/>
        <v>0</v>
      </c>
      <c r="BH36" s="702">
        <f t="shared" si="30"/>
        <v>0</v>
      </c>
      <c r="BI36" s="1063">
        <f t="shared" si="31"/>
        <v>0</v>
      </c>
      <c r="BJ36" s="1063">
        <f t="shared" si="32"/>
        <v>0</v>
      </c>
      <c r="BK36" s="1063">
        <f t="shared" si="33"/>
        <v>0</v>
      </c>
      <c r="BL36" s="1063">
        <f t="shared" si="34"/>
        <v>0</v>
      </c>
      <c r="BM36" s="1063">
        <f t="shared" si="35"/>
        <v>0</v>
      </c>
      <c r="BN36" s="1064">
        <f t="shared" si="36"/>
        <v>0</v>
      </c>
      <c r="BO36" s="1761">
        <f t="shared" si="37"/>
        <v>0</v>
      </c>
      <c r="BP36" s="1063">
        <f t="shared" si="38"/>
        <v>0</v>
      </c>
      <c r="BQ36" s="1064">
        <f t="shared" si="39"/>
        <v>0</v>
      </c>
      <c r="BR36" s="1063">
        <f t="shared" si="40"/>
        <v>0</v>
      </c>
      <c r="BS36" s="1063">
        <f t="shared" si="41"/>
        <v>0</v>
      </c>
      <c r="BT36" s="1064">
        <f t="shared" si="42"/>
        <v>0</v>
      </c>
      <c r="BU36" s="1064">
        <f t="shared" si="43"/>
        <v>0</v>
      </c>
      <c r="BV36" s="1064">
        <f t="shared" si="44"/>
        <v>0</v>
      </c>
      <c r="BW36" s="1066">
        <f t="shared" si="45"/>
        <v>0</v>
      </c>
      <c r="BX36" s="1063">
        <f>(BI36*Pricing!F$2+BJ36*Pricing!G$2+BK36*Pricing!H$2+BL36*Pricing!I$2+BM36*Pricing!J$2+BN36*Pricing!K$2)*IF(AC$63="N",(1+AE$63),1)</f>
        <v>0</v>
      </c>
      <c r="BY36" s="1063">
        <f t="shared" si="46"/>
        <v>0</v>
      </c>
      <c r="BZ36" s="1063">
        <f t="shared" si="47"/>
        <v>0</v>
      </c>
      <c r="CA36" s="1063">
        <f t="shared" si="48"/>
        <v>0</v>
      </c>
      <c r="CB36" s="1067">
        <f t="shared" si="49"/>
        <v>0</v>
      </c>
      <c r="CD36" s="702">
        <f t="shared" si="50"/>
        <v>0</v>
      </c>
      <c r="CE36" s="1063">
        <f t="shared" si="2"/>
        <v>0</v>
      </c>
      <c r="CF36" s="1063">
        <f t="shared" si="3"/>
        <v>0</v>
      </c>
      <c r="CG36" s="1063">
        <f t="shared" si="4"/>
        <v>0</v>
      </c>
      <c r="CH36" s="702">
        <f t="shared" si="5"/>
        <v>0</v>
      </c>
      <c r="CI36" s="1063">
        <f t="shared" si="6"/>
        <v>0</v>
      </c>
      <c r="CJ36" s="702">
        <f t="shared" si="51"/>
        <v>0</v>
      </c>
      <c r="CK36" s="1063">
        <f t="shared" si="52"/>
        <v>0</v>
      </c>
      <c r="CL36" s="704">
        <f t="shared" si="53"/>
        <v>0</v>
      </c>
      <c r="CM36" s="702">
        <f t="shared" si="54"/>
        <v>0</v>
      </c>
      <c r="CO36" s="1061">
        <f t="shared" si="55"/>
        <v>0</v>
      </c>
      <c r="CP36" s="702">
        <f t="shared" si="56"/>
        <v>0</v>
      </c>
      <c r="CQ36" s="702">
        <f t="shared" si="57"/>
        <v>0</v>
      </c>
      <c r="CR36" s="702">
        <f t="shared" si="63"/>
        <v>0</v>
      </c>
      <c r="CS36" s="702">
        <f t="shared" si="58"/>
        <v>0</v>
      </c>
      <c r="CT36" s="702">
        <f t="shared" si="59"/>
        <v>0</v>
      </c>
      <c r="CU36" s="702">
        <f t="shared" si="60"/>
        <v>0</v>
      </c>
      <c r="CV36" s="1068">
        <f t="shared" si="7"/>
        <v>0</v>
      </c>
      <c r="CW36" s="1064">
        <f t="shared" si="61"/>
        <v>0</v>
      </c>
      <c r="FX36" s="701"/>
      <c r="FY36" s="701"/>
      <c r="FZ36" s="701"/>
      <c r="GA36" s="701"/>
      <c r="GB36" s="701"/>
      <c r="GC36" s="701"/>
      <c r="GD36" s="701"/>
      <c r="GE36" s="701"/>
      <c r="GF36" s="701"/>
      <c r="GG36" s="701"/>
      <c r="GH36" s="701"/>
      <c r="GI36" s="701"/>
      <c r="GJ36" s="701"/>
      <c r="GK36" s="701"/>
      <c r="GL36" s="701"/>
      <c r="GM36" s="701"/>
      <c r="GN36" s="701"/>
      <c r="GO36" s="701"/>
      <c r="GP36" s="701"/>
      <c r="GQ36" s="701"/>
      <c r="GR36" s="701"/>
      <c r="GS36" s="701"/>
      <c r="GT36" s="701"/>
      <c r="GU36" s="701"/>
      <c r="GV36" s="701"/>
      <c r="GW36" s="701"/>
      <c r="GX36" s="701"/>
      <c r="GY36" s="701"/>
      <c r="GZ36" s="701"/>
      <c r="HA36" s="701"/>
      <c r="HB36" s="701"/>
      <c r="HC36" s="701"/>
      <c r="HD36" s="701"/>
      <c r="HE36" s="701"/>
      <c r="HF36" s="701"/>
      <c r="HG36" s="701"/>
      <c r="HH36" s="701"/>
      <c r="HI36" s="701"/>
      <c r="HJ36" s="701"/>
      <c r="HK36" s="701"/>
      <c r="HL36" s="701"/>
      <c r="HM36" s="701"/>
      <c r="HN36" s="701"/>
      <c r="HO36" s="701"/>
      <c r="HP36" s="701"/>
      <c r="HQ36" s="701"/>
      <c r="HR36" s="701"/>
      <c r="HS36" s="701"/>
      <c r="HT36" s="701"/>
      <c r="HU36" s="701"/>
      <c r="HV36" s="701"/>
      <c r="HW36" s="701"/>
      <c r="HX36" s="701"/>
      <c r="HY36" s="701"/>
      <c r="HZ36" s="701"/>
      <c r="IA36" s="701"/>
    </row>
    <row r="37" spans="2:235" s="702" customFormat="1" ht="20.149999999999999" customHeight="1" x14ac:dyDescent="0.35">
      <c r="B37" s="1838">
        <f>D11+D12+D13+D15+D16+D19+D21</f>
        <v>0</v>
      </c>
      <c r="C37" s="396"/>
      <c r="D37" s="1985"/>
      <c r="E37" s="1986"/>
      <c r="F37" s="127"/>
      <c r="G37" s="777"/>
      <c r="H37" s="214"/>
      <c r="I37" s="779"/>
      <c r="J37" s="127"/>
      <c r="K37" s="781"/>
      <c r="L37" s="30"/>
      <c r="M37" s="121"/>
      <c r="N37" s="394"/>
      <c r="O37" s="205"/>
      <c r="P37" s="30"/>
      <c r="Q37" s="264"/>
      <c r="R37" s="266"/>
      <c r="S37" s="176">
        <v>1</v>
      </c>
      <c r="T37" s="555">
        <f t="shared" si="64"/>
        <v>0</v>
      </c>
      <c r="U37" s="31">
        <v>2</v>
      </c>
      <c r="V37" s="531"/>
      <c r="W37" s="31"/>
      <c r="X37" s="372"/>
      <c r="Y37" s="31"/>
      <c r="Z37" s="372"/>
      <c r="AA37" s="178"/>
      <c r="AB37" s="279"/>
      <c r="AC37" s="1380">
        <f t="shared" si="62"/>
        <v>0</v>
      </c>
      <c r="AD37" s="906">
        <f t="shared" si="8"/>
        <v>0</v>
      </c>
      <c r="AE37" s="794">
        <f t="shared" si="9"/>
        <v>0</v>
      </c>
      <c r="AF37" s="282">
        <f>SUM(BW37)*(1+M$64+Summary!P$64)</f>
        <v>0</v>
      </c>
      <c r="AG37" s="632" t="e">
        <f t="shared" si="1"/>
        <v>#DIV/0!</v>
      </c>
      <c r="AH37" s="1758">
        <f t="shared" si="10"/>
        <v>0</v>
      </c>
      <c r="AI37" s="769"/>
      <c r="AO37" s="702">
        <f t="shared" si="11"/>
        <v>0</v>
      </c>
      <c r="AP37" s="702">
        <f t="shared" si="12"/>
        <v>0</v>
      </c>
      <c r="AQ37" s="702">
        <f t="shared" si="13"/>
        <v>0</v>
      </c>
      <c r="AR37" s="702">
        <f t="shared" si="14"/>
        <v>0</v>
      </c>
      <c r="AS37" s="702">
        <f t="shared" si="15"/>
        <v>0</v>
      </c>
      <c r="AT37" s="702">
        <f t="shared" si="16"/>
        <v>0</v>
      </c>
      <c r="AU37" s="702">
        <f t="shared" si="17"/>
        <v>0</v>
      </c>
      <c r="AV37" s="1063">
        <f t="shared" si="18"/>
        <v>0</v>
      </c>
      <c r="AW37" s="1063">
        <f t="shared" si="19"/>
        <v>0</v>
      </c>
      <c r="AX37" s="702">
        <f t="shared" si="20"/>
        <v>0</v>
      </c>
      <c r="AY37" s="702">
        <f t="shared" si="21"/>
        <v>0</v>
      </c>
      <c r="AZ37" s="702">
        <f t="shared" si="22"/>
        <v>0</v>
      </c>
      <c r="BA37" s="702">
        <f t="shared" si="23"/>
        <v>0</v>
      </c>
      <c r="BB37" s="702">
        <f t="shared" si="24"/>
        <v>0</v>
      </c>
      <c r="BC37" s="702">
        <f t="shared" si="25"/>
        <v>0</v>
      </c>
      <c r="BD37" s="1063">
        <f t="shared" si="26"/>
        <v>0</v>
      </c>
      <c r="BE37" s="1064">
        <f t="shared" si="27"/>
        <v>0</v>
      </c>
      <c r="BF37" s="1063">
        <f t="shared" si="28"/>
        <v>0</v>
      </c>
      <c r="BG37" s="1065">
        <f t="shared" si="29"/>
        <v>0</v>
      </c>
      <c r="BH37" s="702">
        <f t="shared" si="30"/>
        <v>0</v>
      </c>
      <c r="BI37" s="1063">
        <f t="shared" si="31"/>
        <v>0</v>
      </c>
      <c r="BJ37" s="1063">
        <f t="shared" si="32"/>
        <v>0</v>
      </c>
      <c r="BK37" s="1063">
        <f t="shared" si="33"/>
        <v>0</v>
      </c>
      <c r="BL37" s="1063">
        <f t="shared" si="34"/>
        <v>0</v>
      </c>
      <c r="BM37" s="1063">
        <f t="shared" si="35"/>
        <v>0</v>
      </c>
      <c r="BN37" s="1064">
        <f t="shared" si="36"/>
        <v>0</v>
      </c>
      <c r="BO37" s="1761">
        <f t="shared" si="37"/>
        <v>0</v>
      </c>
      <c r="BP37" s="1063">
        <f t="shared" si="38"/>
        <v>0</v>
      </c>
      <c r="BQ37" s="1064">
        <f t="shared" si="39"/>
        <v>0</v>
      </c>
      <c r="BR37" s="1063">
        <f t="shared" si="40"/>
        <v>0</v>
      </c>
      <c r="BS37" s="1063">
        <f t="shared" si="41"/>
        <v>0</v>
      </c>
      <c r="BT37" s="1064">
        <f t="shared" si="42"/>
        <v>0</v>
      </c>
      <c r="BU37" s="1064">
        <f t="shared" si="43"/>
        <v>0</v>
      </c>
      <c r="BV37" s="1064">
        <f t="shared" si="44"/>
        <v>0</v>
      </c>
      <c r="BW37" s="1066">
        <f t="shared" si="45"/>
        <v>0</v>
      </c>
      <c r="BX37" s="1063">
        <f>(BI37*Pricing!F$2+BJ37*Pricing!G$2+BK37*Pricing!H$2+BL37*Pricing!I$2+BM37*Pricing!J$2+BN37*Pricing!K$2)*IF(AC$63="N",(1+AE$63),1)</f>
        <v>0</v>
      </c>
      <c r="BY37" s="1063">
        <f t="shared" si="46"/>
        <v>0</v>
      </c>
      <c r="BZ37" s="1063">
        <f t="shared" si="47"/>
        <v>0</v>
      </c>
      <c r="CA37" s="1063">
        <f t="shared" si="48"/>
        <v>0</v>
      </c>
      <c r="CB37" s="1067">
        <f t="shared" si="49"/>
        <v>0</v>
      </c>
      <c r="CD37" s="702">
        <f t="shared" si="50"/>
        <v>0</v>
      </c>
      <c r="CE37" s="1063">
        <f t="shared" si="2"/>
        <v>0</v>
      </c>
      <c r="CF37" s="1063">
        <f t="shared" si="3"/>
        <v>0</v>
      </c>
      <c r="CG37" s="1063">
        <f t="shared" si="4"/>
        <v>0</v>
      </c>
      <c r="CH37" s="702">
        <f t="shared" si="5"/>
        <v>0</v>
      </c>
      <c r="CI37" s="1063">
        <f t="shared" si="6"/>
        <v>0</v>
      </c>
      <c r="CJ37" s="702">
        <f t="shared" si="51"/>
        <v>0</v>
      </c>
      <c r="CK37" s="1063">
        <f t="shared" si="52"/>
        <v>0</v>
      </c>
      <c r="CL37" s="704">
        <f t="shared" si="53"/>
        <v>0</v>
      </c>
      <c r="CM37" s="702">
        <f t="shared" si="54"/>
        <v>0</v>
      </c>
      <c r="CO37" s="1061">
        <f t="shared" si="55"/>
        <v>0</v>
      </c>
      <c r="CP37" s="702">
        <f t="shared" si="56"/>
        <v>0</v>
      </c>
      <c r="CQ37" s="702">
        <f t="shared" si="57"/>
        <v>0</v>
      </c>
      <c r="CR37" s="702">
        <f t="shared" si="63"/>
        <v>0</v>
      </c>
      <c r="CS37" s="702">
        <f t="shared" si="58"/>
        <v>0</v>
      </c>
      <c r="CT37" s="702">
        <f t="shared" si="59"/>
        <v>0</v>
      </c>
      <c r="CU37" s="702">
        <f t="shared" si="60"/>
        <v>0</v>
      </c>
      <c r="CV37" s="1068">
        <f t="shared" si="7"/>
        <v>0</v>
      </c>
      <c r="CW37" s="1064">
        <f t="shared" si="61"/>
        <v>0</v>
      </c>
      <c r="FX37" s="701"/>
      <c r="FY37" s="701"/>
      <c r="FZ37" s="701"/>
      <c r="GA37" s="701"/>
      <c r="GB37" s="701"/>
      <c r="GC37" s="701"/>
      <c r="GD37" s="701"/>
      <c r="GE37" s="701"/>
      <c r="GF37" s="701"/>
      <c r="GG37" s="701"/>
      <c r="GH37" s="701"/>
      <c r="GI37" s="701"/>
      <c r="GJ37" s="701"/>
      <c r="GK37" s="701"/>
      <c r="GL37" s="701"/>
      <c r="GM37" s="701"/>
      <c r="GN37" s="701"/>
      <c r="GO37" s="701"/>
      <c r="GP37" s="701"/>
      <c r="GQ37" s="701"/>
      <c r="GR37" s="701"/>
      <c r="GS37" s="701"/>
      <c r="GT37" s="701"/>
      <c r="GU37" s="701"/>
      <c r="GV37" s="701"/>
      <c r="GW37" s="701"/>
      <c r="GX37" s="701"/>
      <c r="GY37" s="701"/>
      <c r="GZ37" s="701"/>
      <c r="HA37" s="701"/>
      <c r="HB37" s="701"/>
      <c r="HC37" s="701"/>
      <c r="HD37" s="701"/>
      <c r="HE37" s="701"/>
      <c r="HF37" s="701"/>
      <c r="HG37" s="701"/>
      <c r="HH37" s="701"/>
      <c r="HI37" s="701"/>
      <c r="HJ37" s="701"/>
      <c r="HK37" s="701"/>
      <c r="HL37" s="701"/>
      <c r="HM37" s="701"/>
      <c r="HN37" s="701"/>
      <c r="HO37" s="701"/>
      <c r="HP37" s="701"/>
      <c r="HQ37" s="701"/>
      <c r="HR37" s="701"/>
      <c r="HS37" s="701"/>
      <c r="HT37" s="701"/>
      <c r="HU37" s="701"/>
      <c r="HV37" s="701"/>
      <c r="HW37" s="701"/>
      <c r="HX37" s="701"/>
      <c r="HY37" s="701"/>
      <c r="HZ37" s="701"/>
      <c r="IA37" s="701"/>
    </row>
    <row r="38" spans="2:235" s="702" customFormat="1" ht="20.149999999999999" customHeight="1" x14ac:dyDescent="0.35">
      <c r="B38" s="395"/>
      <c r="C38" s="396"/>
      <c r="D38" s="1991"/>
      <c r="E38" s="1992"/>
      <c r="F38" s="97"/>
      <c r="G38" s="777"/>
      <c r="H38" s="97"/>
      <c r="I38" s="779"/>
      <c r="J38" s="97"/>
      <c r="K38" s="781"/>
      <c r="L38" s="32"/>
      <c r="M38" s="211"/>
      <c r="N38" s="397"/>
      <c r="O38" s="212"/>
      <c r="P38" s="32"/>
      <c r="Q38" s="810"/>
      <c r="R38" s="722"/>
      <c r="S38" s="180">
        <v>1</v>
      </c>
      <c r="T38" s="554">
        <f t="shared" si="64"/>
        <v>0</v>
      </c>
      <c r="U38" s="32">
        <v>2</v>
      </c>
      <c r="V38" s="371"/>
      <c r="W38" s="32"/>
      <c r="X38" s="371"/>
      <c r="Y38" s="32"/>
      <c r="Z38" s="371"/>
      <c r="AA38" s="180"/>
      <c r="AB38" s="280"/>
      <c r="AC38" s="1380">
        <f t="shared" si="62"/>
        <v>0</v>
      </c>
      <c r="AD38" s="906">
        <f t="shared" si="8"/>
        <v>0</v>
      </c>
      <c r="AE38" s="794">
        <f t="shared" si="9"/>
        <v>0</v>
      </c>
      <c r="AF38" s="282">
        <f>SUM(BW38)*(1+M$64+Summary!P$64)</f>
        <v>0</v>
      </c>
      <c r="AG38" s="632" t="e">
        <f t="shared" si="1"/>
        <v>#DIV/0!</v>
      </c>
      <c r="AH38" s="1758">
        <f t="shared" si="10"/>
        <v>0</v>
      </c>
      <c r="AI38" s="769"/>
      <c r="AO38" s="702">
        <f t="shared" si="11"/>
        <v>0</v>
      </c>
      <c r="AP38" s="702">
        <f t="shared" si="12"/>
        <v>0</v>
      </c>
      <c r="AQ38" s="702">
        <f t="shared" si="13"/>
        <v>0</v>
      </c>
      <c r="AR38" s="702">
        <f t="shared" si="14"/>
        <v>0</v>
      </c>
      <c r="AS38" s="702">
        <f t="shared" si="15"/>
        <v>0</v>
      </c>
      <c r="AT38" s="702">
        <f t="shared" si="16"/>
        <v>0</v>
      </c>
      <c r="AU38" s="702">
        <f t="shared" si="17"/>
        <v>0</v>
      </c>
      <c r="AV38" s="1063">
        <f t="shared" si="18"/>
        <v>0</v>
      </c>
      <c r="AW38" s="1063">
        <f t="shared" si="19"/>
        <v>0</v>
      </c>
      <c r="AX38" s="702">
        <f t="shared" si="20"/>
        <v>0</v>
      </c>
      <c r="AY38" s="702">
        <f t="shared" si="21"/>
        <v>0</v>
      </c>
      <c r="AZ38" s="702">
        <f t="shared" si="22"/>
        <v>0</v>
      </c>
      <c r="BA38" s="702">
        <f t="shared" si="23"/>
        <v>0</v>
      </c>
      <c r="BB38" s="702">
        <f t="shared" si="24"/>
        <v>0</v>
      </c>
      <c r="BC38" s="702">
        <f t="shared" si="25"/>
        <v>0</v>
      </c>
      <c r="BD38" s="1063">
        <f t="shared" si="26"/>
        <v>0</v>
      </c>
      <c r="BE38" s="1064">
        <f t="shared" si="27"/>
        <v>0</v>
      </c>
      <c r="BF38" s="1063">
        <f t="shared" si="28"/>
        <v>0</v>
      </c>
      <c r="BG38" s="1065">
        <f t="shared" si="29"/>
        <v>0</v>
      </c>
      <c r="BH38" s="702">
        <f t="shared" si="30"/>
        <v>0</v>
      </c>
      <c r="BI38" s="1063">
        <f t="shared" si="31"/>
        <v>0</v>
      </c>
      <c r="BJ38" s="1063">
        <f t="shared" si="32"/>
        <v>0</v>
      </c>
      <c r="BK38" s="1063">
        <f t="shared" si="33"/>
        <v>0</v>
      </c>
      <c r="BL38" s="1063">
        <f t="shared" si="34"/>
        <v>0</v>
      </c>
      <c r="BM38" s="1063">
        <f t="shared" si="35"/>
        <v>0</v>
      </c>
      <c r="BN38" s="1064">
        <f t="shared" si="36"/>
        <v>0</v>
      </c>
      <c r="BO38" s="1761">
        <f t="shared" si="37"/>
        <v>0</v>
      </c>
      <c r="BP38" s="1063">
        <f t="shared" si="38"/>
        <v>0</v>
      </c>
      <c r="BQ38" s="1064">
        <f t="shared" si="39"/>
        <v>0</v>
      </c>
      <c r="BR38" s="1063">
        <f t="shared" si="40"/>
        <v>0</v>
      </c>
      <c r="BS38" s="1063">
        <f t="shared" si="41"/>
        <v>0</v>
      </c>
      <c r="BT38" s="1064">
        <f t="shared" si="42"/>
        <v>0</v>
      </c>
      <c r="BU38" s="1064">
        <f t="shared" si="43"/>
        <v>0</v>
      </c>
      <c r="BV38" s="1064">
        <f t="shared" si="44"/>
        <v>0</v>
      </c>
      <c r="BW38" s="1066">
        <f t="shared" si="45"/>
        <v>0</v>
      </c>
      <c r="BX38" s="1063">
        <f>(BI38*Pricing!F$2+BJ38*Pricing!G$2+BK38*Pricing!H$2+BL38*Pricing!I$2+BM38*Pricing!J$2+BN38*Pricing!K$2)*IF(AC$63="N",(1+AE$63),1)</f>
        <v>0</v>
      </c>
      <c r="BY38" s="1063">
        <f t="shared" si="46"/>
        <v>0</v>
      </c>
      <c r="BZ38" s="1063">
        <f t="shared" si="47"/>
        <v>0</v>
      </c>
      <c r="CA38" s="1063">
        <f t="shared" si="48"/>
        <v>0</v>
      </c>
      <c r="CB38" s="1067">
        <f t="shared" si="49"/>
        <v>0</v>
      </c>
      <c r="CD38" s="702">
        <f t="shared" si="50"/>
        <v>0</v>
      </c>
      <c r="CE38" s="1063">
        <f t="shared" si="2"/>
        <v>0</v>
      </c>
      <c r="CF38" s="1063">
        <f t="shared" si="3"/>
        <v>0</v>
      </c>
      <c r="CG38" s="1063">
        <f t="shared" si="4"/>
        <v>0</v>
      </c>
      <c r="CH38" s="702">
        <f t="shared" si="5"/>
        <v>0</v>
      </c>
      <c r="CI38" s="1063">
        <f t="shared" si="6"/>
        <v>0</v>
      </c>
      <c r="CJ38" s="702">
        <f t="shared" si="51"/>
        <v>0</v>
      </c>
      <c r="CK38" s="1063">
        <f t="shared" si="52"/>
        <v>0</v>
      </c>
      <c r="CL38" s="704">
        <f t="shared" si="53"/>
        <v>0</v>
      </c>
      <c r="CM38" s="702">
        <f t="shared" si="54"/>
        <v>0</v>
      </c>
      <c r="CO38" s="1061">
        <f t="shared" si="55"/>
        <v>0</v>
      </c>
      <c r="CP38" s="702">
        <f t="shared" si="56"/>
        <v>0</v>
      </c>
      <c r="CQ38" s="702">
        <f t="shared" si="57"/>
        <v>0</v>
      </c>
      <c r="CR38" s="702">
        <f t="shared" si="63"/>
        <v>0</v>
      </c>
      <c r="CS38" s="702">
        <f t="shared" si="58"/>
        <v>0</v>
      </c>
      <c r="CT38" s="702">
        <f t="shared" si="59"/>
        <v>0</v>
      </c>
      <c r="CU38" s="702">
        <f t="shared" si="60"/>
        <v>0</v>
      </c>
      <c r="CV38" s="1068">
        <f t="shared" si="7"/>
        <v>0</v>
      </c>
      <c r="CW38" s="1064">
        <f t="shared" si="61"/>
        <v>0</v>
      </c>
      <c r="FX38" s="701"/>
      <c r="FY38" s="701"/>
      <c r="FZ38" s="701"/>
      <c r="GA38" s="701"/>
      <c r="GB38" s="701"/>
      <c r="GC38" s="701"/>
      <c r="GD38" s="701"/>
      <c r="GE38" s="701"/>
      <c r="GF38" s="701"/>
      <c r="GG38" s="701"/>
      <c r="GH38" s="701"/>
      <c r="GI38" s="701"/>
      <c r="GJ38" s="701"/>
      <c r="GK38" s="701"/>
      <c r="GL38" s="701"/>
      <c r="GM38" s="701"/>
      <c r="GN38" s="701"/>
      <c r="GO38" s="701"/>
      <c r="GP38" s="701"/>
      <c r="GQ38" s="701"/>
      <c r="GR38" s="701"/>
      <c r="GS38" s="701"/>
      <c r="GT38" s="701"/>
      <c r="GU38" s="701"/>
      <c r="GV38" s="701"/>
      <c r="GW38" s="701"/>
      <c r="GX38" s="701"/>
      <c r="GY38" s="701"/>
      <c r="GZ38" s="701"/>
      <c r="HA38" s="701"/>
      <c r="HB38" s="701"/>
      <c r="HC38" s="701"/>
      <c r="HD38" s="701"/>
      <c r="HE38" s="701"/>
      <c r="HF38" s="701"/>
      <c r="HG38" s="701"/>
      <c r="HH38" s="701"/>
      <c r="HI38" s="701"/>
      <c r="HJ38" s="701"/>
      <c r="HK38" s="701"/>
      <c r="HL38" s="701"/>
      <c r="HM38" s="701"/>
      <c r="HN38" s="701"/>
      <c r="HO38" s="701"/>
      <c r="HP38" s="701"/>
      <c r="HQ38" s="701"/>
      <c r="HR38" s="701"/>
      <c r="HS38" s="701"/>
      <c r="HT38" s="701"/>
      <c r="HU38" s="701"/>
      <c r="HV38" s="701"/>
      <c r="HW38" s="701"/>
      <c r="HX38" s="701"/>
      <c r="HY38" s="701"/>
      <c r="HZ38" s="701"/>
      <c r="IA38" s="701"/>
    </row>
    <row r="39" spans="2:235" s="702" customFormat="1" ht="20.149999999999999" customHeight="1" x14ac:dyDescent="0.35">
      <c r="B39" s="1837"/>
      <c r="C39" s="393"/>
      <c r="D39" s="1985">
        <v>129.62962962962962</v>
      </c>
      <c r="E39" s="1986"/>
      <c r="F39" s="127"/>
      <c r="G39" s="777"/>
      <c r="H39" s="214"/>
      <c r="I39" s="779"/>
      <c r="J39" s="127"/>
      <c r="K39" s="781"/>
      <c r="L39" s="30"/>
      <c r="M39" s="121"/>
      <c r="N39" s="394"/>
      <c r="O39" s="205"/>
      <c r="P39" s="30"/>
      <c r="Q39" s="264"/>
      <c r="R39" s="266"/>
      <c r="S39" s="176">
        <v>1</v>
      </c>
      <c r="T39" s="555">
        <f t="shared" si="64"/>
        <v>0</v>
      </c>
      <c r="U39" s="31">
        <v>2</v>
      </c>
      <c r="V39" s="531"/>
      <c r="W39" s="31"/>
      <c r="X39" s="531"/>
      <c r="Y39" s="31"/>
      <c r="Z39" s="531"/>
      <c r="AA39" s="178"/>
      <c r="AB39" s="279"/>
      <c r="AC39" s="1380">
        <f t="shared" ref="AC39:AC46" si="65">IF(BG39=0,0,SUM(BD39:BE39)/BG39)</f>
        <v>0</v>
      </c>
      <c r="AD39" s="906">
        <f t="shared" si="8"/>
        <v>0</v>
      </c>
      <c r="AE39" s="794">
        <f t="shared" si="9"/>
        <v>0</v>
      </c>
      <c r="AF39" s="282">
        <f>SUM(BW39)*(1+M$64+Summary!P$64)</f>
        <v>0</v>
      </c>
      <c r="AG39" s="632" t="e">
        <f t="shared" si="1"/>
        <v>#DIV/0!</v>
      </c>
      <c r="AH39" s="1758">
        <f t="shared" si="10"/>
        <v>0</v>
      </c>
      <c r="AI39" s="769"/>
      <c r="AO39" s="702">
        <f t="shared" si="11"/>
        <v>0</v>
      </c>
      <c r="AP39" s="702">
        <f t="shared" si="12"/>
        <v>0</v>
      </c>
      <c r="AQ39" s="702">
        <f t="shared" si="13"/>
        <v>0</v>
      </c>
      <c r="AR39" s="702">
        <f t="shared" si="14"/>
        <v>0</v>
      </c>
      <c r="AS39" s="702">
        <f t="shared" si="15"/>
        <v>0</v>
      </c>
      <c r="AT39" s="702">
        <f t="shared" si="16"/>
        <v>0</v>
      </c>
      <c r="AU39" s="702">
        <f t="shared" si="17"/>
        <v>0</v>
      </c>
      <c r="AV39" s="1063">
        <f t="shared" si="18"/>
        <v>0</v>
      </c>
      <c r="AW39" s="1063">
        <f t="shared" si="19"/>
        <v>0</v>
      </c>
      <c r="AX39" s="702">
        <f t="shared" si="20"/>
        <v>0</v>
      </c>
      <c r="AY39" s="702">
        <f t="shared" si="21"/>
        <v>0</v>
      </c>
      <c r="AZ39" s="702">
        <f t="shared" si="22"/>
        <v>0</v>
      </c>
      <c r="BA39" s="702">
        <f t="shared" si="23"/>
        <v>0</v>
      </c>
      <c r="BB39" s="702">
        <f t="shared" si="24"/>
        <v>0</v>
      </c>
      <c r="BC39" s="702">
        <f t="shared" si="25"/>
        <v>0</v>
      </c>
      <c r="BD39" s="1063">
        <f t="shared" si="26"/>
        <v>0</v>
      </c>
      <c r="BE39" s="1064">
        <f t="shared" si="27"/>
        <v>0</v>
      </c>
      <c r="BF39" s="1063">
        <f t="shared" si="28"/>
        <v>0</v>
      </c>
      <c r="BG39" s="1065">
        <f t="shared" si="29"/>
        <v>0</v>
      </c>
      <c r="BH39" s="702">
        <f t="shared" si="30"/>
        <v>0</v>
      </c>
      <c r="BI39" s="1063">
        <f t="shared" si="31"/>
        <v>0</v>
      </c>
      <c r="BJ39" s="1063">
        <f t="shared" si="32"/>
        <v>0</v>
      </c>
      <c r="BK39" s="1063">
        <f t="shared" si="33"/>
        <v>0</v>
      </c>
      <c r="BL39" s="1063">
        <f t="shared" si="34"/>
        <v>0</v>
      </c>
      <c r="BM39" s="1063">
        <f t="shared" si="35"/>
        <v>0</v>
      </c>
      <c r="BN39" s="1064">
        <f t="shared" si="36"/>
        <v>0</v>
      </c>
      <c r="BO39" s="1761">
        <f t="shared" si="37"/>
        <v>0</v>
      </c>
      <c r="BP39" s="1063">
        <f t="shared" si="38"/>
        <v>0</v>
      </c>
      <c r="BQ39" s="1064">
        <f t="shared" si="39"/>
        <v>0</v>
      </c>
      <c r="BR39" s="1063">
        <f t="shared" si="40"/>
        <v>0</v>
      </c>
      <c r="BS39" s="1063">
        <f t="shared" si="41"/>
        <v>0</v>
      </c>
      <c r="BT39" s="1064">
        <f t="shared" si="42"/>
        <v>0</v>
      </c>
      <c r="BU39" s="1064">
        <f t="shared" si="43"/>
        <v>0</v>
      </c>
      <c r="BV39" s="1064">
        <f t="shared" si="44"/>
        <v>0</v>
      </c>
      <c r="BW39" s="1066">
        <f t="shared" si="45"/>
        <v>0</v>
      </c>
      <c r="BX39" s="1063">
        <f>(BI39*Pricing!F$2+BJ39*Pricing!G$2+BK39*Pricing!H$2+BL39*Pricing!I$2+BM39*Pricing!J$2+BN39*Pricing!K$2)*IF(AC$63="N",(1+AE$63),1)</f>
        <v>0</v>
      </c>
      <c r="BY39" s="1063">
        <f t="shared" si="46"/>
        <v>0</v>
      </c>
      <c r="BZ39" s="1063">
        <f t="shared" si="47"/>
        <v>0</v>
      </c>
      <c r="CA39" s="1063">
        <f t="shared" si="48"/>
        <v>0</v>
      </c>
      <c r="CB39" s="1067">
        <f t="shared" si="49"/>
        <v>0</v>
      </c>
      <c r="CD39" s="702">
        <f t="shared" si="50"/>
        <v>0</v>
      </c>
      <c r="CE39" s="1063">
        <f t="shared" si="2"/>
        <v>0</v>
      </c>
      <c r="CF39" s="1063">
        <f t="shared" si="3"/>
        <v>0</v>
      </c>
      <c r="CG39" s="1063">
        <f t="shared" si="4"/>
        <v>0</v>
      </c>
      <c r="CH39" s="702">
        <f t="shared" si="5"/>
        <v>0</v>
      </c>
      <c r="CI39" s="1063">
        <f t="shared" si="6"/>
        <v>0</v>
      </c>
      <c r="CJ39" s="702">
        <f t="shared" si="51"/>
        <v>0</v>
      </c>
      <c r="CK39" s="1063">
        <f t="shared" si="52"/>
        <v>0</v>
      </c>
      <c r="CL39" s="704">
        <f t="shared" si="53"/>
        <v>0</v>
      </c>
      <c r="CM39" s="702">
        <f t="shared" si="54"/>
        <v>0</v>
      </c>
      <c r="CO39" s="1061">
        <f t="shared" si="55"/>
        <v>0</v>
      </c>
      <c r="CP39" s="702">
        <f t="shared" si="56"/>
        <v>0</v>
      </c>
      <c r="CQ39" s="702">
        <f t="shared" si="57"/>
        <v>0</v>
      </c>
      <c r="CR39" s="702">
        <f t="shared" si="63"/>
        <v>0</v>
      </c>
      <c r="CS39" s="702">
        <f t="shared" si="58"/>
        <v>0</v>
      </c>
      <c r="CT39" s="702">
        <f t="shared" si="59"/>
        <v>0</v>
      </c>
      <c r="CU39" s="702">
        <f t="shared" si="60"/>
        <v>0</v>
      </c>
      <c r="CV39" s="1068">
        <f t="shared" si="7"/>
        <v>129.62962962962962</v>
      </c>
      <c r="CW39" s="1064">
        <f t="shared" si="61"/>
        <v>0</v>
      </c>
      <c r="FX39" s="701"/>
      <c r="FY39" s="701"/>
      <c r="FZ39" s="701"/>
      <c r="GA39" s="701"/>
      <c r="GB39" s="701"/>
      <c r="GC39" s="701"/>
      <c r="GD39" s="701"/>
      <c r="GE39" s="701"/>
      <c r="GF39" s="701"/>
      <c r="GG39" s="701"/>
      <c r="GH39" s="701"/>
      <c r="GI39" s="701"/>
      <c r="GJ39" s="701"/>
      <c r="GK39" s="701"/>
      <c r="GL39" s="701"/>
      <c r="GM39" s="701"/>
      <c r="GN39" s="701"/>
      <c r="GO39" s="701"/>
      <c r="GP39" s="701"/>
      <c r="GQ39" s="701"/>
      <c r="GR39" s="701"/>
      <c r="GS39" s="701"/>
      <c r="GT39" s="701"/>
      <c r="GU39" s="701"/>
      <c r="GV39" s="701"/>
      <c r="GW39" s="701"/>
      <c r="GX39" s="701"/>
      <c r="GY39" s="701"/>
      <c r="GZ39" s="701"/>
      <c r="HA39" s="701"/>
      <c r="HB39" s="701"/>
      <c r="HC39" s="701"/>
      <c r="HD39" s="701"/>
      <c r="HE39" s="701"/>
      <c r="HF39" s="701"/>
      <c r="HG39" s="701"/>
      <c r="HH39" s="701"/>
      <c r="HI39" s="701"/>
      <c r="HJ39" s="701"/>
      <c r="HK39" s="701"/>
      <c r="HL39" s="701"/>
      <c r="HM39" s="701"/>
      <c r="HN39" s="701"/>
      <c r="HO39" s="701"/>
      <c r="HP39" s="701"/>
      <c r="HQ39" s="701"/>
      <c r="HR39" s="701"/>
      <c r="HS39" s="701"/>
      <c r="HT39" s="701"/>
      <c r="HU39" s="701"/>
      <c r="HV39" s="701"/>
      <c r="HW39" s="701"/>
      <c r="HX39" s="701"/>
      <c r="HY39" s="701"/>
      <c r="HZ39" s="701"/>
      <c r="IA39" s="701"/>
    </row>
    <row r="40" spans="2:235" s="702" customFormat="1" ht="20.149999999999999" customHeight="1" x14ac:dyDescent="0.35">
      <c r="B40" s="398"/>
      <c r="C40" s="396"/>
      <c r="D40" s="1991"/>
      <c r="E40" s="1992"/>
      <c r="F40" s="97"/>
      <c r="G40" s="777"/>
      <c r="H40" s="97"/>
      <c r="I40" s="779"/>
      <c r="J40" s="97"/>
      <c r="K40" s="781"/>
      <c r="L40" s="32"/>
      <c r="M40" s="211"/>
      <c r="N40" s="397"/>
      <c r="O40" s="212"/>
      <c r="P40" s="32"/>
      <c r="Q40" s="810"/>
      <c r="R40" s="722"/>
      <c r="S40" s="180">
        <v>1</v>
      </c>
      <c r="T40" s="554">
        <f t="shared" si="64"/>
        <v>0</v>
      </c>
      <c r="U40" s="32">
        <v>2</v>
      </c>
      <c r="V40" s="371"/>
      <c r="W40" s="32"/>
      <c r="X40" s="371"/>
      <c r="Y40" s="32"/>
      <c r="Z40" s="371"/>
      <c r="AA40" s="180"/>
      <c r="AB40" s="280"/>
      <c r="AC40" s="1380">
        <f t="shared" si="65"/>
        <v>0</v>
      </c>
      <c r="AD40" s="906">
        <f t="shared" si="8"/>
        <v>0</v>
      </c>
      <c r="AE40" s="794">
        <f t="shared" si="9"/>
        <v>0</v>
      </c>
      <c r="AF40" s="282">
        <f>SUM(BW40)*(1+M$64+Summary!P$64)</f>
        <v>0</v>
      </c>
      <c r="AG40" s="632" t="e">
        <f t="shared" si="1"/>
        <v>#DIV/0!</v>
      </c>
      <c r="AH40" s="1758">
        <f t="shared" si="10"/>
        <v>0</v>
      </c>
      <c r="AI40" s="769"/>
      <c r="AO40" s="702">
        <f t="shared" si="11"/>
        <v>0</v>
      </c>
      <c r="AP40" s="702">
        <f t="shared" si="12"/>
        <v>0</v>
      </c>
      <c r="AQ40" s="702">
        <f t="shared" si="13"/>
        <v>0</v>
      </c>
      <c r="AR40" s="702">
        <f t="shared" si="14"/>
        <v>0</v>
      </c>
      <c r="AS40" s="702">
        <f t="shared" si="15"/>
        <v>0</v>
      </c>
      <c r="AT40" s="702">
        <f t="shared" si="16"/>
        <v>0</v>
      </c>
      <c r="AU40" s="702">
        <f t="shared" si="17"/>
        <v>0</v>
      </c>
      <c r="AV40" s="1063">
        <f t="shared" si="18"/>
        <v>0</v>
      </c>
      <c r="AW40" s="1063">
        <f t="shared" si="19"/>
        <v>0</v>
      </c>
      <c r="AX40" s="702">
        <f t="shared" si="20"/>
        <v>0</v>
      </c>
      <c r="AY40" s="702">
        <f t="shared" si="21"/>
        <v>0</v>
      </c>
      <c r="AZ40" s="702">
        <f t="shared" si="22"/>
        <v>0</v>
      </c>
      <c r="BA40" s="702">
        <f t="shared" si="23"/>
        <v>0</v>
      </c>
      <c r="BB40" s="702">
        <f t="shared" si="24"/>
        <v>0</v>
      </c>
      <c r="BC40" s="702">
        <f t="shared" si="25"/>
        <v>0</v>
      </c>
      <c r="BD40" s="1063">
        <f t="shared" si="26"/>
        <v>0</v>
      </c>
      <c r="BE40" s="1064">
        <f t="shared" si="27"/>
        <v>0</v>
      </c>
      <c r="BF40" s="1063">
        <f t="shared" si="28"/>
        <v>0</v>
      </c>
      <c r="BG40" s="1065">
        <f t="shared" si="29"/>
        <v>0</v>
      </c>
      <c r="BH40" s="702">
        <f t="shared" si="30"/>
        <v>0</v>
      </c>
      <c r="BI40" s="1063">
        <f t="shared" si="31"/>
        <v>0</v>
      </c>
      <c r="BJ40" s="1063">
        <f t="shared" si="32"/>
        <v>0</v>
      </c>
      <c r="BK40" s="1063">
        <f t="shared" si="33"/>
        <v>0</v>
      </c>
      <c r="BL40" s="1063">
        <f t="shared" si="34"/>
        <v>0</v>
      </c>
      <c r="BM40" s="1063">
        <f t="shared" si="35"/>
        <v>0</v>
      </c>
      <c r="BN40" s="1064">
        <f t="shared" si="36"/>
        <v>0</v>
      </c>
      <c r="BO40" s="1761">
        <f t="shared" si="37"/>
        <v>0</v>
      </c>
      <c r="BP40" s="1063">
        <f t="shared" si="38"/>
        <v>0</v>
      </c>
      <c r="BQ40" s="1064">
        <f t="shared" si="39"/>
        <v>0</v>
      </c>
      <c r="BR40" s="1063">
        <f t="shared" si="40"/>
        <v>0</v>
      </c>
      <c r="BS40" s="1063">
        <f t="shared" si="41"/>
        <v>0</v>
      </c>
      <c r="BT40" s="1064">
        <f t="shared" si="42"/>
        <v>0</v>
      </c>
      <c r="BU40" s="1064">
        <f t="shared" si="43"/>
        <v>0</v>
      </c>
      <c r="BV40" s="1064">
        <f t="shared" si="44"/>
        <v>0</v>
      </c>
      <c r="BW40" s="1066">
        <f t="shared" si="45"/>
        <v>0</v>
      </c>
      <c r="BX40" s="1063">
        <f>(BI40*Pricing!F$2+BJ40*Pricing!G$2+BK40*Pricing!H$2+BL40*Pricing!I$2+BM40*Pricing!J$2+BN40*Pricing!K$2)*IF(AC$63="N",(1+AE$63),1)</f>
        <v>0</v>
      </c>
      <c r="BY40" s="1063">
        <f t="shared" si="46"/>
        <v>0</v>
      </c>
      <c r="BZ40" s="1063">
        <f t="shared" si="47"/>
        <v>0</v>
      </c>
      <c r="CA40" s="1063">
        <f t="shared" si="48"/>
        <v>0</v>
      </c>
      <c r="CB40" s="1067">
        <f t="shared" si="49"/>
        <v>0</v>
      </c>
      <c r="CD40" s="702">
        <f t="shared" si="50"/>
        <v>0</v>
      </c>
      <c r="CE40" s="1063">
        <f t="shared" si="2"/>
        <v>0</v>
      </c>
      <c r="CF40" s="1063">
        <f t="shared" si="3"/>
        <v>0</v>
      </c>
      <c r="CG40" s="1063">
        <f t="shared" si="4"/>
        <v>0</v>
      </c>
      <c r="CH40" s="702">
        <f t="shared" si="5"/>
        <v>0</v>
      </c>
      <c r="CI40" s="1063">
        <f t="shared" si="6"/>
        <v>0</v>
      </c>
      <c r="CJ40" s="702">
        <f t="shared" si="51"/>
        <v>0</v>
      </c>
      <c r="CK40" s="1063">
        <f t="shared" si="52"/>
        <v>0</v>
      </c>
      <c r="CL40" s="704">
        <f t="shared" si="53"/>
        <v>0</v>
      </c>
      <c r="CM40" s="702">
        <f t="shared" si="54"/>
        <v>0</v>
      </c>
      <c r="CO40" s="1061">
        <f t="shared" si="55"/>
        <v>0</v>
      </c>
      <c r="CP40" s="702">
        <f t="shared" si="56"/>
        <v>0</v>
      </c>
      <c r="CQ40" s="702">
        <f t="shared" si="57"/>
        <v>0</v>
      </c>
      <c r="CR40" s="702">
        <f t="shared" si="63"/>
        <v>0</v>
      </c>
      <c r="CS40" s="702">
        <f t="shared" si="58"/>
        <v>0</v>
      </c>
      <c r="CT40" s="702">
        <f t="shared" si="59"/>
        <v>0</v>
      </c>
      <c r="CU40" s="702">
        <f t="shared" si="60"/>
        <v>0</v>
      </c>
      <c r="CV40" s="1068">
        <f t="shared" si="7"/>
        <v>0</v>
      </c>
      <c r="CW40" s="1064">
        <f t="shared" si="61"/>
        <v>0</v>
      </c>
      <c r="FX40" s="701"/>
      <c r="FY40" s="701"/>
      <c r="FZ40" s="701"/>
      <c r="GA40" s="701"/>
      <c r="GB40" s="701"/>
      <c r="GC40" s="701"/>
      <c r="GD40" s="701"/>
      <c r="GE40" s="701"/>
      <c r="GF40" s="701"/>
      <c r="GG40" s="701"/>
      <c r="GH40" s="701"/>
      <c r="GI40" s="701"/>
      <c r="GJ40" s="701"/>
      <c r="GK40" s="701"/>
      <c r="GL40" s="701"/>
      <c r="GM40" s="701"/>
      <c r="GN40" s="701"/>
      <c r="GO40" s="701"/>
      <c r="GP40" s="701"/>
      <c r="GQ40" s="701"/>
      <c r="GR40" s="701"/>
      <c r="GS40" s="701"/>
      <c r="GT40" s="701"/>
      <c r="GU40" s="701"/>
      <c r="GV40" s="701"/>
      <c r="GW40" s="701"/>
      <c r="GX40" s="701"/>
      <c r="GY40" s="701"/>
      <c r="GZ40" s="701"/>
      <c r="HA40" s="701"/>
      <c r="HB40" s="701"/>
      <c r="HC40" s="701"/>
      <c r="HD40" s="701"/>
      <c r="HE40" s="701"/>
      <c r="HF40" s="701"/>
      <c r="HG40" s="701"/>
      <c r="HH40" s="701"/>
      <c r="HI40" s="701"/>
      <c r="HJ40" s="701"/>
      <c r="HK40" s="701"/>
      <c r="HL40" s="701"/>
      <c r="HM40" s="701"/>
      <c r="HN40" s="701"/>
      <c r="HO40" s="701"/>
      <c r="HP40" s="701"/>
      <c r="HQ40" s="701"/>
      <c r="HR40" s="701"/>
      <c r="HS40" s="701"/>
      <c r="HT40" s="701"/>
      <c r="HU40" s="701"/>
      <c r="HV40" s="701"/>
      <c r="HW40" s="701"/>
      <c r="HX40" s="701"/>
      <c r="HY40" s="701"/>
      <c r="HZ40" s="701"/>
      <c r="IA40" s="701"/>
    </row>
    <row r="41" spans="2:235" s="702" customFormat="1" ht="20.149999999999999" customHeight="1" x14ac:dyDescent="0.35">
      <c r="B41" s="193"/>
      <c r="C41" s="393"/>
      <c r="D41" s="1985"/>
      <c r="E41" s="1986"/>
      <c r="F41" s="127"/>
      <c r="G41" s="777"/>
      <c r="H41" s="214"/>
      <c r="I41" s="779"/>
      <c r="J41" s="127"/>
      <c r="K41" s="781"/>
      <c r="L41" s="30"/>
      <c r="M41" s="121"/>
      <c r="N41" s="394"/>
      <c r="O41" s="205"/>
      <c r="P41" s="30"/>
      <c r="Q41" s="264"/>
      <c r="R41" s="266"/>
      <c r="S41" s="176">
        <v>1</v>
      </c>
      <c r="T41" s="555">
        <f t="shared" si="64"/>
        <v>0</v>
      </c>
      <c r="U41" s="31">
        <v>2</v>
      </c>
      <c r="V41" s="531"/>
      <c r="W41" s="30"/>
      <c r="X41" s="377"/>
      <c r="Y41" s="30"/>
      <c r="Z41" s="377"/>
      <c r="AA41" s="178"/>
      <c r="AB41" s="279"/>
      <c r="AC41" s="1380">
        <f t="shared" si="65"/>
        <v>0</v>
      </c>
      <c r="AD41" s="906">
        <f t="shared" si="8"/>
        <v>0</v>
      </c>
      <c r="AE41" s="794">
        <f t="shared" si="9"/>
        <v>0</v>
      </c>
      <c r="AF41" s="282">
        <f>SUM(BW41)*(1+M$64+Summary!P$64)</f>
        <v>0</v>
      </c>
      <c r="AG41" s="632" t="e">
        <f t="shared" si="1"/>
        <v>#DIV/0!</v>
      </c>
      <c r="AH41" s="1758">
        <f t="shared" si="10"/>
        <v>0</v>
      </c>
      <c r="AI41" s="769"/>
      <c r="AO41" s="702">
        <f t="shared" si="11"/>
        <v>0</v>
      </c>
      <c r="AP41" s="702">
        <f t="shared" si="12"/>
        <v>0</v>
      </c>
      <c r="AQ41" s="702">
        <f t="shared" si="13"/>
        <v>0</v>
      </c>
      <c r="AR41" s="702">
        <f t="shared" si="14"/>
        <v>0</v>
      </c>
      <c r="AS41" s="702">
        <f t="shared" si="15"/>
        <v>0</v>
      </c>
      <c r="AT41" s="702">
        <f t="shared" si="16"/>
        <v>0</v>
      </c>
      <c r="AU41" s="702">
        <f t="shared" si="17"/>
        <v>0</v>
      </c>
      <c r="AV41" s="1063">
        <f t="shared" si="18"/>
        <v>0</v>
      </c>
      <c r="AW41" s="1063">
        <f t="shared" si="19"/>
        <v>0</v>
      </c>
      <c r="AX41" s="702">
        <f t="shared" si="20"/>
        <v>0</v>
      </c>
      <c r="AY41" s="702">
        <f t="shared" si="21"/>
        <v>0</v>
      </c>
      <c r="AZ41" s="702">
        <f t="shared" si="22"/>
        <v>0</v>
      </c>
      <c r="BA41" s="702">
        <f t="shared" si="23"/>
        <v>0</v>
      </c>
      <c r="BB41" s="702">
        <f t="shared" si="24"/>
        <v>0</v>
      </c>
      <c r="BC41" s="702">
        <f t="shared" si="25"/>
        <v>0</v>
      </c>
      <c r="BD41" s="1063">
        <f t="shared" si="26"/>
        <v>0</v>
      </c>
      <c r="BE41" s="1064">
        <f t="shared" si="27"/>
        <v>0</v>
      </c>
      <c r="BF41" s="1063">
        <f t="shared" si="28"/>
        <v>0</v>
      </c>
      <c r="BG41" s="1065">
        <f t="shared" si="29"/>
        <v>0</v>
      </c>
      <c r="BH41" s="702">
        <f t="shared" si="30"/>
        <v>0</v>
      </c>
      <c r="BI41" s="1063">
        <f t="shared" si="31"/>
        <v>0</v>
      </c>
      <c r="BJ41" s="1063">
        <f t="shared" si="32"/>
        <v>0</v>
      </c>
      <c r="BK41" s="1063">
        <f t="shared" si="33"/>
        <v>0</v>
      </c>
      <c r="BL41" s="1063">
        <f t="shared" si="34"/>
        <v>0</v>
      </c>
      <c r="BM41" s="1063">
        <f t="shared" si="35"/>
        <v>0</v>
      </c>
      <c r="BN41" s="1064">
        <f t="shared" si="36"/>
        <v>0</v>
      </c>
      <c r="BO41" s="1761">
        <f t="shared" si="37"/>
        <v>0</v>
      </c>
      <c r="BP41" s="1063">
        <f t="shared" si="38"/>
        <v>0</v>
      </c>
      <c r="BQ41" s="1064">
        <f t="shared" si="39"/>
        <v>0</v>
      </c>
      <c r="BR41" s="1063">
        <f t="shared" si="40"/>
        <v>0</v>
      </c>
      <c r="BS41" s="1063">
        <f t="shared" si="41"/>
        <v>0</v>
      </c>
      <c r="BT41" s="1064">
        <f t="shared" si="42"/>
        <v>0</v>
      </c>
      <c r="BU41" s="1064">
        <f t="shared" si="43"/>
        <v>0</v>
      </c>
      <c r="BV41" s="1064">
        <f t="shared" si="44"/>
        <v>0</v>
      </c>
      <c r="BW41" s="1066">
        <f t="shared" si="45"/>
        <v>0</v>
      </c>
      <c r="BX41" s="1063">
        <f>(BI41*Pricing!F$2+BJ41*Pricing!G$2+BK41*Pricing!H$2+BL41*Pricing!I$2+BM41*Pricing!J$2+BN41*Pricing!K$2)*IF(AC$63="N",(1+AE$63),1)</f>
        <v>0</v>
      </c>
      <c r="BY41" s="1063">
        <f t="shared" si="46"/>
        <v>0</v>
      </c>
      <c r="BZ41" s="1063">
        <f t="shared" si="47"/>
        <v>0</v>
      </c>
      <c r="CA41" s="1063">
        <f t="shared" si="48"/>
        <v>0</v>
      </c>
      <c r="CB41" s="1067">
        <f t="shared" si="49"/>
        <v>0</v>
      </c>
      <c r="CD41" s="702">
        <f t="shared" si="50"/>
        <v>0</v>
      </c>
      <c r="CE41" s="1063">
        <f t="shared" si="2"/>
        <v>0</v>
      </c>
      <c r="CF41" s="1063">
        <f t="shared" si="3"/>
        <v>0</v>
      </c>
      <c r="CG41" s="1063">
        <f t="shared" si="4"/>
        <v>0</v>
      </c>
      <c r="CH41" s="702">
        <f t="shared" si="5"/>
        <v>0</v>
      </c>
      <c r="CI41" s="1063">
        <f t="shared" si="6"/>
        <v>0</v>
      </c>
      <c r="CJ41" s="702">
        <f t="shared" si="51"/>
        <v>0</v>
      </c>
      <c r="CK41" s="1063">
        <f t="shared" si="52"/>
        <v>0</v>
      </c>
      <c r="CL41" s="704">
        <f t="shared" si="53"/>
        <v>0</v>
      </c>
      <c r="CM41" s="702">
        <f t="shared" si="54"/>
        <v>0</v>
      </c>
      <c r="CO41" s="1061">
        <f t="shared" si="55"/>
        <v>0</v>
      </c>
      <c r="CP41" s="702">
        <f t="shared" si="56"/>
        <v>0</v>
      </c>
      <c r="CQ41" s="702">
        <f t="shared" si="57"/>
        <v>0</v>
      </c>
      <c r="CR41" s="702">
        <f t="shared" si="63"/>
        <v>0</v>
      </c>
      <c r="CS41" s="702">
        <f t="shared" si="58"/>
        <v>0</v>
      </c>
      <c r="CT41" s="702">
        <f t="shared" si="59"/>
        <v>0</v>
      </c>
      <c r="CU41" s="702">
        <f t="shared" si="60"/>
        <v>0</v>
      </c>
      <c r="CV41" s="1068">
        <f t="shared" si="7"/>
        <v>0</v>
      </c>
      <c r="CW41" s="1064">
        <f t="shared" si="61"/>
        <v>0</v>
      </c>
      <c r="FX41" s="701"/>
      <c r="FY41" s="701"/>
      <c r="FZ41" s="701"/>
      <c r="GA41" s="701"/>
      <c r="GB41" s="701"/>
      <c r="GC41" s="701"/>
      <c r="GD41" s="701"/>
      <c r="GE41" s="701"/>
      <c r="GF41" s="701"/>
      <c r="GG41" s="701"/>
      <c r="GH41" s="701"/>
      <c r="GI41" s="701"/>
      <c r="GJ41" s="701"/>
      <c r="GK41" s="701"/>
      <c r="GL41" s="701"/>
      <c r="GM41" s="701"/>
      <c r="GN41" s="701"/>
      <c r="GO41" s="701"/>
      <c r="GP41" s="701"/>
      <c r="GQ41" s="701"/>
      <c r="GR41" s="701"/>
      <c r="GS41" s="701"/>
      <c r="GT41" s="701"/>
      <c r="GU41" s="701"/>
      <c r="GV41" s="701"/>
      <c r="GW41" s="701"/>
      <c r="GX41" s="701"/>
      <c r="GY41" s="701"/>
      <c r="GZ41" s="701"/>
      <c r="HA41" s="701"/>
      <c r="HB41" s="701"/>
      <c r="HC41" s="701"/>
      <c r="HD41" s="701"/>
      <c r="HE41" s="701"/>
      <c r="HF41" s="701"/>
      <c r="HG41" s="701"/>
      <c r="HH41" s="701"/>
      <c r="HI41" s="701"/>
      <c r="HJ41" s="701"/>
      <c r="HK41" s="701"/>
      <c r="HL41" s="701"/>
      <c r="HM41" s="701"/>
      <c r="HN41" s="701"/>
      <c r="HO41" s="701"/>
      <c r="HP41" s="701"/>
      <c r="HQ41" s="701"/>
      <c r="HR41" s="701"/>
      <c r="HS41" s="701"/>
      <c r="HT41" s="701"/>
      <c r="HU41" s="701"/>
      <c r="HV41" s="701"/>
      <c r="HW41" s="701"/>
      <c r="HX41" s="701"/>
      <c r="HY41" s="701"/>
      <c r="HZ41" s="701"/>
      <c r="IA41" s="701"/>
    </row>
    <row r="42" spans="2:235" s="702" customFormat="1" ht="20.149999999999999" customHeight="1" x14ac:dyDescent="0.35">
      <c r="B42" s="398"/>
      <c r="C42" s="396"/>
      <c r="D42" s="1991"/>
      <c r="E42" s="1992"/>
      <c r="F42" s="97"/>
      <c r="G42" s="777"/>
      <c r="H42" s="97"/>
      <c r="I42" s="779"/>
      <c r="J42" s="97"/>
      <c r="K42" s="781"/>
      <c r="L42" s="32"/>
      <c r="M42" s="211"/>
      <c r="N42" s="397"/>
      <c r="O42" s="212"/>
      <c r="P42" s="32"/>
      <c r="Q42" s="810"/>
      <c r="R42" s="722"/>
      <c r="S42" s="180">
        <v>1</v>
      </c>
      <c r="T42" s="554">
        <f t="shared" si="64"/>
        <v>0</v>
      </c>
      <c r="U42" s="32">
        <v>2</v>
      </c>
      <c r="V42" s="371"/>
      <c r="W42" s="32"/>
      <c r="X42" s="371"/>
      <c r="Y42" s="32"/>
      <c r="Z42" s="371"/>
      <c r="AA42" s="180"/>
      <c r="AB42" s="280"/>
      <c r="AC42" s="1380">
        <f t="shared" si="65"/>
        <v>0</v>
      </c>
      <c r="AD42" s="906">
        <f t="shared" si="8"/>
        <v>0</v>
      </c>
      <c r="AE42" s="794">
        <f t="shared" si="9"/>
        <v>0</v>
      </c>
      <c r="AF42" s="282">
        <f>SUM(BW42)*(1+M$64+Summary!P$64)</f>
        <v>0</v>
      </c>
      <c r="AG42" s="632" t="e">
        <f t="shared" si="1"/>
        <v>#DIV/0!</v>
      </c>
      <c r="AH42" s="1758">
        <f t="shared" si="10"/>
        <v>0</v>
      </c>
      <c r="AI42" s="769"/>
      <c r="AO42" s="702">
        <f t="shared" si="11"/>
        <v>0</v>
      </c>
      <c r="AP42" s="702">
        <f t="shared" si="12"/>
        <v>0</v>
      </c>
      <c r="AQ42" s="702">
        <f t="shared" si="13"/>
        <v>0</v>
      </c>
      <c r="AR42" s="702">
        <f t="shared" si="14"/>
        <v>0</v>
      </c>
      <c r="AS42" s="702">
        <f t="shared" si="15"/>
        <v>0</v>
      </c>
      <c r="AT42" s="702">
        <f t="shared" si="16"/>
        <v>0</v>
      </c>
      <c r="AU42" s="702">
        <f t="shared" si="17"/>
        <v>0</v>
      </c>
      <c r="AV42" s="1063">
        <f t="shared" si="18"/>
        <v>0</v>
      </c>
      <c r="AW42" s="1063">
        <f t="shared" si="19"/>
        <v>0</v>
      </c>
      <c r="AX42" s="702">
        <f t="shared" si="20"/>
        <v>0</v>
      </c>
      <c r="AY42" s="702">
        <f t="shared" si="21"/>
        <v>0</v>
      </c>
      <c r="AZ42" s="702">
        <f t="shared" si="22"/>
        <v>0</v>
      </c>
      <c r="BA42" s="702">
        <f t="shared" si="23"/>
        <v>0</v>
      </c>
      <c r="BB42" s="702">
        <f t="shared" si="24"/>
        <v>0</v>
      </c>
      <c r="BC42" s="702">
        <f t="shared" si="25"/>
        <v>0</v>
      </c>
      <c r="BD42" s="1063">
        <f t="shared" si="26"/>
        <v>0</v>
      </c>
      <c r="BE42" s="1064">
        <f t="shared" si="27"/>
        <v>0</v>
      </c>
      <c r="BF42" s="1063">
        <f t="shared" si="28"/>
        <v>0</v>
      </c>
      <c r="BG42" s="1065">
        <f t="shared" si="29"/>
        <v>0</v>
      </c>
      <c r="BH42" s="702">
        <f t="shared" si="30"/>
        <v>0</v>
      </c>
      <c r="BI42" s="1063">
        <f t="shared" si="31"/>
        <v>0</v>
      </c>
      <c r="BJ42" s="1063">
        <f t="shared" si="32"/>
        <v>0</v>
      </c>
      <c r="BK42" s="1063">
        <f t="shared" si="33"/>
        <v>0</v>
      </c>
      <c r="BL42" s="1063">
        <f t="shared" si="34"/>
        <v>0</v>
      </c>
      <c r="BM42" s="1063">
        <f t="shared" si="35"/>
        <v>0</v>
      </c>
      <c r="BN42" s="1064">
        <f t="shared" si="36"/>
        <v>0</v>
      </c>
      <c r="BO42" s="1761">
        <f t="shared" si="37"/>
        <v>0</v>
      </c>
      <c r="BP42" s="1063">
        <f t="shared" si="38"/>
        <v>0</v>
      </c>
      <c r="BQ42" s="1064">
        <f t="shared" si="39"/>
        <v>0</v>
      </c>
      <c r="BR42" s="1063">
        <f t="shared" si="40"/>
        <v>0</v>
      </c>
      <c r="BS42" s="1063">
        <f t="shared" si="41"/>
        <v>0</v>
      </c>
      <c r="BT42" s="1064">
        <f t="shared" si="42"/>
        <v>0</v>
      </c>
      <c r="BU42" s="1064">
        <f t="shared" si="43"/>
        <v>0</v>
      </c>
      <c r="BV42" s="1064">
        <f t="shared" si="44"/>
        <v>0</v>
      </c>
      <c r="BW42" s="1066">
        <f t="shared" si="45"/>
        <v>0</v>
      </c>
      <c r="BX42" s="1063">
        <f>(BI42*Pricing!F$2+BJ42*Pricing!G$2+BK42*Pricing!H$2+BL42*Pricing!I$2+BM42*Pricing!J$2+BN42*Pricing!K$2)*IF(AC$63="N",(1+AE$63),1)</f>
        <v>0</v>
      </c>
      <c r="BY42" s="1063">
        <f t="shared" si="46"/>
        <v>0</v>
      </c>
      <c r="BZ42" s="1063">
        <f t="shared" si="47"/>
        <v>0</v>
      </c>
      <c r="CA42" s="1063">
        <f t="shared" si="48"/>
        <v>0</v>
      </c>
      <c r="CB42" s="1067">
        <f t="shared" si="49"/>
        <v>0</v>
      </c>
      <c r="CD42" s="702">
        <f t="shared" si="50"/>
        <v>0</v>
      </c>
      <c r="CE42" s="1063">
        <f t="shared" si="2"/>
        <v>0</v>
      </c>
      <c r="CF42" s="1063">
        <f t="shared" si="3"/>
        <v>0</v>
      </c>
      <c r="CG42" s="1063">
        <f t="shared" si="4"/>
        <v>0</v>
      </c>
      <c r="CH42" s="702">
        <f t="shared" si="5"/>
        <v>0</v>
      </c>
      <c r="CI42" s="1063">
        <f t="shared" si="6"/>
        <v>0</v>
      </c>
      <c r="CJ42" s="702">
        <f t="shared" si="51"/>
        <v>0</v>
      </c>
      <c r="CK42" s="1063">
        <f t="shared" si="52"/>
        <v>0</v>
      </c>
      <c r="CL42" s="704">
        <f t="shared" si="53"/>
        <v>0</v>
      </c>
      <c r="CM42" s="702">
        <f t="shared" si="54"/>
        <v>0</v>
      </c>
      <c r="CO42" s="1061">
        <f t="shared" si="55"/>
        <v>0</v>
      </c>
      <c r="CP42" s="702">
        <f t="shared" si="56"/>
        <v>0</v>
      </c>
      <c r="CQ42" s="702">
        <f t="shared" si="57"/>
        <v>0</v>
      </c>
      <c r="CR42" s="702">
        <f t="shared" si="63"/>
        <v>0</v>
      </c>
      <c r="CS42" s="702">
        <f t="shared" si="58"/>
        <v>0</v>
      </c>
      <c r="CT42" s="702">
        <f t="shared" si="59"/>
        <v>0</v>
      </c>
      <c r="CU42" s="702">
        <f t="shared" si="60"/>
        <v>0</v>
      </c>
      <c r="CV42" s="1068">
        <f t="shared" si="7"/>
        <v>0</v>
      </c>
      <c r="CW42" s="1064">
        <f t="shared" si="61"/>
        <v>0</v>
      </c>
      <c r="FX42" s="701"/>
      <c r="FY42" s="701"/>
      <c r="FZ42" s="701"/>
      <c r="GA42" s="701"/>
      <c r="GB42" s="701"/>
      <c r="GC42" s="701"/>
      <c r="GD42" s="701"/>
      <c r="GE42" s="701"/>
      <c r="GF42" s="701"/>
      <c r="GG42" s="701"/>
      <c r="GH42" s="701"/>
      <c r="GI42" s="701"/>
      <c r="GJ42" s="701"/>
      <c r="GK42" s="701"/>
      <c r="GL42" s="701"/>
      <c r="GM42" s="701"/>
      <c r="GN42" s="701"/>
      <c r="GO42" s="701"/>
      <c r="GP42" s="701"/>
      <c r="GQ42" s="701"/>
      <c r="GR42" s="701"/>
      <c r="GS42" s="701"/>
      <c r="GT42" s="701"/>
      <c r="GU42" s="701"/>
      <c r="GV42" s="701"/>
      <c r="GW42" s="701"/>
      <c r="GX42" s="701"/>
      <c r="GY42" s="701"/>
      <c r="GZ42" s="701"/>
      <c r="HA42" s="701"/>
      <c r="HB42" s="701"/>
      <c r="HC42" s="701"/>
      <c r="HD42" s="701"/>
      <c r="HE42" s="701"/>
      <c r="HF42" s="701"/>
      <c r="HG42" s="701"/>
      <c r="HH42" s="701"/>
      <c r="HI42" s="701"/>
      <c r="HJ42" s="701"/>
      <c r="HK42" s="701"/>
      <c r="HL42" s="701"/>
      <c r="HM42" s="701"/>
      <c r="HN42" s="701"/>
      <c r="HO42" s="701"/>
      <c r="HP42" s="701"/>
      <c r="HQ42" s="701"/>
      <c r="HR42" s="701"/>
      <c r="HS42" s="701"/>
      <c r="HT42" s="701"/>
      <c r="HU42" s="701"/>
      <c r="HV42" s="701"/>
      <c r="HW42" s="701"/>
      <c r="HX42" s="701"/>
      <c r="HY42" s="701"/>
      <c r="HZ42" s="701"/>
      <c r="IA42" s="701"/>
    </row>
    <row r="43" spans="2:235" s="702" customFormat="1" ht="20.149999999999999" customHeight="1" x14ac:dyDescent="0.35">
      <c r="B43" s="193"/>
      <c r="C43" s="393"/>
      <c r="D43" s="1985"/>
      <c r="E43" s="1986"/>
      <c r="F43" s="127"/>
      <c r="G43" s="777"/>
      <c r="H43" s="214"/>
      <c r="I43" s="779"/>
      <c r="J43" s="127"/>
      <c r="K43" s="781"/>
      <c r="L43" s="30"/>
      <c r="M43" s="121"/>
      <c r="N43" s="394"/>
      <c r="O43" s="205"/>
      <c r="P43" s="30"/>
      <c r="Q43" s="264"/>
      <c r="R43" s="266"/>
      <c r="S43" s="176">
        <v>1</v>
      </c>
      <c r="T43" s="555">
        <f t="shared" ref="T43:T48" si="66">K43</f>
        <v>0</v>
      </c>
      <c r="U43" s="31">
        <v>2</v>
      </c>
      <c r="V43" s="531"/>
      <c r="W43" s="30"/>
      <c r="X43" s="377"/>
      <c r="Y43" s="30"/>
      <c r="Z43" s="377"/>
      <c r="AA43" s="178"/>
      <c r="AB43" s="279"/>
      <c r="AC43" s="1380">
        <f t="shared" si="65"/>
        <v>0</v>
      </c>
      <c r="AD43" s="906">
        <f t="shared" si="8"/>
        <v>0</v>
      </c>
      <c r="AE43" s="794">
        <f t="shared" si="9"/>
        <v>0</v>
      </c>
      <c r="AF43" s="282">
        <f>SUM(BW43)*(1+M$64+Summary!P$64)</f>
        <v>0</v>
      </c>
      <c r="AG43" s="632" t="e">
        <f t="shared" si="1"/>
        <v>#DIV/0!</v>
      </c>
      <c r="AH43" s="1758">
        <f t="shared" si="10"/>
        <v>0</v>
      </c>
      <c r="AI43" s="769"/>
      <c r="AO43" s="702">
        <f t="shared" si="11"/>
        <v>0</v>
      </c>
      <c r="AP43" s="702">
        <f t="shared" si="12"/>
        <v>0</v>
      </c>
      <c r="AQ43" s="702">
        <f t="shared" si="13"/>
        <v>0</v>
      </c>
      <c r="AR43" s="702">
        <f t="shared" si="14"/>
        <v>0</v>
      </c>
      <c r="AS43" s="702">
        <f t="shared" si="15"/>
        <v>0</v>
      </c>
      <c r="AT43" s="702">
        <f t="shared" si="16"/>
        <v>0</v>
      </c>
      <c r="AU43" s="702">
        <f t="shared" si="17"/>
        <v>0</v>
      </c>
      <c r="AV43" s="1063">
        <f t="shared" si="18"/>
        <v>0</v>
      </c>
      <c r="AW43" s="1063">
        <f t="shared" si="19"/>
        <v>0</v>
      </c>
      <c r="AX43" s="702">
        <f t="shared" si="20"/>
        <v>0</v>
      </c>
      <c r="AY43" s="702">
        <f t="shared" si="21"/>
        <v>0</v>
      </c>
      <c r="AZ43" s="702">
        <f t="shared" si="22"/>
        <v>0</v>
      </c>
      <c r="BA43" s="702">
        <f t="shared" si="23"/>
        <v>0</v>
      </c>
      <c r="BB43" s="702">
        <f t="shared" si="24"/>
        <v>0</v>
      </c>
      <c r="BC43" s="702">
        <f t="shared" si="25"/>
        <v>0</v>
      </c>
      <c r="BD43" s="1063">
        <f t="shared" si="26"/>
        <v>0</v>
      </c>
      <c r="BE43" s="1064">
        <f t="shared" si="27"/>
        <v>0</v>
      </c>
      <c r="BF43" s="1063">
        <f t="shared" si="28"/>
        <v>0</v>
      </c>
      <c r="BG43" s="1065">
        <f t="shared" si="29"/>
        <v>0</v>
      </c>
      <c r="BH43" s="702">
        <f t="shared" si="30"/>
        <v>0</v>
      </c>
      <c r="BI43" s="1063">
        <f t="shared" si="31"/>
        <v>0</v>
      </c>
      <c r="BJ43" s="1063">
        <f t="shared" si="32"/>
        <v>0</v>
      </c>
      <c r="BK43" s="1063">
        <f t="shared" si="33"/>
        <v>0</v>
      </c>
      <c r="BL43" s="1063">
        <f t="shared" si="34"/>
        <v>0</v>
      </c>
      <c r="BM43" s="1063">
        <f t="shared" si="35"/>
        <v>0</v>
      </c>
      <c r="BN43" s="1064">
        <f t="shared" si="36"/>
        <v>0</v>
      </c>
      <c r="BO43" s="1761">
        <f t="shared" si="37"/>
        <v>0</v>
      </c>
      <c r="BP43" s="1063">
        <f t="shared" si="38"/>
        <v>0</v>
      </c>
      <c r="BQ43" s="1064">
        <f t="shared" si="39"/>
        <v>0</v>
      </c>
      <c r="BR43" s="1063">
        <f t="shared" si="40"/>
        <v>0</v>
      </c>
      <c r="BS43" s="1063">
        <f t="shared" si="41"/>
        <v>0</v>
      </c>
      <c r="BT43" s="1064">
        <f t="shared" si="42"/>
        <v>0</v>
      </c>
      <c r="BU43" s="1064">
        <f t="shared" si="43"/>
        <v>0</v>
      </c>
      <c r="BV43" s="1064">
        <f t="shared" si="44"/>
        <v>0</v>
      </c>
      <c r="BW43" s="1066">
        <f t="shared" si="45"/>
        <v>0</v>
      </c>
      <c r="BX43" s="1063">
        <f>(BI43*Pricing!F$2+BJ43*Pricing!G$2+BK43*Pricing!H$2+BL43*Pricing!I$2+BM43*Pricing!J$2+BN43*Pricing!K$2)*IF(AC$63="N",(1+AE$63),1)</f>
        <v>0</v>
      </c>
      <c r="BY43" s="1063">
        <f t="shared" si="46"/>
        <v>0</v>
      </c>
      <c r="BZ43" s="1063">
        <f t="shared" si="47"/>
        <v>0</v>
      </c>
      <c r="CA43" s="1063">
        <f t="shared" si="48"/>
        <v>0</v>
      </c>
      <c r="CB43" s="1067">
        <f t="shared" si="49"/>
        <v>0</v>
      </c>
      <c r="CD43" s="702">
        <f t="shared" si="50"/>
        <v>0</v>
      </c>
      <c r="CE43" s="1063">
        <f t="shared" si="2"/>
        <v>0</v>
      </c>
      <c r="CF43" s="1063">
        <f t="shared" si="3"/>
        <v>0</v>
      </c>
      <c r="CG43" s="1063">
        <f t="shared" si="4"/>
        <v>0</v>
      </c>
      <c r="CH43" s="702">
        <f t="shared" si="5"/>
        <v>0</v>
      </c>
      <c r="CI43" s="1063">
        <f t="shared" si="6"/>
        <v>0</v>
      </c>
      <c r="CJ43" s="702">
        <f t="shared" si="51"/>
        <v>0</v>
      </c>
      <c r="CK43" s="1063">
        <f t="shared" si="52"/>
        <v>0</v>
      </c>
      <c r="CL43" s="704">
        <f t="shared" si="53"/>
        <v>0</v>
      </c>
      <c r="CM43" s="702">
        <f t="shared" si="54"/>
        <v>0</v>
      </c>
      <c r="CO43" s="1061">
        <f t="shared" si="55"/>
        <v>0</v>
      </c>
      <c r="CP43" s="702">
        <f t="shared" si="56"/>
        <v>0</v>
      </c>
      <c r="CQ43" s="702">
        <f t="shared" si="57"/>
        <v>0</v>
      </c>
      <c r="CR43" s="702">
        <f t="shared" si="63"/>
        <v>0</v>
      </c>
      <c r="CS43" s="702">
        <f t="shared" si="58"/>
        <v>0</v>
      </c>
      <c r="CT43" s="702">
        <f t="shared" si="59"/>
        <v>0</v>
      </c>
      <c r="CU43" s="702">
        <f t="shared" si="60"/>
        <v>0</v>
      </c>
      <c r="CV43" s="1068">
        <f t="shared" si="7"/>
        <v>0</v>
      </c>
      <c r="CW43" s="1064">
        <f t="shared" si="61"/>
        <v>0</v>
      </c>
      <c r="FX43" s="701"/>
      <c r="FY43" s="701"/>
      <c r="FZ43" s="701"/>
      <c r="GA43" s="701"/>
      <c r="GB43" s="701"/>
      <c r="GC43" s="701"/>
      <c r="GD43" s="701"/>
      <c r="GE43" s="701"/>
      <c r="GF43" s="701"/>
      <c r="GG43" s="701"/>
      <c r="GH43" s="701"/>
      <c r="GI43" s="701"/>
      <c r="GJ43" s="701"/>
      <c r="GK43" s="701"/>
      <c r="GL43" s="701"/>
      <c r="GM43" s="701"/>
      <c r="GN43" s="701"/>
      <c r="GO43" s="701"/>
      <c r="GP43" s="701"/>
      <c r="GQ43" s="701"/>
      <c r="GR43" s="701"/>
      <c r="GS43" s="701"/>
      <c r="GT43" s="701"/>
      <c r="GU43" s="701"/>
      <c r="GV43" s="701"/>
      <c r="GW43" s="701"/>
      <c r="GX43" s="701"/>
      <c r="GY43" s="701"/>
      <c r="GZ43" s="701"/>
      <c r="HA43" s="701"/>
      <c r="HB43" s="701"/>
      <c r="HC43" s="701"/>
      <c r="HD43" s="701"/>
      <c r="HE43" s="701"/>
      <c r="HF43" s="701"/>
      <c r="HG43" s="701"/>
      <c r="HH43" s="701"/>
      <c r="HI43" s="701"/>
      <c r="HJ43" s="701"/>
      <c r="HK43" s="701"/>
      <c r="HL43" s="701"/>
      <c r="HM43" s="701"/>
      <c r="HN43" s="701"/>
      <c r="HO43" s="701"/>
      <c r="HP43" s="701"/>
      <c r="HQ43" s="701"/>
      <c r="HR43" s="701"/>
      <c r="HS43" s="701"/>
      <c r="HT43" s="701"/>
      <c r="HU43" s="701"/>
      <c r="HV43" s="701"/>
      <c r="HW43" s="701"/>
      <c r="HX43" s="701"/>
      <c r="HY43" s="701"/>
      <c r="HZ43" s="701"/>
      <c r="IA43" s="701"/>
    </row>
    <row r="44" spans="2:235" s="702" customFormat="1" ht="20.149999999999999" customHeight="1" x14ac:dyDescent="0.35">
      <c r="B44" s="395"/>
      <c r="C44" s="396"/>
      <c r="D44" s="1991"/>
      <c r="E44" s="1992"/>
      <c r="F44" s="97"/>
      <c r="G44" s="777"/>
      <c r="H44" s="97"/>
      <c r="I44" s="779"/>
      <c r="J44" s="97"/>
      <c r="K44" s="781"/>
      <c r="L44" s="32"/>
      <c r="M44" s="211"/>
      <c r="N44" s="397"/>
      <c r="O44" s="212"/>
      <c r="P44" s="32"/>
      <c r="Q44" s="810"/>
      <c r="R44" s="722"/>
      <c r="S44" s="180">
        <v>1</v>
      </c>
      <c r="T44" s="554">
        <f t="shared" si="66"/>
        <v>0</v>
      </c>
      <c r="U44" s="32">
        <v>2</v>
      </c>
      <c r="V44" s="371"/>
      <c r="W44" s="32"/>
      <c r="X44" s="371"/>
      <c r="Y44" s="32"/>
      <c r="Z44" s="371"/>
      <c r="AA44" s="180"/>
      <c r="AB44" s="280"/>
      <c r="AC44" s="1380">
        <f t="shared" si="65"/>
        <v>0</v>
      </c>
      <c r="AD44" s="906">
        <f t="shared" si="8"/>
        <v>0</v>
      </c>
      <c r="AE44" s="794">
        <f t="shared" si="9"/>
        <v>0</v>
      </c>
      <c r="AF44" s="282">
        <f>SUM(BW44)*(1+M$64+Summary!P$64)</f>
        <v>0</v>
      </c>
      <c r="AG44" s="632" t="e">
        <f t="shared" si="1"/>
        <v>#DIV/0!</v>
      </c>
      <c r="AH44" s="1758">
        <f t="shared" si="10"/>
        <v>0</v>
      </c>
      <c r="AI44" s="769"/>
      <c r="AO44" s="702">
        <f t="shared" si="11"/>
        <v>0</v>
      </c>
      <c r="AP44" s="702">
        <f t="shared" si="12"/>
        <v>0</v>
      </c>
      <c r="AQ44" s="702">
        <f t="shared" si="13"/>
        <v>0</v>
      </c>
      <c r="AR44" s="702">
        <f t="shared" si="14"/>
        <v>0</v>
      </c>
      <c r="AS44" s="702">
        <f t="shared" si="15"/>
        <v>0</v>
      </c>
      <c r="AT44" s="702">
        <f t="shared" si="16"/>
        <v>0</v>
      </c>
      <c r="AU44" s="702">
        <f t="shared" si="17"/>
        <v>0</v>
      </c>
      <c r="AV44" s="1063">
        <f t="shared" si="18"/>
        <v>0</v>
      </c>
      <c r="AW44" s="1063">
        <f t="shared" si="19"/>
        <v>0</v>
      </c>
      <c r="AX44" s="702">
        <f t="shared" si="20"/>
        <v>0</v>
      </c>
      <c r="AY44" s="702">
        <f t="shared" si="21"/>
        <v>0</v>
      </c>
      <c r="AZ44" s="702">
        <f t="shared" si="22"/>
        <v>0</v>
      </c>
      <c r="BA44" s="702">
        <f t="shared" si="23"/>
        <v>0</v>
      </c>
      <c r="BB44" s="702">
        <f t="shared" si="24"/>
        <v>0</v>
      </c>
      <c r="BC44" s="702">
        <f t="shared" si="25"/>
        <v>0</v>
      </c>
      <c r="BD44" s="1063">
        <f t="shared" si="26"/>
        <v>0</v>
      </c>
      <c r="BE44" s="1064">
        <f t="shared" si="27"/>
        <v>0</v>
      </c>
      <c r="BF44" s="1063">
        <f t="shared" si="28"/>
        <v>0</v>
      </c>
      <c r="BG44" s="1065">
        <f t="shared" si="29"/>
        <v>0</v>
      </c>
      <c r="BH44" s="702">
        <f t="shared" si="30"/>
        <v>0</v>
      </c>
      <c r="BI44" s="1063">
        <f t="shared" si="31"/>
        <v>0</v>
      </c>
      <c r="BJ44" s="1063">
        <f t="shared" si="32"/>
        <v>0</v>
      </c>
      <c r="BK44" s="1063">
        <f t="shared" si="33"/>
        <v>0</v>
      </c>
      <c r="BL44" s="1063">
        <f t="shared" si="34"/>
        <v>0</v>
      </c>
      <c r="BM44" s="1063">
        <f t="shared" si="35"/>
        <v>0</v>
      </c>
      <c r="BN44" s="1064">
        <f t="shared" si="36"/>
        <v>0</v>
      </c>
      <c r="BO44" s="1761">
        <f t="shared" si="37"/>
        <v>0</v>
      </c>
      <c r="BP44" s="1063">
        <f t="shared" si="38"/>
        <v>0</v>
      </c>
      <c r="BQ44" s="1064">
        <f t="shared" si="39"/>
        <v>0</v>
      </c>
      <c r="BR44" s="1063">
        <f t="shared" si="40"/>
        <v>0</v>
      </c>
      <c r="BS44" s="1063">
        <f t="shared" si="41"/>
        <v>0</v>
      </c>
      <c r="BT44" s="1064">
        <f t="shared" si="42"/>
        <v>0</v>
      </c>
      <c r="BU44" s="1064">
        <f t="shared" si="43"/>
        <v>0</v>
      </c>
      <c r="BV44" s="1064">
        <f t="shared" si="44"/>
        <v>0</v>
      </c>
      <c r="BW44" s="1066">
        <f t="shared" si="45"/>
        <v>0</v>
      </c>
      <c r="BX44" s="1063">
        <f>(BI44*Pricing!F$2+BJ44*Pricing!G$2+BK44*Pricing!H$2+BL44*Pricing!I$2+BM44*Pricing!J$2+BN44*Pricing!K$2)*IF(AC$63="N",(1+AE$63),1)</f>
        <v>0</v>
      </c>
      <c r="BY44" s="1063">
        <f t="shared" si="46"/>
        <v>0</v>
      </c>
      <c r="BZ44" s="1063">
        <f t="shared" si="47"/>
        <v>0</v>
      </c>
      <c r="CA44" s="1063">
        <f t="shared" si="48"/>
        <v>0</v>
      </c>
      <c r="CB44" s="1067">
        <f t="shared" si="49"/>
        <v>0</v>
      </c>
      <c r="CD44" s="702">
        <f t="shared" si="50"/>
        <v>0</v>
      </c>
      <c r="CE44" s="1063">
        <f t="shared" si="2"/>
        <v>0</v>
      </c>
      <c r="CF44" s="1063">
        <f t="shared" si="3"/>
        <v>0</v>
      </c>
      <c r="CG44" s="1063">
        <f t="shared" si="4"/>
        <v>0</v>
      </c>
      <c r="CH44" s="702">
        <f t="shared" si="5"/>
        <v>0</v>
      </c>
      <c r="CI44" s="1063">
        <f t="shared" si="6"/>
        <v>0</v>
      </c>
      <c r="CJ44" s="702">
        <f t="shared" si="51"/>
        <v>0</v>
      </c>
      <c r="CK44" s="1063">
        <f t="shared" si="52"/>
        <v>0</v>
      </c>
      <c r="CL44" s="704">
        <f t="shared" si="53"/>
        <v>0</v>
      </c>
      <c r="CM44" s="702">
        <f t="shared" si="54"/>
        <v>0</v>
      </c>
      <c r="CO44" s="1061">
        <f t="shared" si="55"/>
        <v>0</v>
      </c>
      <c r="CP44" s="702">
        <f t="shared" si="56"/>
        <v>0</v>
      </c>
      <c r="CQ44" s="702">
        <f t="shared" si="57"/>
        <v>0</v>
      </c>
      <c r="CR44" s="702">
        <f t="shared" si="63"/>
        <v>0</v>
      </c>
      <c r="CS44" s="702">
        <f t="shared" si="58"/>
        <v>0</v>
      </c>
      <c r="CT44" s="702">
        <f t="shared" si="59"/>
        <v>0</v>
      </c>
      <c r="CU44" s="702">
        <f t="shared" si="60"/>
        <v>0</v>
      </c>
      <c r="CV44" s="1068">
        <f t="shared" si="7"/>
        <v>0</v>
      </c>
      <c r="CW44" s="1064">
        <f t="shared" si="61"/>
        <v>0</v>
      </c>
      <c r="FX44" s="701"/>
      <c r="FY44" s="701"/>
      <c r="FZ44" s="701"/>
      <c r="GA44" s="701"/>
      <c r="GB44" s="701"/>
      <c r="GC44" s="701"/>
      <c r="GD44" s="701"/>
      <c r="GE44" s="701"/>
      <c r="GF44" s="701"/>
      <c r="GG44" s="701"/>
      <c r="GH44" s="701"/>
      <c r="GI44" s="701"/>
      <c r="GJ44" s="701"/>
      <c r="GK44" s="701"/>
      <c r="GL44" s="701"/>
      <c r="GM44" s="701"/>
      <c r="GN44" s="701"/>
      <c r="GO44" s="701"/>
      <c r="GP44" s="701"/>
      <c r="GQ44" s="701"/>
      <c r="GR44" s="701"/>
      <c r="GS44" s="701"/>
      <c r="GT44" s="701"/>
      <c r="GU44" s="701"/>
      <c r="GV44" s="701"/>
      <c r="GW44" s="701"/>
      <c r="GX44" s="701"/>
      <c r="GY44" s="701"/>
      <c r="GZ44" s="701"/>
      <c r="HA44" s="701"/>
      <c r="HB44" s="701"/>
      <c r="HC44" s="701"/>
      <c r="HD44" s="701"/>
      <c r="HE44" s="701"/>
      <c r="HF44" s="701"/>
      <c r="HG44" s="701"/>
      <c r="HH44" s="701"/>
      <c r="HI44" s="701"/>
      <c r="HJ44" s="701"/>
      <c r="HK44" s="701"/>
      <c r="HL44" s="701"/>
      <c r="HM44" s="701"/>
      <c r="HN44" s="701"/>
      <c r="HO44" s="701"/>
      <c r="HP44" s="701"/>
      <c r="HQ44" s="701"/>
      <c r="HR44" s="701"/>
      <c r="HS44" s="701"/>
      <c r="HT44" s="701"/>
      <c r="HU44" s="701"/>
      <c r="HV44" s="701"/>
      <c r="HW44" s="701"/>
      <c r="HX44" s="701"/>
      <c r="HY44" s="701"/>
      <c r="HZ44" s="701"/>
      <c r="IA44" s="701"/>
    </row>
    <row r="45" spans="2:235" s="702" customFormat="1" ht="20.149999999999999" customHeight="1" x14ac:dyDescent="0.35">
      <c r="B45" s="193"/>
      <c r="C45" s="396"/>
      <c r="D45" s="1985"/>
      <c r="E45" s="1986"/>
      <c r="F45" s="214"/>
      <c r="G45" s="777"/>
      <c r="H45" s="31"/>
      <c r="I45" s="777"/>
      <c r="J45" s="284"/>
      <c r="K45" s="781"/>
      <c r="L45" s="31"/>
      <c r="M45" s="206"/>
      <c r="N45" s="394"/>
      <c r="O45" s="207"/>
      <c r="P45" s="206"/>
      <c r="Q45" s="31"/>
      <c r="R45" s="723"/>
      <c r="S45" s="176">
        <v>1</v>
      </c>
      <c r="T45" s="555">
        <f t="shared" si="66"/>
        <v>0</v>
      </c>
      <c r="U45" s="31">
        <v>2</v>
      </c>
      <c r="V45" s="372"/>
      <c r="W45" s="31"/>
      <c r="X45" s="372"/>
      <c r="Y45" s="31"/>
      <c r="Z45" s="372"/>
      <c r="AA45" s="178"/>
      <c r="AB45" s="279"/>
      <c r="AC45" s="1380">
        <f t="shared" si="65"/>
        <v>0</v>
      </c>
      <c r="AD45" s="906">
        <f t="shared" si="8"/>
        <v>0</v>
      </c>
      <c r="AE45" s="794">
        <f t="shared" si="9"/>
        <v>0</v>
      </c>
      <c r="AF45" s="282">
        <f>SUM(BW45)*(1+M$64+Summary!P$64)</f>
        <v>0</v>
      </c>
      <c r="AG45" s="632" t="e">
        <f t="shared" si="1"/>
        <v>#DIV/0!</v>
      </c>
      <c r="AH45" s="1758">
        <f t="shared" si="10"/>
        <v>0</v>
      </c>
      <c r="AI45" s="769"/>
      <c r="AO45" s="702">
        <f t="shared" si="11"/>
        <v>0</v>
      </c>
      <c r="AP45" s="702">
        <f t="shared" si="12"/>
        <v>0</v>
      </c>
      <c r="AQ45" s="702">
        <f t="shared" si="13"/>
        <v>0</v>
      </c>
      <c r="AR45" s="702">
        <f t="shared" si="14"/>
        <v>0</v>
      </c>
      <c r="AS45" s="702">
        <f t="shared" si="15"/>
        <v>0</v>
      </c>
      <c r="AT45" s="702">
        <f t="shared" si="16"/>
        <v>0</v>
      </c>
      <c r="AU45" s="702">
        <f t="shared" si="17"/>
        <v>0</v>
      </c>
      <c r="AV45" s="1063">
        <f t="shared" si="18"/>
        <v>0</v>
      </c>
      <c r="AW45" s="1063">
        <f t="shared" si="19"/>
        <v>0</v>
      </c>
      <c r="AX45" s="702">
        <f t="shared" si="20"/>
        <v>0</v>
      </c>
      <c r="AY45" s="702">
        <f t="shared" si="21"/>
        <v>0</v>
      </c>
      <c r="AZ45" s="702">
        <f t="shared" si="22"/>
        <v>0</v>
      </c>
      <c r="BA45" s="702">
        <f t="shared" si="23"/>
        <v>0</v>
      </c>
      <c r="BB45" s="702">
        <f t="shared" si="24"/>
        <v>0</v>
      </c>
      <c r="BC45" s="702">
        <f t="shared" si="25"/>
        <v>0</v>
      </c>
      <c r="BD45" s="1063">
        <f t="shared" si="26"/>
        <v>0</v>
      </c>
      <c r="BE45" s="1064">
        <f t="shared" si="27"/>
        <v>0</v>
      </c>
      <c r="BF45" s="1063">
        <f t="shared" si="28"/>
        <v>0</v>
      </c>
      <c r="BG45" s="1065">
        <f t="shared" si="29"/>
        <v>0</v>
      </c>
      <c r="BH45" s="702">
        <f t="shared" si="30"/>
        <v>0</v>
      </c>
      <c r="BI45" s="1063">
        <f t="shared" si="31"/>
        <v>0</v>
      </c>
      <c r="BJ45" s="1063">
        <f t="shared" si="32"/>
        <v>0</v>
      </c>
      <c r="BK45" s="1063">
        <f t="shared" si="33"/>
        <v>0</v>
      </c>
      <c r="BL45" s="1063">
        <f t="shared" si="34"/>
        <v>0</v>
      </c>
      <c r="BM45" s="1063">
        <f t="shared" si="35"/>
        <v>0</v>
      </c>
      <c r="BN45" s="1064">
        <f t="shared" si="36"/>
        <v>0</v>
      </c>
      <c r="BO45" s="1761">
        <f t="shared" si="37"/>
        <v>0</v>
      </c>
      <c r="BP45" s="1063">
        <f t="shared" si="38"/>
        <v>0</v>
      </c>
      <c r="BQ45" s="1064">
        <f t="shared" si="39"/>
        <v>0</v>
      </c>
      <c r="BR45" s="1063">
        <f t="shared" si="40"/>
        <v>0</v>
      </c>
      <c r="BS45" s="1063">
        <f t="shared" si="41"/>
        <v>0</v>
      </c>
      <c r="BT45" s="1064">
        <f t="shared" si="42"/>
        <v>0</v>
      </c>
      <c r="BU45" s="1064">
        <f t="shared" si="43"/>
        <v>0</v>
      </c>
      <c r="BV45" s="1064">
        <f t="shared" si="44"/>
        <v>0</v>
      </c>
      <c r="BW45" s="1066">
        <f t="shared" si="45"/>
        <v>0</v>
      </c>
      <c r="BX45" s="1063">
        <f>(BI45*Pricing!F$2+BJ45*Pricing!G$2+BK45*Pricing!H$2+BL45*Pricing!I$2+BM45*Pricing!J$2+BN45*Pricing!K$2)*IF(AC$63="N",(1+AE$63),1)</f>
        <v>0</v>
      </c>
      <c r="BY45" s="1063">
        <f t="shared" si="46"/>
        <v>0</v>
      </c>
      <c r="BZ45" s="1063">
        <f t="shared" si="47"/>
        <v>0</v>
      </c>
      <c r="CA45" s="1063">
        <f t="shared" si="48"/>
        <v>0</v>
      </c>
      <c r="CB45" s="1067">
        <f t="shared" si="49"/>
        <v>0</v>
      </c>
      <c r="CD45" s="702">
        <f t="shared" si="50"/>
        <v>0</v>
      </c>
      <c r="CE45" s="1063">
        <f t="shared" si="2"/>
        <v>0</v>
      </c>
      <c r="CF45" s="1063">
        <f t="shared" si="3"/>
        <v>0</v>
      </c>
      <c r="CG45" s="1063">
        <f t="shared" si="4"/>
        <v>0</v>
      </c>
      <c r="CH45" s="702">
        <f t="shared" si="5"/>
        <v>0</v>
      </c>
      <c r="CI45" s="1063">
        <f t="shared" si="6"/>
        <v>0</v>
      </c>
      <c r="CJ45" s="702">
        <f t="shared" si="51"/>
        <v>0</v>
      </c>
      <c r="CK45" s="1063">
        <f t="shared" si="52"/>
        <v>0</v>
      </c>
      <c r="CL45" s="704">
        <f t="shared" si="53"/>
        <v>0</v>
      </c>
      <c r="CM45" s="702">
        <f t="shared" si="54"/>
        <v>0</v>
      </c>
      <c r="CO45" s="1061">
        <f t="shared" si="55"/>
        <v>0</v>
      </c>
      <c r="CP45" s="702">
        <f t="shared" si="56"/>
        <v>0</v>
      </c>
      <c r="CQ45" s="702">
        <f t="shared" si="57"/>
        <v>0</v>
      </c>
      <c r="CR45" s="702">
        <f t="shared" si="63"/>
        <v>0</v>
      </c>
      <c r="CS45" s="702">
        <f t="shared" si="58"/>
        <v>0</v>
      </c>
      <c r="CT45" s="702">
        <f t="shared" si="59"/>
        <v>0</v>
      </c>
      <c r="CU45" s="702">
        <f t="shared" si="60"/>
        <v>0</v>
      </c>
      <c r="CV45" s="1068">
        <f t="shared" si="7"/>
        <v>0</v>
      </c>
      <c r="CW45" s="1064">
        <f t="shared" si="61"/>
        <v>0</v>
      </c>
      <c r="FX45" s="701"/>
      <c r="FY45" s="701"/>
      <c r="FZ45" s="701"/>
      <c r="GA45" s="701"/>
      <c r="GB45" s="701"/>
      <c r="GC45" s="701"/>
      <c r="GD45" s="701"/>
      <c r="GE45" s="701"/>
      <c r="GF45" s="701"/>
      <c r="GG45" s="701"/>
      <c r="GH45" s="701"/>
      <c r="GI45" s="701"/>
      <c r="GJ45" s="701"/>
      <c r="GK45" s="701"/>
      <c r="GL45" s="701"/>
      <c r="GM45" s="701"/>
      <c r="GN45" s="701"/>
      <c r="GO45" s="701"/>
      <c r="GP45" s="701"/>
      <c r="GQ45" s="701"/>
      <c r="GR45" s="701"/>
      <c r="GS45" s="701"/>
      <c r="GT45" s="701"/>
      <c r="GU45" s="701"/>
      <c r="GV45" s="701"/>
      <c r="GW45" s="701"/>
      <c r="GX45" s="701"/>
      <c r="GY45" s="701"/>
      <c r="GZ45" s="701"/>
      <c r="HA45" s="701"/>
      <c r="HB45" s="701"/>
      <c r="HC45" s="701"/>
      <c r="HD45" s="701"/>
      <c r="HE45" s="701"/>
      <c r="HF45" s="701"/>
      <c r="HG45" s="701"/>
      <c r="HH45" s="701"/>
      <c r="HI45" s="701"/>
      <c r="HJ45" s="701"/>
      <c r="HK45" s="701"/>
      <c r="HL45" s="701"/>
      <c r="HM45" s="701"/>
      <c r="HN45" s="701"/>
      <c r="HO45" s="701"/>
      <c r="HP45" s="701"/>
      <c r="HQ45" s="701"/>
      <c r="HR45" s="701"/>
      <c r="HS45" s="701"/>
      <c r="HT45" s="701"/>
      <c r="HU45" s="701"/>
      <c r="HV45" s="701"/>
      <c r="HW45" s="701"/>
      <c r="HX45" s="701"/>
      <c r="HY45" s="701"/>
      <c r="HZ45" s="701"/>
      <c r="IA45" s="701"/>
    </row>
    <row r="46" spans="2:235" s="702" customFormat="1" ht="20.149999999999999" customHeight="1" x14ac:dyDescent="0.35">
      <c r="B46" s="1836"/>
      <c r="C46" s="396"/>
      <c r="D46" s="1991"/>
      <c r="E46" s="1992"/>
      <c r="F46" s="97"/>
      <c r="G46" s="777"/>
      <c r="H46" s="32"/>
      <c r="I46" s="779"/>
      <c r="J46" s="283"/>
      <c r="K46" s="781"/>
      <c r="L46" s="32"/>
      <c r="M46" s="211"/>
      <c r="N46" s="397"/>
      <c r="O46" s="212"/>
      <c r="P46" s="211"/>
      <c r="Q46" s="32"/>
      <c r="R46" s="722"/>
      <c r="S46" s="180">
        <v>1</v>
      </c>
      <c r="T46" s="554">
        <f t="shared" si="66"/>
        <v>0</v>
      </c>
      <c r="U46" s="32">
        <v>2</v>
      </c>
      <c r="V46" s="371"/>
      <c r="W46" s="32"/>
      <c r="X46" s="371"/>
      <c r="Y46" s="32"/>
      <c r="Z46" s="371"/>
      <c r="AA46" s="180"/>
      <c r="AB46" s="280"/>
      <c r="AC46" s="1380">
        <f t="shared" si="65"/>
        <v>0</v>
      </c>
      <c r="AD46" s="906">
        <f t="shared" si="8"/>
        <v>0</v>
      </c>
      <c r="AE46" s="794">
        <f t="shared" si="9"/>
        <v>0</v>
      </c>
      <c r="AF46" s="282">
        <f>SUM(BW46)*(1+M$64+Summary!P$64)</f>
        <v>0</v>
      </c>
      <c r="AG46" s="632" t="e">
        <f t="shared" si="1"/>
        <v>#DIV/0!</v>
      </c>
      <c r="AH46" s="1758">
        <f t="shared" si="10"/>
        <v>0</v>
      </c>
      <c r="AI46" s="769"/>
      <c r="AO46" s="702">
        <f t="shared" si="11"/>
        <v>0</v>
      </c>
      <c r="AP46" s="702">
        <f t="shared" si="12"/>
        <v>0</v>
      </c>
      <c r="AQ46" s="702">
        <f t="shared" si="13"/>
        <v>0</v>
      </c>
      <c r="AR46" s="702">
        <f t="shared" si="14"/>
        <v>0</v>
      </c>
      <c r="AS46" s="702">
        <f t="shared" si="15"/>
        <v>0</v>
      </c>
      <c r="AT46" s="702">
        <f t="shared" si="16"/>
        <v>0</v>
      </c>
      <c r="AU46" s="702">
        <f t="shared" si="17"/>
        <v>0</v>
      </c>
      <c r="AV46" s="1063">
        <f t="shared" si="18"/>
        <v>0</v>
      </c>
      <c r="AW46" s="1063">
        <f t="shared" si="19"/>
        <v>0</v>
      </c>
      <c r="AX46" s="702">
        <f t="shared" si="20"/>
        <v>0</v>
      </c>
      <c r="AY46" s="702">
        <f t="shared" si="21"/>
        <v>0</v>
      </c>
      <c r="AZ46" s="702">
        <f t="shared" si="22"/>
        <v>0</v>
      </c>
      <c r="BA46" s="702">
        <f t="shared" si="23"/>
        <v>0</v>
      </c>
      <c r="BB46" s="702">
        <f t="shared" si="24"/>
        <v>0</v>
      </c>
      <c r="BC46" s="702">
        <f t="shared" si="25"/>
        <v>0</v>
      </c>
      <c r="BD46" s="1063">
        <f t="shared" si="26"/>
        <v>0</v>
      </c>
      <c r="BE46" s="1064">
        <f t="shared" si="27"/>
        <v>0</v>
      </c>
      <c r="BF46" s="1063">
        <f t="shared" si="28"/>
        <v>0</v>
      </c>
      <c r="BG46" s="1065">
        <f t="shared" si="29"/>
        <v>0</v>
      </c>
      <c r="BH46" s="702">
        <f t="shared" si="30"/>
        <v>0</v>
      </c>
      <c r="BI46" s="1063">
        <f t="shared" si="31"/>
        <v>0</v>
      </c>
      <c r="BJ46" s="1063">
        <f t="shared" si="32"/>
        <v>0</v>
      </c>
      <c r="BK46" s="1063">
        <f t="shared" si="33"/>
        <v>0</v>
      </c>
      <c r="BL46" s="1063">
        <f t="shared" si="34"/>
        <v>0</v>
      </c>
      <c r="BM46" s="1063">
        <f t="shared" si="35"/>
        <v>0</v>
      </c>
      <c r="BN46" s="1064">
        <f t="shared" si="36"/>
        <v>0</v>
      </c>
      <c r="BO46" s="1761">
        <f t="shared" si="37"/>
        <v>0</v>
      </c>
      <c r="BP46" s="1063">
        <f t="shared" si="38"/>
        <v>0</v>
      </c>
      <c r="BQ46" s="1064">
        <f t="shared" si="39"/>
        <v>0</v>
      </c>
      <c r="BR46" s="1063">
        <f t="shared" si="40"/>
        <v>0</v>
      </c>
      <c r="BS46" s="1063">
        <f t="shared" si="41"/>
        <v>0</v>
      </c>
      <c r="BT46" s="1064">
        <f t="shared" si="42"/>
        <v>0</v>
      </c>
      <c r="BU46" s="1064">
        <f t="shared" si="43"/>
        <v>0</v>
      </c>
      <c r="BV46" s="1064">
        <f t="shared" si="44"/>
        <v>0</v>
      </c>
      <c r="BW46" s="1066">
        <f t="shared" si="45"/>
        <v>0</v>
      </c>
      <c r="BX46" s="1063">
        <f>(BI46*Pricing!F$2+BJ46*Pricing!G$2+BK46*Pricing!H$2+BL46*Pricing!I$2+BM46*Pricing!J$2+BN46*Pricing!K$2)*IF(AC$63="N",(1+AE$63),1)</f>
        <v>0</v>
      </c>
      <c r="BY46" s="1063">
        <f t="shared" si="46"/>
        <v>0</v>
      </c>
      <c r="BZ46" s="1063">
        <f t="shared" si="47"/>
        <v>0</v>
      </c>
      <c r="CA46" s="1063">
        <f t="shared" si="48"/>
        <v>0</v>
      </c>
      <c r="CB46" s="1067">
        <f t="shared" si="49"/>
        <v>0</v>
      </c>
      <c r="CD46" s="702">
        <f t="shared" si="50"/>
        <v>0</v>
      </c>
      <c r="CE46" s="1063">
        <f t="shared" si="2"/>
        <v>0</v>
      </c>
      <c r="CF46" s="1063">
        <f t="shared" si="3"/>
        <v>0</v>
      </c>
      <c r="CG46" s="1063">
        <f t="shared" si="4"/>
        <v>0</v>
      </c>
      <c r="CH46" s="702">
        <f t="shared" si="5"/>
        <v>0</v>
      </c>
      <c r="CI46" s="1063">
        <f t="shared" si="6"/>
        <v>0</v>
      </c>
      <c r="CJ46" s="702">
        <f t="shared" si="51"/>
        <v>0</v>
      </c>
      <c r="CK46" s="1063">
        <f t="shared" si="52"/>
        <v>0</v>
      </c>
      <c r="CL46" s="704">
        <f t="shared" si="53"/>
        <v>0</v>
      </c>
      <c r="CM46" s="702">
        <f t="shared" si="54"/>
        <v>0</v>
      </c>
      <c r="CO46" s="1061">
        <f t="shared" si="55"/>
        <v>0</v>
      </c>
      <c r="CP46" s="702">
        <f t="shared" si="56"/>
        <v>0</v>
      </c>
      <c r="CQ46" s="702">
        <f t="shared" si="57"/>
        <v>0</v>
      </c>
      <c r="CR46" s="702">
        <f t="shared" si="63"/>
        <v>0</v>
      </c>
      <c r="CS46" s="702">
        <f t="shared" si="58"/>
        <v>0</v>
      </c>
      <c r="CT46" s="702">
        <f t="shared" si="59"/>
        <v>0</v>
      </c>
      <c r="CU46" s="702">
        <f t="shared" si="60"/>
        <v>0</v>
      </c>
      <c r="CV46" s="1068">
        <f t="shared" si="7"/>
        <v>0</v>
      </c>
      <c r="CW46" s="1064">
        <f t="shared" si="61"/>
        <v>0</v>
      </c>
      <c r="FX46" s="701"/>
      <c r="FY46" s="701"/>
      <c r="FZ46" s="701"/>
      <c r="GA46" s="701"/>
      <c r="GB46" s="701"/>
      <c r="GC46" s="701"/>
      <c r="GD46" s="701"/>
      <c r="GE46" s="701"/>
      <c r="GF46" s="701"/>
      <c r="GG46" s="701"/>
      <c r="GH46" s="701"/>
      <c r="GI46" s="701"/>
      <c r="GJ46" s="701"/>
      <c r="GK46" s="701"/>
      <c r="GL46" s="701"/>
      <c r="GM46" s="701"/>
      <c r="GN46" s="701"/>
      <c r="GO46" s="701"/>
      <c r="GP46" s="701"/>
      <c r="GQ46" s="701"/>
      <c r="GR46" s="701"/>
      <c r="GS46" s="701"/>
      <c r="GT46" s="701"/>
      <c r="GU46" s="701"/>
      <c r="GV46" s="701"/>
      <c r="GW46" s="701"/>
      <c r="GX46" s="701"/>
      <c r="GY46" s="701"/>
      <c r="GZ46" s="701"/>
      <c r="HA46" s="701"/>
      <c r="HB46" s="701"/>
      <c r="HC46" s="701"/>
      <c r="HD46" s="701"/>
      <c r="HE46" s="701"/>
      <c r="HF46" s="701"/>
      <c r="HG46" s="701"/>
      <c r="HH46" s="701"/>
      <c r="HI46" s="701"/>
      <c r="HJ46" s="701"/>
      <c r="HK46" s="701"/>
      <c r="HL46" s="701"/>
      <c r="HM46" s="701"/>
      <c r="HN46" s="701"/>
      <c r="HO46" s="701"/>
      <c r="HP46" s="701"/>
      <c r="HQ46" s="701"/>
      <c r="HR46" s="701"/>
      <c r="HS46" s="701"/>
      <c r="HT46" s="701"/>
      <c r="HU46" s="701"/>
      <c r="HV46" s="701"/>
      <c r="HW46" s="701"/>
      <c r="HX46" s="701"/>
      <c r="HY46" s="701"/>
      <c r="HZ46" s="701"/>
      <c r="IA46" s="701"/>
    </row>
    <row r="47" spans="2:235" s="702" customFormat="1" ht="20.149999999999999" customHeight="1" x14ac:dyDescent="0.35">
      <c r="B47" s="603"/>
      <c r="C47" s="396"/>
      <c r="D47" s="2001"/>
      <c r="E47" s="2002"/>
      <c r="F47" s="127"/>
      <c r="G47" s="777"/>
      <c r="H47" s="30"/>
      <c r="I47" s="777"/>
      <c r="J47" s="284"/>
      <c r="K47" s="781"/>
      <c r="L47" s="30"/>
      <c r="M47" s="121"/>
      <c r="N47" s="394"/>
      <c r="O47" s="207"/>
      <c r="P47" s="206"/>
      <c r="Q47" s="31"/>
      <c r="R47" s="723"/>
      <c r="S47" s="176">
        <v>1</v>
      </c>
      <c r="T47" s="555">
        <f t="shared" si="66"/>
        <v>0</v>
      </c>
      <c r="U47" s="30">
        <v>2</v>
      </c>
      <c r="V47" s="370"/>
      <c r="W47" s="30"/>
      <c r="X47" s="370"/>
      <c r="Y47" s="30"/>
      <c r="Z47" s="370"/>
      <c r="AA47" s="176"/>
      <c r="AB47" s="278"/>
      <c r="AC47" s="1380">
        <f t="shared" si="62"/>
        <v>0</v>
      </c>
      <c r="AD47" s="906">
        <f t="shared" si="8"/>
        <v>0</v>
      </c>
      <c r="AE47" s="794">
        <f t="shared" si="9"/>
        <v>0</v>
      </c>
      <c r="AF47" s="282">
        <f>SUM(BW47)*(1+M$64+Summary!P$64)</f>
        <v>0</v>
      </c>
      <c r="AG47" s="632" t="e">
        <f t="shared" si="1"/>
        <v>#DIV/0!</v>
      </c>
      <c r="AH47" s="1758">
        <f t="shared" si="10"/>
        <v>0</v>
      </c>
      <c r="AI47" s="769"/>
      <c r="AO47" s="702">
        <f t="shared" si="11"/>
        <v>0</v>
      </c>
      <c r="AP47" s="702">
        <f t="shared" si="12"/>
        <v>0</v>
      </c>
      <c r="AQ47" s="702">
        <f t="shared" si="13"/>
        <v>0</v>
      </c>
      <c r="AR47" s="702">
        <f t="shared" si="14"/>
        <v>0</v>
      </c>
      <c r="AS47" s="702">
        <f t="shared" si="15"/>
        <v>0</v>
      </c>
      <c r="AT47" s="702">
        <f t="shared" si="16"/>
        <v>0</v>
      </c>
      <c r="AU47" s="702">
        <f t="shared" si="17"/>
        <v>0</v>
      </c>
      <c r="AV47" s="1063">
        <f t="shared" si="18"/>
        <v>0</v>
      </c>
      <c r="AW47" s="1063">
        <f t="shared" si="19"/>
        <v>0</v>
      </c>
      <c r="AX47" s="702">
        <f t="shared" si="20"/>
        <v>0</v>
      </c>
      <c r="AY47" s="702">
        <f t="shared" si="21"/>
        <v>0</v>
      </c>
      <c r="AZ47" s="702">
        <f t="shared" si="22"/>
        <v>0</v>
      </c>
      <c r="BA47" s="702">
        <f t="shared" si="23"/>
        <v>0</v>
      </c>
      <c r="BB47" s="702">
        <f t="shared" si="24"/>
        <v>0</v>
      </c>
      <c r="BC47" s="702">
        <f t="shared" si="25"/>
        <v>0</v>
      </c>
      <c r="BD47" s="1063">
        <f t="shared" si="26"/>
        <v>0</v>
      </c>
      <c r="BE47" s="1064">
        <f t="shared" si="27"/>
        <v>0</v>
      </c>
      <c r="BF47" s="1063">
        <f t="shared" si="28"/>
        <v>0</v>
      </c>
      <c r="BG47" s="1065">
        <f t="shared" si="29"/>
        <v>0</v>
      </c>
      <c r="BH47" s="702">
        <f t="shared" si="30"/>
        <v>0</v>
      </c>
      <c r="BI47" s="1063">
        <f t="shared" si="31"/>
        <v>0</v>
      </c>
      <c r="BJ47" s="1063">
        <f t="shared" si="32"/>
        <v>0</v>
      </c>
      <c r="BK47" s="1063">
        <f t="shared" si="33"/>
        <v>0</v>
      </c>
      <c r="BL47" s="1063">
        <f t="shared" si="34"/>
        <v>0</v>
      </c>
      <c r="BM47" s="1063">
        <f t="shared" si="35"/>
        <v>0</v>
      </c>
      <c r="BN47" s="1064">
        <f t="shared" si="36"/>
        <v>0</v>
      </c>
      <c r="BO47" s="1761">
        <f t="shared" si="37"/>
        <v>0</v>
      </c>
      <c r="BP47" s="1063">
        <f t="shared" si="38"/>
        <v>0</v>
      </c>
      <c r="BQ47" s="1064">
        <f t="shared" si="39"/>
        <v>0</v>
      </c>
      <c r="BR47" s="1063">
        <f t="shared" si="40"/>
        <v>0</v>
      </c>
      <c r="BS47" s="1063">
        <f t="shared" si="41"/>
        <v>0</v>
      </c>
      <c r="BT47" s="1064">
        <f t="shared" si="42"/>
        <v>0</v>
      </c>
      <c r="BU47" s="1064">
        <f t="shared" si="43"/>
        <v>0</v>
      </c>
      <c r="BV47" s="1064">
        <f t="shared" si="44"/>
        <v>0</v>
      </c>
      <c r="BW47" s="1066">
        <f t="shared" si="45"/>
        <v>0</v>
      </c>
      <c r="BX47" s="1063">
        <f>(BI47*Pricing!F$2+BJ47*Pricing!G$2+BK47*Pricing!H$2+BL47*Pricing!I$2+BM47*Pricing!J$2+BN47*Pricing!K$2)*IF(AC$63="N",(1+AE$63),1)</f>
        <v>0</v>
      </c>
      <c r="BY47" s="1063">
        <f t="shared" si="46"/>
        <v>0</v>
      </c>
      <c r="BZ47" s="1063">
        <f t="shared" si="47"/>
        <v>0</v>
      </c>
      <c r="CA47" s="1063">
        <f t="shared" si="48"/>
        <v>0</v>
      </c>
      <c r="CB47" s="1067">
        <f t="shared" si="49"/>
        <v>0</v>
      </c>
      <c r="CD47" s="702">
        <f t="shared" si="50"/>
        <v>0</v>
      </c>
      <c r="CE47" s="1063">
        <f t="shared" si="2"/>
        <v>0</v>
      </c>
      <c r="CF47" s="1063">
        <f t="shared" si="3"/>
        <v>0</v>
      </c>
      <c r="CG47" s="1063">
        <f t="shared" si="4"/>
        <v>0</v>
      </c>
      <c r="CH47" s="702">
        <f t="shared" si="5"/>
        <v>0</v>
      </c>
      <c r="CI47" s="1063">
        <f t="shared" si="6"/>
        <v>0</v>
      </c>
      <c r="CJ47" s="702">
        <f t="shared" si="51"/>
        <v>0</v>
      </c>
      <c r="CK47" s="1063">
        <f t="shared" si="52"/>
        <v>0</v>
      </c>
      <c r="CL47" s="704">
        <f t="shared" si="53"/>
        <v>0</v>
      </c>
      <c r="CM47" s="702">
        <f t="shared" si="54"/>
        <v>0</v>
      </c>
      <c r="CO47" s="1061">
        <f t="shared" si="55"/>
        <v>0</v>
      </c>
      <c r="CP47" s="702">
        <f t="shared" si="56"/>
        <v>0</v>
      </c>
      <c r="CQ47" s="702">
        <f t="shared" si="57"/>
        <v>0</v>
      </c>
      <c r="CR47" s="702">
        <f t="shared" si="63"/>
        <v>0</v>
      </c>
      <c r="CS47" s="702">
        <f t="shared" si="58"/>
        <v>0</v>
      </c>
      <c r="CT47" s="702">
        <f t="shared" si="59"/>
        <v>0</v>
      </c>
      <c r="CU47" s="702">
        <f t="shared" si="60"/>
        <v>0</v>
      </c>
      <c r="CV47" s="1068">
        <f t="shared" si="7"/>
        <v>0</v>
      </c>
      <c r="CW47" s="1064">
        <f t="shared" si="61"/>
        <v>0</v>
      </c>
      <c r="FX47" s="701"/>
      <c r="FY47" s="701"/>
      <c r="FZ47" s="701"/>
      <c r="GA47" s="701"/>
      <c r="GB47" s="701"/>
      <c r="GC47" s="701"/>
      <c r="GD47" s="701"/>
      <c r="GE47" s="701"/>
      <c r="GF47" s="701"/>
      <c r="GG47" s="701"/>
      <c r="GH47" s="701"/>
      <c r="GI47" s="701"/>
      <c r="GJ47" s="701"/>
      <c r="GK47" s="701"/>
      <c r="GL47" s="701"/>
      <c r="GM47" s="701"/>
      <c r="GN47" s="701"/>
      <c r="GO47" s="701"/>
      <c r="GP47" s="701"/>
      <c r="GQ47" s="701"/>
      <c r="GR47" s="701"/>
      <c r="GS47" s="701"/>
      <c r="GT47" s="701"/>
      <c r="GU47" s="701"/>
      <c r="GV47" s="701"/>
      <c r="GW47" s="701"/>
      <c r="GX47" s="701"/>
      <c r="GY47" s="701"/>
      <c r="GZ47" s="701"/>
      <c r="HA47" s="701"/>
      <c r="HB47" s="701"/>
      <c r="HC47" s="701"/>
      <c r="HD47" s="701"/>
      <c r="HE47" s="701"/>
      <c r="HF47" s="701"/>
      <c r="HG47" s="701"/>
      <c r="HH47" s="701"/>
      <c r="HI47" s="701"/>
      <c r="HJ47" s="701"/>
      <c r="HK47" s="701"/>
      <c r="HL47" s="701"/>
      <c r="HM47" s="701"/>
      <c r="HN47" s="701"/>
      <c r="HO47" s="701"/>
      <c r="HP47" s="701"/>
      <c r="HQ47" s="701"/>
      <c r="HR47" s="701"/>
      <c r="HS47" s="701"/>
      <c r="HT47" s="701"/>
      <c r="HU47" s="701"/>
      <c r="HV47" s="701"/>
      <c r="HW47" s="701"/>
      <c r="HX47" s="701"/>
      <c r="HY47" s="701"/>
      <c r="HZ47" s="701"/>
      <c r="IA47" s="701"/>
    </row>
    <row r="48" spans="2:235" s="702" customFormat="1" ht="20.149999999999999" customHeight="1" thickBot="1" x14ac:dyDescent="0.4">
      <c r="B48" s="1753"/>
      <c r="C48" s="399"/>
      <c r="D48" s="1993"/>
      <c r="E48" s="1994"/>
      <c r="F48" s="129"/>
      <c r="G48" s="778"/>
      <c r="H48" s="33"/>
      <c r="I48" s="780"/>
      <c r="J48" s="285"/>
      <c r="K48" s="782"/>
      <c r="L48" s="33"/>
      <c r="M48" s="128"/>
      <c r="N48" s="400"/>
      <c r="O48" s="221"/>
      <c r="P48" s="128"/>
      <c r="Q48" s="33"/>
      <c r="R48" s="724"/>
      <c r="S48" s="182">
        <v>1</v>
      </c>
      <c r="T48" s="624">
        <f t="shared" si="66"/>
        <v>0</v>
      </c>
      <c r="U48" s="33">
        <v>2</v>
      </c>
      <c r="V48" s="373"/>
      <c r="W48" s="33"/>
      <c r="X48" s="373"/>
      <c r="Y48" s="33"/>
      <c r="Z48" s="373"/>
      <c r="AA48" s="182"/>
      <c r="AB48" s="281"/>
      <c r="AC48" s="1447">
        <f>IF(BG48=0,0,SUM(BD48:BE48)/BG48)</f>
        <v>0</v>
      </c>
      <c r="AD48" s="1383">
        <f t="shared" si="8"/>
        <v>0</v>
      </c>
      <c r="AE48" s="795">
        <f t="shared" si="9"/>
        <v>0</v>
      </c>
      <c r="AF48" s="512">
        <f>SUM(BW48)*(1+M$64+Summary!P$64)</f>
        <v>0</v>
      </c>
      <c r="AG48" s="633" t="e">
        <f t="shared" si="1"/>
        <v>#DIV/0!</v>
      </c>
      <c r="AH48" s="1759">
        <f t="shared" si="10"/>
        <v>0</v>
      </c>
      <c r="AI48" s="769"/>
      <c r="AO48" s="702">
        <f t="shared" si="11"/>
        <v>0</v>
      </c>
      <c r="AP48" s="702">
        <f t="shared" si="12"/>
        <v>0</v>
      </c>
      <c r="AQ48" s="702">
        <f t="shared" si="13"/>
        <v>0</v>
      </c>
      <c r="AR48" s="702">
        <f t="shared" si="14"/>
        <v>0</v>
      </c>
      <c r="AS48" s="702">
        <f t="shared" si="15"/>
        <v>0</v>
      </c>
      <c r="AT48" s="702">
        <f t="shared" si="16"/>
        <v>0</v>
      </c>
      <c r="AU48" s="702">
        <f t="shared" si="17"/>
        <v>0</v>
      </c>
      <c r="AV48" s="1063">
        <f t="shared" si="18"/>
        <v>0</v>
      </c>
      <c r="AW48" s="1063">
        <f t="shared" si="19"/>
        <v>0</v>
      </c>
      <c r="AX48" s="702">
        <f t="shared" si="20"/>
        <v>0</v>
      </c>
      <c r="AY48" s="702">
        <f t="shared" si="21"/>
        <v>0</v>
      </c>
      <c r="AZ48" s="702">
        <f t="shared" si="22"/>
        <v>0</v>
      </c>
      <c r="BA48" s="702">
        <f t="shared" si="23"/>
        <v>0</v>
      </c>
      <c r="BB48" s="702">
        <f t="shared" si="24"/>
        <v>0</v>
      </c>
      <c r="BC48" s="702">
        <f t="shared" si="25"/>
        <v>0</v>
      </c>
      <c r="BD48" s="1063">
        <f t="shared" si="26"/>
        <v>0</v>
      </c>
      <c r="BE48" s="1064">
        <f t="shared" si="27"/>
        <v>0</v>
      </c>
      <c r="BF48" s="1063">
        <f t="shared" si="28"/>
        <v>0</v>
      </c>
      <c r="BG48" s="1065">
        <f t="shared" si="29"/>
        <v>0</v>
      </c>
      <c r="BH48" s="702">
        <f t="shared" si="30"/>
        <v>0</v>
      </c>
      <c r="BI48" s="1063">
        <f t="shared" si="31"/>
        <v>0</v>
      </c>
      <c r="BJ48" s="1063">
        <f t="shared" si="32"/>
        <v>0</v>
      </c>
      <c r="BK48" s="1063">
        <f t="shared" si="33"/>
        <v>0</v>
      </c>
      <c r="BL48" s="1063">
        <f t="shared" si="34"/>
        <v>0</v>
      </c>
      <c r="BM48" s="1063">
        <f t="shared" si="35"/>
        <v>0</v>
      </c>
      <c r="BN48" s="1064">
        <f t="shared" si="36"/>
        <v>0</v>
      </c>
      <c r="BO48" s="1761">
        <f t="shared" si="37"/>
        <v>0</v>
      </c>
      <c r="BP48" s="1063">
        <f t="shared" si="38"/>
        <v>0</v>
      </c>
      <c r="BQ48" s="1064">
        <f t="shared" si="39"/>
        <v>0</v>
      </c>
      <c r="BR48" s="1063">
        <f t="shared" si="40"/>
        <v>0</v>
      </c>
      <c r="BS48" s="1063">
        <f t="shared" si="41"/>
        <v>0</v>
      </c>
      <c r="BT48" s="1064">
        <f t="shared" si="42"/>
        <v>0</v>
      </c>
      <c r="BU48" s="1064">
        <f t="shared" si="43"/>
        <v>0</v>
      </c>
      <c r="BV48" s="1064">
        <f t="shared" si="44"/>
        <v>0</v>
      </c>
      <c r="BW48" s="1066">
        <f t="shared" si="45"/>
        <v>0</v>
      </c>
      <c r="BX48" s="1063">
        <f>(BI48*Pricing!F$2+BJ48*Pricing!G$2+BK48*Pricing!H$2+BL48*Pricing!I$2+BM48*Pricing!J$2+BN48*Pricing!K$2)*IF(AC$63="N",(1+AE$63),1)</f>
        <v>0</v>
      </c>
      <c r="BY48" s="1063">
        <f t="shared" si="46"/>
        <v>0</v>
      </c>
      <c r="BZ48" s="1063">
        <f t="shared" si="47"/>
        <v>0</v>
      </c>
      <c r="CA48" s="1063">
        <f t="shared" si="48"/>
        <v>0</v>
      </c>
      <c r="CB48" s="1067">
        <f t="shared" si="49"/>
        <v>0</v>
      </c>
      <c r="CD48" s="702">
        <f t="shared" si="50"/>
        <v>0</v>
      </c>
      <c r="CE48" s="1063">
        <f t="shared" si="2"/>
        <v>0</v>
      </c>
      <c r="CF48" s="1063">
        <f t="shared" si="3"/>
        <v>0</v>
      </c>
      <c r="CG48" s="1063">
        <f t="shared" si="4"/>
        <v>0</v>
      </c>
      <c r="CH48" s="702">
        <f t="shared" si="5"/>
        <v>0</v>
      </c>
      <c r="CI48" s="1063">
        <f t="shared" si="6"/>
        <v>0</v>
      </c>
      <c r="CJ48" s="702">
        <f t="shared" si="51"/>
        <v>0</v>
      </c>
      <c r="CK48" s="1063">
        <f t="shared" si="52"/>
        <v>0</v>
      </c>
      <c r="CL48" s="704">
        <f t="shared" si="53"/>
        <v>0</v>
      </c>
      <c r="CM48" s="702">
        <f t="shared" si="54"/>
        <v>0</v>
      </c>
      <c r="CO48" s="1061">
        <f t="shared" si="55"/>
        <v>0</v>
      </c>
      <c r="CP48" s="702">
        <f t="shared" si="56"/>
        <v>0</v>
      </c>
      <c r="CQ48" s="702">
        <f t="shared" si="57"/>
        <v>0</v>
      </c>
      <c r="CR48" s="702">
        <f t="shared" si="63"/>
        <v>0</v>
      </c>
      <c r="CS48" s="702">
        <f t="shared" si="58"/>
        <v>0</v>
      </c>
      <c r="CT48" s="702">
        <f t="shared" si="59"/>
        <v>0</v>
      </c>
      <c r="CU48" s="702">
        <f t="shared" si="60"/>
        <v>0</v>
      </c>
      <c r="CV48" s="1068">
        <f t="shared" si="7"/>
        <v>0</v>
      </c>
      <c r="CW48" s="1064">
        <f t="shared" si="61"/>
        <v>0</v>
      </c>
      <c r="FX48" s="701"/>
      <c r="FY48" s="701"/>
      <c r="FZ48" s="701"/>
      <c r="GA48" s="701"/>
      <c r="GB48" s="701"/>
      <c r="GC48" s="701"/>
      <c r="GD48" s="701"/>
      <c r="GE48" s="701"/>
      <c r="GF48" s="701"/>
      <c r="GG48" s="701"/>
      <c r="GH48" s="701"/>
      <c r="GI48" s="701"/>
      <c r="GJ48" s="701"/>
      <c r="GK48" s="701"/>
      <c r="GL48" s="701"/>
      <c r="GM48" s="701"/>
      <c r="GN48" s="701"/>
      <c r="GO48" s="701"/>
      <c r="GP48" s="701"/>
      <c r="GQ48" s="701"/>
      <c r="GR48" s="701"/>
      <c r="GS48" s="701"/>
      <c r="GT48" s="701"/>
      <c r="GU48" s="701"/>
      <c r="GV48" s="701"/>
      <c r="GW48" s="701"/>
      <c r="GX48" s="701"/>
      <c r="GY48" s="701"/>
      <c r="GZ48" s="701"/>
      <c r="HA48" s="701"/>
      <c r="HB48" s="701"/>
      <c r="HC48" s="701"/>
      <c r="HD48" s="701"/>
      <c r="HE48" s="701"/>
      <c r="HF48" s="701"/>
      <c r="HG48" s="701"/>
      <c r="HH48" s="701"/>
      <c r="HI48" s="701"/>
      <c r="HJ48" s="701"/>
      <c r="HK48" s="701"/>
      <c r="HL48" s="701"/>
      <c r="HM48" s="701"/>
      <c r="HN48" s="701"/>
      <c r="HO48" s="701"/>
      <c r="HP48" s="701"/>
      <c r="HQ48" s="701"/>
      <c r="HR48" s="701"/>
      <c r="HS48" s="701"/>
      <c r="HT48" s="701"/>
      <c r="HU48" s="701"/>
      <c r="HV48" s="701"/>
      <c r="HW48" s="701"/>
      <c r="HX48" s="701"/>
      <c r="HY48" s="701"/>
      <c r="HZ48" s="701"/>
      <c r="IA48" s="701"/>
    </row>
    <row r="49" spans="2:238" s="702" customFormat="1" ht="34.5" customHeight="1" thickBot="1" x14ac:dyDescent="0.4">
      <c r="B49" s="42"/>
      <c r="C49" s="363" t="s">
        <v>724</v>
      </c>
      <c r="D49" s="1983">
        <f>SUM(BT49)</f>
        <v>0</v>
      </c>
      <c r="E49" s="1984"/>
      <c r="F49" s="42"/>
      <c r="G49" s="57">
        <f>SUM(G11:G48)</f>
        <v>0</v>
      </c>
      <c r="H49" s="298"/>
      <c r="I49" s="298"/>
      <c r="J49" s="298"/>
      <c r="K49" s="541">
        <f>SUM(K11:K48)</f>
        <v>0</v>
      </c>
      <c r="L49" s="298"/>
      <c r="M49" s="298"/>
      <c r="N49" s="298"/>
      <c r="O49" s="298"/>
      <c r="P49" s="298"/>
      <c r="Q49" s="298"/>
      <c r="R49" s="298"/>
      <c r="S49" s="306"/>
      <c r="T49" s="376"/>
      <c r="U49" s="298"/>
      <c r="V49" s="299"/>
      <c r="W49" s="298"/>
      <c r="X49" s="299"/>
      <c r="Y49" s="298"/>
      <c r="Z49" s="299"/>
      <c r="AA49" s="1921" t="s">
        <v>729</v>
      </c>
      <c r="AB49" s="1922"/>
      <c r="AC49" s="304"/>
      <c r="AD49" s="299"/>
      <c r="AE49" s="299"/>
      <c r="AF49" s="1756">
        <f>AG49-AH49</f>
        <v>0</v>
      </c>
      <c r="AG49" s="1755">
        <f>E64</f>
        <v>0</v>
      </c>
      <c r="AH49" s="1754">
        <f>SUM(AH11:AH48)</f>
        <v>0</v>
      </c>
      <c r="AI49" s="769"/>
      <c r="AV49" s="702">
        <f>SUM(AV11:AV48)</f>
        <v>0</v>
      </c>
      <c r="BB49" s="702">
        <f>SUM(BB11:BB48)</f>
        <v>0</v>
      </c>
      <c r="BC49" s="702">
        <f>SUM(BC11:BC48)</f>
        <v>0</v>
      </c>
      <c r="BD49" s="1064">
        <f>SUM(BD11:BD48)</f>
        <v>0</v>
      </c>
      <c r="BE49" s="1063">
        <f>SUM(BE11:BE48)</f>
        <v>0</v>
      </c>
      <c r="BF49" s="702">
        <f>SUM(BF11:BF48)</f>
        <v>0</v>
      </c>
      <c r="BG49" s="1065">
        <f>SUM(BG11:BG48)/2</f>
        <v>0</v>
      </c>
      <c r="BH49" s="1065">
        <f>SUM(BH11:BH48)</f>
        <v>0</v>
      </c>
      <c r="BI49" s="1069">
        <f>SUM(BI11:BI48)</f>
        <v>0</v>
      </c>
      <c r="BJ49" s="1069">
        <f t="shared" ref="BJ49:BU49" si="67">SUM(BJ11:BJ48)</f>
        <v>0</v>
      </c>
      <c r="BK49" s="1069">
        <f t="shared" si="67"/>
        <v>0</v>
      </c>
      <c r="BL49" s="1069">
        <f t="shared" si="67"/>
        <v>0</v>
      </c>
      <c r="BM49" s="1069">
        <f t="shared" si="67"/>
        <v>0</v>
      </c>
      <c r="BN49" s="1069">
        <f t="shared" si="67"/>
        <v>0</v>
      </c>
      <c r="BO49" s="1761">
        <f t="shared" si="67"/>
        <v>0</v>
      </c>
      <c r="BP49" s="1069">
        <f t="shared" si="67"/>
        <v>0</v>
      </c>
      <c r="BQ49" s="1069">
        <f t="shared" si="67"/>
        <v>0</v>
      </c>
      <c r="BR49" s="1069">
        <f>SUM(BR11:BS48)</f>
        <v>0</v>
      </c>
      <c r="BS49" s="1069"/>
      <c r="BT49" s="1069">
        <f t="shared" si="67"/>
        <v>0</v>
      </c>
      <c r="BU49" s="1069">
        <f t="shared" si="67"/>
        <v>0</v>
      </c>
      <c r="BV49" s="1064">
        <f>SUM(BV11:BV48)</f>
        <v>0</v>
      </c>
      <c r="BW49" s="1069"/>
      <c r="BX49" s="1069">
        <f t="shared" ref="BX49:CM49" si="68">SUM(BX11:BX48)</f>
        <v>0</v>
      </c>
      <c r="BY49" s="1069">
        <f t="shared" si="68"/>
        <v>0</v>
      </c>
      <c r="BZ49" s="1069">
        <f t="shared" si="68"/>
        <v>0</v>
      </c>
      <c r="CA49" s="1069">
        <f>SUM(CA11:CA48)</f>
        <v>0</v>
      </c>
      <c r="CB49" s="1069">
        <f t="shared" si="68"/>
        <v>0</v>
      </c>
      <c r="CC49" s="1069">
        <f t="shared" si="68"/>
        <v>0</v>
      </c>
      <c r="CD49" s="1069">
        <f t="shared" si="68"/>
        <v>0</v>
      </c>
      <c r="CE49" s="1069">
        <f t="shared" si="68"/>
        <v>0</v>
      </c>
      <c r="CF49" s="1069">
        <f t="shared" si="68"/>
        <v>0</v>
      </c>
      <c r="CG49" s="1069">
        <f t="shared" si="68"/>
        <v>0</v>
      </c>
      <c r="CH49" s="1069">
        <f t="shared" si="68"/>
        <v>0</v>
      </c>
      <c r="CI49" s="1069">
        <f t="shared" si="68"/>
        <v>0</v>
      </c>
      <c r="CJ49" s="1069">
        <f t="shared" si="68"/>
        <v>0</v>
      </c>
      <c r="CK49" s="1069">
        <f t="shared" si="68"/>
        <v>0</v>
      </c>
      <c r="CL49" s="1069">
        <f t="shared" si="68"/>
        <v>0</v>
      </c>
      <c r="CM49" s="1069">
        <f t="shared" si="68"/>
        <v>0</v>
      </c>
      <c r="CN49" s="1069">
        <f>SUM(CN11:CN48)</f>
        <v>0</v>
      </c>
      <c r="CO49" s="1752">
        <f>SUM(CO11:CO48)</f>
        <v>0</v>
      </c>
      <c r="CP49" s="1752">
        <f t="shared" ref="CP49:CV49" si="69">SUM(CP11:CP48)</f>
        <v>0</v>
      </c>
      <c r="CQ49" s="1752">
        <f t="shared" si="69"/>
        <v>0</v>
      </c>
      <c r="CR49" s="1752">
        <f t="shared" si="69"/>
        <v>0</v>
      </c>
      <c r="CS49" s="1752">
        <f t="shared" si="69"/>
        <v>0</v>
      </c>
      <c r="CT49" s="1752">
        <f t="shared" si="69"/>
        <v>0</v>
      </c>
      <c r="CU49" s="1752">
        <f t="shared" si="69"/>
        <v>0</v>
      </c>
      <c r="CV49" s="1752">
        <f t="shared" si="69"/>
        <v>129.62962962962962</v>
      </c>
      <c r="CW49" s="1064">
        <f>SUM(CW11:CW48)</f>
        <v>0</v>
      </c>
      <c r="FZ49" s="769"/>
      <c r="GA49" s="769"/>
      <c r="GB49" s="769"/>
      <c r="GC49" s="769"/>
      <c r="GD49" s="769"/>
      <c r="GE49" s="769"/>
      <c r="GF49" s="769"/>
      <c r="GG49" s="769"/>
      <c r="GH49" s="769"/>
      <c r="GI49" s="769"/>
      <c r="GJ49" s="769"/>
      <c r="GK49" s="769"/>
      <c r="GL49" s="769"/>
      <c r="GM49" s="769"/>
      <c r="GN49" s="769"/>
      <c r="GO49" s="769"/>
      <c r="GP49" s="769"/>
      <c r="GQ49" s="769"/>
      <c r="GR49" s="769"/>
      <c r="GS49" s="769"/>
      <c r="GT49" s="769"/>
      <c r="GU49" s="769"/>
      <c r="GV49" s="769"/>
      <c r="GW49" s="769"/>
      <c r="GX49" s="769"/>
      <c r="GY49" s="769"/>
      <c r="GZ49" s="769"/>
      <c r="HA49" s="769"/>
      <c r="HB49" s="769"/>
      <c r="HC49" s="769"/>
      <c r="HD49" s="769"/>
      <c r="HE49" s="769"/>
      <c r="HF49" s="769"/>
      <c r="HG49" s="769"/>
      <c r="HH49" s="769"/>
      <c r="HI49" s="769"/>
      <c r="HJ49" s="769"/>
      <c r="HK49" s="769"/>
      <c r="HL49" s="769"/>
      <c r="HM49" s="769"/>
      <c r="HN49" s="769"/>
      <c r="HO49" s="769"/>
      <c r="HP49" s="769"/>
      <c r="HQ49" s="769"/>
      <c r="HR49" s="769"/>
      <c r="HS49" s="769"/>
      <c r="HT49" s="769"/>
      <c r="HU49" s="769"/>
      <c r="HV49" s="769"/>
      <c r="HW49" s="769"/>
      <c r="HX49" s="769"/>
      <c r="HY49" s="769"/>
      <c r="HZ49" s="769"/>
      <c r="IA49" s="769"/>
      <c r="IB49" s="769"/>
      <c r="IC49" s="769"/>
    </row>
    <row r="50" spans="2:238" s="702" customFormat="1" ht="29.25" customHeight="1" thickBot="1" x14ac:dyDescent="0.4">
      <c r="B50" s="2116" t="s">
        <v>495</v>
      </c>
      <c r="C50" s="1173" t="s">
        <v>65</v>
      </c>
      <c r="D50" s="1174"/>
      <c r="E50" s="1931" t="s">
        <v>289</v>
      </c>
      <c r="F50" s="1982"/>
      <c r="G50" s="1931" t="s">
        <v>579</v>
      </c>
      <c r="H50" s="1982"/>
      <c r="I50" s="1931" t="s">
        <v>318</v>
      </c>
      <c r="J50" s="1982"/>
      <c r="K50" s="1931" t="s">
        <v>319</v>
      </c>
      <c r="L50" s="1982"/>
      <c r="M50" s="1931" t="s">
        <v>324</v>
      </c>
      <c r="N50" s="1917"/>
      <c r="O50" s="1918"/>
      <c r="P50" s="1914" t="s">
        <v>296</v>
      </c>
      <c r="Q50" s="1912"/>
      <c r="R50" s="1912"/>
      <c r="S50" s="1919"/>
      <c r="T50" s="1912" t="s">
        <v>64</v>
      </c>
      <c r="U50" s="1912"/>
      <c r="V50" s="1912"/>
      <c r="W50" s="1912"/>
      <c r="X50" s="1912"/>
      <c r="Y50" s="1919"/>
      <c r="Z50" s="298"/>
      <c r="AA50" s="1923">
        <f>IF(I83=0,0,I83/SUM(L71:L73))</f>
        <v>0</v>
      </c>
      <c r="AB50" s="1924"/>
      <c r="AC50" s="298"/>
      <c r="AD50" s="298"/>
      <c r="AE50" s="299"/>
      <c r="AF50" s="299"/>
      <c r="AG50" s="769"/>
      <c r="AH50" s="769"/>
      <c r="AI50" s="769"/>
      <c r="BW50" s="704">
        <f>SUM(BX50:CK50)</f>
        <v>0</v>
      </c>
      <c r="BX50" s="704">
        <f>SUM(O71:O73)</f>
        <v>0</v>
      </c>
      <c r="BY50" s="704">
        <f>O74</f>
        <v>0</v>
      </c>
      <c r="BZ50" s="704">
        <f>(O90-O87)+(L90-L87)</f>
        <v>0</v>
      </c>
      <c r="CA50" s="704">
        <f>P90-P87</f>
        <v>0</v>
      </c>
      <c r="CE50" s="704">
        <f>M93</f>
        <v>0</v>
      </c>
      <c r="CF50" s="704">
        <f>SUM(AF72:AF99)</f>
        <v>0</v>
      </c>
      <c r="CG50" s="704">
        <f>SUM(O98:P103)</f>
        <v>0</v>
      </c>
      <c r="CH50" s="704">
        <f>SUM(O105:P111)</f>
        <v>0</v>
      </c>
      <c r="CI50" s="704">
        <f>SUM(AF100:AF111)</f>
        <v>0</v>
      </c>
      <c r="CJ50" s="704">
        <f>O76</f>
        <v>0</v>
      </c>
      <c r="CM50" s="704">
        <f>O77</f>
        <v>0</v>
      </c>
      <c r="CO50" s="2109">
        <f>CW49</f>
        <v>0</v>
      </c>
      <c r="CP50" s="2110"/>
      <c r="CQ50" s="2110"/>
      <c r="CR50" s="2110"/>
      <c r="CS50" s="2110"/>
      <c r="CT50" s="2110"/>
      <c r="CU50" s="2110"/>
      <c r="CV50" s="2111"/>
      <c r="GA50" s="769"/>
      <c r="GB50" s="769"/>
      <c r="GC50" s="769"/>
      <c r="GD50" s="769"/>
      <c r="GE50" s="769"/>
      <c r="GF50" s="769"/>
      <c r="GG50" s="769"/>
      <c r="GH50" s="769"/>
      <c r="GI50" s="769"/>
      <c r="GJ50" s="769"/>
      <c r="GK50" s="769"/>
      <c r="GL50" s="769"/>
      <c r="GM50" s="769"/>
      <c r="GN50" s="769"/>
      <c r="GO50" s="769"/>
      <c r="GP50" s="769"/>
      <c r="GQ50" s="769"/>
      <c r="GR50" s="769"/>
      <c r="GS50" s="769"/>
      <c r="GT50" s="769"/>
      <c r="GU50" s="769"/>
      <c r="GV50" s="769"/>
      <c r="GW50" s="769"/>
      <c r="GX50" s="769"/>
      <c r="GY50" s="769"/>
      <c r="GZ50" s="769"/>
      <c r="HA50" s="769"/>
      <c r="HB50" s="769"/>
      <c r="HC50" s="769"/>
      <c r="HD50" s="769"/>
      <c r="HE50" s="769"/>
      <c r="HF50" s="769"/>
      <c r="HG50" s="769"/>
      <c r="HH50" s="769"/>
      <c r="HI50" s="769"/>
      <c r="HJ50" s="769"/>
      <c r="HK50" s="769"/>
      <c r="HL50" s="769"/>
      <c r="HM50" s="769"/>
      <c r="HN50" s="769"/>
      <c r="HO50" s="769"/>
      <c r="HP50" s="769"/>
      <c r="HQ50" s="769"/>
      <c r="HR50" s="769"/>
      <c r="HS50" s="769"/>
      <c r="HT50" s="769"/>
      <c r="HU50" s="769"/>
      <c r="HV50" s="769"/>
      <c r="HW50" s="769"/>
      <c r="HX50" s="769"/>
      <c r="HY50" s="769"/>
      <c r="HZ50" s="769"/>
      <c r="IA50" s="769"/>
      <c r="IB50" s="769"/>
      <c r="IC50" s="769"/>
      <c r="ID50" s="769"/>
    </row>
    <row r="51" spans="2:238" s="702" customFormat="1" ht="42.75" customHeight="1" thickBot="1" x14ac:dyDescent="0.4">
      <c r="B51" s="2117"/>
      <c r="C51" s="1175" t="s">
        <v>62</v>
      </c>
      <c r="D51" s="1176" t="s">
        <v>63</v>
      </c>
      <c r="E51" s="1175" t="s">
        <v>320</v>
      </c>
      <c r="F51" s="1176" t="s">
        <v>28</v>
      </c>
      <c r="G51" s="1175" t="s">
        <v>320</v>
      </c>
      <c r="H51" s="1176" t="s">
        <v>28</v>
      </c>
      <c r="I51" s="1175" t="s">
        <v>320</v>
      </c>
      <c r="J51" s="1176" t="s">
        <v>28</v>
      </c>
      <c r="K51" s="1175" t="s">
        <v>28</v>
      </c>
      <c r="L51" s="1177" t="s">
        <v>29</v>
      </c>
      <c r="M51" s="1175" t="s">
        <v>28</v>
      </c>
      <c r="N51" s="1178" t="s">
        <v>665</v>
      </c>
      <c r="O51" s="1179" t="s">
        <v>812</v>
      </c>
      <c r="P51" s="1915"/>
      <c r="Q51" s="1913"/>
      <c r="R51" s="1913"/>
      <c r="S51" s="1920"/>
      <c r="T51" s="1913"/>
      <c r="U51" s="1913"/>
      <c r="V51" s="1913"/>
      <c r="W51" s="1913"/>
      <c r="X51" s="1913"/>
      <c r="Y51" s="1920"/>
      <c r="Z51" s="298"/>
      <c r="AA51" s="1925" t="s">
        <v>601</v>
      </c>
      <c r="AB51" s="1926"/>
      <c r="AC51" s="500" t="s">
        <v>42</v>
      </c>
      <c r="AD51" s="501" t="s">
        <v>28</v>
      </c>
      <c r="AE51" s="502" t="s">
        <v>320</v>
      </c>
      <c r="AF51" s="503" t="s">
        <v>705</v>
      </c>
      <c r="AG51" s="769"/>
      <c r="AH51" s="769"/>
      <c r="AI51" s="769"/>
      <c r="AM51" s="702" t="s">
        <v>905</v>
      </c>
      <c r="BY51" s="1063">
        <f>BY49-BY50</f>
        <v>0</v>
      </c>
      <c r="GA51" s="769"/>
      <c r="GB51" s="769"/>
      <c r="GC51" s="769"/>
      <c r="GD51" s="769"/>
      <c r="GE51" s="769"/>
      <c r="GF51" s="769"/>
      <c r="GG51" s="769"/>
      <c r="GH51" s="769"/>
      <c r="GI51" s="769"/>
      <c r="GJ51" s="769"/>
      <c r="GK51" s="769"/>
      <c r="GL51" s="769"/>
      <c r="GM51" s="769"/>
      <c r="GN51" s="769"/>
      <c r="GO51" s="769"/>
      <c r="GP51" s="769"/>
      <c r="GQ51" s="769"/>
      <c r="GR51" s="769"/>
      <c r="GS51" s="769"/>
      <c r="GT51" s="769"/>
      <c r="GU51" s="769"/>
      <c r="GV51" s="769"/>
      <c r="GW51" s="769"/>
      <c r="GX51" s="769"/>
      <c r="GY51" s="769"/>
      <c r="GZ51" s="769"/>
      <c r="HA51" s="769"/>
      <c r="HB51" s="769"/>
      <c r="HC51" s="769"/>
      <c r="HD51" s="769"/>
      <c r="HE51" s="769"/>
      <c r="HF51" s="769"/>
      <c r="HG51" s="769"/>
      <c r="HH51" s="769"/>
      <c r="HI51" s="769"/>
      <c r="HJ51" s="769"/>
      <c r="HK51" s="769"/>
      <c r="HL51" s="769"/>
      <c r="HM51" s="769"/>
      <c r="HN51" s="769"/>
      <c r="HO51" s="769"/>
      <c r="HP51" s="769"/>
      <c r="HQ51" s="769"/>
      <c r="HR51" s="769"/>
      <c r="HS51" s="769"/>
      <c r="HT51" s="769"/>
      <c r="HU51" s="769"/>
      <c r="HV51" s="769"/>
      <c r="HW51" s="769"/>
      <c r="HX51" s="769"/>
      <c r="HY51" s="769"/>
      <c r="HZ51" s="769"/>
      <c r="IA51" s="769"/>
      <c r="IB51" s="769"/>
      <c r="IC51" s="769"/>
      <c r="ID51" s="769"/>
    </row>
    <row r="52" spans="2:238" s="702" customFormat="1" ht="20.149999999999999" customHeight="1" x14ac:dyDescent="0.35">
      <c r="B52" s="786">
        <v>1</v>
      </c>
      <c r="C52" s="264">
        <v>16</v>
      </c>
      <c r="D52" s="121">
        <v>30</v>
      </c>
      <c r="E52" s="30">
        <v>2</v>
      </c>
      <c r="F52" s="610">
        <v>5</v>
      </c>
      <c r="G52" s="30">
        <v>2</v>
      </c>
      <c r="H52" s="121">
        <v>5</v>
      </c>
      <c r="I52" s="30">
        <v>2</v>
      </c>
      <c r="J52" s="121">
        <v>4</v>
      </c>
      <c r="K52" s="30">
        <v>3</v>
      </c>
      <c r="L52" s="121">
        <v>24</v>
      </c>
      <c r="M52" s="264"/>
      <c r="N52" s="265"/>
      <c r="O52" s="266"/>
      <c r="P52" s="1856">
        <f t="shared" ref="P52:P61" si="70">IF(C52=0,0,(E52*F52/16*F52/16*10.680159)+((G52*H52/16*H52/16*10.680159)+(I52*2*J52/16*J52/16*10.680159)+IF(L52=0,0,((K52/16*K52/16)*3.145*0.2836*((((C52*2))+(D52*2))*12/L52))))+(M52/16*M52/16*10.680159*(12/IF(N52=0,1,N52))*O52))*(1+K$74)</f>
        <v>9.112820165625001</v>
      </c>
      <c r="Q52" s="1856"/>
      <c r="R52" s="1856"/>
      <c r="S52" s="1857"/>
      <c r="T52" s="1868">
        <f t="shared" ref="T52:T61" si="71">(C52/12*D52/324)*(1+K$71)</f>
        <v>0.13333333333333333</v>
      </c>
      <c r="U52" s="1856"/>
      <c r="V52" s="1856"/>
      <c r="W52" s="1856"/>
      <c r="X52" s="1856"/>
      <c r="Y52" s="1869"/>
      <c r="Z52" s="298"/>
      <c r="AA52" s="1875">
        <f>IF(I83=0,0,L74/I83)</f>
        <v>0</v>
      </c>
      <c r="AB52" s="1876"/>
      <c r="AC52" s="504">
        <v>20</v>
      </c>
      <c r="AD52" s="498">
        <v>3</v>
      </c>
      <c r="AE52" s="499">
        <v>1</v>
      </c>
      <c r="AF52" s="507">
        <f t="shared" ref="AF52:AF60" si="72">AC52*(AD52*AD52*0.04180884375)*AE52</f>
        <v>7.5255918749999999</v>
      </c>
      <c r="AG52" s="769"/>
      <c r="AH52" s="769"/>
      <c r="AI52" s="769"/>
      <c r="AM52" s="702">
        <f>D52*2/12</f>
        <v>5</v>
      </c>
      <c r="GA52" s="769"/>
      <c r="GB52" s="769"/>
      <c r="GC52" s="769"/>
      <c r="GD52" s="769"/>
      <c r="GE52" s="769"/>
      <c r="GF52" s="769"/>
      <c r="GG52" s="769"/>
      <c r="GH52" s="769"/>
      <c r="GI52" s="769"/>
      <c r="GJ52" s="769"/>
      <c r="GK52" s="769"/>
      <c r="GL52" s="769"/>
      <c r="GM52" s="769"/>
      <c r="GN52" s="769"/>
      <c r="GO52" s="769"/>
      <c r="GP52" s="769"/>
      <c r="GQ52" s="769"/>
      <c r="GR52" s="769"/>
      <c r="GS52" s="769"/>
      <c r="GT52" s="769"/>
      <c r="GU52" s="769"/>
      <c r="GV52" s="769"/>
      <c r="GW52" s="769"/>
      <c r="GX52" s="769"/>
      <c r="GY52" s="769"/>
      <c r="GZ52" s="769"/>
      <c r="HA52" s="769"/>
      <c r="HB52" s="769"/>
      <c r="HC52" s="769"/>
      <c r="HD52" s="769"/>
      <c r="HE52" s="769"/>
      <c r="HF52" s="769"/>
      <c r="HG52" s="769"/>
      <c r="HH52" s="769"/>
      <c r="HI52" s="769"/>
      <c r="HJ52" s="769"/>
      <c r="HK52" s="769"/>
      <c r="HL52" s="769"/>
      <c r="HM52" s="769"/>
      <c r="HN52" s="769"/>
      <c r="HO52" s="769"/>
      <c r="HP52" s="769"/>
      <c r="HQ52" s="769"/>
      <c r="HR52" s="769"/>
      <c r="HS52" s="769"/>
      <c r="HT52" s="769"/>
      <c r="HU52" s="769"/>
      <c r="HV52" s="769"/>
      <c r="HW52" s="769"/>
      <c r="HX52" s="769"/>
      <c r="HY52" s="769"/>
      <c r="HZ52" s="769"/>
      <c r="IA52" s="769"/>
      <c r="IB52" s="769"/>
      <c r="IC52" s="769"/>
      <c r="ID52" s="769"/>
    </row>
    <row r="53" spans="2:238" s="702" customFormat="1" ht="20.149999999999999" customHeight="1" thickBot="1" x14ac:dyDescent="0.4">
      <c r="B53" s="787">
        <v>2</v>
      </c>
      <c r="C53" s="264">
        <v>12</v>
      </c>
      <c r="D53" s="121">
        <v>24</v>
      </c>
      <c r="E53" s="30">
        <v>2</v>
      </c>
      <c r="F53" s="610">
        <v>5</v>
      </c>
      <c r="G53" s="30">
        <v>2</v>
      </c>
      <c r="H53" s="121">
        <v>5</v>
      </c>
      <c r="I53" s="30"/>
      <c r="J53" s="121"/>
      <c r="K53" s="30">
        <v>3</v>
      </c>
      <c r="L53" s="121">
        <v>24</v>
      </c>
      <c r="M53" s="264"/>
      <c r="N53" s="265"/>
      <c r="O53" s="266"/>
      <c r="P53" s="1856">
        <f t="shared" si="70"/>
        <v>5.8308534796874998</v>
      </c>
      <c r="Q53" s="1856"/>
      <c r="R53" s="1856"/>
      <c r="S53" s="1857"/>
      <c r="T53" s="1868">
        <f t="shared" si="71"/>
        <v>0.08</v>
      </c>
      <c r="U53" s="1856"/>
      <c r="V53" s="1856"/>
      <c r="W53" s="1856"/>
      <c r="X53" s="1856"/>
      <c r="Y53" s="1869"/>
      <c r="Z53" s="298"/>
      <c r="AA53" s="1877"/>
      <c r="AB53" s="1878"/>
      <c r="AC53" s="504">
        <v>20</v>
      </c>
      <c r="AD53" s="498">
        <v>4</v>
      </c>
      <c r="AE53" s="499">
        <v>1</v>
      </c>
      <c r="AF53" s="507">
        <f t="shared" si="72"/>
        <v>13.378829999999999</v>
      </c>
      <c r="AG53" s="769"/>
      <c r="AH53" s="769"/>
      <c r="AI53" s="769"/>
      <c r="AM53" s="702">
        <f t="shared" ref="AM53:AM60" si="73">D53*2/12</f>
        <v>4</v>
      </c>
      <c r="GA53" s="769"/>
      <c r="GB53" s="769"/>
      <c r="GC53" s="769"/>
      <c r="GD53" s="769"/>
      <c r="GE53" s="769"/>
      <c r="GF53" s="769"/>
      <c r="GG53" s="769"/>
      <c r="GH53" s="769"/>
      <c r="GI53" s="769"/>
      <c r="GJ53" s="769"/>
      <c r="GK53" s="769"/>
      <c r="GL53" s="769"/>
      <c r="GM53" s="769"/>
      <c r="GN53" s="769"/>
      <c r="GO53" s="769"/>
      <c r="GP53" s="769"/>
      <c r="GQ53" s="769"/>
      <c r="GR53" s="769"/>
      <c r="GS53" s="769"/>
      <c r="GT53" s="769"/>
      <c r="GU53" s="769"/>
      <c r="GV53" s="769"/>
      <c r="GW53" s="769"/>
      <c r="GX53" s="769"/>
      <c r="GY53" s="769"/>
      <c r="GZ53" s="769"/>
      <c r="HA53" s="769"/>
      <c r="HB53" s="769"/>
      <c r="HC53" s="769"/>
      <c r="HD53" s="769"/>
      <c r="HE53" s="769"/>
      <c r="HF53" s="769"/>
      <c r="HG53" s="769"/>
      <c r="HH53" s="769"/>
      <c r="HI53" s="769"/>
      <c r="HJ53" s="769"/>
      <c r="HK53" s="769"/>
      <c r="HL53" s="769"/>
      <c r="HM53" s="769"/>
      <c r="HN53" s="769"/>
      <c r="HO53" s="769"/>
      <c r="HP53" s="769"/>
      <c r="HQ53" s="769"/>
      <c r="HR53" s="769"/>
      <c r="HS53" s="769"/>
      <c r="HT53" s="769"/>
      <c r="HU53" s="769"/>
      <c r="HV53" s="769"/>
      <c r="HW53" s="769"/>
      <c r="HX53" s="769"/>
      <c r="HY53" s="769"/>
      <c r="HZ53" s="769"/>
      <c r="IA53" s="769"/>
      <c r="IB53" s="769"/>
      <c r="IC53" s="769"/>
      <c r="ID53" s="769"/>
    </row>
    <row r="54" spans="2:238" s="702" customFormat="1" ht="20.149999999999999" customHeight="1" x14ac:dyDescent="0.35">
      <c r="B54" s="786">
        <v>3</v>
      </c>
      <c r="C54" s="264">
        <v>12</v>
      </c>
      <c r="D54" s="121">
        <v>30</v>
      </c>
      <c r="E54" s="30">
        <v>2</v>
      </c>
      <c r="F54" s="121">
        <v>5</v>
      </c>
      <c r="G54" s="30"/>
      <c r="H54" s="121"/>
      <c r="I54" s="30">
        <v>2</v>
      </c>
      <c r="J54" s="121">
        <v>4</v>
      </c>
      <c r="K54" s="30">
        <v>3</v>
      </c>
      <c r="L54" s="121">
        <v>24</v>
      </c>
      <c r="M54" s="264"/>
      <c r="N54" s="30"/>
      <c r="O54" s="266"/>
      <c r="P54" s="1856">
        <f t="shared" si="70"/>
        <v>6.6802855710937505</v>
      </c>
      <c r="Q54" s="1856"/>
      <c r="R54" s="1856"/>
      <c r="S54" s="1857"/>
      <c r="T54" s="1868">
        <f t="shared" si="71"/>
        <v>0.1</v>
      </c>
      <c r="U54" s="1856"/>
      <c r="V54" s="1856"/>
      <c r="W54" s="1856"/>
      <c r="X54" s="1856"/>
      <c r="Y54" s="1869"/>
      <c r="Z54" s="298"/>
      <c r="AA54" s="789" t="s">
        <v>710</v>
      </c>
      <c r="AB54" s="788"/>
      <c r="AC54" s="504">
        <v>20</v>
      </c>
      <c r="AD54" s="498">
        <v>5</v>
      </c>
      <c r="AE54" s="499">
        <v>1</v>
      </c>
      <c r="AF54" s="507">
        <f t="shared" si="72"/>
        <v>20.904421874999997</v>
      </c>
      <c r="AG54" s="769"/>
      <c r="AH54" s="769"/>
      <c r="AI54" s="769"/>
      <c r="AM54" s="702">
        <f t="shared" si="73"/>
        <v>5</v>
      </c>
      <c r="GA54" s="769"/>
      <c r="GB54" s="769"/>
      <c r="GC54" s="769"/>
      <c r="GD54" s="769"/>
      <c r="GE54" s="769"/>
      <c r="GF54" s="769"/>
      <c r="GG54" s="769"/>
      <c r="GH54" s="769"/>
      <c r="GI54" s="769"/>
      <c r="GJ54" s="769"/>
      <c r="GK54" s="769"/>
      <c r="GL54" s="769"/>
      <c r="GM54" s="769"/>
      <c r="GN54" s="769"/>
      <c r="GO54" s="769"/>
      <c r="GP54" s="769"/>
      <c r="GQ54" s="769"/>
      <c r="GR54" s="769"/>
      <c r="GS54" s="769"/>
      <c r="GT54" s="769"/>
      <c r="GU54" s="769"/>
      <c r="GV54" s="769"/>
      <c r="GW54" s="769"/>
      <c r="GX54" s="769"/>
      <c r="GY54" s="769"/>
      <c r="GZ54" s="769"/>
      <c r="HA54" s="769"/>
      <c r="HB54" s="769"/>
      <c r="HC54" s="769"/>
      <c r="HD54" s="769"/>
      <c r="HE54" s="769"/>
      <c r="HF54" s="769"/>
      <c r="HG54" s="769"/>
      <c r="HH54" s="769"/>
      <c r="HI54" s="769"/>
      <c r="HJ54" s="769"/>
      <c r="HK54" s="769"/>
      <c r="HL54" s="769"/>
      <c r="HM54" s="769"/>
      <c r="HN54" s="769"/>
      <c r="HO54" s="769"/>
      <c r="HP54" s="769"/>
      <c r="HQ54" s="769"/>
      <c r="HR54" s="769"/>
      <c r="HS54" s="769"/>
      <c r="HT54" s="769"/>
      <c r="HU54" s="769"/>
      <c r="HV54" s="769"/>
      <c r="HW54" s="769"/>
      <c r="HX54" s="769"/>
      <c r="HY54" s="769"/>
      <c r="HZ54" s="769"/>
      <c r="IA54" s="769"/>
      <c r="IB54" s="769"/>
      <c r="IC54" s="769"/>
      <c r="ID54" s="769"/>
    </row>
    <row r="55" spans="2:238" s="702" customFormat="1" ht="20.149999999999999" customHeight="1" x14ac:dyDescent="0.35">
      <c r="B55" s="786">
        <v>4</v>
      </c>
      <c r="C55" s="264">
        <v>36</v>
      </c>
      <c r="D55" s="121">
        <v>12</v>
      </c>
      <c r="E55" s="30">
        <v>2</v>
      </c>
      <c r="F55" s="121">
        <v>5</v>
      </c>
      <c r="G55" s="30"/>
      <c r="H55" s="121"/>
      <c r="I55" s="30"/>
      <c r="J55" s="121"/>
      <c r="K55" s="30">
        <v>3</v>
      </c>
      <c r="L55" s="121">
        <v>24</v>
      </c>
      <c r="M55" s="264"/>
      <c r="N55" s="265"/>
      <c r="O55" s="266"/>
      <c r="P55" s="1856">
        <f t="shared" si="70"/>
        <v>3.95019562265625</v>
      </c>
      <c r="Q55" s="1856"/>
      <c r="R55" s="1856"/>
      <c r="S55" s="1857"/>
      <c r="T55" s="1868">
        <f t="shared" si="71"/>
        <v>0.12</v>
      </c>
      <c r="U55" s="1856"/>
      <c r="V55" s="1856"/>
      <c r="W55" s="1856"/>
      <c r="X55" s="1856"/>
      <c r="Y55" s="1869"/>
      <c r="Z55" s="298"/>
      <c r="AA55" s="1938">
        <f>Summary!L13</f>
        <v>0</v>
      </c>
      <c r="AB55" s="1939"/>
      <c r="AC55" s="504">
        <v>20</v>
      </c>
      <c r="AD55" s="498">
        <v>6</v>
      </c>
      <c r="AE55" s="499">
        <v>1</v>
      </c>
      <c r="AF55" s="507">
        <f t="shared" si="72"/>
        <v>30.1023675</v>
      </c>
      <c r="AG55" s="769"/>
      <c r="AH55" s="769"/>
      <c r="AI55" s="769"/>
      <c r="AM55" s="702">
        <f t="shared" si="73"/>
        <v>2</v>
      </c>
      <c r="GA55" s="769"/>
      <c r="GB55" s="769"/>
      <c r="GC55" s="769"/>
      <c r="GD55" s="769"/>
      <c r="GE55" s="769"/>
      <c r="GF55" s="769"/>
      <c r="GG55" s="769"/>
      <c r="GH55" s="769"/>
      <c r="GI55" s="769"/>
      <c r="GJ55" s="769"/>
      <c r="GK55" s="769"/>
      <c r="GL55" s="769"/>
      <c r="GM55" s="769"/>
      <c r="GN55" s="769"/>
      <c r="GO55" s="769"/>
      <c r="GP55" s="769"/>
      <c r="GQ55" s="769"/>
      <c r="GR55" s="769"/>
      <c r="GS55" s="769"/>
      <c r="GT55" s="769"/>
      <c r="GU55" s="769"/>
      <c r="GV55" s="769"/>
      <c r="GW55" s="769"/>
      <c r="GX55" s="769"/>
      <c r="GY55" s="769"/>
      <c r="GZ55" s="769"/>
      <c r="HA55" s="769"/>
      <c r="HB55" s="769"/>
      <c r="HC55" s="769"/>
      <c r="HD55" s="769"/>
      <c r="HE55" s="769"/>
      <c r="HF55" s="769"/>
      <c r="HG55" s="769"/>
      <c r="HH55" s="769"/>
      <c r="HI55" s="769"/>
      <c r="HJ55" s="769"/>
      <c r="HK55" s="769"/>
      <c r="HL55" s="769"/>
      <c r="HM55" s="769"/>
      <c r="HN55" s="769"/>
      <c r="HO55" s="769"/>
      <c r="HP55" s="769"/>
      <c r="HQ55" s="769"/>
      <c r="HR55" s="769"/>
      <c r="HS55" s="769"/>
      <c r="HT55" s="769"/>
      <c r="HU55" s="769"/>
      <c r="HV55" s="769"/>
      <c r="HW55" s="769"/>
      <c r="HX55" s="769"/>
      <c r="HY55" s="769"/>
      <c r="HZ55" s="769"/>
      <c r="IA55" s="769"/>
      <c r="IB55" s="769"/>
      <c r="IC55" s="769"/>
      <c r="ID55" s="769"/>
    </row>
    <row r="56" spans="2:238" s="702" customFormat="1" ht="20.149999999999999" customHeight="1" x14ac:dyDescent="0.35">
      <c r="B56" s="786">
        <v>5</v>
      </c>
      <c r="C56" s="264">
        <v>12</v>
      </c>
      <c r="D56" s="121">
        <v>30</v>
      </c>
      <c r="E56" s="30">
        <v>2</v>
      </c>
      <c r="F56" s="610">
        <v>5</v>
      </c>
      <c r="G56" s="30">
        <v>2</v>
      </c>
      <c r="H56" s="121">
        <v>5</v>
      </c>
      <c r="I56" s="30"/>
      <c r="J56" s="121"/>
      <c r="K56" s="30">
        <v>3</v>
      </c>
      <c r="L56" s="121">
        <v>16</v>
      </c>
      <c r="M56" s="264"/>
      <c r="N56" s="265"/>
      <c r="O56" s="266"/>
      <c r="P56" s="1856">
        <f t="shared" si="70"/>
        <v>6.7621454742187499</v>
      </c>
      <c r="Q56" s="1856"/>
      <c r="R56" s="1856"/>
      <c r="S56" s="1857"/>
      <c r="T56" s="1868">
        <f t="shared" si="71"/>
        <v>0.1</v>
      </c>
      <c r="U56" s="1856"/>
      <c r="V56" s="1856"/>
      <c r="W56" s="1856"/>
      <c r="X56" s="1856"/>
      <c r="Y56" s="1869"/>
      <c r="Z56" s="298"/>
      <c r="AA56" s="1940"/>
      <c r="AB56" s="1941"/>
      <c r="AC56" s="504">
        <v>20</v>
      </c>
      <c r="AD56" s="498">
        <v>7</v>
      </c>
      <c r="AE56" s="499">
        <v>1</v>
      </c>
      <c r="AF56" s="507">
        <f t="shared" si="72"/>
        <v>40.972666874999994</v>
      </c>
      <c r="AG56" s="769"/>
      <c r="AH56" s="769"/>
      <c r="AI56" s="769"/>
      <c r="AM56" s="702">
        <f t="shared" si="73"/>
        <v>5</v>
      </c>
      <c r="GA56" s="769"/>
      <c r="GB56" s="769"/>
      <c r="GC56" s="769"/>
      <c r="GD56" s="769"/>
      <c r="GE56" s="769"/>
      <c r="GF56" s="769"/>
      <c r="GG56" s="769"/>
      <c r="GH56" s="769"/>
      <c r="GI56" s="769"/>
      <c r="GJ56" s="769"/>
      <c r="GK56" s="769"/>
      <c r="GL56" s="769"/>
      <c r="GM56" s="769"/>
      <c r="GN56" s="769"/>
      <c r="GO56" s="769"/>
      <c r="GP56" s="769"/>
      <c r="GQ56" s="769"/>
      <c r="GR56" s="769"/>
      <c r="GS56" s="769"/>
      <c r="GT56" s="769"/>
      <c r="GU56" s="769"/>
      <c r="GV56" s="769"/>
      <c r="GW56" s="769"/>
      <c r="GX56" s="769"/>
      <c r="GY56" s="769"/>
      <c r="GZ56" s="769"/>
      <c r="HA56" s="769"/>
      <c r="HB56" s="769"/>
      <c r="HC56" s="769"/>
      <c r="HD56" s="769"/>
      <c r="HE56" s="769"/>
      <c r="HF56" s="769"/>
      <c r="HG56" s="769"/>
      <c r="HH56" s="769"/>
      <c r="HI56" s="769"/>
      <c r="HJ56" s="769"/>
      <c r="HK56" s="769"/>
      <c r="HL56" s="769"/>
      <c r="HM56" s="769"/>
      <c r="HN56" s="769"/>
      <c r="HO56" s="769"/>
      <c r="HP56" s="769"/>
      <c r="HQ56" s="769"/>
      <c r="HR56" s="769"/>
      <c r="HS56" s="769"/>
      <c r="HT56" s="769"/>
      <c r="HU56" s="769"/>
      <c r="HV56" s="769"/>
      <c r="HW56" s="769"/>
      <c r="HX56" s="769"/>
      <c r="HY56" s="769"/>
      <c r="HZ56" s="769"/>
      <c r="IA56" s="769"/>
      <c r="IB56" s="769"/>
      <c r="IC56" s="769"/>
      <c r="ID56" s="769"/>
    </row>
    <row r="57" spans="2:238" s="702" customFormat="1" ht="20.149999999999999" customHeight="1" thickBot="1" x14ac:dyDescent="0.4">
      <c r="B57" s="786">
        <v>6</v>
      </c>
      <c r="C57" s="264">
        <v>12</v>
      </c>
      <c r="D57" s="121">
        <v>30</v>
      </c>
      <c r="E57" s="30">
        <v>2</v>
      </c>
      <c r="F57" s="610">
        <v>5</v>
      </c>
      <c r="G57" s="30">
        <v>2</v>
      </c>
      <c r="H57" s="121">
        <v>5</v>
      </c>
      <c r="I57" s="30"/>
      <c r="J57" s="121"/>
      <c r="K57" s="30">
        <v>3</v>
      </c>
      <c r="L57" s="121">
        <v>16</v>
      </c>
      <c r="M57" s="264"/>
      <c r="N57" s="265"/>
      <c r="O57" s="266"/>
      <c r="P57" s="1856">
        <f t="shared" si="70"/>
        <v>6.7621454742187499</v>
      </c>
      <c r="Q57" s="1856"/>
      <c r="R57" s="1856"/>
      <c r="S57" s="1857"/>
      <c r="T57" s="1868">
        <f t="shared" si="71"/>
        <v>0.1</v>
      </c>
      <c r="U57" s="1856"/>
      <c r="V57" s="1856"/>
      <c r="W57" s="1856"/>
      <c r="X57" s="1856"/>
      <c r="Y57" s="1869"/>
      <c r="Z57" s="298"/>
      <c r="AA57" s="1942"/>
      <c r="AB57" s="1943"/>
      <c r="AC57" s="504">
        <v>20</v>
      </c>
      <c r="AD57" s="498">
        <v>8</v>
      </c>
      <c r="AE57" s="499">
        <v>1</v>
      </c>
      <c r="AF57" s="507">
        <f t="shared" si="72"/>
        <v>53.515319999999996</v>
      </c>
      <c r="AG57" s="769"/>
      <c r="AH57" s="769"/>
      <c r="AI57" s="769"/>
      <c r="AM57" s="702">
        <f t="shared" si="73"/>
        <v>5</v>
      </c>
      <c r="GA57" s="769"/>
      <c r="GB57" s="769"/>
      <c r="GC57" s="769"/>
      <c r="GD57" s="769"/>
      <c r="GE57" s="769"/>
      <c r="GF57" s="769"/>
      <c r="GG57" s="769"/>
      <c r="GH57" s="769"/>
      <c r="GI57" s="769"/>
      <c r="GJ57" s="769"/>
      <c r="GK57" s="769"/>
      <c r="GL57" s="769"/>
      <c r="GM57" s="769"/>
      <c r="GN57" s="769"/>
      <c r="GO57" s="769"/>
      <c r="GP57" s="769"/>
      <c r="GQ57" s="769"/>
      <c r="GR57" s="769"/>
      <c r="GS57" s="769"/>
      <c r="GT57" s="769"/>
      <c r="GU57" s="769"/>
      <c r="GV57" s="769"/>
      <c r="GW57" s="769"/>
      <c r="GX57" s="769"/>
      <c r="GY57" s="769"/>
      <c r="GZ57" s="769"/>
      <c r="HA57" s="769"/>
      <c r="HB57" s="769"/>
      <c r="HC57" s="769"/>
      <c r="HD57" s="769"/>
      <c r="HE57" s="769"/>
      <c r="HF57" s="769"/>
      <c r="HG57" s="769"/>
      <c r="HH57" s="769"/>
      <c r="HI57" s="769"/>
      <c r="HJ57" s="769"/>
      <c r="HK57" s="769"/>
      <c r="HL57" s="769"/>
      <c r="HM57" s="769"/>
      <c r="HN57" s="769"/>
      <c r="HO57" s="769"/>
      <c r="HP57" s="769"/>
      <c r="HQ57" s="769"/>
      <c r="HR57" s="769"/>
      <c r="HS57" s="769"/>
      <c r="HT57" s="769"/>
      <c r="HU57" s="769"/>
      <c r="HV57" s="769"/>
      <c r="HW57" s="769"/>
      <c r="HX57" s="769"/>
      <c r="HY57" s="769"/>
      <c r="HZ57" s="769"/>
      <c r="IA57" s="769"/>
      <c r="IB57" s="769"/>
      <c r="IC57" s="769"/>
      <c r="ID57" s="769"/>
    </row>
    <row r="58" spans="2:238" s="702" customFormat="1" ht="20.149999999999999" customHeight="1" x14ac:dyDescent="0.35">
      <c r="B58" s="786">
        <v>7</v>
      </c>
      <c r="C58" s="264">
        <v>12</v>
      </c>
      <c r="D58" s="121">
        <v>18</v>
      </c>
      <c r="E58" s="30">
        <v>2</v>
      </c>
      <c r="F58" s="610">
        <v>5</v>
      </c>
      <c r="G58" s="30"/>
      <c r="H58" s="121"/>
      <c r="I58" s="30"/>
      <c r="J58" s="121"/>
      <c r="K58" s="30">
        <v>3</v>
      </c>
      <c r="L58" s="121">
        <v>16</v>
      </c>
      <c r="M58" s="264"/>
      <c r="N58" s="265"/>
      <c r="O58" s="266"/>
      <c r="P58" s="1856">
        <f t="shared" si="70"/>
        <v>3.8467187343749996</v>
      </c>
      <c r="Q58" s="1856"/>
      <c r="R58" s="1856"/>
      <c r="S58" s="1857"/>
      <c r="T58" s="1868">
        <f t="shared" si="71"/>
        <v>0.06</v>
      </c>
      <c r="U58" s="1856"/>
      <c r="V58" s="1856"/>
      <c r="W58" s="1856"/>
      <c r="X58" s="1856"/>
      <c r="Y58" s="1869"/>
      <c r="Z58" s="298"/>
      <c r="AA58" s="1903"/>
      <c r="AB58" s="1904"/>
      <c r="AC58" s="504">
        <v>20</v>
      </c>
      <c r="AD58" s="498">
        <v>9</v>
      </c>
      <c r="AE58" s="499">
        <v>1</v>
      </c>
      <c r="AF58" s="507">
        <f t="shared" si="72"/>
        <v>67.730326875000003</v>
      </c>
      <c r="AG58" s="769"/>
      <c r="AH58" s="769"/>
      <c r="AI58" s="769"/>
      <c r="AM58" s="702">
        <f t="shared" si="73"/>
        <v>3</v>
      </c>
      <c r="GA58" s="769"/>
      <c r="GB58" s="769"/>
      <c r="GC58" s="769"/>
      <c r="GD58" s="769"/>
      <c r="GE58" s="769"/>
      <c r="GF58" s="769"/>
      <c r="GG58" s="769"/>
      <c r="GH58" s="769"/>
      <c r="GI58" s="769"/>
      <c r="GJ58" s="769"/>
      <c r="GK58" s="769"/>
      <c r="GL58" s="769"/>
      <c r="GM58" s="769"/>
      <c r="GN58" s="769"/>
      <c r="GO58" s="769"/>
      <c r="GP58" s="769"/>
      <c r="GQ58" s="769"/>
      <c r="GR58" s="769"/>
      <c r="GS58" s="769"/>
      <c r="GT58" s="769"/>
      <c r="GU58" s="769"/>
      <c r="GV58" s="769"/>
      <c r="GW58" s="769"/>
      <c r="GX58" s="769"/>
      <c r="GY58" s="769"/>
      <c r="GZ58" s="769"/>
      <c r="HA58" s="769"/>
      <c r="HB58" s="769"/>
      <c r="HC58" s="769"/>
      <c r="HD58" s="769"/>
      <c r="HE58" s="769"/>
      <c r="HF58" s="769"/>
      <c r="HG58" s="769"/>
      <c r="HH58" s="769"/>
      <c r="HI58" s="769"/>
      <c r="HJ58" s="769"/>
      <c r="HK58" s="769"/>
      <c r="HL58" s="769"/>
      <c r="HM58" s="769"/>
      <c r="HN58" s="769"/>
      <c r="HO58" s="769"/>
      <c r="HP58" s="769"/>
      <c r="HQ58" s="769"/>
      <c r="HR58" s="769"/>
      <c r="HS58" s="769"/>
      <c r="HT58" s="769"/>
      <c r="HU58" s="769"/>
      <c r="HV58" s="769"/>
      <c r="HW58" s="769"/>
      <c r="HX58" s="769"/>
      <c r="HY58" s="769"/>
      <c r="HZ58" s="769"/>
      <c r="IA58" s="769"/>
      <c r="IB58" s="769"/>
      <c r="IC58" s="769"/>
      <c r="ID58" s="769"/>
    </row>
    <row r="59" spans="2:238" s="702" customFormat="1" ht="20.149999999999999" customHeight="1" thickBot="1" x14ac:dyDescent="0.4">
      <c r="B59" s="786">
        <v>8</v>
      </c>
      <c r="C59" s="264">
        <v>12</v>
      </c>
      <c r="D59" s="121">
        <v>30</v>
      </c>
      <c r="E59" s="30">
        <v>2</v>
      </c>
      <c r="F59" s="610">
        <v>5</v>
      </c>
      <c r="G59" s="30">
        <v>2</v>
      </c>
      <c r="H59" s="121">
        <v>5</v>
      </c>
      <c r="I59" s="30"/>
      <c r="J59" s="121"/>
      <c r="K59" s="30">
        <v>3</v>
      </c>
      <c r="L59" s="121">
        <v>16</v>
      </c>
      <c r="M59" s="264"/>
      <c r="N59" s="265"/>
      <c r="O59" s="266"/>
      <c r="P59" s="1856">
        <f t="shared" si="70"/>
        <v>6.7621454742187499</v>
      </c>
      <c r="Q59" s="1856"/>
      <c r="R59" s="1856"/>
      <c r="S59" s="1857"/>
      <c r="T59" s="1868">
        <f t="shared" si="71"/>
        <v>0.1</v>
      </c>
      <c r="U59" s="1856"/>
      <c r="V59" s="1856"/>
      <c r="W59" s="1856"/>
      <c r="X59" s="1856"/>
      <c r="Y59" s="1869"/>
      <c r="Z59" s="298"/>
      <c r="AA59" s="1905"/>
      <c r="AB59" s="1906"/>
      <c r="AC59" s="504">
        <v>20</v>
      </c>
      <c r="AD59" s="498">
        <v>10</v>
      </c>
      <c r="AE59" s="499">
        <v>1</v>
      </c>
      <c r="AF59" s="507">
        <f t="shared" si="72"/>
        <v>83.617687499999988</v>
      </c>
      <c r="AG59" s="769"/>
      <c r="AH59" s="769"/>
      <c r="AI59" s="769"/>
      <c r="AM59" s="702">
        <f t="shared" si="73"/>
        <v>5</v>
      </c>
      <c r="GA59" s="769"/>
      <c r="GB59" s="769"/>
      <c r="GC59" s="769"/>
      <c r="GD59" s="769"/>
      <c r="GE59" s="769"/>
      <c r="GF59" s="769"/>
      <c r="GG59" s="769"/>
      <c r="GH59" s="769"/>
      <c r="GI59" s="769"/>
      <c r="GJ59" s="769"/>
      <c r="GK59" s="769"/>
      <c r="GL59" s="769"/>
      <c r="GM59" s="769"/>
      <c r="GN59" s="769"/>
      <c r="GO59" s="769"/>
      <c r="GP59" s="769"/>
      <c r="GQ59" s="769"/>
      <c r="GR59" s="769"/>
      <c r="GS59" s="769"/>
      <c r="GT59" s="769"/>
      <c r="GU59" s="769"/>
      <c r="GV59" s="769"/>
      <c r="GW59" s="769"/>
      <c r="GX59" s="769"/>
      <c r="GY59" s="769"/>
      <c r="GZ59" s="769"/>
      <c r="HA59" s="769"/>
      <c r="HB59" s="769"/>
      <c r="HC59" s="769"/>
      <c r="HD59" s="769"/>
      <c r="HE59" s="769"/>
      <c r="HF59" s="769"/>
      <c r="HG59" s="769"/>
      <c r="HH59" s="769"/>
      <c r="HI59" s="769"/>
      <c r="HJ59" s="769"/>
      <c r="HK59" s="769"/>
      <c r="HL59" s="769"/>
      <c r="HM59" s="769"/>
      <c r="HN59" s="769"/>
      <c r="HO59" s="769"/>
      <c r="HP59" s="769"/>
      <c r="HQ59" s="769"/>
      <c r="HR59" s="769"/>
      <c r="HS59" s="769"/>
      <c r="HT59" s="769"/>
      <c r="HU59" s="769"/>
      <c r="HV59" s="769"/>
      <c r="HW59" s="769"/>
      <c r="HX59" s="769"/>
      <c r="HY59" s="769"/>
      <c r="HZ59" s="769"/>
      <c r="IA59" s="769"/>
      <c r="IB59" s="769"/>
      <c r="IC59" s="769"/>
      <c r="ID59" s="769"/>
    </row>
    <row r="60" spans="2:238" s="702" customFormat="1" ht="20.149999999999999" customHeight="1" thickBot="1" x14ac:dyDescent="0.4">
      <c r="B60" s="786">
        <v>9</v>
      </c>
      <c r="C60" s="264">
        <v>12</v>
      </c>
      <c r="D60" s="121">
        <v>12</v>
      </c>
      <c r="E60" s="30">
        <v>2</v>
      </c>
      <c r="F60" s="610">
        <v>5</v>
      </c>
      <c r="G60" s="30">
        <v>2</v>
      </c>
      <c r="H60" s="121">
        <v>5</v>
      </c>
      <c r="I60" s="30"/>
      <c r="J60" s="121"/>
      <c r="K60" s="30">
        <v>3</v>
      </c>
      <c r="L60" s="121">
        <v>16</v>
      </c>
      <c r="M60" s="264"/>
      <c r="N60" s="265"/>
      <c r="O60" s="266"/>
      <c r="P60" s="1856">
        <f t="shared" si="70"/>
        <v>5.8308534796874998</v>
      </c>
      <c r="Q60" s="1856"/>
      <c r="R60" s="1856"/>
      <c r="S60" s="1857"/>
      <c r="T60" s="1868">
        <f t="shared" si="71"/>
        <v>0.04</v>
      </c>
      <c r="U60" s="1856"/>
      <c r="V60" s="1856"/>
      <c r="W60" s="1856"/>
      <c r="X60" s="1856"/>
      <c r="Y60" s="1869"/>
      <c r="Z60" s="298"/>
      <c r="AA60" s="676"/>
      <c r="AB60" s="676"/>
      <c r="AC60" s="505">
        <v>20</v>
      </c>
      <c r="AD60" s="682">
        <v>11</v>
      </c>
      <c r="AE60" s="506">
        <v>1</v>
      </c>
      <c r="AF60" s="508">
        <f t="shared" si="72"/>
        <v>101.17740187499999</v>
      </c>
      <c r="AG60" s="769"/>
      <c r="AH60" s="769"/>
      <c r="AI60" s="769"/>
      <c r="AM60" s="702">
        <f t="shared" si="73"/>
        <v>2</v>
      </c>
      <c r="GA60" s="769"/>
      <c r="GB60" s="769"/>
      <c r="GC60" s="769"/>
      <c r="GD60" s="769"/>
      <c r="GE60" s="769"/>
      <c r="GF60" s="769"/>
      <c r="GG60" s="769"/>
      <c r="GH60" s="769"/>
      <c r="GI60" s="769"/>
      <c r="GJ60" s="769"/>
      <c r="GK60" s="769"/>
      <c r="GL60" s="769"/>
      <c r="GM60" s="769"/>
      <c r="GN60" s="769"/>
      <c r="GO60" s="769"/>
      <c r="GP60" s="769"/>
      <c r="GQ60" s="769"/>
      <c r="GR60" s="769"/>
      <c r="GS60" s="769"/>
      <c r="GT60" s="769"/>
      <c r="GU60" s="769"/>
      <c r="GV60" s="769"/>
      <c r="GW60" s="769"/>
      <c r="GX60" s="769"/>
      <c r="GY60" s="769"/>
      <c r="GZ60" s="769"/>
      <c r="HA60" s="769"/>
      <c r="HB60" s="769"/>
      <c r="HC60" s="769"/>
      <c r="HD60" s="769"/>
      <c r="HE60" s="769"/>
      <c r="HF60" s="769"/>
      <c r="HG60" s="769"/>
      <c r="HH60" s="769"/>
      <c r="HI60" s="769"/>
      <c r="HJ60" s="769"/>
      <c r="HK60" s="769"/>
      <c r="HL60" s="769"/>
      <c r="HM60" s="769"/>
      <c r="HN60" s="769"/>
      <c r="HO60" s="769"/>
      <c r="HP60" s="769"/>
      <c r="HQ60" s="769"/>
      <c r="HR60" s="769"/>
      <c r="HS60" s="769"/>
      <c r="HT60" s="769"/>
      <c r="HU60" s="769"/>
      <c r="HV60" s="769"/>
      <c r="HW60" s="769"/>
      <c r="HX60" s="769"/>
      <c r="HY60" s="769"/>
      <c r="HZ60" s="769"/>
      <c r="IA60" s="769"/>
      <c r="IB60" s="769"/>
      <c r="IC60" s="769"/>
      <c r="ID60" s="769"/>
    </row>
    <row r="61" spans="2:238" s="702" customFormat="1" ht="20.149999999999999" customHeight="1" thickBot="1" x14ac:dyDescent="0.4">
      <c r="B61" s="786">
        <v>10</v>
      </c>
      <c r="C61" s="264">
        <v>12</v>
      </c>
      <c r="D61" s="121">
        <v>12</v>
      </c>
      <c r="E61" s="30">
        <v>2</v>
      </c>
      <c r="F61" s="121">
        <v>4</v>
      </c>
      <c r="G61" s="30"/>
      <c r="H61" s="121"/>
      <c r="I61" s="30"/>
      <c r="J61" s="121"/>
      <c r="K61" s="30"/>
      <c r="L61" s="121"/>
      <c r="M61" s="264"/>
      <c r="N61" s="30"/>
      <c r="O61" s="266"/>
      <c r="P61" s="1856">
        <f t="shared" si="70"/>
        <v>1.4685218625000001</v>
      </c>
      <c r="Q61" s="1856"/>
      <c r="R61" s="1856"/>
      <c r="S61" s="1857"/>
      <c r="T61" s="1868">
        <f t="shared" si="71"/>
        <v>0.04</v>
      </c>
      <c r="U61" s="1856"/>
      <c r="V61" s="1856"/>
      <c r="W61" s="1856"/>
      <c r="X61" s="1856"/>
      <c r="Y61" s="1869"/>
      <c r="Z61" s="298"/>
      <c r="AA61" s="342"/>
      <c r="AB61" s="1902">
        <f>SUM(BX49:CM49)</f>
        <v>0</v>
      </c>
      <c r="AC61" s="1902"/>
      <c r="AD61" s="343">
        <f>AC64-AB61</f>
        <v>0</v>
      </c>
      <c r="AE61" s="299"/>
      <c r="AF61" s="299"/>
      <c r="AG61" s="769"/>
      <c r="AH61" s="769"/>
      <c r="AI61" s="769"/>
      <c r="AM61" s="702">
        <f>D61*2/12</f>
        <v>2</v>
      </c>
      <c r="GA61" s="769"/>
      <c r="GB61" s="769"/>
      <c r="GC61" s="769"/>
      <c r="GD61" s="769"/>
      <c r="GE61" s="769"/>
      <c r="GF61" s="769"/>
      <c r="GG61" s="769"/>
      <c r="GH61" s="769"/>
      <c r="GI61" s="769"/>
      <c r="GJ61" s="769"/>
      <c r="GK61" s="769"/>
      <c r="GL61" s="769"/>
      <c r="GM61" s="769"/>
      <c r="GN61" s="769"/>
      <c r="GO61" s="769"/>
      <c r="GP61" s="769"/>
      <c r="GQ61" s="769"/>
      <c r="GR61" s="769"/>
      <c r="GS61" s="769"/>
      <c r="GT61" s="769"/>
      <c r="GU61" s="769"/>
      <c r="GV61" s="769"/>
      <c r="GW61" s="769"/>
      <c r="GX61" s="769"/>
      <c r="GY61" s="769"/>
      <c r="GZ61" s="769"/>
      <c r="HA61" s="769"/>
      <c r="HB61" s="769"/>
      <c r="HC61" s="769"/>
      <c r="HD61" s="769"/>
      <c r="HE61" s="769"/>
      <c r="HF61" s="769"/>
      <c r="HG61" s="769"/>
      <c r="HH61" s="769"/>
      <c r="HI61" s="769"/>
      <c r="HJ61" s="769"/>
      <c r="HK61" s="769"/>
      <c r="HL61" s="769"/>
      <c r="HM61" s="769"/>
      <c r="HN61" s="769"/>
      <c r="HO61" s="769"/>
      <c r="HP61" s="769"/>
      <c r="HQ61" s="769"/>
      <c r="HR61" s="769"/>
      <c r="HS61" s="769"/>
      <c r="HT61" s="769"/>
      <c r="HU61" s="769"/>
      <c r="HV61" s="769"/>
      <c r="HW61" s="769"/>
      <c r="HX61" s="769"/>
      <c r="HY61" s="769"/>
      <c r="HZ61" s="769"/>
      <c r="IA61" s="769"/>
      <c r="IB61" s="769"/>
      <c r="IC61" s="769"/>
      <c r="ID61" s="769"/>
    </row>
    <row r="62" spans="2:238" s="702" customFormat="1" ht="20.149999999999999" customHeight="1" thickBot="1" x14ac:dyDescent="0.4">
      <c r="B62" s="898"/>
      <c r="C62" s="899"/>
      <c r="D62" s="899"/>
      <c r="E62" s="899"/>
      <c r="F62" s="899"/>
      <c r="G62" s="899"/>
      <c r="H62" s="899"/>
      <c r="I62" s="899"/>
      <c r="J62" s="899"/>
      <c r="K62" s="899"/>
      <c r="L62" s="900"/>
      <c r="M62" s="899"/>
      <c r="N62" s="899"/>
      <c r="O62" s="899"/>
      <c r="P62" s="899"/>
      <c r="Q62" s="899"/>
      <c r="R62" s="899"/>
      <c r="S62" s="1170"/>
      <c r="T62" s="1170"/>
      <c r="U62" s="899"/>
      <c r="V62" s="899"/>
      <c r="W62" s="899"/>
      <c r="X62" s="899"/>
      <c r="Y62" s="899"/>
      <c r="Z62" s="899"/>
      <c r="AA62" s="899"/>
      <c r="AB62" s="899"/>
      <c r="AC62" s="899"/>
      <c r="AD62" s="899"/>
      <c r="AE62" s="899"/>
      <c r="AF62" s="1171"/>
      <c r="AG62" s="769"/>
      <c r="AH62" s="769"/>
      <c r="AI62" s="769"/>
      <c r="GA62" s="769"/>
      <c r="GB62" s="769"/>
      <c r="GC62" s="769"/>
      <c r="GD62" s="769"/>
      <c r="GE62" s="769"/>
      <c r="GF62" s="769"/>
      <c r="GG62" s="769"/>
      <c r="GH62" s="769"/>
      <c r="GI62" s="769"/>
      <c r="GJ62" s="769"/>
      <c r="GK62" s="769"/>
      <c r="GL62" s="769"/>
      <c r="GM62" s="769"/>
      <c r="GN62" s="769"/>
      <c r="GO62" s="769"/>
      <c r="GP62" s="769"/>
      <c r="GQ62" s="769"/>
      <c r="GR62" s="769"/>
      <c r="GS62" s="769"/>
      <c r="GT62" s="769"/>
      <c r="GU62" s="769"/>
      <c r="GV62" s="769"/>
      <c r="GW62" s="769"/>
      <c r="GX62" s="769"/>
      <c r="GY62" s="769"/>
      <c r="GZ62" s="769"/>
      <c r="HA62" s="769"/>
      <c r="HB62" s="769"/>
      <c r="HC62" s="769"/>
      <c r="HD62" s="769"/>
      <c r="HE62" s="769"/>
      <c r="HF62" s="769"/>
      <c r="HG62" s="769"/>
      <c r="HH62" s="769"/>
      <c r="HI62" s="769"/>
      <c r="HJ62" s="769"/>
      <c r="HK62" s="769"/>
      <c r="HL62" s="769"/>
      <c r="HM62" s="769"/>
      <c r="HN62" s="769"/>
      <c r="HO62" s="769"/>
      <c r="HP62" s="769"/>
      <c r="HQ62" s="769"/>
      <c r="HR62" s="769"/>
      <c r="HS62" s="769"/>
      <c r="HT62" s="769"/>
      <c r="HU62" s="769"/>
      <c r="HV62" s="769"/>
      <c r="HW62" s="769"/>
      <c r="HX62" s="769"/>
      <c r="HY62" s="769"/>
      <c r="HZ62" s="769"/>
      <c r="IA62" s="769"/>
      <c r="IB62" s="769"/>
      <c r="IC62" s="769"/>
      <c r="ID62" s="769"/>
    </row>
    <row r="63" spans="2:238" s="702" customFormat="1" ht="18" customHeight="1" x14ac:dyDescent="0.35">
      <c r="B63" s="1987" t="s">
        <v>185</v>
      </c>
      <c r="C63" s="2041"/>
      <c r="D63" s="1988"/>
      <c r="E63" s="1987" t="s">
        <v>140</v>
      </c>
      <c r="F63" s="1988"/>
      <c r="G63" s="1987" t="s">
        <v>178</v>
      </c>
      <c r="H63" s="2041"/>
      <c r="I63" s="1988"/>
      <c r="J63" s="1935" t="s">
        <v>184</v>
      </c>
      <c r="K63" s="1936"/>
      <c r="L63" s="1937"/>
      <c r="M63" s="2044" t="s">
        <v>179</v>
      </c>
      <c r="N63" s="2045"/>
      <c r="O63" s="132"/>
      <c r="P63" s="133"/>
      <c r="Q63" s="1086"/>
      <c r="R63" s="1086"/>
      <c r="S63" s="1116"/>
      <c r="T63" s="1116"/>
      <c r="U63" s="897"/>
      <c r="V63" s="897"/>
      <c r="W63" s="897"/>
      <c r="X63" s="897"/>
      <c r="Y63" s="897"/>
      <c r="Z63" s="43" t="s">
        <v>34</v>
      </c>
      <c r="AA63" s="42"/>
      <c r="AB63" s="42" t="s">
        <v>758</v>
      </c>
      <c r="AC63" s="803" t="str">
        <f>Summary!P65</f>
        <v>n</v>
      </c>
      <c r="AD63" s="73" t="s">
        <v>298</v>
      </c>
      <c r="AE63" s="804">
        <f>Summary!R65</f>
        <v>8.2500000000000004E-2</v>
      </c>
      <c r="AF63" s="1113"/>
      <c r="AG63" s="769"/>
      <c r="AH63" s="769"/>
      <c r="AI63" s="769"/>
      <c r="GA63" s="769"/>
      <c r="GB63" s="769"/>
      <c r="GC63" s="769"/>
      <c r="GD63" s="769"/>
      <c r="GE63" s="769"/>
      <c r="GF63" s="769"/>
      <c r="GG63" s="769"/>
      <c r="GH63" s="769"/>
      <c r="GI63" s="769"/>
      <c r="GJ63" s="769"/>
      <c r="GK63" s="769"/>
      <c r="GL63" s="769"/>
      <c r="GM63" s="769"/>
      <c r="GN63" s="769"/>
      <c r="GO63" s="769"/>
      <c r="GP63" s="769"/>
      <c r="GQ63" s="769"/>
      <c r="GR63" s="769"/>
      <c r="GS63" s="769"/>
      <c r="GT63" s="769"/>
      <c r="GU63" s="769"/>
      <c r="GV63" s="769"/>
      <c r="GW63" s="769"/>
      <c r="GX63" s="769"/>
      <c r="GY63" s="769"/>
      <c r="GZ63" s="769"/>
      <c r="HA63" s="769"/>
      <c r="HB63" s="769"/>
      <c r="HC63" s="769"/>
      <c r="HD63" s="769"/>
      <c r="HE63" s="769"/>
      <c r="HF63" s="769"/>
      <c r="HG63" s="769"/>
      <c r="HH63" s="769"/>
      <c r="HI63" s="769"/>
      <c r="HJ63" s="769"/>
      <c r="HK63" s="769"/>
      <c r="HL63" s="769"/>
      <c r="HM63" s="769"/>
      <c r="HN63" s="769"/>
      <c r="HO63" s="769"/>
      <c r="HP63" s="769"/>
      <c r="HQ63" s="769"/>
      <c r="HR63" s="769"/>
      <c r="HS63" s="769"/>
      <c r="HT63" s="769"/>
      <c r="HU63" s="769"/>
      <c r="HV63" s="769"/>
      <c r="HW63" s="769"/>
      <c r="HX63" s="769"/>
      <c r="HY63" s="769"/>
      <c r="HZ63" s="769"/>
      <c r="IA63" s="769"/>
      <c r="IB63" s="769"/>
      <c r="IC63" s="769"/>
      <c r="ID63" s="769"/>
    </row>
    <row r="64" spans="2:238" s="702" customFormat="1" ht="18" customHeight="1" thickBot="1" x14ac:dyDescent="0.4">
      <c r="B64" s="11" t="s">
        <v>180</v>
      </c>
      <c r="C64" s="1999">
        <f>IF(I83=0,0,E64/I83)</f>
        <v>0</v>
      </c>
      <c r="D64" s="2000"/>
      <c r="E64" s="2003">
        <f>AC64*(1+M64+Summary!P64)</f>
        <v>0</v>
      </c>
      <c r="F64" s="2004"/>
      <c r="G64" s="15">
        <f>IF(H64=0,0,H64/E64)</f>
        <v>0</v>
      </c>
      <c r="H64" s="2042">
        <f>E64-AC64</f>
        <v>0</v>
      </c>
      <c r="I64" s="2043"/>
      <c r="J64" s="2064">
        <f>IF(D49=0,0,AC64/D49)</f>
        <v>0</v>
      </c>
      <c r="K64" s="2065"/>
      <c r="L64" s="2066"/>
      <c r="M64" s="1879">
        <f>Summary!P63</f>
        <v>0.18</v>
      </c>
      <c r="N64" s="1880"/>
      <c r="O64" s="1880"/>
      <c r="P64" s="1881"/>
      <c r="Q64" s="1169"/>
      <c r="R64" s="1169"/>
      <c r="S64" s="1116"/>
      <c r="T64" s="1116"/>
      <c r="U64" s="897"/>
      <c r="V64" s="937"/>
      <c r="W64" s="897"/>
      <c r="X64" s="937"/>
      <c r="Y64" s="897"/>
      <c r="Z64" s="86" t="s">
        <v>50</v>
      </c>
      <c r="AA64" s="42"/>
      <c r="AB64" s="42"/>
      <c r="AC64" s="1932">
        <f>SUM(O71:P81)+SUM(L83:P89)+SUM(O92:P96)+SUM(O98:P103)+SUM(O105:P111)+AF112</f>
        <v>0</v>
      </c>
      <c r="AD64" s="1932"/>
      <c r="AE64" s="42"/>
      <c r="AF64" s="1113"/>
      <c r="AG64" s="769"/>
      <c r="AH64" s="769"/>
      <c r="AI64" s="769"/>
      <c r="GA64" s="769"/>
      <c r="GB64" s="769"/>
      <c r="GC64" s="769"/>
      <c r="GD64" s="769"/>
      <c r="GE64" s="769"/>
      <c r="GF64" s="769"/>
      <c r="GG64" s="769"/>
      <c r="GH64" s="769"/>
      <c r="GI64" s="769"/>
      <c r="GJ64" s="769"/>
      <c r="GK64" s="769"/>
      <c r="GL64" s="769"/>
      <c r="GM64" s="769"/>
      <c r="GN64" s="769"/>
      <c r="GO64" s="769"/>
      <c r="GP64" s="769"/>
      <c r="GQ64" s="769"/>
      <c r="GR64" s="769"/>
      <c r="GS64" s="769"/>
      <c r="GT64" s="769"/>
      <c r="GU64" s="769"/>
      <c r="GV64" s="769"/>
      <c r="GW64" s="769"/>
      <c r="GX64" s="769"/>
      <c r="GY64" s="769"/>
      <c r="GZ64" s="769"/>
      <c r="HA64" s="769"/>
      <c r="HB64" s="769"/>
      <c r="HC64" s="769"/>
      <c r="HD64" s="769"/>
      <c r="HE64" s="769"/>
      <c r="HF64" s="769"/>
      <c r="HG64" s="769"/>
      <c r="HH64" s="769"/>
      <c r="HI64" s="769"/>
      <c r="HJ64" s="769"/>
      <c r="HK64" s="769"/>
      <c r="HL64" s="769"/>
      <c r="HM64" s="769"/>
      <c r="HN64" s="769"/>
      <c r="HO64" s="769"/>
      <c r="HP64" s="769"/>
      <c r="HQ64" s="769"/>
      <c r="HR64" s="769"/>
      <c r="HS64" s="769"/>
      <c r="HT64" s="769"/>
      <c r="HU64" s="769"/>
      <c r="HV64" s="769"/>
      <c r="HW64" s="769"/>
      <c r="HX64" s="769"/>
      <c r="HY64" s="769"/>
      <c r="HZ64" s="769"/>
      <c r="IA64" s="769"/>
      <c r="IB64" s="769"/>
      <c r="IC64" s="769"/>
      <c r="ID64" s="769"/>
    </row>
    <row r="65" spans="2:238" s="702" customFormat="1" ht="18" customHeight="1" thickBot="1" x14ac:dyDescent="0.4">
      <c r="B65" s="877"/>
      <c r="C65" s="879"/>
      <c r="D65" s="897"/>
      <c r="E65" s="1989">
        <f>SUM(E66:F68)</f>
        <v>0</v>
      </c>
      <c r="F65" s="1990"/>
      <c r="G65" s="897"/>
      <c r="H65" s="1172"/>
      <c r="I65" s="891" t="s">
        <v>891</v>
      </c>
      <c r="J65" s="892"/>
      <c r="K65" s="2036"/>
      <c r="L65" s="2037"/>
      <c r="M65" s="893"/>
      <c r="N65" s="1899">
        <f>IF(K65&gt;0,(K65-E64)/(1+M64),0)</f>
        <v>0</v>
      </c>
      <c r="O65" s="1900"/>
      <c r="P65" s="897"/>
      <c r="Q65" s="897"/>
      <c r="R65" s="897"/>
      <c r="S65" s="1116"/>
      <c r="T65" s="1116"/>
      <c r="U65" s="902"/>
      <c r="V65" s="937"/>
      <c r="W65" s="902"/>
      <c r="X65" s="937"/>
      <c r="Y65" s="902"/>
      <c r="Z65" s="937"/>
      <c r="AA65" s="897"/>
      <c r="AB65" s="897"/>
      <c r="AC65" s="1901">
        <f>AO139</f>
        <v>0</v>
      </c>
      <c r="AD65" s="1901"/>
      <c r="AE65" s="897"/>
      <c r="AF65" s="1113"/>
      <c r="AG65" s="769"/>
      <c r="AH65" s="769"/>
      <c r="AI65" s="769"/>
      <c r="GA65" s="769"/>
      <c r="GB65" s="769"/>
      <c r="GC65" s="769"/>
      <c r="GD65" s="769"/>
      <c r="GE65" s="769"/>
      <c r="GF65" s="769"/>
      <c r="GG65" s="769"/>
      <c r="GH65" s="769"/>
      <c r="GI65" s="769"/>
      <c r="GJ65" s="769"/>
      <c r="GK65" s="769"/>
      <c r="GL65" s="769"/>
      <c r="GM65" s="769"/>
      <c r="GN65" s="769"/>
      <c r="GO65" s="769"/>
      <c r="GP65" s="769"/>
      <c r="GQ65" s="769"/>
      <c r="GR65" s="769"/>
      <c r="GS65" s="769"/>
      <c r="GT65" s="769"/>
      <c r="GU65" s="769"/>
      <c r="GV65" s="769"/>
      <c r="GW65" s="769"/>
      <c r="GX65" s="769"/>
      <c r="GY65" s="769"/>
      <c r="GZ65" s="769"/>
      <c r="HA65" s="769"/>
      <c r="HB65" s="769"/>
      <c r="HC65" s="769"/>
      <c r="HD65" s="769"/>
      <c r="HE65" s="769"/>
      <c r="HF65" s="769"/>
      <c r="HG65" s="769"/>
      <c r="HH65" s="769"/>
      <c r="HI65" s="769"/>
      <c r="HJ65" s="769"/>
      <c r="HK65" s="769"/>
      <c r="HL65" s="769"/>
      <c r="HM65" s="769"/>
      <c r="HN65" s="769"/>
      <c r="HO65" s="769"/>
      <c r="HP65" s="769"/>
      <c r="HQ65" s="769"/>
      <c r="HR65" s="769"/>
      <c r="HS65" s="769"/>
      <c r="HT65" s="769"/>
      <c r="HU65" s="769"/>
      <c r="HV65" s="769"/>
      <c r="HW65" s="769"/>
      <c r="HX65" s="769"/>
      <c r="HY65" s="769"/>
      <c r="HZ65" s="769"/>
      <c r="IA65" s="769"/>
      <c r="IB65" s="769"/>
      <c r="IC65" s="769"/>
      <c r="ID65" s="769"/>
    </row>
    <row r="66" spans="2:238" s="702" customFormat="1" ht="22" customHeight="1" x14ac:dyDescent="0.35">
      <c r="B66" s="77" t="s">
        <v>607</v>
      </c>
      <c r="C66" s="738"/>
      <c r="D66" s="739"/>
      <c r="E66" s="1995"/>
      <c r="F66" s="1996"/>
      <c r="G66" s="739"/>
      <c r="H66" s="739"/>
      <c r="I66" s="739"/>
      <c r="J66" s="739"/>
      <c r="K66" s="739"/>
      <c r="L66" s="739"/>
      <c r="M66" s="739"/>
      <c r="N66" s="739"/>
      <c r="O66" s="739"/>
      <c r="P66" s="740"/>
      <c r="Q66" s="622"/>
      <c r="R66" s="622"/>
      <c r="S66" s="298"/>
      <c r="T66" s="298"/>
      <c r="U66" s="297"/>
      <c r="V66" s="321"/>
      <c r="W66" s="297"/>
      <c r="X66" s="321"/>
      <c r="Y66" s="297"/>
      <c r="Z66" s="321"/>
      <c r="AA66" s="298"/>
      <c r="AB66" s="298"/>
      <c r="AC66" s="341"/>
      <c r="AD66" s="341"/>
      <c r="AE66" s="298"/>
      <c r="AF66" s="310"/>
      <c r="AG66" s="769"/>
    </row>
    <row r="67" spans="2:238" s="702" customFormat="1" ht="22" customHeight="1" x14ac:dyDescent="0.35">
      <c r="B67" s="313"/>
      <c r="C67" s="741"/>
      <c r="D67" s="739"/>
      <c r="E67" s="1995"/>
      <c r="F67" s="1996"/>
      <c r="G67" s="739"/>
      <c r="H67" s="739"/>
      <c r="I67" s="739"/>
      <c r="J67" s="739"/>
      <c r="K67" s="739"/>
      <c r="L67" s="739"/>
      <c r="M67" s="739"/>
      <c r="N67" s="739"/>
      <c r="O67" s="739"/>
      <c r="P67" s="740"/>
      <c r="Q67" s="622"/>
      <c r="R67" s="622"/>
      <c r="S67" s="298"/>
      <c r="T67" s="298"/>
      <c r="U67" s="297"/>
      <c r="V67" s="321"/>
      <c r="W67" s="297"/>
      <c r="X67" s="321"/>
      <c r="Y67" s="297"/>
      <c r="Z67" s="321"/>
      <c r="AA67" s="298"/>
      <c r="AB67" s="298"/>
      <c r="AC67" s="341"/>
      <c r="AD67" s="341"/>
      <c r="AE67" s="298"/>
      <c r="AF67" s="310"/>
      <c r="AG67" s="769"/>
    </row>
    <row r="68" spans="2:238" s="702" customFormat="1" ht="22" customHeight="1" x14ac:dyDescent="0.35">
      <c r="B68" s="313"/>
      <c r="C68" s="741"/>
      <c r="D68" s="739"/>
      <c r="E68" s="1995"/>
      <c r="F68" s="1996"/>
      <c r="G68" s="739"/>
      <c r="H68" s="739"/>
      <c r="I68" s="739"/>
      <c r="J68" s="739"/>
      <c r="K68" s="739"/>
      <c r="L68" s="739"/>
      <c r="M68" s="739"/>
      <c r="N68" s="739"/>
      <c r="O68" s="739"/>
      <c r="P68" s="740"/>
      <c r="Q68" s="622"/>
      <c r="R68" s="622"/>
      <c r="S68" s="298"/>
      <c r="T68" s="298"/>
      <c r="U68" s="297"/>
      <c r="V68" s="321"/>
      <c r="W68" s="297"/>
      <c r="X68" s="321"/>
      <c r="Y68" s="297"/>
      <c r="Z68" s="321"/>
      <c r="AA68" s="298"/>
      <c r="AB68" s="298"/>
      <c r="AC68" s="341"/>
      <c r="AD68" s="341"/>
      <c r="AE68" s="298"/>
      <c r="AF68" s="310"/>
      <c r="AG68" s="769"/>
    </row>
    <row r="69" spans="2:238" s="702" customFormat="1" ht="22" customHeight="1" thickBot="1" x14ac:dyDescent="0.4">
      <c r="B69" s="313"/>
      <c r="C69" s="742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43"/>
      <c r="Q69" s="622"/>
      <c r="R69" s="622"/>
      <c r="S69" s="689"/>
      <c r="T69" s="298"/>
      <c r="U69" s="620"/>
      <c r="V69" s="621"/>
      <c r="W69" s="620"/>
      <c r="X69" s="621"/>
      <c r="Y69" s="297"/>
      <c r="Z69" s="321"/>
      <c r="AA69" s="298"/>
      <c r="AB69" s="298"/>
      <c r="AC69" s="341"/>
      <c r="AD69" s="341"/>
      <c r="AE69" s="298"/>
      <c r="AF69" s="310"/>
    </row>
    <row r="70" spans="2:238" s="702" customFormat="1" ht="31.5" customHeight="1" thickBot="1" x14ac:dyDescent="0.4">
      <c r="B70" s="730" t="s">
        <v>226</v>
      </c>
      <c r="C70" s="1997" t="s">
        <v>167</v>
      </c>
      <c r="D70" s="1997"/>
      <c r="E70" s="1997"/>
      <c r="F70" s="1997"/>
      <c r="G70" s="1997"/>
      <c r="H70" s="1997"/>
      <c r="I70" s="1997"/>
      <c r="J70" s="1997"/>
      <c r="K70" s="1997"/>
      <c r="L70" s="1997"/>
      <c r="M70" s="1997"/>
      <c r="N70" s="1997"/>
      <c r="O70" s="1997"/>
      <c r="P70" s="1998"/>
      <c r="Q70" s="690"/>
      <c r="R70" s="685"/>
      <c r="S70" s="299"/>
      <c r="T70" s="299"/>
      <c r="U70" s="1910"/>
      <c r="V70" s="1910"/>
      <c r="W70" s="1910"/>
      <c r="X70" s="1910"/>
      <c r="Y70" s="2056" t="s">
        <v>196</v>
      </c>
      <c r="Z70" s="2057"/>
      <c r="AA70" s="673" t="s">
        <v>52</v>
      </c>
      <c r="AB70" s="72"/>
      <c r="AC70" s="674" t="s">
        <v>7</v>
      </c>
      <c r="AD70" s="72"/>
      <c r="AE70" s="675"/>
      <c r="AF70" s="677"/>
      <c r="AH70" s="769"/>
      <c r="AI70" s="769"/>
      <c r="GA70" s="769"/>
      <c r="GB70" s="769"/>
      <c r="GC70" s="769"/>
      <c r="GD70" s="769"/>
      <c r="GE70" s="769"/>
      <c r="GF70" s="769"/>
      <c r="GG70" s="769"/>
      <c r="GH70" s="769"/>
      <c r="GI70" s="769"/>
      <c r="GJ70" s="769"/>
      <c r="GK70" s="769"/>
      <c r="GL70" s="769"/>
      <c r="GM70" s="769"/>
      <c r="GN70" s="769"/>
      <c r="GO70" s="769"/>
      <c r="GP70" s="769"/>
      <c r="GQ70" s="769"/>
      <c r="GR70" s="769"/>
      <c r="GS70" s="769"/>
      <c r="GT70" s="769"/>
      <c r="GU70" s="769"/>
      <c r="GV70" s="769"/>
      <c r="GW70" s="769"/>
      <c r="GX70" s="769"/>
      <c r="GY70" s="769"/>
      <c r="GZ70" s="769"/>
      <c r="HA70" s="769"/>
      <c r="HB70" s="769"/>
      <c r="HC70" s="769"/>
      <c r="HD70" s="769"/>
      <c r="HE70" s="769"/>
      <c r="HF70" s="769"/>
      <c r="HG70" s="769"/>
      <c r="HH70" s="769"/>
      <c r="HI70" s="769"/>
      <c r="HJ70" s="769"/>
      <c r="HK70" s="769"/>
      <c r="HL70" s="769"/>
      <c r="HM70" s="769"/>
      <c r="HN70" s="769"/>
      <c r="HO70" s="769"/>
      <c r="HP70" s="769"/>
      <c r="HQ70" s="769"/>
      <c r="HR70" s="769"/>
      <c r="HS70" s="769"/>
      <c r="HT70" s="769"/>
      <c r="HU70" s="769"/>
      <c r="HV70" s="769"/>
      <c r="HW70" s="769"/>
      <c r="HX70" s="769"/>
      <c r="HY70" s="769"/>
      <c r="HZ70" s="769"/>
      <c r="IA70" s="769"/>
      <c r="IB70" s="769"/>
      <c r="IC70" s="769"/>
      <c r="ID70" s="769"/>
    </row>
    <row r="71" spans="2:238" s="702" customFormat="1" ht="22" customHeight="1" thickTop="1" x14ac:dyDescent="0.35">
      <c r="B71" s="744">
        <v>1</v>
      </c>
      <c r="C71" s="190" t="str">
        <f>IF(B71=1,Pricing!F$1,IF(B71=2,Pricing!G$1,IF(B71=3,Pricing!H$1,IF(B71=4,Pricing!I$1,IF(B71=5,Pricing!J$1,IF(B71=6,Pricing!K$1,0))))))</f>
        <v>3000 PSI W/ ASH PIERS, SOG</v>
      </c>
      <c r="D71" s="190"/>
      <c r="E71" s="190"/>
      <c r="F71" s="190"/>
      <c r="G71" s="761">
        <f>IF(B71=1,Pricing!F$2,IF(B71=2,Pricing!G$2,IF(B71=3,Pricing!H$2,IF(B71=4,Pricing!I$2,IF(B71=5,Pricing!J$2,IF(B71=6,Pricing!K$2,0))))))</f>
        <v>147</v>
      </c>
      <c r="H71" s="191" t="s">
        <v>168</v>
      </c>
      <c r="I71" s="2030" t="s">
        <v>323</v>
      </c>
      <c r="J71" s="2031"/>
      <c r="K71" s="2038">
        <v>0.08</v>
      </c>
      <c r="L71" s="2062">
        <f>IF(B71=1,BI$49,IF(B71=2,BJ$49,IF(B71=3,BK$49,IF(B71=4,BL$49,IF(B71=5,BM$49,IF(B71=6,BN$49))))))</f>
        <v>0</v>
      </c>
      <c r="M71" s="2063"/>
      <c r="N71" s="192" t="s">
        <v>102</v>
      </c>
      <c r="O71" s="2046">
        <f>L71*G71*(IF(AC$63="N",1+AE$63,1))</f>
        <v>0</v>
      </c>
      <c r="P71" s="2047"/>
      <c r="Q71" s="691"/>
      <c r="R71" s="686"/>
      <c r="S71" s="2055"/>
      <c r="T71" s="299"/>
      <c r="U71" s="622"/>
      <c r="V71" s="623"/>
      <c r="W71" s="622"/>
      <c r="X71" s="623"/>
      <c r="Y71" s="193"/>
      <c r="Z71" s="194"/>
      <c r="AA71" s="106" t="s">
        <v>466</v>
      </c>
      <c r="AB71"/>
      <c r="AC71" s="805">
        <v>0.5</v>
      </c>
      <c r="AD71" s="195" t="s">
        <v>593</v>
      </c>
      <c r="AE71" s="1057">
        <f>IF(I83=0,0,AF112/I83)</f>
        <v>0</v>
      </c>
      <c r="AF71" s="678"/>
      <c r="AH71" s="769"/>
      <c r="AI71" s="769"/>
      <c r="GA71" s="769"/>
      <c r="GB71" s="769"/>
      <c r="GC71" s="769"/>
      <c r="GD71" s="769"/>
      <c r="GE71" s="769"/>
      <c r="GF71" s="769"/>
      <c r="GG71" s="769"/>
      <c r="GH71" s="769"/>
      <c r="GI71" s="769"/>
      <c r="GJ71" s="769"/>
      <c r="GK71" s="769"/>
      <c r="GL71" s="769"/>
      <c r="GM71" s="769"/>
      <c r="GN71" s="769"/>
      <c r="GO71" s="769"/>
      <c r="GP71" s="769"/>
      <c r="GQ71" s="769"/>
      <c r="GR71" s="769"/>
      <c r="GS71" s="769"/>
      <c r="GT71" s="769"/>
      <c r="GU71" s="769"/>
      <c r="GV71" s="769"/>
      <c r="GW71" s="769"/>
      <c r="GX71" s="769"/>
      <c r="GY71" s="769"/>
      <c r="GZ71" s="769"/>
      <c r="HA71" s="769"/>
      <c r="HB71" s="769"/>
      <c r="HC71" s="769"/>
      <c r="HD71" s="769"/>
      <c r="HE71" s="769"/>
      <c r="HF71" s="769"/>
      <c r="HG71" s="769"/>
      <c r="HH71" s="769"/>
      <c r="HI71" s="769"/>
      <c r="HJ71" s="769"/>
      <c r="HK71" s="769"/>
      <c r="HL71" s="769"/>
      <c r="HM71" s="769"/>
      <c r="HN71" s="769"/>
      <c r="HO71" s="769"/>
      <c r="HP71" s="769"/>
      <c r="HQ71" s="769"/>
      <c r="HR71" s="769"/>
      <c r="HS71" s="769"/>
      <c r="HT71" s="769"/>
      <c r="HU71" s="769"/>
      <c r="HV71" s="769"/>
      <c r="HW71" s="769"/>
      <c r="HX71" s="769"/>
      <c r="HY71" s="769"/>
      <c r="HZ71" s="769"/>
      <c r="IA71" s="769"/>
      <c r="IB71" s="769"/>
      <c r="IC71" s="769"/>
      <c r="ID71" s="769"/>
    </row>
    <row r="72" spans="2:238" s="702" customFormat="1" ht="22" customHeight="1" x14ac:dyDescent="0.35">
      <c r="B72" s="745">
        <v>2</v>
      </c>
      <c r="C72" s="42" t="str">
        <f>IF(B72=1,Pricing!F$1,IF(B72=2,Pricing!G$1,IF(B72=3,Pricing!H$1,IF(B72=4,Pricing!I$1,IF(B72=5,Pricing!J$1,IF(B72=6,Pricing!K$1,0))))))</f>
        <v>3500 Psi</v>
      </c>
      <c r="D72" s="42"/>
      <c r="E72" s="42"/>
      <c r="F72" s="42"/>
      <c r="G72" s="762">
        <f>IF(B72=1,Pricing!F$2,IF(B72=2,Pricing!G$2,IF(B72=3,Pricing!H$2,IF(B72=4,Pricing!I$2,IF(B72=5,Pricing!J$2,IF(B72=6,Pricing!K$2,0))))))</f>
        <v>152</v>
      </c>
      <c r="H72" s="88" t="s">
        <v>168</v>
      </c>
      <c r="I72" s="2032"/>
      <c r="J72" s="2033"/>
      <c r="K72" s="2039"/>
      <c r="L72" s="1908">
        <f>IF(B72=1,BI$49,IF(B72=2,BJ$49,IF(B72=3,BK$49,IF(B72=4,BL$49,IF(B72=5,BM$49,IF(B72=6,BN$49))))))</f>
        <v>0</v>
      </c>
      <c r="M72" s="1909"/>
      <c r="N72" s="58" t="s">
        <v>102</v>
      </c>
      <c r="O72" s="1887">
        <f>L72*G72*(IF(AC$63="N",1+AE$63,1))</f>
        <v>0</v>
      </c>
      <c r="P72" s="1888"/>
      <c r="Q72" s="691"/>
      <c r="R72" s="686"/>
      <c r="S72" s="2055"/>
      <c r="T72" s="769"/>
      <c r="U72" s="622"/>
      <c r="V72" s="622"/>
      <c r="W72" s="622"/>
      <c r="X72" s="622"/>
      <c r="Y72" s="193" t="s">
        <v>203</v>
      </c>
      <c r="Z72" s="106"/>
      <c r="AA72"/>
      <c r="AB72" s="194">
        <f>AB73*0.85</f>
        <v>0</v>
      </c>
      <c r="AC72" s="106" t="s">
        <v>42</v>
      </c>
      <c r="AD72" s="195">
        <f>Pricing!N3</f>
        <v>0.5625</v>
      </c>
      <c r="AE72" s="401" t="s">
        <v>787</v>
      </c>
      <c r="AF72" s="679">
        <f>IF(AC$63="Y",AB72*AD72,AB72*AD72*(1+AE$63))</f>
        <v>0</v>
      </c>
      <c r="AH72" s="769"/>
      <c r="AI72" s="769"/>
      <c r="GA72" s="769"/>
      <c r="GB72" s="769"/>
      <c r="GC72" s="769"/>
      <c r="GD72" s="769"/>
      <c r="GE72" s="769"/>
      <c r="GF72" s="769"/>
      <c r="GG72" s="769"/>
      <c r="GH72" s="769"/>
      <c r="GI72" s="769"/>
      <c r="GJ72" s="769"/>
      <c r="GK72" s="769"/>
      <c r="GL72" s="769"/>
      <c r="GM72" s="769"/>
      <c r="GN72" s="769"/>
      <c r="GO72" s="769"/>
      <c r="GP72" s="769"/>
      <c r="GQ72" s="769"/>
      <c r="GR72" s="769"/>
      <c r="GS72" s="769"/>
      <c r="GT72" s="769"/>
      <c r="GU72" s="769"/>
      <c r="GV72" s="769"/>
      <c r="GW72" s="769"/>
      <c r="GX72" s="769"/>
      <c r="GY72" s="769"/>
      <c r="GZ72" s="769"/>
      <c r="HA72" s="769"/>
      <c r="HB72" s="769"/>
      <c r="HC72" s="769"/>
      <c r="HD72" s="769"/>
      <c r="HE72" s="769"/>
      <c r="HF72" s="769"/>
      <c r="HG72" s="769"/>
      <c r="HH72" s="769"/>
      <c r="HI72" s="769"/>
      <c r="HJ72" s="769"/>
      <c r="HK72" s="769"/>
      <c r="HL72" s="769"/>
      <c r="HM72" s="769"/>
      <c r="HN72" s="769"/>
      <c r="HO72" s="769"/>
      <c r="HP72" s="769"/>
      <c r="HQ72" s="769"/>
      <c r="HR72" s="769"/>
      <c r="HS72" s="769"/>
      <c r="HT72" s="769"/>
      <c r="HU72" s="769"/>
      <c r="HV72" s="769"/>
      <c r="HW72" s="769"/>
      <c r="HX72" s="769"/>
      <c r="HY72" s="769"/>
      <c r="HZ72" s="769"/>
      <c r="IA72" s="769"/>
      <c r="IB72" s="769"/>
      <c r="IC72" s="769"/>
      <c r="ID72" s="769"/>
    </row>
    <row r="73" spans="2:238" s="702" customFormat="1" ht="22" customHeight="1" thickBot="1" x14ac:dyDescent="0.4">
      <c r="B73" s="746">
        <v>3</v>
      </c>
      <c r="C73" s="75" t="str">
        <f>IF(B73=1,Pricing!F$1,IF(B73=2,Pricing!G$1,IF(B73=3,Pricing!H$1,IF(B73=4,Pricing!I$1,IF(B73=5,Pricing!J$1,IF(B73=6,Pricing!K$1,0))))))</f>
        <v>4000 psi</v>
      </c>
      <c r="D73" s="75"/>
      <c r="E73" s="75"/>
      <c r="F73" s="75"/>
      <c r="G73" s="763">
        <f>IF(B73=1,Pricing!F$2,IF(B73=2,Pricing!G$2,IF(B73=3,Pricing!H$2,IF(B73=4,Pricing!I$2,IF(B73=5,Pricing!J$2,IF(B73=6,Pricing!K$2,0))))))</f>
        <v>157</v>
      </c>
      <c r="H73" s="90" t="s">
        <v>168</v>
      </c>
      <c r="I73" s="2034"/>
      <c r="J73" s="2035"/>
      <c r="K73" s="2040"/>
      <c r="L73" s="2060">
        <f>IF(B73=1,BI$49,IF(B73=2,BJ$49,IF(B73=3,BK$49,IF(B73=4,BL$49,IF(B73=5,BM$49,IF(B73=6,BN$49))))))</f>
        <v>0</v>
      </c>
      <c r="M73" s="2061"/>
      <c r="N73" s="91" t="s">
        <v>102</v>
      </c>
      <c r="O73" s="2058">
        <f>L73*G73*(IF(AC$63="N",1+AE$63,1))</f>
        <v>0</v>
      </c>
      <c r="P73" s="2059"/>
      <c r="Q73" s="691"/>
      <c r="R73" s="686"/>
      <c r="S73" s="2055"/>
      <c r="T73" s="299"/>
      <c r="U73" s="622"/>
      <c r="V73" s="622"/>
      <c r="W73" s="622"/>
      <c r="X73" s="622"/>
      <c r="Y73" s="193" t="s">
        <v>204</v>
      </c>
      <c r="Z73" s="106"/>
      <c r="AA73"/>
      <c r="AB73" s="194">
        <f>AB75*0.85</f>
        <v>0</v>
      </c>
      <c r="AC73" s="106" t="s">
        <v>42</v>
      </c>
      <c r="AD73" s="195">
        <f>Pricing!N4</f>
        <v>0.65625</v>
      </c>
      <c r="AE73" s="401" t="s">
        <v>787</v>
      </c>
      <c r="AF73" s="680">
        <f>IF(AC$63="Y",AB73*AD73,AB73*AD73*(1+AE$63))</f>
        <v>0</v>
      </c>
      <c r="AG73" s="769"/>
      <c r="AH73" s="769"/>
      <c r="AI73" s="769"/>
      <c r="GA73" s="769"/>
      <c r="GB73" s="769"/>
      <c r="GC73" s="769"/>
      <c r="GD73" s="769"/>
      <c r="GE73" s="769"/>
      <c r="GF73" s="769"/>
      <c r="GG73" s="769"/>
      <c r="GH73" s="769"/>
      <c r="GI73" s="769"/>
      <c r="GJ73" s="769"/>
      <c r="GK73" s="769"/>
      <c r="GL73" s="769"/>
      <c r="GM73" s="769"/>
      <c r="GN73" s="769"/>
      <c r="GO73" s="769"/>
      <c r="GP73" s="769"/>
      <c r="GQ73" s="769"/>
      <c r="GR73" s="769"/>
      <c r="GS73" s="769"/>
      <c r="GT73" s="769"/>
      <c r="GU73" s="769"/>
      <c r="GV73" s="769"/>
      <c r="GW73" s="769"/>
      <c r="GX73" s="769"/>
      <c r="GY73" s="769"/>
      <c r="GZ73" s="769"/>
      <c r="HA73" s="769"/>
      <c r="HB73" s="769"/>
      <c r="HC73" s="769"/>
      <c r="HD73" s="769"/>
      <c r="HE73" s="769"/>
      <c r="HF73" s="769"/>
      <c r="HG73" s="769"/>
      <c r="HH73" s="769"/>
      <c r="HI73" s="769"/>
      <c r="HJ73" s="769"/>
      <c r="HK73" s="769"/>
      <c r="HL73" s="769"/>
      <c r="HM73" s="769"/>
      <c r="HN73" s="769"/>
      <c r="HO73" s="769"/>
      <c r="HP73" s="769"/>
      <c r="HQ73" s="769"/>
      <c r="HR73" s="769"/>
      <c r="HS73" s="769"/>
      <c r="HT73" s="769"/>
      <c r="HU73" s="769"/>
      <c r="HV73" s="769"/>
      <c r="HW73" s="769"/>
      <c r="HX73" s="769"/>
      <c r="HY73" s="769"/>
      <c r="HZ73" s="769"/>
      <c r="IA73" s="769"/>
      <c r="IB73" s="769"/>
      <c r="IC73" s="769"/>
      <c r="ID73" s="769"/>
    </row>
    <row r="74" spans="2:238" s="702" customFormat="1" ht="22" customHeight="1" thickTop="1" x14ac:dyDescent="0.35">
      <c r="B74" s="1979" t="s">
        <v>104</v>
      </c>
      <c r="C74" s="1980"/>
      <c r="D74" s="1980"/>
      <c r="E74" s="1980"/>
      <c r="F74" s="1980"/>
      <c r="G74" s="764">
        <v>0.6</v>
      </c>
      <c r="H74" s="88" t="s">
        <v>88</v>
      </c>
      <c r="I74" s="2008" t="s">
        <v>202</v>
      </c>
      <c r="J74" s="2009"/>
      <c r="K74" s="747">
        <v>0.1</v>
      </c>
      <c r="L74" s="1908">
        <f>SUM(BD49:BE49)</f>
        <v>0</v>
      </c>
      <c r="M74" s="1909"/>
      <c r="N74" s="42" t="s">
        <v>32</v>
      </c>
      <c r="O74" s="1887">
        <f>G74*L74*(IF(AC63="N",1+AE63,1))</f>
        <v>0</v>
      </c>
      <c r="P74" s="1888"/>
      <c r="Q74" s="686"/>
      <c r="R74" s="686"/>
      <c r="S74" s="537"/>
      <c r="T74" s="299"/>
      <c r="U74" s="622"/>
      <c r="V74" s="622"/>
      <c r="W74" s="622"/>
      <c r="X74" s="622"/>
      <c r="Y74" s="193" t="s">
        <v>206</v>
      </c>
      <c r="Z74" s="106"/>
      <c r="AA74"/>
      <c r="AB74" s="194">
        <f>CP61+BG48</f>
        <v>0</v>
      </c>
      <c r="AC74" s="106" t="s">
        <v>42</v>
      </c>
      <c r="AD74" s="195">
        <f>Pricing!N5</f>
        <v>1</v>
      </c>
      <c r="AE74" s="401" t="s">
        <v>787</v>
      </c>
      <c r="AF74" s="680">
        <f>IF(AC$63="Y",AB74*AD74,AB74*AD74*(1+AE$63))</f>
        <v>0</v>
      </c>
      <c r="AG74" s="769"/>
      <c r="AH74" s="769"/>
      <c r="AI74" s="769"/>
      <c r="GA74" s="769"/>
      <c r="GB74" s="769"/>
      <c r="GC74" s="769"/>
      <c r="GD74" s="769"/>
      <c r="GE74" s="769"/>
      <c r="GF74" s="769"/>
      <c r="GG74" s="769"/>
      <c r="GH74" s="769"/>
      <c r="GI74" s="769"/>
      <c r="GJ74" s="769"/>
      <c r="GK74" s="769"/>
      <c r="GL74" s="769"/>
      <c r="GM74" s="769"/>
      <c r="GN74" s="769"/>
      <c r="GO74" s="769"/>
      <c r="GP74" s="769"/>
      <c r="GQ74" s="769"/>
      <c r="GR74" s="769"/>
      <c r="GS74" s="769"/>
      <c r="GT74" s="769"/>
      <c r="GU74" s="769"/>
      <c r="GV74" s="769"/>
      <c r="GW74" s="769"/>
      <c r="GX74" s="769"/>
      <c r="GY74" s="769"/>
      <c r="GZ74" s="769"/>
      <c r="HA74" s="769"/>
      <c r="HB74" s="769"/>
      <c r="HC74" s="769"/>
      <c r="HD74" s="769"/>
      <c r="HE74" s="769"/>
      <c r="HF74" s="769"/>
      <c r="HG74" s="769"/>
      <c r="HH74" s="769"/>
      <c r="HI74" s="769"/>
      <c r="HJ74" s="769"/>
      <c r="HK74" s="769"/>
      <c r="HL74" s="769"/>
      <c r="HM74" s="769"/>
      <c r="HN74" s="769"/>
      <c r="HO74" s="769"/>
      <c r="HP74" s="769"/>
      <c r="HQ74" s="769"/>
      <c r="HR74" s="769"/>
      <c r="HS74" s="769"/>
      <c r="HT74" s="769"/>
      <c r="HU74" s="769"/>
      <c r="HV74" s="769"/>
      <c r="HW74" s="769"/>
      <c r="HX74" s="769"/>
      <c r="HY74" s="769"/>
      <c r="HZ74" s="769"/>
      <c r="IA74" s="769"/>
      <c r="IB74" s="769"/>
      <c r="IC74" s="769"/>
      <c r="ID74" s="769"/>
    </row>
    <row r="75" spans="2:238" s="702" customFormat="1" ht="22" customHeight="1" x14ac:dyDescent="0.35">
      <c r="B75" s="1979" t="s">
        <v>86</v>
      </c>
      <c r="C75" s="1980"/>
      <c r="D75" s="1980"/>
      <c r="E75" s="1980"/>
      <c r="F75" s="1980"/>
      <c r="G75" s="762">
        <v>0.26</v>
      </c>
      <c r="H75" s="88" t="s">
        <v>69</v>
      </c>
      <c r="I75" s="2008" t="s">
        <v>202</v>
      </c>
      <c r="J75" s="2009"/>
      <c r="K75" s="748">
        <v>0.1</v>
      </c>
      <c r="L75" s="1908">
        <f>BH49*(1*1+G75)</f>
        <v>0</v>
      </c>
      <c r="M75" s="1909"/>
      <c r="N75" s="42" t="s">
        <v>95</v>
      </c>
      <c r="O75" s="1887">
        <f>G75*L75*(IF(AC$63="N",1+AE$63,1))</f>
        <v>0</v>
      </c>
      <c r="P75" s="1888"/>
      <c r="Q75" s="686"/>
      <c r="R75" s="686"/>
      <c r="S75" s="537"/>
      <c r="T75" s="299"/>
      <c r="U75" s="622"/>
      <c r="V75" s="622"/>
      <c r="W75" s="622"/>
      <c r="X75" s="622"/>
      <c r="Y75" s="193" t="s">
        <v>205</v>
      </c>
      <c r="Z75" s="106"/>
      <c r="AA75"/>
      <c r="AB75" s="194">
        <f>BQ49*AC71</f>
        <v>0</v>
      </c>
      <c r="AC75" s="106" t="s">
        <v>42</v>
      </c>
      <c r="AD75" s="195">
        <f>Pricing!N6</f>
        <v>1.25</v>
      </c>
      <c r="AE75" s="401" t="s">
        <v>787</v>
      </c>
      <c r="AF75" s="680">
        <f>IF(AC$63="Y",AB75*AD75,AB75*AD75*(1+AE$63))</f>
        <v>0</v>
      </c>
      <c r="AG75" s="769"/>
      <c r="AH75" s="769"/>
      <c r="AI75" s="769"/>
      <c r="AJ75" s="702" t="s">
        <v>237</v>
      </c>
      <c r="GA75" s="769"/>
      <c r="GB75" s="769"/>
      <c r="GC75" s="769"/>
      <c r="GD75" s="769"/>
      <c r="GE75" s="769"/>
      <c r="GF75" s="769"/>
      <c r="GG75" s="769"/>
      <c r="GH75" s="769"/>
      <c r="GI75" s="769"/>
      <c r="GJ75" s="769"/>
      <c r="GK75" s="769"/>
      <c r="GL75" s="769"/>
      <c r="GM75" s="769"/>
      <c r="GN75" s="769"/>
      <c r="GO75" s="769"/>
      <c r="GP75" s="769"/>
      <c r="GQ75" s="769"/>
      <c r="GR75" s="769"/>
      <c r="GS75" s="769"/>
      <c r="GT75" s="769"/>
      <c r="GU75" s="769"/>
      <c r="GV75" s="769"/>
      <c r="GW75" s="769"/>
      <c r="GX75" s="769"/>
      <c r="GY75" s="769"/>
      <c r="GZ75" s="769"/>
      <c r="HA75" s="769"/>
      <c r="HB75" s="769"/>
      <c r="HC75" s="769"/>
      <c r="HD75" s="769"/>
      <c r="HE75" s="769"/>
      <c r="HF75" s="769"/>
      <c r="HG75" s="769"/>
      <c r="HH75" s="769"/>
      <c r="HI75" s="769"/>
      <c r="HJ75" s="769"/>
      <c r="HK75" s="769"/>
      <c r="HL75" s="769"/>
      <c r="HM75" s="769"/>
      <c r="HN75" s="769"/>
      <c r="HO75" s="769"/>
      <c r="HP75" s="769"/>
      <c r="HQ75" s="769"/>
      <c r="HR75" s="769"/>
      <c r="HS75" s="769"/>
      <c r="HT75" s="769"/>
      <c r="HU75" s="769"/>
      <c r="HV75" s="769"/>
      <c r="HW75" s="769"/>
      <c r="HX75" s="769"/>
      <c r="HY75" s="769"/>
      <c r="HZ75" s="769"/>
      <c r="IA75" s="769"/>
      <c r="IB75" s="769"/>
      <c r="IC75" s="769"/>
      <c r="ID75" s="769"/>
    </row>
    <row r="76" spans="2:238" s="702" customFormat="1" ht="22" customHeight="1" x14ac:dyDescent="0.35">
      <c r="B76" s="1979" t="s">
        <v>678</v>
      </c>
      <c r="C76" s="1980"/>
      <c r="D76" s="1980"/>
      <c r="E76" s="1980"/>
      <c r="F76" s="1981"/>
      <c r="G76" s="762">
        <v>0.85</v>
      </c>
      <c r="H76" s="108" t="s">
        <v>69</v>
      </c>
      <c r="I76" s="52" t="s">
        <v>199</v>
      </c>
      <c r="J76" s="2094">
        <v>0</v>
      </c>
      <c r="K76" s="2094"/>
      <c r="L76" s="1891">
        <f>BP49</f>
        <v>0</v>
      </c>
      <c r="M76" s="1892"/>
      <c r="N76" s="42" t="s">
        <v>95</v>
      </c>
      <c r="O76" s="1895">
        <f>IF(J76=0,L76*G76*IF(AC63="n",(1+AE63),1),J76)</f>
        <v>0</v>
      </c>
      <c r="P76" s="1896"/>
      <c r="Q76" s="687"/>
      <c r="R76" s="687"/>
      <c r="S76" s="537"/>
      <c r="T76" s="299"/>
      <c r="U76" s="622"/>
      <c r="V76" s="622"/>
      <c r="W76" s="622"/>
      <c r="X76" s="622"/>
      <c r="Y76" s="193" t="s">
        <v>375</v>
      </c>
      <c r="Z76" s="106"/>
      <c r="AA76"/>
      <c r="AB76" s="194">
        <f>ROUNDUP(SUM(K11:K48)*0.03/16,0)</f>
        <v>0</v>
      </c>
      <c r="AC76" s="106" t="s">
        <v>376</v>
      </c>
      <c r="AD76" s="195">
        <f>Pricing!N8</f>
        <v>19</v>
      </c>
      <c r="AE76" s="401" t="s">
        <v>378</v>
      </c>
      <c r="AF76" s="680">
        <f>AD93*AB93</f>
        <v>0</v>
      </c>
      <c r="AG76" s="769"/>
      <c r="AH76" s="769"/>
      <c r="AI76" s="769"/>
      <c r="AJ76" s="702" t="s">
        <v>126</v>
      </c>
      <c r="AK76" s="702">
        <v>0</v>
      </c>
      <c r="GA76" s="769"/>
      <c r="GB76" s="769"/>
      <c r="GC76" s="769"/>
      <c r="GD76" s="769"/>
      <c r="GE76" s="769"/>
      <c r="GF76" s="769"/>
      <c r="GG76" s="769"/>
      <c r="GH76" s="769"/>
      <c r="GI76" s="769"/>
      <c r="GJ76" s="769"/>
      <c r="GK76" s="769"/>
      <c r="GL76" s="769"/>
      <c r="GM76" s="769"/>
      <c r="GN76" s="769"/>
      <c r="GO76" s="769"/>
      <c r="GP76" s="769"/>
      <c r="GQ76" s="769"/>
      <c r="GR76" s="769"/>
      <c r="GS76" s="769"/>
      <c r="GT76" s="769"/>
      <c r="GU76" s="769"/>
      <c r="GV76" s="769"/>
      <c r="GW76" s="769"/>
      <c r="GX76" s="769"/>
      <c r="GY76" s="769"/>
      <c r="GZ76" s="769"/>
      <c r="HA76" s="769"/>
      <c r="HB76" s="769"/>
      <c r="HC76" s="769"/>
      <c r="HD76" s="769"/>
      <c r="HE76" s="769"/>
      <c r="HF76" s="769"/>
      <c r="HG76" s="769"/>
      <c r="HH76" s="769"/>
      <c r="HI76" s="769"/>
      <c r="HJ76" s="769"/>
      <c r="HK76" s="769"/>
      <c r="HL76" s="769"/>
      <c r="HM76" s="769"/>
      <c r="HN76" s="769"/>
      <c r="HO76" s="769"/>
      <c r="HP76" s="769"/>
      <c r="HQ76" s="769"/>
      <c r="HR76" s="769"/>
      <c r="HS76" s="769"/>
      <c r="HT76" s="769"/>
      <c r="HU76" s="769"/>
      <c r="HV76" s="769"/>
      <c r="HW76" s="769"/>
      <c r="HX76" s="769"/>
      <c r="HY76" s="769"/>
      <c r="HZ76" s="769"/>
      <c r="IA76" s="769"/>
      <c r="IB76" s="769"/>
      <c r="IC76" s="769"/>
      <c r="ID76" s="769"/>
    </row>
    <row r="77" spans="2:238" s="702" customFormat="1" ht="22" customHeight="1" thickBot="1" x14ac:dyDescent="0.4">
      <c r="B77" s="2119" t="s">
        <v>602</v>
      </c>
      <c r="C77" s="2120"/>
      <c r="D77" s="2120"/>
      <c r="E77" s="2120"/>
      <c r="F77" s="2120"/>
      <c r="G77" s="765">
        <f>Pricing!D18</f>
        <v>25</v>
      </c>
      <c r="H77" s="90" t="s">
        <v>443</v>
      </c>
      <c r="I77" s="2067" t="s">
        <v>603</v>
      </c>
      <c r="J77" s="2068"/>
      <c r="K77" s="749">
        <v>0.05</v>
      </c>
      <c r="L77" s="2121">
        <f>BU49</f>
        <v>0</v>
      </c>
      <c r="M77" s="2121"/>
      <c r="N77" s="75" t="s">
        <v>446</v>
      </c>
      <c r="O77" s="2058">
        <f>G77*L77*(IF(AC$63="N",1+AE$63,1))</f>
        <v>0</v>
      </c>
      <c r="P77" s="2059"/>
      <c r="Q77" s="686"/>
      <c r="R77" s="686"/>
      <c r="S77" s="537"/>
      <c r="T77" s="299"/>
      <c r="U77" s="622"/>
      <c r="V77" s="622"/>
      <c r="W77" s="622"/>
      <c r="X77" s="622"/>
      <c r="Y77" s="193" t="s">
        <v>207</v>
      </c>
      <c r="Z77" s="106"/>
      <c r="AA77"/>
      <c r="AB77" s="194">
        <f>ROUNDUP(I87/32*1.2*AC71,0)</f>
        <v>0</v>
      </c>
      <c r="AC77" s="106" t="s">
        <v>209</v>
      </c>
      <c r="AD77" s="195">
        <f>Pricing!N7</f>
        <v>50</v>
      </c>
      <c r="AE77" s="401" t="s">
        <v>290</v>
      </c>
      <c r="AF77" s="680">
        <f t="shared" ref="AF77:AF98" si="74">IF(AC$63="Y",AB77*AD77,AB77*AD77*(1+AE$63))</f>
        <v>0</v>
      </c>
      <c r="AG77" s="769"/>
      <c r="AH77" s="769"/>
      <c r="AI77" s="769"/>
      <c r="AJ77" s="702" t="s">
        <v>238</v>
      </c>
      <c r="AK77" s="702">
        <v>0</v>
      </c>
      <c r="GA77" s="769"/>
      <c r="GB77" s="769"/>
      <c r="GC77" s="769"/>
      <c r="GD77" s="769"/>
      <c r="GE77" s="769"/>
      <c r="GF77" s="769"/>
      <c r="GG77" s="769"/>
      <c r="GH77" s="769"/>
      <c r="GI77" s="769"/>
      <c r="GJ77" s="769"/>
      <c r="GK77" s="769"/>
      <c r="GL77" s="769"/>
      <c r="GM77" s="769"/>
      <c r="GN77" s="769"/>
      <c r="GO77" s="769"/>
      <c r="GP77" s="769"/>
      <c r="GQ77" s="769"/>
      <c r="GR77" s="769"/>
      <c r="GS77" s="769"/>
      <c r="GT77" s="769"/>
      <c r="GU77" s="769"/>
      <c r="GV77" s="769"/>
      <c r="GW77" s="769"/>
      <c r="GX77" s="769"/>
      <c r="GY77" s="769"/>
      <c r="GZ77" s="769"/>
      <c r="HA77" s="769"/>
      <c r="HB77" s="769"/>
      <c r="HC77" s="769"/>
      <c r="HD77" s="769"/>
      <c r="HE77" s="769"/>
      <c r="HF77" s="769"/>
      <c r="HG77" s="769"/>
      <c r="HH77" s="769"/>
      <c r="HI77" s="769"/>
      <c r="HJ77" s="769"/>
      <c r="HK77" s="769"/>
      <c r="HL77" s="769"/>
      <c r="HM77" s="769"/>
      <c r="HN77" s="769"/>
      <c r="HO77" s="769"/>
      <c r="HP77" s="769"/>
      <c r="HQ77" s="769"/>
      <c r="HR77" s="769"/>
      <c r="HS77" s="769"/>
      <c r="HT77" s="769"/>
      <c r="HU77" s="769"/>
      <c r="HV77" s="769"/>
      <c r="HW77" s="769"/>
      <c r="HX77" s="769"/>
      <c r="HY77" s="769"/>
      <c r="HZ77" s="769"/>
      <c r="IA77" s="769"/>
      <c r="IB77" s="769"/>
      <c r="IC77" s="769"/>
      <c r="ID77" s="769"/>
    </row>
    <row r="78" spans="2:238" s="702" customFormat="1" ht="22" customHeight="1" thickTop="1" x14ac:dyDescent="0.35">
      <c r="B78" s="43" t="s">
        <v>604</v>
      </c>
      <c r="C78" s="42"/>
      <c r="D78" s="42"/>
      <c r="E78" s="2022" t="s">
        <v>605</v>
      </c>
      <c r="F78" s="751" t="s">
        <v>198</v>
      </c>
      <c r="G78" s="766">
        <v>1</v>
      </c>
      <c r="H78" s="88" t="s">
        <v>42</v>
      </c>
      <c r="I78" s="2008" t="s">
        <v>202</v>
      </c>
      <c r="J78" s="2009"/>
      <c r="K78" s="747">
        <v>0.1</v>
      </c>
      <c r="L78" s="2021">
        <f>IF(F78="Y",(SUM(T$11:T$48)+SUM(Z$11:Z$48)+SUM(AB$11:AB$48))*(1+K78),0)</f>
        <v>0</v>
      </c>
      <c r="M78" s="2015"/>
      <c r="N78" s="42" t="s">
        <v>42</v>
      </c>
      <c r="O78" s="1887">
        <f>L78*G78*(IF(AC$63="N",1+AE$63,1))</f>
        <v>0</v>
      </c>
      <c r="P78" s="1888"/>
      <c r="Q78" s="686"/>
      <c r="R78" s="686"/>
      <c r="S78" s="537"/>
      <c r="T78" s="299"/>
      <c r="U78" s="622"/>
      <c r="V78" s="622"/>
      <c r="W78" s="622"/>
      <c r="X78" s="622"/>
      <c r="Y78" s="193" t="s">
        <v>757</v>
      </c>
      <c r="Z78" s="106"/>
      <c r="AA78"/>
      <c r="AB78" s="194">
        <f>ROUND(AB75/25,0)</f>
        <v>0</v>
      </c>
      <c r="AC78" s="106" t="s">
        <v>753</v>
      </c>
      <c r="AD78" s="195">
        <f>Pricing!N14</f>
        <v>18</v>
      </c>
      <c r="AE78" s="401" t="s">
        <v>291</v>
      </c>
      <c r="AF78" s="680">
        <f t="shared" si="74"/>
        <v>0</v>
      </c>
      <c r="AG78" s="769"/>
      <c r="AH78" s="769"/>
      <c r="AI78" s="769"/>
      <c r="AJ78" s="702" t="s">
        <v>283</v>
      </c>
      <c r="AK78" s="702">
        <v>0</v>
      </c>
      <c r="GA78" s="769"/>
      <c r="GB78" s="769"/>
      <c r="GC78" s="769"/>
      <c r="GD78" s="769"/>
      <c r="GE78" s="769"/>
      <c r="GF78" s="769"/>
      <c r="GG78" s="769"/>
      <c r="GH78" s="769"/>
      <c r="GI78" s="769"/>
      <c r="GJ78" s="769"/>
      <c r="GK78" s="769"/>
      <c r="GL78" s="769"/>
      <c r="GM78" s="769"/>
      <c r="GN78" s="769"/>
      <c r="GO78" s="769"/>
      <c r="GP78" s="769"/>
      <c r="GQ78" s="769"/>
      <c r="GR78" s="769"/>
      <c r="GS78" s="769"/>
      <c r="GT78" s="769"/>
      <c r="GU78" s="769"/>
      <c r="GV78" s="769"/>
      <c r="GW78" s="769"/>
      <c r="GX78" s="769"/>
      <c r="GY78" s="769"/>
      <c r="GZ78" s="769"/>
      <c r="HA78" s="769"/>
      <c r="HB78" s="769"/>
      <c r="HC78" s="769"/>
      <c r="HD78" s="769"/>
      <c r="HE78" s="769"/>
      <c r="HF78" s="769"/>
      <c r="HG78" s="769"/>
      <c r="HH78" s="769"/>
      <c r="HI78" s="769"/>
      <c r="HJ78" s="769"/>
      <c r="HK78" s="769"/>
      <c r="HL78" s="769"/>
      <c r="HM78" s="769"/>
      <c r="HN78" s="769"/>
      <c r="HO78" s="769"/>
      <c r="HP78" s="769"/>
      <c r="HQ78" s="769"/>
      <c r="HR78" s="769"/>
      <c r="HS78" s="769"/>
      <c r="HT78" s="769"/>
      <c r="HU78" s="769"/>
      <c r="HV78" s="769"/>
      <c r="HW78" s="769"/>
      <c r="HX78" s="769"/>
      <c r="HY78" s="769"/>
      <c r="HZ78" s="769"/>
      <c r="IA78" s="769"/>
      <c r="IB78" s="769"/>
      <c r="IC78" s="769"/>
      <c r="ID78" s="769"/>
    </row>
    <row r="79" spans="2:238" s="702" customFormat="1" ht="23.25" customHeight="1" x14ac:dyDescent="0.35">
      <c r="B79" s="43" t="s">
        <v>592</v>
      </c>
      <c r="C79"/>
      <c r="D79"/>
      <c r="E79" s="2022"/>
      <c r="F79" s="728" t="s">
        <v>198</v>
      </c>
      <c r="G79" s="766">
        <v>0.85</v>
      </c>
      <c r="H79" s="88" t="s">
        <v>69</v>
      </c>
      <c r="I79" s="42"/>
      <c r="J79" s="42"/>
      <c r="K79" s="2014">
        <v>0.1</v>
      </c>
      <c r="L79" s="2021">
        <f>IF(F79="Y",SUM(D$49)*(1+K$79),0)</f>
        <v>0</v>
      </c>
      <c r="M79" s="2015"/>
      <c r="N79" s="42" t="s">
        <v>95</v>
      </c>
      <c r="O79" s="1887">
        <f>L79*G79*(IF(AC$63="N",1+AE$63,1))</f>
        <v>0</v>
      </c>
      <c r="P79" s="1888"/>
      <c r="Q79" s="686"/>
      <c r="R79" s="686"/>
      <c r="S79" s="537"/>
      <c r="T79" s="299"/>
      <c r="U79" s="622"/>
      <c r="V79" s="622"/>
      <c r="W79" s="622"/>
      <c r="X79" s="622"/>
      <c r="Y79" s="193" t="s">
        <v>0</v>
      </c>
      <c r="Z79" s="106"/>
      <c r="AA79"/>
      <c r="AB79" s="194">
        <f>ROUNDUP((SUM(K11:K48))*1.25/500,0)</f>
        <v>0</v>
      </c>
      <c r="AC79" s="106" t="s">
        <v>626</v>
      </c>
      <c r="AD79" s="195">
        <f>Pricing!N15</f>
        <v>42</v>
      </c>
      <c r="AE79" s="401" t="s">
        <v>292</v>
      </c>
      <c r="AF79" s="680">
        <f t="shared" si="74"/>
        <v>0</v>
      </c>
      <c r="AG79" s="769"/>
      <c r="AH79" s="769"/>
      <c r="AI79" s="769"/>
      <c r="AJ79" s="702" t="s">
        <v>239</v>
      </c>
      <c r="AK79" s="702" t="s">
        <v>240</v>
      </c>
      <c r="AO79" s="702" t="s">
        <v>92</v>
      </c>
      <c r="GA79" s="769"/>
      <c r="GB79" s="769"/>
      <c r="GC79" s="769"/>
      <c r="GD79" s="769"/>
      <c r="GE79" s="769"/>
      <c r="GF79" s="769"/>
      <c r="GG79" s="769"/>
      <c r="GH79" s="769"/>
      <c r="GI79" s="769"/>
      <c r="GJ79" s="769"/>
      <c r="GK79" s="769"/>
      <c r="GL79" s="769"/>
      <c r="GM79" s="769"/>
      <c r="GN79" s="769"/>
      <c r="GO79" s="769"/>
      <c r="GP79" s="769"/>
      <c r="GQ79" s="769"/>
      <c r="GR79" s="769"/>
      <c r="GS79" s="769"/>
      <c r="GT79" s="769"/>
      <c r="GU79" s="769"/>
      <c r="GV79" s="769"/>
      <c r="GW79" s="769"/>
      <c r="GX79" s="769"/>
      <c r="GY79" s="769"/>
      <c r="GZ79" s="769"/>
      <c r="HA79" s="769"/>
      <c r="HB79" s="769"/>
      <c r="HC79" s="769"/>
      <c r="HD79" s="769"/>
      <c r="HE79" s="769"/>
      <c r="HF79" s="769"/>
      <c r="HG79" s="769"/>
      <c r="HH79" s="769"/>
      <c r="HI79" s="769"/>
      <c r="HJ79" s="769"/>
      <c r="HK79" s="769"/>
      <c r="HL79" s="769"/>
      <c r="HM79" s="769"/>
      <c r="HN79" s="769"/>
      <c r="HO79" s="769"/>
      <c r="HP79" s="769"/>
      <c r="HQ79" s="769"/>
      <c r="HR79" s="769"/>
      <c r="HS79" s="769"/>
      <c r="HT79" s="769"/>
      <c r="HU79" s="769"/>
      <c r="HV79" s="769"/>
      <c r="HW79" s="769"/>
      <c r="HX79" s="769"/>
      <c r="HY79" s="769"/>
      <c r="HZ79" s="769"/>
      <c r="IA79" s="769"/>
      <c r="IB79" s="769"/>
      <c r="IC79" s="769"/>
      <c r="ID79" s="769"/>
    </row>
    <row r="80" spans="2:238" s="702" customFormat="1" ht="22" customHeight="1" x14ac:dyDescent="0.35">
      <c r="B80" s="43" t="s">
        <v>591</v>
      </c>
      <c r="C80"/>
      <c r="D80"/>
      <c r="E80" s="2023"/>
      <c r="F80" s="728" t="s">
        <v>198</v>
      </c>
      <c r="G80" s="767">
        <v>0.12</v>
      </c>
      <c r="H80" s="88" t="s">
        <v>69</v>
      </c>
      <c r="I80" s="2015" t="s">
        <v>202</v>
      </c>
      <c r="J80" s="2016"/>
      <c r="K80" s="2014"/>
      <c r="L80" s="2021">
        <f>IF(F80="Y",SUM(D$49)*(1+K$79),0)</f>
        <v>0</v>
      </c>
      <c r="M80" s="2015"/>
      <c r="N80" s="42" t="s">
        <v>95</v>
      </c>
      <c r="O80" s="1887">
        <f>L80*G80*(IF(AC$63="N",1+AE$63,1))</f>
        <v>0</v>
      </c>
      <c r="P80" s="1888"/>
      <c r="Q80" s="686"/>
      <c r="R80" s="686"/>
      <c r="S80" s="537"/>
      <c r="T80" s="299"/>
      <c r="U80" s="622"/>
      <c r="V80" s="622"/>
      <c r="W80" s="622"/>
      <c r="X80" s="622"/>
      <c r="Y80" s="193" t="s">
        <v>2</v>
      </c>
      <c r="Z80" s="106"/>
      <c r="AA80"/>
      <c r="AB80" s="194">
        <f>ROUNDUP((SUM(K12:K49))*1.25/500,0)</f>
        <v>0</v>
      </c>
      <c r="AC80" s="106" t="s">
        <v>626</v>
      </c>
      <c r="AD80" s="195">
        <f>Pricing!N16</f>
        <v>42</v>
      </c>
      <c r="AE80" s="401" t="s">
        <v>292</v>
      </c>
      <c r="AF80" s="680">
        <f t="shared" si="74"/>
        <v>0</v>
      </c>
      <c r="AG80" s="769"/>
      <c r="AH80" s="769"/>
      <c r="AI80" s="769"/>
      <c r="GA80" s="769"/>
      <c r="GB80" s="769"/>
      <c r="GC80" s="769"/>
      <c r="GD80" s="769"/>
      <c r="GE80" s="769"/>
      <c r="GF80" s="769"/>
      <c r="GG80" s="769"/>
      <c r="GH80" s="769"/>
      <c r="GI80" s="769"/>
      <c r="GJ80" s="769"/>
      <c r="GK80" s="769"/>
      <c r="GL80" s="769"/>
      <c r="GM80" s="769"/>
      <c r="GN80" s="769"/>
      <c r="GO80" s="769"/>
      <c r="GP80" s="769"/>
      <c r="GQ80" s="769"/>
      <c r="GR80" s="769"/>
      <c r="GS80" s="769"/>
      <c r="GT80" s="769"/>
      <c r="GU80" s="769"/>
      <c r="GV80" s="769"/>
      <c r="GW80" s="769"/>
      <c r="GX80" s="769"/>
      <c r="GY80" s="769"/>
      <c r="GZ80" s="769"/>
      <c r="HA80" s="769"/>
      <c r="HB80" s="769"/>
      <c r="HC80" s="769"/>
      <c r="HD80" s="769"/>
      <c r="HE80" s="769"/>
      <c r="HF80" s="769"/>
      <c r="HG80" s="769"/>
      <c r="HH80" s="769"/>
      <c r="HI80" s="769"/>
      <c r="HJ80" s="769"/>
      <c r="HK80" s="769"/>
      <c r="HL80" s="769"/>
      <c r="HM80" s="769"/>
      <c r="HN80" s="769"/>
      <c r="HO80" s="769"/>
      <c r="HP80" s="769"/>
      <c r="HQ80" s="769"/>
      <c r="HR80" s="769"/>
      <c r="HS80" s="769"/>
      <c r="HT80" s="769"/>
      <c r="HU80" s="769"/>
      <c r="HV80" s="769"/>
      <c r="HW80" s="769"/>
      <c r="HX80" s="769"/>
      <c r="HY80" s="769"/>
      <c r="HZ80" s="769"/>
      <c r="IA80" s="769"/>
      <c r="IB80" s="769"/>
      <c r="IC80" s="769"/>
      <c r="ID80" s="769"/>
    </row>
    <row r="81" spans="2:238" s="702" customFormat="1" ht="22" customHeight="1" thickBot="1" x14ac:dyDescent="0.4">
      <c r="B81" s="2005" t="s">
        <v>108</v>
      </c>
      <c r="C81" s="2006"/>
      <c r="D81" s="2006"/>
      <c r="E81" s="2006"/>
      <c r="F81" s="2007"/>
      <c r="G81" s="768">
        <v>20</v>
      </c>
      <c r="H81" s="96" t="s">
        <v>606</v>
      </c>
      <c r="I81" s="2006" t="s">
        <v>603</v>
      </c>
      <c r="J81" s="2006"/>
      <c r="K81" s="750">
        <v>0.1</v>
      </c>
      <c r="L81" s="2029">
        <v>0</v>
      </c>
      <c r="M81" s="2029"/>
      <c r="N81" s="49" t="s">
        <v>335</v>
      </c>
      <c r="O81" s="1887">
        <f>L81*G81*(IF(AC$63="N",1+AE$63,1))</f>
        <v>0</v>
      </c>
      <c r="P81" s="1888"/>
      <c r="Q81" s="686"/>
      <c r="R81" s="686"/>
      <c r="S81" s="537"/>
      <c r="T81" s="299"/>
      <c r="U81" s="622"/>
      <c r="V81" s="622"/>
      <c r="W81" s="622"/>
      <c r="X81" s="622"/>
      <c r="Y81" s="193" t="s">
        <v>728</v>
      </c>
      <c r="Z81" s="106"/>
      <c r="AA81"/>
      <c r="AB81" s="194">
        <f>ROUNDUP((SUM(K13:K48))*1.25/500,0)</f>
        <v>0</v>
      </c>
      <c r="AC81" s="106" t="s">
        <v>626</v>
      </c>
      <c r="AD81" s="195">
        <f>Pricing!N15</f>
        <v>42</v>
      </c>
      <c r="AE81" s="401" t="s">
        <v>292</v>
      </c>
      <c r="AF81" s="680">
        <f t="shared" si="74"/>
        <v>0</v>
      </c>
      <c r="AG81" s="769"/>
      <c r="AH81" s="769"/>
      <c r="AI81" s="769"/>
      <c r="AJ81" s="702">
        <v>0</v>
      </c>
      <c r="AK81" s="702" t="s">
        <v>241</v>
      </c>
      <c r="GA81" s="769"/>
      <c r="GB81" s="769"/>
      <c r="GC81" s="769"/>
      <c r="GD81" s="769"/>
      <c r="GE81" s="769"/>
      <c r="GF81" s="769"/>
      <c r="GG81" s="769"/>
      <c r="GH81" s="769"/>
      <c r="GI81" s="769"/>
      <c r="GJ81" s="769"/>
      <c r="GK81" s="769"/>
      <c r="GL81" s="769"/>
      <c r="GM81" s="769"/>
      <c r="GN81" s="769"/>
      <c r="GO81" s="769"/>
      <c r="GP81" s="769"/>
      <c r="GQ81" s="769"/>
      <c r="GR81" s="769"/>
      <c r="GS81" s="769"/>
      <c r="GT81" s="769"/>
      <c r="GU81" s="769"/>
      <c r="GV81" s="769"/>
      <c r="GW81" s="769"/>
      <c r="GX81" s="769"/>
      <c r="GY81" s="769"/>
      <c r="GZ81" s="769"/>
      <c r="HA81" s="769"/>
      <c r="HB81" s="769"/>
      <c r="HC81" s="769"/>
      <c r="HD81" s="769"/>
      <c r="HE81" s="769"/>
      <c r="HF81" s="769"/>
      <c r="HG81" s="769"/>
      <c r="HH81" s="769"/>
      <c r="HI81" s="769"/>
      <c r="HJ81" s="769"/>
      <c r="HK81" s="769"/>
      <c r="HL81" s="769"/>
      <c r="HM81" s="769"/>
      <c r="HN81" s="769"/>
      <c r="HO81" s="769"/>
      <c r="HP81" s="769"/>
      <c r="HQ81" s="769"/>
      <c r="HR81" s="769"/>
      <c r="HS81" s="769"/>
      <c r="HT81" s="769"/>
      <c r="HU81" s="769"/>
      <c r="HV81" s="769"/>
      <c r="HW81" s="769"/>
      <c r="HX81" s="769"/>
      <c r="HY81" s="769"/>
      <c r="HZ81" s="769"/>
      <c r="IA81" s="769"/>
      <c r="IB81" s="769"/>
      <c r="IC81" s="769"/>
      <c r="ID81" s="769"/>
    </row>
    <row r="82" spans="2:238" s="702" customFormat="1" ht="22" customHeight="1" thickBot="1" x14ac:dyDescent="0.4">
      <c r="B82" s="737" t="s">
        <v>221</v>
      </c>
      <c r="C82" s="732"/>
      <c r="D82" s="732" t="s">
        <v>299</v>
      </c>
      <c r="E82" s="732"/>
      <c r="F82" s="732"/>
      <c r="G82" s="732"/>
      <c r="H82" s="731"/>
      <c r="I82" s="732"/>
      <c r="J82" s="732"/>
      <c r="K82" s="732"/>
      <c r="L82" s="1889" t="s">
        <v>45</v>
      </c>
      <c r="M82" s="1889"/>
      <c r="N82" s="1889" t="s">
        <v>300</v>
      </c>
      <c r="O82" s="1889"/>
      <c r="P82" s="1890"/>
      <c r="Q82" s="685"/>
      <c r="R82" s="685"/>
      <c r="S82" s="537"/>
      <c r="T82" s="299"/>
      <c r="U82" s="622"/>
      <c r="V82" s="622"/>
      <c r="W82" s="622"/>
      <c r="X82" s="622"/>
      <c r="Y82" s="193" t="s">
        <v>210</v>
      </c>
      <c r="Z82" s="106"/>
      <c r="AA82"/>
      <c r="AB82" s="194">
        <f>BQ49/150</f>
        <v>0</v>
      </c>
      <c r="AC82" s="106" t="s">
        <v>626</v>
      </c>
      <c r="AD82" s="195">
        <f>Pricing!N33</f>
        <v>25.5</v>
      </c>
      <c r="AE82" s="401" t="s">
        <v>292</v>
      </c>
      <c r="AF82" s="680">
        <f t="shared" si="74"/>
        <v>0</v>
      </c>
      <c r="AG82" s="769"/>
      <c r="AH82" s="769"/>
      <c r="AI82" s="769"/>
      <c r="AJ82" s="702">
        <v>1</v>
      </c>
      <c r="AK82" s="702" t="s">
        <v>242</v>
      </c>
      <c r="GA82" s="769"/>
      <c r="GB82" s="769"/>
      <c r="GC82" s="769"/>
      <c r="GD82" s="769"/>
      <c r="GE82" s="769"/>
      <c r="GF82" s="769"/>
      <c r="GG82" s="769"/>
      <c r="GH82" s="769"/>
      <c r="GI82" s="769"/>
      <c r="GJ82" s="769"/>
      <c r="GK82" s="769"/>
      <c r="GL82" s="769"/>
      <c r="GM82" s="769"/>
      <c r="GN82" s="769"/>
      <c r="GO82" s="769"/>
      <c r="GP82" s="769"/>
      <c r="GQ82" s="769"/>
      <c r="GR82" s="769"/>
      <c r="GS82" s="769"/>
      <c r="GT82" s="769"/>
      <c r="GU82" s="769"/>
      <c r="GV82" s="769"/>
      <c r="GW82" s="769"/>
      <c r="GX82" s="769"/>
      <c r="GY82" s="769"/>
      <c r="GZ82" s="769"/>
      <c r="HA82" s="769"/>
      <c r="HB82" s="769"/>
      <c r="HC82" s="769"/>
      <c r="HD82" s="769"/>
      <c r="HE82" s="769"/>
      <c r="HF82" s="769"/>
      <c r="HG82" s="769"/>
      <c r="HH82" s="769"/>
      <c r="HI82" s="769"/>
      <c r="HJ82" s="769"/>
      <c r="HK82" s="769"/>
      <c r="HL82" s="769"/>
      <c r="HM82" s="769"/>
      <c r="HN82" s="769"/>
      <c r="HO82" s="769"/>
      <c r="HP82" s="769"/>
      <c r="HQ82" s="769"/>
      <c r="HR82" s="769"/>
      <c r="HS82" s="769"/>
      <c r="HT82" s="769"/>
      <c r="HU82" s="769"/>
      <c r="HV82" s="769"/>
      <c r="HW82" s="769"/>
      <c r="HX82" s="769"/>
      <c r="HY82" s="769"/>
      <c r="HZ82" s="769"/>
      <c r="IA82" s="769"/>
      <c r="IB82" s="769"/>
      <c r="IC82" s="769"/>
      <c r="ID82" s="769"/>
    </row>
    <row r="83" spans="2:238" s="702" customFormat="1" ht="22" customHeight="1" x14ac:dyDescent="0.35">
      <c r="B83" s="250" t="s">
        <v>329</v>
      </c>
      <c r="C83" s="78"/>
      <c r="D83" s="246" t="s">
        <v>235</v>
      </c>
      <c r="E83" s="2027">
        <v>0.6</v>
      </c>
      <c r="F83" s="2028"/>
      <c r="G83" s="116" t="s">
        <v>191</v>
      </c>
      <c r="H83" s="2024">
        <f>SUM(E83:F86)</f>
        <v>1.9500000000000002</v>
      </c>
      <c r="I83" s="1847">
        <f>D49</f>
        <v>0</v>
      </c>
      <c r="J83" s="1848"/>
      <c r="K83" s="48" t="s">
        <v>95</v>
      </c>
      <c r="L83" s="1853">
        <f>IF(D83="N",E83*I$83,0)</f>
        <v>0</v>
      </c>
      <c r="M83" s="1853"/>
      <c r="N83" s="247"/>
      <c r="O83" s="1897">
        <f>IF(D83="y",I$83*E83,0)</f>
        <v>0</v>
      </c>
      <c r="P83" s="1898"/>
      <c r="Q83" s="687"/>
      <c r="R83" s="687"/>
      <c r="S83" s="537"/>
      <c r="T83" s="299"/>
      <c r="U83" s="622"/>
      <c r="V83" s="622"/>
      <c r="W83" s="622"/>
      <c r="X83" s="622"/>
      <c r="Y83" s="193" t="s">
        <v>236</v>
      </c>
      <c r="Z83" s="106"/>
      <c r="AA83"/>
      <c r="AB83" s="194">
        <v>0</v>
      </c>
      <c r="AC83" s="106" t="s">
        <v>42</v>
      </c>
      <c r="AD83" s="195">
        <f>Pricing!N18</f>
        <v>0.78</v>
      </c>
      <c r="AE83" s="106" t="s">
        <v>787</v>
      </c>
      <c r="AF83" s="680">
        <f t="shared" si="74"/>
        <v>0</v>
      </c>
      <c r="AG83" s="769"/>
      <c r="AH83" s="769"/>
      <c r="AI83" s="769"/>
      <c r="AJ83" s="702">
        <v>2</v>
      </c>
      <c r="AK83" s="702" t="s">
        <v>243</v>
      </c>
      <c r="AO83" s="704">
        <f>SUM(AF72:AF98)+O81</f>
        <v>0</v>
      </c>
      <c r="AP83" s="704"/>
      <c r="GA83" s="769"/>
      <c r="GB83" s="769"/>
      <c r="GC83" s="769"/>
      <c r="GD83" s="769"/>
      <c r="GE83" s="769"/>
      <c r="GF83" s="769"/>
      <c r="GG83" s="769"/>
      <c r="GH83" s="769"/>
      <c r="GI83" s="769"/>
      <c r="GJ83" s="769"/>
      <c r="GK83" s="769"/>
      <c r="GL83" s="769"/>
      <c r="GM83" s="769"/>
      <c r="GN83" s="769"/>
      <c r="GO83" s="769"/>
      <c r="GP83" s="769"/>
      <c r="GQ83" s="769"/>
      <c r="GR83" s="769"/>
      <c r="GS83" s="769"/>
      <c r="GT83" s="769"/>
      <c r="GU83" s="769"/>
      <c r="GV83" s="769"/>
      <c r="GW83" s="769"/>
      <c r="GX83" s="769"/>
      <c r="GY83" s="769"/>
      <c r="GZ83" s="769"/>
      <c r="HA83" s="769"/>
      <c r="HB83" s="769"/>
      <c r="HC83" s="769"/>
      <c r="HD83" s="769"/>
      <c r="HE83" s="769"/>
      <c r="HF83" s="769"/>
      <c r="HG83" s="769"/>
      <c r="HH83" s="769"/>
      <c r="HI83" s="769"/>
      <c r="HJ83" s="769"/>
      <c r="HK83" s="769"/>
      <c r="HL83" s="769"/>
      <c r="HM83" s="769"/>
      <c r="HN83" s="769"/>
      <c r="HO83" s="769"/>
      <c r="HP83" s="769"/>
      <c r="HQ83" s="769"/>
      <c r="HR83" s="769"/>
      <c r="HS83" s="769"/>
      <c r="HT83" s="769"/>
      <c r="HU83" s="769"/>
      <c r="HV83" s="769"/>
      <c r="HW83" s="769"/>
      <c r="HX83" s="769"/>
      <c r="HY83" s="769"/>
      <c r="HZ83" s="769"/>
      <c r="IA83" s="769"/>
      <c r="IB83" s="769"/>
      <c r="IC83" s="769"/>
      <c r="ID83" s="769"/>
    </row>
    <row r="84" spans="2:238" s="702" customFormat="1" ht="22" customHeight="1" x14ac:dyDescent="0.35">
      <c r="B84" s="196" t="s">
        <v>583</v>
      </c>
      <c r="C84" s="69"/>
      <c r="D84" s="98" t="s">
        <v>235</v>
      </c>
      <c r="E84" s="2010">
        <v>0.6</v>
      </c>
      <c r="F84" s="2011"/>
      <c r="G84" s="88" t="s">
        <v>69</v>
      </c>
      <c r="H84" s="2025"/>
      <c r="I84" s="1849"/>
      <c r="J84" s="1850"/>
      <c r="K84" s="69" t="s">
        <v>95</v>
      </c>
      <c r="L84" s="1886">
        <f>IF(D84="N",E84*I$83,0)</f>
        <v>0</v>
      </c>
      <c r="M84" s="1886"/>
      <c r="N84"/>
      <c r="O84" s="1895">
        <f>IF(D84="y",I$83*E84,0)</f>
        <v>0</v>
      </c>
      <c r="P84" s="1896"/>
      <c r="Q84" s="687"/>
      <c r="R84" s="687"/>
      <c r="S84" s="537"/>
      <c r="T84" s="299"/>
      <c r="U84" s="622"/>
      <c r="V84" s="622"/>
      <c r="W84" s="622"/>
      <c r="X84" s="622"/>
      <c r="Y84" s="193" t="s">
        <v>119</v>
      </c>
      <c r="Z84" s="106"/>
      <c r="AA84"/>
      <c r="AB84" s="194">
        <v>0</v>
      </c>
      <c r="AC84" s="106" t="s">
        <v>42</v>
      </c>
      <c r="AD84" s="195">
        <f>Pricing!N19</f>
        <v>0.16</v>
      </c>
      <c r="AE84" s="106" t="s">
        <v>787</v>
      </c>
      <c r="AF84" s="680">
        <f t="shared" si="74"/>
        <v>0</v>
      </c>
      <c r="AG84" s="769"/>
      <c r="AH84" s="769"/>
      <c r="AI84" s="769"/>
      <c r="AJ84" s="702">
        <v>3</v>
      </c>
      <c r="AK84" s="702" t="s">
        <v>244</v>
      </c>
      <c r="AO84" s="704">
        <f>O77</f>
        <v>0</v>
      </c>
      <c r="AP84" s="704"/>
      <c r="GA84" s="769"/>
      <c r="GB84" s="769"/>
      <c r="GC84" s="769"/>
      <c r="GD84" s="769"/>
      <c r="GE84" s="769"/>
      <c r="GF84" s="769"/>
      <c r="GG84" s="769"/>
      <c r="GH84" s="769"/>
      <c r="GI84" s="769"/>
      <c r="GJ84" s="769"/>
      <c r="GK84" s="769"/>
      <c r="GL84" s="769"/>
      <c r="GM84" s="769"/>
      <c r="GN84" s="769"/>
      <c r="GO84" s="769"/>
      <c r="GP84" s="769"/>
      <c r="GQ84" s="769"/>
      <c r="GR84" s="769"/>
      <c r="GS84" s="769"/>
      <c r="GT84" s="769"/>
      <c r="GU84" s="769"/>
      <c r="GV84" s="769"/>
      <c r="GW84" s="769"/>
      <c r="GX84" s="769"/>
      <c r="GY84" s="769"/>
      <c r="GZ84" s="769"/>
      <c r="HA84" s="769"/>
      <c r="HB84" s="769"/>
      <c r="HC84" s="769"/>
      <c r="HD84" s="769"/>
      <c r="HE84" s="769"/>
      <c r="HF84" s="769"/>
      <c r="HG84" s="769"/>
      <c r="HH84" s="769"/>
      <c r="HI84" s="769"/>
      <c r="HJ84" s="769"/>
      <c r="HK84" s="769"/>
      <c r="HL84" s="769"/>
      <c r="HM84" s="769"/>
      <c r="HN84" s="769"/>
      <c r="HO84" s="769"/>
      <c r="HP84" s="769"/>
      <c r="HQ84" s="769"/>
      <c r="HR84" s="769"/>
      <c r="HS84" s="769"/>
      <c r="HT84" s="769"/>
      <c r="HU84" s="769"/>
      <c r="HV84" s="769"/>
      <c r="HW84" s="769"/>
      <c r="HX84" s="769"/>
      <c r="HY84" s="769"/>
      <c r="HZ84" s="769"/>
      <c r="IA84" s="769"/>
      <c r="IB84" s="769"/>
      <c r="IC84" s="769"/>
      <c r="ID84" s="769"/>
    </row>
    <row r="85" spans="2:238" s="702" customFormat="1" ht="22" customHeight="1" x14ac:dyDescent="0.35">
      <c r="B85" s="196" t="s">
        <v>162</v>
      </c>
      <c r="C85" s="57"/>
      <c r="D85" s="98" t="s">
        <v>235</v>
      </c>
      <c r="E85" s="1844">
        <v>0.65</v>
      </c>
      <c r="F85" s="1845"/>
      <c r="G85" s="88" t="s">
        <v>191</v>
      </c>
      <c r="H85" s="2025"/>
      <c r="I85" s="1849"/>
      <c r="J85" s="1850"/>
      <c r="K85" s="42" t="s">
        <v>95</v>
      </c>
      <c r="L85" s="1886">
        <f>IF(D85="N",E85*I$83,0)</f>
        <v>0</v>
      </c>
      <c r="M85" s="1886"/>
      <c r="N85"/>
      <c r="O85" s="1895">
        <f>IF(D85="y",I$83*E85,0)</f>
        <v>0</v>
      </c>
      <c r="P85" s="1896"/>
      <c r="Q85" s="687"/>
      <c r="R85" s="687"/>
      <c r="S85" s="537"/>
      <c r="T85" s="299"/>
      <c r="U85" s="622"/>
      <c r="V85" s="622"/>
      <c r="W85" s="622"/>
      <c r="X85" s="622"/>
      <c r="Y85" s="193" t="s">
        <v>363</v>
      </c>
      <c r="Z85" s="106"/>
      <c r="AA85"/>
      <c r="AB85" s="194">
        <v>0</v>
      </c>
      <c r="AC85" s="106" t="s">
        <v>42</v>
      </c>
      <c r="AD85" s="195">
        <f>Pricing!N11</f>
        <v>1.25</v>
      </c>
      <c r="AE85" s="106" t="s">
        <v>787</v>
      </c>
      <c r="AF85" s="680">
        <f t="shared" si="74"/>
        <v>0</v>
      </c>
      <c r="AG85" s="769"/>
      <c r="AH85" s="769"/>
      <c r="AI85" s="769"/>
      <c r="AJ85" s="702">
        <v>4</v>
      </c>
      <c r="AK85" s="702" t="s">
        <v>245</v>
      </c>
      <c r="GA85" s="769"/>
      <c r="GB85" s="769"/>
      <c r="GC85" s="769"/>
      <c r="GD85" s="769"/>
      <c r="GE85" s="769"/>
      <c r="GF85" s="769"/>
      <c r="GG85" s="769"/>
      <c r="GH85" s="769"/>
      <c r="GI85" s="769"/>
      <c r="GJ85" s="769"/>
      <c r="GK85" s="769"/>
      <c r="GL85" s="769"/>
      <c r="GM85" s="769"/>
      <c r="GN85" s="769"/>
      <c r="GO85" s="769"/>
      <c r="GP85" s="769"/>
      <c r="GQ85" s="769"/>
      <c r="GR85" s="769"/>
      <c r="GS85" s="769"/>
      <c r="GT85" s="769"/>
      <c r="GU85" s="769"/>
      <c r="GV85" s="769"/>
      <c r="GW85" s="769"/>
      <c r="GX85" s="769"/>
      <c r="GY85" s="769"/>
      <c r="GZ85" s="769"/>
      <c r="HA85" s="769"/>
      <c r="HB85" s="769"/>
      <c r="HC85" s="769"/>
      <c r="HD85" s="769"/>
      <c r="HE85" s="769"/>
      <c r="HF85" s="769"/>
      <c r="HG85" s="769"/>
      <c r="HH85" s="769"/>
      <c r="HI85" s="769"/>
      <c r="HJ85" s="769"/>
      <c r="HK85" s="769"/>
      <c r="HL85" s="769"/>
      <c r="HM85" s="769"/>
      <c r="HN85" s="769"/>
      <c r="HO85" s="769"/>
      <c r="HP85" s="769"/>
      <c r="HQ85" s="769"/>
      <c r="HR85" s="769"/>
      <c r="HS85" s="769"/>
      <c r="HT85" s="769"/>
      <c r="HU85" s="769"/>
      <c r="HV85" s="769"/>
      <c r="HW85" s="769"/>
      <c r="HX85" s="769"/>
      <c r="HY85" s="769"/>
      <c r="HZ85" s="769"/>
      <c r="IA85" s="769"/>
      <c r="IB85" s="769"/>
      <c r="IC85" s="769"/>
      <c r="ID85" s="769"/>
    </row>
    <row r="86" spans="2:238" s="702" customFormat="1" ht="22" customHeight="1" x14ac:dyDescent="0.35">
      <c r="B86" s="196" t="s">
        <v>84</v>
      </c>
      <c r="C86" s="57"/>
      <c r="D86" s="98" t="s">
        <v>235</v>
      </c>
      <c r="E86" s="1844">
        <v>0.1</v>
      </c>
      <c r="F86" s="1845"/>
      <c r="G86" s="88" t="s">
        <v>191</v>
      </c>
      <c r="H86" s="2026"/>
      <c r="I86" s="1851"/>
      <c r="J86" s="1852"/>
      <c r="K86" s="42" t="s">
        <v>95</v>
      </c>
      <c r="L86" s="1886">
        <f>IF(D86="N",E86*I$83,0)</f>
        <v>0</v>
      </c>
      <c r="M86" s="1886"/>
      <c r="N86"/>
      <c r="O86" s="1895">
        <f>IF(D86="y",I$83*E86,0)</f>
        <v>0</v>
      </c>
      <c r="P86" s="1896"/>
      <c r="Q86" s="687"/>
      <c r="R86" s="687"/>
      <c r="S86" s="537"/>
      <c r="T86" s="299"/>
      <c r="U86" s="622"/>
      <c r="V86" s="622"/>
      <c r="W86" s="622"/>
      <c r="X86" s="622"/>
      <c r="Y86" s="193" t="s">
        <v>367</v>
      </c>
      <c r="Z86" s="106"/>
      <c r="AA86"/>
      <c r="AB86" s="194">
        <v>0</v>
      </c>
      <c r="AC86" s="106" t="s">
        <v>42</v>
      </c>
      <c r="AD86" s="195">
        <f>Pricing!N12</f>
        <v>0.9</v>
      </c>
      <c r="AE86" s="106" t="s">
        <v>787</v>
      </c>
      <c r="AF86" s="680">
        <f t="shared" si="74"/>
        <v>0</v>
      </c>
      <c r="AG86" s="769"/>
      <c r="AH86" s="769"/>
      <c r="AI86" s="769"/>
      <c r="AJ86" s="702">
        <v>5</v>
      </c>
      <c r="AK86" s="702" t="s">
        <v>246</v>
      </c>
      <c r="AO86" s="704">
        <f>O74+O75+AF111</f>
        <v>0</v>
      </c>
      <c r="AP86" s="704"/>
      <c r="GA86" s="769"/>
      <c r="GB86" s="769"/>
      <c r="GC86" s="769"/>
      <c r="GD86" s="769"/>
      <c r="GE86" s="769"/>
      <c r="GF86" s="769"/>
      <c r="GG86" s="769"/>
      <c r="GH86" s="769"/>
      <c r="GI86" s="769"/>
      <c r="GJ86" s="769"/>
      <c r="GK86" s="769"/>
      <c r="GL86" s="769"/>
      <c r="GM86" s="769"/>
      <c r="GN86" s="769"/>
      <c r="GO86" s="769"/>
      <c r="GP86" s="769"/>
      <c r="GQ86" s="769"/>
      <c r="GR86" s="769"/>
      <c r="GS86" s="769"/>
      <c r="GT86" s="769"/>
      <c r="GU86" s="769"/>
      <c r="GV86" s="769"/>
      <c r="GW86" s="769"/>
      <c r="GX86" s="769"/>
      <c r="GY86" s="769"/>
      <c r="GZ86" s="769"/>
      <c r="HA86" s="769"/>
      <c r="HB86" s="769"/>
      <c r="HC86" s="769"/>
      <c r="HD86" s="769"/>
      <c r="HE86" s="769"/>
      <c r="HF86" s="769"/>
      <c r="HG86" s="769"/>
      <c r="HH86" s="769"/>
      <c r="HI86" s="769"/>
      <c r="HJ86" s="769"/>
      <c r="HK86" s="769"/>
      <c r="HL86" s="769"/>
      <c r="HM86" s="769"/>
      <c r="HN86" s="769"/>
      <c r="HO86" s="769"/>
      <c r="HP86" s="769"/>
      <c r="HQ86" s="769"/>
      <c r="HR86" s="769"/>
      <c r="HS86" s="769"/>
      <c r="HT86" s="769"/>
      <c r="HU86" s="769"/>
      <c r="HV86" s="769"/>
      <c r="HW86" s="769"/>
      <c r="HX86" s="769"/>
      <c r="HY86" s="769"/>
      <c r="HZ86" s="769"/>
      <c r="IA86" s="769"/>
      <c r="IB86" s="769"/>
      <c r="IC86" s="769"/>
      <c r="ID86" s="769"/>
    </row>
    <row r="87" spans="2:238" s="702" customFormat="1" ht="22" customHeight="1" x14ac:dyDescent="0.35">
      <c r="B87" s="196" t="s">
        <v>581</v>
      </c>
      <c r="C87" s="57"/>
      <c r="D87" s="98" t="s">
        <v>235</v>
      </c>
      <c r="E87" s="1842">
        <v>7</v>
      </c>
      <c r="F87" s="1843"/>
      <c r="G87" s="88" t="s">
        <v>840</v>
      </c>
      <c r="H87"/>
      <c r="I87" s="2012">
        <f>BR49</f>
        <v>0</v>
      </c>
      <c r="J87" s="2013"/>
      <c r="K87" s="42" t="s">
        <v>584</v>
      </c>
      <c r="L87" s="1886">
        <f>IF(D87="N",E87*I$87,0)</f>
        <v>0</v>
      </c>
      <c r="M87" s="1886"/>
      <c r="N87"/>
      <c r="O87" s="1895">
        <f>IF(D87="y",I87*E87,0)</f>
        <v>0</v>
      </c>
      <c r="P87" s="1896"/>
      <c r="Q87" s="687"/>
      <c r="R87" s="687"/>
      <c r="S87" s="537"/>
      <c r="T87" s="299"/>
      <c r="U87" s="622"/>
      <c r="V87" s="622"/>
      <c r="W87" s="622"/>
      <c r="X87" s="622"/>
      <c r="Y87" s="193" t="s">
        <v>368</v>
      </c>
      <c r="Z87" s="106"/>
      <c r="AA87"/>
      <c r="AB87" s="194">
        <f>SUM(AB85:AB86)</f>
        <v>0</v>
      </c>
      <c r="AC87" s="106" t="s">
        <v>42</v>
      </c>
      <c r="AD87" s="195">
        <f>Pricing!N9</f>
        <v>0.15</v>
      </c>
      <c r="AE87" s="106" t="s">
        <v>787</v>
      </c>
      <c r="AF87" s="680">
        <f t="shared" si="74"/>
        <v>0</v>
      </c>
      <c r="AG87" s="769"/>
      <c r="AH87" s="769"/>
      <c r="AI87" s="769"/>
      <c r="AJ87" s="702">
        <v>6</v>
      </c>
      <c r="AK87" s="702" t="s">
        <v>248</v>
      </c>
      <c r="AO87" s="702">
        <f>SUM(AF100:AF105)</f>
        <v>0</v>
      </c>
      <c r="GA87" s="769"/>
      <c r="GB87" s="769"/>
      <c r="GC87" s="769"/>
      <c r="GD87" s="769"/>
      <c r="GE87" s="769"/>
      <c r="GF87" s="769"/>
      <c r="GG87" s="769"/>
      <c r="GH87" s="769"/>
      <c r="GI87" s="769"/>
      <c r="GJ87" s="769"/>
      <c r="GK87" s="769"/>
      <c r="GL87" s="769"/>
      <c r="GM87" s="769"/>
      <c r="GN87" s="769"/>
      <c r="GO87" s="769"/>
      <c r="GP87" s="769"/>
      <c r="GQ87" s="769"/>
      <c r="GR87" s="769"/>
      <c r="GS87" s="769"/>
      <c r="GT87" s="769"/>
      <c r="GU87" s="769"/>
      <c r="GV87" s="769"/>
      <c r="GW87" s="769"/>
      <c r="GX87" s="769"/>
      <c r="GY87" s="769"/>
      <c r="GZ87" s="769"/>
      <c r="HA87" s="769"/>
      <c r="HB87" s="769"/>
      <c r="HC87" s="769"/>
      <c r="HD87" s="769"/>
      <c r="HE87" s="769"/>
      <c r="HF87" s="769"/>
      <c r="HG87" s="769"/>
      <c r="HH87" s="769"/>
      <c r="HI87" s="769"/>
      <c r="HJ87" s="769"/>
      <c r="HK87" s="769"/>
      <c r="HL87" s="769"/>
      <c r="HM87" s="769"/>
      <c r="HN87" s="769"/>
      <c r="HO87" s="769"/>
      <c r="HP87" s="769"/>
      <c r="HQ87" s="769"/>
      <c r="HR87" s="769"/>
      <c r="HS87" s="769"/>
      <c r="HT87" s="769"/>
      <c r="HU87" s="769"/>
      <c r="HV87" s="769"/>
      <c r="HW87" s="769"/>
      <c r="HX87" s="769"/>
      <c r="HY87" s="769"/>
      <c r="HZ87" s="769"/>
      <c r="IA87" s="769"/>
      <c r="IB87" s="769"/>
      <c r="IC87" s="769"/>
      <c r="ID87" s="769"/>
    </row>
    <row r="88" spans="2:238" s="702" customFormat="1" ht="22" customHeight="1" x14ac:dyDescent="0.35">
      <c r="B88" s="196" t="s">
        <v>686</v>
      </c>
      <c r="C88" s="57"/>
      <c r="D88" s="98" t="s">
        <v>235</v>
      </c>
      <c r="E88" s="1842">
        <v>4</v>
      </c>
      <c r="F88" s="1843"/>
      <c r="G88" s="88" t="s">
        <v>18</v>
      </c>
      <c r="H88"/>
      <c r="I88" s="1846"/>
      <c r="J88" s="1846"/>
      <c r="K88" s="42" t="s">
        <v>52</v>
      </c>
      <c r="L88" s="1886">
        <f>IF(D88="N",E88*I$88,0)</f>
        <v>0</v>
      </c>
      <c r="M88" s="1886"/>
      <c r="N88"/>
      <c r="O88" s="1895">
        <f>IF(D88="y",I88*E88,0)</f>
        <v>0</v>
      </c>
      <c r="P88" s="1896"/>
      <c r="Q88" s="687"/>
      <c r="R88" s="687"/>
      <c r="S88" s="537"/>
      <c r="T88" s="299"/>
      <c r="U88" s="622"/>
      <c r="V88" s="622"/>
      <c r="W88" s="622"/>
      <c r="X88" s="622"/>
      <c r="Y88" s="193"/>
      <c r="Z88" s="106"/>
      <c r="AA88"/>
      <c r="AB88" s="194"/>
      <c r="AC88" s="106"/>
      <c r="AD88" s="195"/>
      <c r="AE88" s="401"/>
      <c r="AF88" s="680">
        <f t="shared" si="74"/>
        <v>0</v>
      </c>
      <c r="AG88" s="769"/>
      <c r="AH88" s="769"/>
      <c r="AI88" s="769"/>
      <c r="AJ88" s="702">
        <v>7</v>
      </c>
      <c r="AK88" s="702" t="s">
        <v>247</v>
      </c>
      <c r="AO88" s="702">
        <f>O76</f>
        <v>0</v>
      </c>
      <c r="GA88" s="769"/>
      <c r="GB88" s="769"/>
      <c r="GC88" s="769"/>
      <c r="GD88" s="769"/>
      <c r="GE88" s="769"/>
      <c r="GF88" s="769"/>
      <c r="GG88" s="769"/>
      <c r="GH88" s="769"/>
      <c r="GI88" s="769"/>
      <c r="GJ88" s="769"/>
      <c r="GK88" s="769"/>
      <c r="GL88" s="769"/>
      <c r="GM88" s="769"/>
      <c r="GN88" s="769"/>
      <c r="GO88" s="769"/>
      <c r="GP88" s="769"/>
      <c r="GQ88" s="769"/>
      <c r="GR88" s="769"/>
      <c r="GS88" s="769"/>
      <c r="GT88" s="769"/>
      <c r="GU88" s="769"/>
      <c r="GV88" s="769"/>
      <c r="GW88" s="769"/>
      <c r="GX88" s="769"/>
      <c r="GY88" s="769"/>
      <c r="GZ88" s="769"/>
      <c r="HA88" s="769"/>
      <c r="HB88" s="769"/>
      <c r="HC88" s="769"/>
      <c r="HD88" s="769"/>
      <c r="HE88" s="769"/>
      <c r="HF88" s="769"/>
      <c r="HG88" s="769"/>
      <c r="HH88" s="769"/>
      <c r="HI88" s="769"/>
      <c r="HJ88" s="769"/>
      <c r="HK88" s="769"/>
      <c r="HL88" s="769"/>
      <c r="HM88" s="769"/>
      <c r="HN88" s="769"/>
      <c r="HO88" s="769"/>
      <c r="HP88" s="769"/>
      <c r="HQ88" s="769"/>
      <c r="HR88" s="769"/>
      <c r="HS88" s="769"/>
      <c r="HT88" s="769"/>
      <c r="HU88" s="769"/>
      <c r="HV88" s="769"/>
      <c r="HW88" s="769"/>
      <c r="HX88" s="769"/>
      <c r="HY88" s="769"/>
      <c r="HZ88" s="769"/>
      <c r="IA88" s="769"/>
      <c r="IB88" s="769"/>
      <c r="IC88" s="769"/>
      <c r="ID88" s="769"/>
    </row>
    <row r="89" spans="2:238" s="702" customFormat="1" ht="22" customHeight="1" x14ac:dyDescent="0.35">
      <c r="B89" s="196" t="s">
        <v>33</v>
      </c>
      <c r="C89" s="57"/>
      <c r="D89" s="98" t="s">
        <v>235</v>
      </c>
      <c r="E89" s="1844">
        <v>400</v>
      </c>
      <c r="F89" s="1845"/>
      <c r="G89" s="88" t="s">
        <v>89</v>
      </c>
      <c r="H89" s="42"/>
      <c r="I89" s="1874">
        <f>L74/2000</f>
        <v>0</v>
      </c>
      <c r="J89" s="1874"/>
      <c r="K89" s="42" t="s">
        <v>183</v>
      </c>
      <c r="L89" s="2118">
        <f>IF(D89="N",E89*I$89,0)</f>
        <v>0</v>
      </c>
      <c r="M89" s="2118"/>
      <c r="N89"/>
      <c r="O89" s="1893">
        <f>IF(D89="y",I89*E89,0)</f>
        <v>0</v>
      </c>
      <c r="P89" s="1894"/>
      <c r="Q89" s="687"/>
      <c r="R89" s="687"/>
      <c r="S89" s="537"/>
      <c r="T89" s="299"/>
      <c r="U89" s="622"/>
      <c r="V89" s="622"/>
      <c r="W89" s="622"/>
      <c r="X89" s="622"/>
      <c r="Y89" s="2112" t="s">
        <v>1082</v>
      </c>
      <c r="Z89" s="2113"/>
      <c r="AA89" s="2113"/>
      <c r="AB89" s="194">
        <f>ROUNDUP(CO50/2500,0)</f>
        <v>0</v>
      </c>
      <c r="AC89" s="106" t="s">
        <v>498</v>
      </c>
      <c r="AD89" s="195"/>
      <c r="AE89" s="401" t="s">
        <v>294</v>
      </c>
      <c r="AF89" s="680">
        <f t="shared" si="74"/>
        <v>0</v>
      </c>
      <c r="AG89" s="769"/>
      <c r="AH89" s="769"/>
      <c r="AI89" s="769"/>
      <c r="AJ89" s="702">
        <v>8</v>
      </c>
      <c r="AK89" s="702" t="s">
        <v>249</v>
      </c>
      <c r="AO89" s="702">
        <f>SUM(O71:P73)</f>
        <v>0</v>
      </c>
      <c r="GA89" s="769"/>
      <c r="GB89" s="769"/>
      <c r="GC89" s="769"/>
      <c r="GD89" s="769"/>
      <c r="GE89" s="769"/>
      <c r="GF89" s="769"/>
      <c r="GG89" s="769"/>
      <c r="GH89" s="769"/>
      <c r="GI89" s="769"/>
      <c r="GJ89" s="769"/>
      <c r="GK89" s="769"/>
      <c r="GL89" s="769"/>
      <c r="GM89" s="769"/>
      <c r="GN89" s="769"/>
      <c r="GO89" s="769"/>
      <c r="GP89" s="769"/>
      <c r="GQ89" s="769"/>
      <c r="GR89" s="769"/>
      <c r="GS89" s="769"/>
      <c r="GT89" s="769"/>
      <c r="GU89" s="769"/>
      <c r="GV89" s="769"/>
      <c r="GW89" s="769"/>
      <c r="GX89" s="769"/>
      <c r="GY89" s="769"/>
      <c r="GZ89" s="769"/>
      <c r="HA89" s="769"/>
      <c r="HB89" s="769"/>
      <c r="HC89" s="769"/>
      <c r="HD89" s="769"/>
      <c r="HE89" s="769"/>
      <c r="HF89" s="769"/>
      <c r="HG89" s="769"/>
      <c r="HH89" s="769"/>
      <c r="HI89" s="769"/>
      <c r="HJ89" s="769"/>
      <c r="HK89" s="769"/>
      <c r="HL89" s="769"/>
      <c r="HM89" s="769"/>
      <c r="HN89" s="769"/>
      <c r="HO89" s="769"/>
      <c r="HP89" s="769"/>
      <c r="HQ89" s="769"/>
      <c r="HR89" s="769"/>
      <c r="HS89" s="769"/>
      <c r="HT89" s="769"/>
      <c r="HU89" s="769"/>
      <c r="HV89" s="769"/>
      <c r="HW89" s="769"/>
      <c r="HX89" s="769"/>
      <c r="HY89" s="769"/>
      <c r="HZ89" s="769"/>
      <c r="IA89" s="769"/>
      <c r="IB89" s="769"/>
      <c r="IC89" s="769"/>
      <c r="ID89" s="769"/>
    </row>
    <row r="90" spans="2:238" s="702" customFormat="1" ht="22" customHeight="1" thickBot="1" x14ac:dyDescent="0.4">
      <c r="B90" s="6" t="s">
        <v>223</v>
      </c>
      <c r="C90" s="4"/>
      <c r="D90" s="5"/>
      <c r="E90" s="1854">
        <f>IF(I83=0,0,(O90+L90)/I83)</f>
        <v>0</v>
      </c>
      <c r="F90" s="1855"/>
      <c r="G90" s="76"/>
      <c r="H90" s="49"/>
      <c r="I90" s="2017" t="s">
        <v>50</v>
      </c>
      <c r="J90" s="2017"/>
      <c r="K90" s="2017"/>
      <c r="L90" s="2124">
        <f>SUM(L83:M89)</f>
        <v>0</v>
      </c>
      <c r="M90" s="2124"/>
      <c r="N90" s="248"/>
      <c r="O90" s="2122">
        <f>SUM(O83:P89)</f>
        <v>0</v>
      </c>
      <c r="P90" s="2123"/>
      <c r="Q90" s="687"/>
      <c r="R90" s="687"/>
      <c r="S90" s="537"/>
      <c r="T90" s="299"/>
      <c r="U90" s="622"/>
      <c r="V90" s="622"/>
      <c r="W90" s="622"/>
      <c r="X90" s="622"/>
      <c r="Y90" s="2112"/>
      <c r="Z90" s="2113"/>
      <c r="AA90" s="2113"/>
      <c r="AB90" s="194"/>
      <c r="AC90" s="106"/>
      <c r="AD90" s="195"/>
      <c r="AE90" s="106"/>
      <c r="AF90" s="680">
        <f t="shared" si="74"/>
        <v>0</v>
      </c>
      <c r="AG90" s="769"/>
      <c r="AH90" s="769"/>
      <c r="AI90" s="769"/>
      <c r="AJ90" s="702">
        <v>9</v>
      </c>
      <c r="AK90" s="702" t="s">
        <v>234</v>
      </c>
      <c r="AO90" s="704">
        <f>O78+O79+O80</f>
        <v>0</v>
      </c>
      <c r="AP90" s="704"/>
      <c r="GA90" s="769"/>
      <c r="GB90" s="769"/>
      <c r="GC90" s="769"/>
      <c r="GD90" s="769"/>
      <c r="GE90" s="769"/>
      <c r="GF90" s="769"/>
      <c r="GG90" s="769"/>
      <c r="GH90" s="769"/>
      <c r="GI90" s="769"/>
      <c r="GJ90" s="769"/>
      <c r="GK90" s="769"/>
      <c r="GL90" s="769"/>
      <c r="GM90" s="769"/>
      <c r="GN90" s="769"/>
      <c r="GO90" s="769"/>
      <c r="GP90" s="769"/>
      <c r="GQ90" s="769"/>
      <c r="GR90" s="769"/>
      <c r="GS90" s="769"/>
      <c r="GT90" s="769"/>
      <c r="GU90" s="769"/>
      <c r="GV90" s="769"/>
      <c r="GW90" s="769"/>
      <c r="GX90" s="769"/>
      <c r="GY90" s="769"/>
      <c r="GZ90" s="769"/>
      <c r="HA90" s="769"/>
      <c r="HB90" s="769"/>
      <c r="HC90" s="769"/>
      <c r="HD90" s="769"/>
      <c r="HE90" s="769"/>
      <c r="HF90" s="769"/>
      <c r="HG90" s="769"/>
      <c r="HH90" s="769"/>
      <c r="HI90" s="769"/>
      <c r="HJ90" s="769"/>
      <c r="HK90" s="769"/>
      <c r="HL90" s="769"/>
      <c r="HM90" s="769"/>
      <c r="HN90" s="769"/>
      <c r="HO90" s="769"/>
      <c r="HP90" s="769"/>
      <c r="HQ90" s="769"/>
      <c r="HR90" s="769"/>
      <c r="HS90" s="769"/>
      <c r="HT90" s="769"/>
      <c r="HU90" s="769"/>
      <c r="HV90" s="769"/>
      <c r="HW90" s="769"/>
      <c r="HX90" s="769"/>
      <c r="HY90" s="769"/>
      <c r="HZ90" s="769"/>
      <c r="IA90" s="769"/>
      <c r="IB90" s="769"/>
      <c r="IC90" s="769"/>
      <c r="ID90" s="769"/>
    </row>
    <row r="91" spans="2:238" s="702" customFormat="1" ht="22" customHeight="1" thickBot="1" x14ac:dyDescent="0.4">
      <c r="B91" s="2018" t="s">
        <v>374</v>
      </c>
      <c r="C91" s="2019"/>
      <c r="D91" s="2019"/>
      <c r="E91" s="2019"/>
      <c r="F91" s="2019"/>
      <c r="G91" s="2019"/>
      <c r="H91" s="2019"/>
      <c r="I91" s="2019"/>
      <c r="J91" s="2019"/>
      <c r="K91" s="2019"/>
      <c r="L91" s="2019"/>
      <c r="M91" s="2019"/>
      <c r="N91" s="2019"/>
      <c r="O91" s="2019"/>
      <c r="P91" s="2020"/>
      <c r="Q91" s="685"/>
      <c r="R91" s="685"/>
      <c r="S91" s="537"/>
      <c r="T91" s="299"/>
      <c r="U91" s="622"/>
      <c r="V91" s="622"/>
      <c r="W91" s="622"/>
      <c r="X91" s="622"/>
      <c r="Y91" s="193" t="s">
        <v>1083</v>
      </c>
      <c r="Z91" s="106"/>
      <c r="AA91"/>
      <c r="AB91" s="194">
        <f>AB89*2</f>
        <v>0</v>
      </c>
      <c r="AC91" s="106" t="s">
        <v>1084</v>
      </c>
      <c r="AD91" s="195"/>
      <c r="AE91" s="106" t="s">
        <v>294</v>
      </c>
      <c r="AF91" s="680">
        <f t="shared" si="74"/>
        <v>0</v>
      </c>
      <c r="AG91" s="769"/>
      <c r="AH91" s="769"/>
      <c r="AI91" s="769"/>
      <c r="AJ91" s="702">
        <v>10</v>
      </c>
      <c r="AK91" s="702" t="s">
        <v>250</v>
      </c>
      <c r="AO91" s="702">
        <f>SUM(AF106:AF108)</f>
        <v>0</v>
      </c>
      <c r="GA91" s="769"/>
      <c r="GB91" s="769"/>
      <c r="GC91" s="769"/>
      <c r="GD91" s="769"/>
      <c r="GE91" s="769"/>
      <c r="GF91" s="769"/>
      <c r="GG91" s="769"/>
      <c r="GH91" s="769"/>
      <c r="GI91" s="769"/>
      <c r="GJ91" s="769"/>
      <c r="GK91" s="769"/>
      <c r="GL91" s="769"/>
      <c r="GM91" s="769"/>
      <c r="GN91" s="769"/>
      <c r="GO91" s="769"/>
      <c r="GP91" s="769"/>
      <c r="GQ91" s="769"/>
      <c r="GR91" s="769"/>
      <c r="GS91" s="769"/>
      <c r="GT91" s="769"/>
      <c r="GU91" s="769"/>
      <c r="GV91" s="769"/>
      <c r="GW91" s="769"/>
      <c r="GX91" s="769"/>
      <c r="GY91" s="769"/>
      <c r="GZ91" s="769"/>
      <c r="HA91" s="769"/>
      <c r="HB91" s="769"/>
      <c r="HC91" s="769"/>
      <c r="HD91" s="769"/>
      <c r="HE91" s="769"/>
      <c r="HF91" s="769"/>
      <c r="HG91" s="769"/>
      <c r="HH91" s="769"/>
      <c r="HI91" s="769"/>
      <c r="HJ91" s="769"/>
      <c r="HK91" s="769"/>
      <c r="HL91" s="769"/>
      <c r="HM91" s="769"/>
      <c r="HN91" s="769"/>
      <c r="HO91" s="769"/>
      <c r="HP91" s="769"/>
      <c r="HQ91" s="769"/>
      <c r="HR91" s="769"/>
      <c r="HS91" s="769"/>
      <c r="HT91" s="769"/>
      <c r="HU91" s="769"/>
      <c r="HV91" s="769"/>
      <c r="HW91" s="769"/>
      <c r="HX91" s="769"/>
      <c r="HY91" s="769"/>
      <c r="HZ91" s="769"/>
      <c r="IA91" s="769"/>
      <c r="IB91" s="769"/>
      <c r="IC91" s="769"/>
      <c r="ID91" s="769"/>
    </row>
    <row r="92" spans="2:238" s="702" customFormat="1" ht="22" customHeight="1" x14ac:dyDescent="0.35">
      <c r="B92" s="100" t="s">
        <v>1164</v>
      </c>
      <c r="C92" s="48"/>
      <c r="D92" s="101"/>
      <c r="E92" s="752">
        <v>0</v>
      </c>
      <c r="F92" s="48" t="s">
        <v>187</v>
      </c>
      <c r="G92" s="807">
        <v>390</v>
      </c>
      <c r="H92" s="102" t="s">
        <v>68</v>
      </c>
      <c r="I92" s="48"/>
      <c r="J92" s="48"/>
      <c r="K92" s="48"/>
      <c r="L92" s="48"/>
      <c r="M92" s="1834">
        <f>IF(E64=0,0,(SUM(O92:P96))/E64)</f>
        <v>0</v>
      </c>
      <c r="N92" s="1835"/>
      <c r="O92" s="1897">
        <f>E92*G92</f>
        <v>0</v>
      </c>
      <c r="P92" s="1898"/>
      <c r="Q92" s="687"/>
      <c r="R92" s="687"/>
      <c r="S92" s="802"/>
      <c r="T92" s="299"/>
      <c r="U92" s="622"/>
      <c r="V92" s="622"/>
      <c r="W92" s="622"/>
      <c r="X92" s="622"/>
      <c r="Y92" s="2114">
        <f>AF89+AF91*(1+AE63)+(1+M64)</f>
        <v>1.18</v>
      </c>
      <c r="Z92" s="2115"/>
      <c r="AA92"/>
      <c r="AB92" s="194"/>
      <c r="AC92" s="106"/>
      <c r="AD92" s="195"/>
      <c r="AE92" s="106"/>
      <c r="AF92" s="680">
        <f t="shared" si="74"/>
        <v>0</v>
      </c>
      <c r="AG92" s="769"/>
      <c r="AH92" s="769"/>
      <c r="AI92" s="769"/>
      <c r="AJ92" s="702">
        <v>11</v>
      </c>
      <c r="AK92" s="702" t="s">
        <v>251</v>
      </c>
      <c r="GA92" s="769"/>
      <c r="GB92" s="769"/>
      <c r="GC92" s="769"/>
      <c r="GD92" s="769"/>
      <c r="GE92" s="769"/>
      <c r="GF92" s="769"/>
      <c r="GG92" s="769"/>
      <c r="GH92" s="769"/>
      <c r="GI92" s="769"/>
      <c r="GJ92" s="769"/>
      <c r="GK92" s="769"/>
      <c r="GL92" s="769"/>
      <c r="GM92" s="769"/>
      <c r="GN92" s="769"/>
      <c r="GO92" s="769"/>
      <c r="GP92" s="769"/>
      <c r="GQ92" s="769"/>
      <c r="GR92" s="769"/>
      <c r="GS92" s="769"/>
      <c r="GT92" s="769"/>
      <c r="GU92" s="769"/>
      <c r="GV92" s="769"/>
      <c r="GW92" s="769"/>
      <c r="GX92" s="769"/>
      <c r="GY92" s="769"/>
      <c r="GZ92" s="769"/>
      <c r="HA92" s="769"/>
      <c r="HB92" s="769"/>
      <c r="HC92" s="769"/>
      <c r="HD92" s="769"/>
      <c r="HE92" s="769"/>
      <c r="HF92" s="769"/>
      <c r="HG92" s="769"/>
      <c r="HH92" s="769"/>
      <c r="HI92" s="769"/>
      <c r="HJ92" s="769"/>
      <c r="HK92" s="769"/>
      <c r="HL92" s="769"/>
      <c r="HM92" s="769"/>
      <c r="HN92" s="769"/>
      <c r="HO92" s="769"/>
      <c r="HP92" s="769"/>
      <c r="HQ92" s="769"/>
      <c r="HR92" s="769"/>
      <c r="HS92" s="769"/>
      <c r="HT92" s="769"/>
      <c r="HU92" s="769"/>
      <c r="HV92" s="769"/>
      <c r="HW92" s="769"/>
      <c r="HX92" s="769"/>
      <c r="HY92" s="769"/>
      <c r="HZ92" s="769"/>
      <c r="IA92" s="769"/>
      <c r="IB92" s="769"/>
      <c r="IC92" s="769"/>
      <c r="ID92" s="769"/>
    </row>
    <row r="93" spans="2:238" s="702" customFormat="1" ht="22" customHeight="1" x14ac:dyDescent="0.35">
      <c r="B93" s="92" t="s">
        <v>1162</v>
      </c>
      <c r="C93" s="42"/>
      <c r="D93" s="42"/>
      <c r="E93" s="753">
        <v>0</v>
      </c>
      <c r="F93" s="103" t="s">
        <v>187</v>
      </c>
      <c r="G93" s="808">
        <v>390</v>
      </c>
      <c r="H93" s="108" t="s">
        <v>68</v>
      </c>
      <c r="I93" s="42"/>
      <c r="J93" s="42"/>
      <c r="K93" s="42"/>
      <c r="L93" s="42"/>
      <c r="M93" s="2076">
        <f>SUM(O92:P96)</f>
        <v>0</v>
      </c>
      <c r="N93" s="2108"/>
      <c r="O93" s="1895">
        <f>E93*G93</f>
        <v>0</v>
      </c>
      <c r="P93" s="1896"/>
      <c r="Q93" s="687"/>
      <c r="R93" s="687"/>
      <c r="S93" s="537"/>
      <c r="T93" s="299"/>
      <c r="U93" s="622"/>
      <c r="V93" s="622"/>
      <c r="W93" s="622"/>
      <c r="X93" s="622"/>
      <c r="Y93" s="603" t="e">
        <f>Y92/D49</f>
        <v>#DIV/0!</v>
      </c>
      <c r="Z93" s="106"/>
      <c r="AA93"/>
      <c r="AB93" s="194"/>
      <c r="AC93" s="402"/>
      <c r="AD93" s="195"/>
      <c r="AE93" s="106"/>
      <c r="AF93" s="680">
        <f t="shared" si="74"/>
        <v>0</v>
      </c>
      <c r="AG93" s="769"/>
      <c r="AH93" s="769"/>
      <c r="AI93" s="769"/>
      <c r="AJ93" s="702">
        <v>12</v>
      </c>
      <c r="AK93" s="702" t="s">
        <v>252</v>
      </c>
      <c r="GA93" s="769"/>
      <c r="GB93" s="769"/>
      <c r="GC93" s="769"/>
      <c r="GD93" s="769"/>
      <c r="GE93" s="769"/>
      <c r="GF93" s="769"/>
      <c r="GG93" s="769"/>
      <c r="GH93" s="769"/>
      <c r="GI93" s="769"/>
      <c r="GJ93" s="769"/>
      <c r="GK93" s="769"/>
      <c r="GL93" s="769"/>
      <c r="GM93" s="769"/>
      <c r="GN93" s="769"/>
      <c r="GO93" s="769"/>
      <c r="GP93" s="769"/>
      <c r="GQ93" s="769"/>
      <c r="GR93" s="769"/>
      <c r="GS93" s="769"/>
      <c r="GT93" s="769"/>
      <c r="GU93" s="769"/>
      <c r="GV93" s="769"/>
      <c r="GW93" s="769"/>
      <c r="GX93" s="769"/>
      <c r="GY93" s="769"/>
      <c r="GZ93" s="769"/>
      <c r="HA93" s="769"/>
      <c r="HB93" s="769"/>
      <c r="HC93" s="769"/>
      <c r="HD93" s="769"/>
      <c r="HE93" s="769"/>
      <c r="HF93" s="769"/>
      <c r="HG93" s="769"/>
      <c r="HH93" s="769"/>
      <c r="HI93" s="769"/>
      <c r="HJ93" s="769"/>
      <c r="HK93" s="769"/>
      <c r="HL93" s="769"/>
      <c r="HM93" s="769"/>
      <c r="HN93" s="769"/>
      <c r="HO93" s="769"/>
      <c r="HP93" s="769"/>
      <c r="HQ93" s="769"/>
      <c r="HR93" s="769"/>
      <c r="HS93" s="769"/>
      <c r="HT93" s="769"/>
      <c r="HU93" s="769"/>
      <c r="HV93" s="769"/>
      <c r="HW93" s="769"/>
      <c r="HX93" s="769"/>
      <c r="HY93" s="769"/>
      <c r="HZ93" s="769"/>
      <c r="IA93" s="769"/>
      <c r="IB93" s="769"/>
      <c r="IC93" s="769"/>
      <c r="ID93" s="769"/>
    </row>
    <row r="94" spans="2:238" s="702" customFormat="1" ht="22" customHeight="1" x14ac:dyDescent="0.35">
      <c r="B94" s="196" t="s">
        <v>1165</v>
      </c>
      <c r="C94" s="42"/>
      <c r="D94" s="42"/>
      <c r="E94" s="1408"/>
      <c r="F94" s="103" t="s">
        <v>187</v>
      </c>
      <c r="G94" s="1414">
        <v>200</v>
      </c>
      <c r="H94" s="108" t="s">
        <v>68</v>
      </c>
      <c r="I94" s="42"/>
      <c r="J94" s="42"/>
      <c r="K94" s="42"/>
      <c r="L94" s="42"/>
      <c r="M94" s="1814"/>
      <c r="N94" s="1814"/>
      <c r="O94" s="1895">
        <f t="shared" ref="O94:O95" si="75">E94*G94</f>
        <v>0</v>
      </c>
      <c r="P94" s="1896"/>
      <c r="Q94" s="687"/>
      <c r="R94" s="687"/>
      <c r="S94" s="537"/>
      <c r="T94" s="299"/>
      <c r="U94" s="622"/>
      <c r="V94" s="622"/>
      <c r="W94" s="622"/>
      <c r="X94" s="622"/>
      <c r="Y94" s="603"/>
      <c r="Z94" s="106"/>
      <c r="AA94"/>
      <c r="AB94" s="194"/>
      <c r="AC94" s="402"/>
      <c r="AD94" s="195"/>
      <c r="AE94" s="106"/>
      <c r="AF94" s="680"/>
      <c r="AG94" s="769"/>
      <c r="AH94" s="769"/>
      <c r="AI94" s="769"/>
      <c r="GA94" s="769"/>
      <c r="GB94" s="769"/>
      <c r="GC94" s="769"/>
      <c r="GD94" s="769"/>
      <c r="GE94" s="769"/>
      <c r="GF94" s="769"/>
      <c r="GG94" s="769"/>
      <c r="GH94" s="769"/>
      <c r="GI94" s="769"/>
      <c r="GJ94" s="769"/>
      <c r="GK94" s="769"/>
      <c r="GL94" s="769"/>
      <c r="GM94" s="769"/>
      <c r="GN94" s="769"/>
      <c r="GO94" s="769"/>
      <c r="GP94" s="769"/>
      <c r="GQ94" s="769"/>
      <c r="GR94" s="769"/>
      <c r="GS94" s="769"/>
      <c r="GT94" s="769"/>
      <c r="GU94" s="769"/>
      <c r="GV94" s="769"/>
      <c r="GW94" s="769"/>
      <c r="GX94" s="769"/>
      <c r="GY94" s="769"/>
      <c r="GZ94" s="769"/>
      <c r="HA94" s="769"/>
      <c r="HB94" s="769"/>
      <c r="HC94" s="769"/>
      <c r="HD94" s="769"/>
      <c r="HE94" s="769"/>
      <c r="HF94" s="769"/>
      <c r="HG94" s="769"/>
      <c r="HH94" s="769"/>
      <c r="HI94" s="769"/>
      <c r="HJ94" s="769"/>
      <c r="HK94" s="769"/>
      <c r="HL94" s="769"/>
      <c r="HM94" s="769"/>
      <c r="HN94" s="769"/>
      <c r="HO94" s="769"/>
      <c r="HP94" s="769"/>
      <c r="HQ94" s="769"/>
      <c r="HR94" s="769"/>
      <c r="HS94" s="769"/>
      <c r="HT94" s="769"/>
      <c r="HU94" s="769"/>
      <c r="HV94" s="769"/>
      <c r="HW94" s="769"/>
      <c r="HX94" s="769"/>
      <c r="HY94" s="769"/>
      <c r="HZ94" s="769"/>
      <c r="IA94" s="769"/>
      <c r="IB94" s="769"/>
      <c r="IC94" s="769"/>
      <c r="ID94" s="769"/>
    </row>
    <row r="95" spans="2:238" s="702" customFormat="1" ht="22" customHeight="1" x14ac:dyDescent="0.35">
      <c r="B95" s="196" t="s">
        <v>1168</v>
      </c>
      <c r="C95" s="42"/>
      <c r="D95" s="42"/>
      <c r="E95" s="1408">
        <v>0</v>
      </c>
      <c r="F95" s="103" t="s">
        <v>187</v>
      </c>
      <c r="G95" s="1414">
        <v>200</v>
      </c>
      <c r="H95" s="88"/>
      <c r="I95" s="42"/>
      <c r="J95" s="42"/>
      <c r="K95" s="42"/>
      <c r="L95" s="42"/>
      <c r="M95" s="1814"/>
      <c r="N95" s="1814"/>
      <c r="O95" s="1895">
        <f t="shared" si="75"/>
        <v>0</v>
      </c>
      <c r="P95" s="1896"/>
      <c r="Q95" s="687"/>
      <c r="R95" s="687"/>
      <c r="S95" s="537"/>
      <c r="T95" s="299"/>
      <c r="U95" s="622"/>
      <c r="V95" s="622"/>
      <c r="W95" s="622"/>
      <c r="X95" s="622"/>
      <c r="Y95" s="603"/>
      <c r="Z95" s="106"/>
      <c r="AA95"/>
      <c r="AB95" s="194"/>
      <c r="AC95" s="402"/>
      <c r="AD95" s="195"/>
      <c r="AE95" s="106"/>
      <c r="AF95" s="680"/>
      <c r="AG95" s="769"/>
      <c r="AH95" s="769"/>
      <c r="AI95" s="769"/>
      <c r="GA95" s="769"/>
      <c r="GB95" s="769"/>
      <c r="GC95" s="769"/>
      <c r="GD95" s="769"/>
      <c r="GE95" s="769"/>
      <c r="GF95" s="769"/>
      <c r="GG95" s="769"/>
      <c r="GH95" s="769"/>
      <c r="GI95" s="769"/>
      <c r="GJ95" s="769"/>
      <c r="GK95" s="769"/>
      <c r="GL95" s="769"/>
      <c r="GM95" s="769"/>
      <c r="GN95" s="769"/>
      <c r="GO95" s="769"/>
      <c r="GP95" s="769"/>
      <c r="GQ95" s="769"/>
      <c r="GR95" s="769"/>
      <c r="GS95" s="769"/>
      <c r="GT95" s="769"/>
      <c r="GU95" s="769"/>
      <c r="GV95" s="769"/>
      <c r="GW95" s="769"/>
      <c r="GX95" s="769"/>
      <c r="GY95" s="769"/>
      <c r="GZ95" s="769"/>
      <c r="HA95" s="769"/>
      <c r="HB95" s="769"/>
      <c r="HC95" s="769"/>
      <c r="HD95" s="769"/>
      <c r="HE95" s="769"/>
      <c r="HF95" s="769"/>
      <c r="HG95" s="769"/>
      <c r="HH95" s="769"/>
      <c r="HI95" s="769"/>
      <c r="HJ95" s="769"/>
      <c r="HK95" s="769"/>
      <c r="HL95" s="769"/>
      <c r="HM95" s="769"/>
      <c r="HN95" s="769"/>
      <c r="HO95" s="769"/>
      <c r="HP95" s="769"/>
      <c r="HQ95" s="769"/>
      <c r="HR95" s="769"/>
      <c r="HS95" s="769"/>
      <c r="HT95" s="769"/>
      <c r="HU95" s="769"/>
      <c r="HV95" s="769"/>
      <c r="HW95" s="769"/>
      <c r="HX95" s="769"/>
      <c r="HY95" s="769"/>
      <c r="HZ95" s="769"/>
      <c r="IA95" s="769"/>
      <c r="IB95" s="769"/>
      <c r="IC95" s="769"/>
      <c r="ID95" s="769"/>
    </row>
    <row r="96" spans="2:238" s="702" customFormat="1" ht="22" customHeight="1" thickBot="1" x14ac:dyDescent="0.4">
      <c r="B96" s="219" t="s">
        <v>188</v>
      </c>
      <c r="C96" s="49"/>
      <c r="D96" s="49"/>
      <c r="E96" s="754">
        <f>IF(E92=0,E93,E92)</f>
        <v>0</v>
      </c>
      <c r="F96" s="49" t="s">
        <v>187</v>
      </c>
      <c r="G96" s="809">
        <v>100</v>
      </c>
      <c r="H96" s="96" t="s">
        <v>68</v>
      </c>
      <c r="I96" s="49"/>
      <c r="J96" s="49"/>
      <c r="K96" s="49"/>
      <c r="L96" s="49"/>
      <c r="M96" s="49"/>
      <c r="N96" s="49"/>
      <c r="O96" s="2072">
        <f>E96*G96</f>
        <v>0</v>
      </c>
      <c r="P96" s="2073"/>
      <c r="Q96" s="687"/>
      <c r="R96" s="687"/>
      <c r="S96" s="537"/>
      <c r="T96" s="299"/>
      <c r="U96" s="622"/>
      <c r="V96" s="622"/>
      <c r="W96" s="622"/>
      <c r="X96" s="622"/>
      <c r="Y96" s="193"/>
      <c r="Z96" s="106"/>
      <c r="AA96"/>
      <c r="AB96" s="194"/>
      <c r="AC96" s="106"/>
      <c r="AD96" s="195"/>
      <c r="AE96" s="106"/>
      <c r="AF96" s="680">
        <f t="shared" si="74"/>
        <v>0</v>
      </c>
      <c r="AG96" s="769"/>
      <c r="AH96" s="769"/>
      <c r="AI96" s="769"/>
      <c r="AJ96" s="702">
        <v>15</v>
      </c>
      <c r="AK96" s="702" t="s">
        <v>253</v>
      </c>
      <c r="GA96" s="769"/>
      <c r="GB96" s="769"/>
      <c r="GC96" s="769"/>
      <c r="GD96" s="769"/>
      <c r="GE96" s="769"/>
      <c r="GF96" s="769"/>
      <c r="GG96" s="769"/>
      <c r="GH96" s="769"/>
      <c r="GI96" s="769"/>
      <c r="GJ96" s="769"/>
      <c r="GK96" s="769"/>
      <c r="GL96" s="769"/>
      <c r="GM96" s="769"/>
      <c r="GN96" s="769"/>
      <c r="GO96" s="769"/>
      <c r="GP96" s="769"/>
      <c r="GQ96" s="769"/>
      <c r="GR96" s="769"/>
      <c r="GS96" s="769"/>
      <c r="GT96" s="769"/>
      <c r="GU96" s="769"/>
      <c r="GV96" s="769"/>
      <c r="GW96" s="769"/>
      <c r="GX96" s="769"/>
      <c r="GY96" s="769"/>
      <c r="GZ96" s="769"/>
      <c r="HA96" s="769"/>
      <c r="HB96" s="769"/>
      <c r="HC96" s="769"/>
      <c r="HD96" s="769"/>
      <c r="HE96" s="769"/>
      <c r="HF96" s="769"/>
      <c r="HG96" s="769"/>
      <c r="HH96" s="769"/>
      <c r="HI96" s="769"/>
      <c r="HJ96" s="769"/>
      <c r="HK96" s="769"/>
      <c r="HL96" s="769"/>
      <c r="HM96" s="769"/>
      <c r="HN96" s="769"/>
      <c r="HO96" s="769"/>
      <c r="HP96" s="769"/>
      <c r="HQ96" s="769"/>
      <c r="HR96" s="769"/>
      <c r="HS96" s="769"/>
      <c r="HT96" s="769"/>
      <c r="HU96" s="769"/>
      <c r="HV96" s="769"/>
      <c r="HW96" s="769"/>
      <c r="HX96" s="769"/>
      <c r="HY96" s="769"/>
      <c r="HZ96" s="769"/>
      <c r="IA96" s="769"/>
      <c r="IB96" s="769"/>
      <c r="IC96" s="769"/>
      <c r="ID96" s="769"/>
    </row>
    <row r="97" spans="2:238" s="702" customFormat="1" ht="22" customHeight="1" thickBot="1" x14ac:dyDescent="0.4">
      <c r="B97" s="2018" t="s">
        <v>44</v>
      </c>
      <c r="C97" s="2019"/>
      <c r="D97" s="2019"/>
      <c r="E97" s="2019"/>
      <c r="F97" s="2019"/>
      <c r="G97" s="2019"/>
      <c r="H97" s="2019"/>
      <c r="I97" s="2019"/>
      <c r="J97" s="2019"/>
      <c r="K97" s="2019"/>
      <c r="L97" s="2019"/>
      <c r="M97" s="2019"/>
      <c r="N97" s="2019"/>
      <c r="O97" s="2019"/>
      <c r="P97" s="2020"/>
      <c r="Q97" s="685"/>
      <c r="R97" s="685"/>
      <c r="S97" s="537"/>
      <c r="T97" s="299"/>
      <c r="U97" s="622"/>
      <c r="V97" s="622"/>
      <c r="W97" s="622"/>
      <c r="X97" s="622"/>
      <c r="Y97" s="193"/>
      <c r="Z97" s="106"/>
      <c r="AA97"/>
      <c r="AB97" s="194"/>
      <c r="AC97" s="106"/>
      <c r="AD97" s="195"/>
      <c r="AE97" s="401"/>
      <c r="AF97" s="680">
        <f t="shared" si="74"/>
        <v>0</v>
      </c>
      <c r="AG97" s="769"/>
      <c r="AH97" s="769"/>
      <c r="AI97" s="769"/>
      <c r="AJ97" s="702">
        <v>16</v>
      </c>
      <c r="AK97" s="702" t="s">
        <v>841</v>
      </c>
      <c r="GA97" s="769"/>
      <c r="GB97" s="769"/>
      <c r="GC97" s="769"/>
      <c r="GD97" s="769"/>
      <c r="GE97" s="769"/>
      <c r="GF97" s="769"/>
      <c r="GG97" s="769"/>
      <c r="GH97" s="769"/>
      <c r="GI97" s="769"/>
      <c r="GJ97" s="769"/>
      <c r="GK97" s="769"/>
      <c r="GL97" s="769"/>
      <c r="GM97" s="769"/>
      <c r="GN97" s="769"/>
      <c r="GO97" s="769"/>
      <c r="GP97" s="769"/>
      <c r="GQ97" s="769"/>
      <c r="GR97" s="769"/>
      <c r="GS97" s="769"/>
      <c r="GT97" s="769"/>
      <c r="GU97" s="769"/>
      <c r="GV97" s="769"/>
      <c r="GW97" s="769"/>
      <c r="GX97" s="769"/>
      <c r="GY97" s="769"/>
      <c r="GZ97" s="769"/>
      <c r="HA97" s="769"/>
      <c r="HB97" s="769"/>
      <c r="HC97" s="769"/>
      <c r="HD97" s="769"/>
      <c r="HE97" s="769"/>
      <c r="HF97" s="769"/>
      <c r="HG97" s="769"/>
      <c r="HH97" s="769"/>
      <c r="HI97" s="769"/>
      <c r="HJ97" s="769"/>
      <c r="HK97" s="769"/>
      <c r="HL97" s="769"/>
      <c r="HM97" s="769"/>
      <c r="HN97" s="769"/>
      <c r="HO97" s="769"/>
      <c r="HP97" s="769"/>
      <c r="HQ97" s="769"/>
      <c r="HR97" s="769"/>
      <c r="HS97" s="769"/>
      <c r="HT97" s="769"/>
      <c r="HU97" s="769"/>
      <c r="HV97" s="769"/>
      <c r="HW97" s="769"/>
      <c r="HX97" s="769"/>
      <c r="HY97" s="769"/>
      <c r="HZ97" s="769"/>
      <c r="IA97" s="769"/>
      <c r="IB97" s="769"/>
      <c r="IC97" s="769"/>
      <c r="ID97" s="769"/>
    </row>
    <row r="98" spans="2:238" s="702" customFormat="1" ht="22" customHeight="1" x14ac:dyDescent="0.35">
      <c r="B98" s="2052" t="s">
        <v>90</v>
      </c>
      <c r="C98" s="2053"/>
      <c r="D98" s="2054"/>
      <c r="E98" s="752"/>
      <c r="F98" s="48" t="s">
        <v>107</v>
      </c>
      <c r="G98" s="807">
        <f>Pricing!D31</f>
        <v>385</v>
      </c>
      <c r="H98" s="116" t="s">
        <v>68</v>
      </c>
      <c r="I98" s="48"/>
      <c r="J98" s="48"/>
      <c r="K98" s="48"/>
      <c r="L98" s="48"/>
      <c r="M98" s="48"/>
      <c r="N98" s="48"/>
      <c r="O98" s="1897">
        <f>((IF(AND(E98&gt;0,E98&lt;4),E98*G98,0)+IF(AND(E98&gt;3,E98&lt;8),G98*3,0)+IF(AND(E98&gt;7,E98&lt;21),E98/7*G98*3,0)+IF(AND(E98&gt;20,E98&lt;30),G98*9,0)+IF(E98&gt;29,E98/30*G98*9,0)))*(1+$AE$63+J$100)</f>
        <v>0</v>
      </c>
      <c r="P98" s="1898"/>
      <c r="Q98" s="687"/>
      <c r="R98" s="687"/>
      <c r="S98" s="537"/>
      <c r="T98" s="299"/>
      <c r="U98" s="622"/>
      <c r="V98" s="622"/>
      <c r="W98" s="622"/>
      <c r="X98" s="622"/>
      <c r="Y98" s="193"/>
      <c r="Z98" s="106"/>
      <c r="AA98"/>
      <c r="AB98" s="194"/>
      <c r="AC98" s="106"/>
      <c r="AD98" s="195"/>
      <c r="AE98" s="106"/>
      <c r="AF98" s="680">
        <f t="shared" si="74"/>
        <v>0</v>
      </c>
      <c r="AG98" s="769"/>
      <c r="AH98" s="769"/>
      <c r="AI98" s="769"/>
      <c r="AJ98" s="702">
        <v>17</v>
      </c>
      <c r="AK98" s="702" t="s">
        <v>842</v>
      </c>
      <c r="GA98" s="769"/>
      <c r="GB98" s="769"/>
      <c r="GC98" s="769"/>
      <c r="GD98" s="769"/>
      <c r="GE98" s="769"/>
      <c r="GF98" s="769"/>
      <c r="GG98" s="769"/>
      <c r="GH98" s="769"/>
      <c r="GI98" s="769"/>
      <c r="GJ98" s="769"/>
      <c r="GK98" s="769"/>
      <c r="GL98" s="769"/>
      <c r="GM98" s="769"/>
      <c r="GN98" s="769"/>
      <c r="GO98" s="769"/>
      <c r="GP98" s="769"/>
      <c r="GQ98" s="769"/>
      <c r="GR98" s="769"/>
      <c r="GS98" s="769"/>
      <c r="GT98" s="769"/>
      <c r="GU98" s="769"/>
      <c r="GV98" s="769"/>
      <c r="GW98" s="769"/>
      <c r="GX98" s="769"/>
      <c r="GY98" s="769"/>
      <c r="GZ98" s="769"/>
      <c r="HA98" s="769"/>
      <c r="HB98" s="769"/>
      <c r="HC98" s="769"/>
      <c r="HD98" s="769"/>
      <c r="HE98" s="769"/>
      <c r="HF98" s="769"/>
      <c r="HG98" s="769"/>
      <c r="HH98" s="769"/>
      <c r="HI98" s="769"/>
      <c r="HJ98" s="769"/>
      <c r="HK98" s="769"/>
      <c r="HL98" s="769"/>
      <c r="HM98" s="769"/>
      <c r="HN98" s="769"/>
      <c r="HO98" s="769"/>
      <c r="HP98" s="769"/>
      <c r="HQ98" s="769"/>
      <c r="HR98" s="769"/>
      <c r="HS98" s="769"/>
      <c r="HT98" s="769"/>
      <c r="HU98" s="769"/>
      <c r="HV98" s="769"/>
      <c r="HW98" s="769"/>
      <c r="HX98" s="769"/>
      <c r="HY98" s="769"/>
      <c r="HZ98" s="769"/>
      <c r="IA98" s="769"/>
      <c r="IB98" s="769"/>
      <c r="IC98" s="769"/>
      <c r="ID98" s="769"/>
    </row>
    <row r="99" spans="2:238" s="702" customFormat="1" ht="22" customHeight="1" thickBot="1" x14ac:dyDescent="0.4">
      <c r="B99" s="1979" t="s">
        <v>789</v>
      </c>
      <c r="C99" s="1980"/>
      <c r="D99" s="1981"/>
      <c r="E99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99" s="42" t="s">
        <v>107</v>
      </c>
      <c r="G99" s="808">
        <f>Pricing!D33</f>
        <v>350</v>
      </c>
      <c r="H99" s="88" t="s">
        <v>68</v>
      </c>
      <c r="I99" s="42"/>
      <c r="J99" s="2083" t="s">
        <v>469</v>
      </c>
      <c r="K99" s="2084"/>
      <c r="L99" s="42"/>
      <c r="M99" s="2074">
        <f>IF(E64=0,0,(SUM(O98:P103))/E64)</f>
        <v>0</v>
      </c>
      <c r="N99" s="2075"/>
      <c r="O99" s="1895">
        <f>((IF(AND(E99&gt;0,E99&lt;4),E99*G99,0)+IF(AND(E99&gt;3,E99&lt;8),G99*3,0)+IF(AND(E99&gt;7,E99&lt;21),E99/7*G99*3,0)+IF(AND(E99&gt;20,E99&lt;30),G99*9,0)+IF(E99&gt;29,E99/30*G99*9,0)))*(1+$AE$63+J$100)</f>
        <v>0</v>
      </c>
      <c r="P99" s="1896"/>
      <c r="Q99" s="687"/>
      <c r="R99" s="687"/>
      <c r="S99" s="537"/>
      <c r="T99" s="299"/>
      <c r="U99" s="1907"/>
      <c r="V99" s="1907"/>
      <c r="W99" s="1907"/>
      <c r="X99" s="1907"/>
      <c r="Y99" s="1884" t="s">
        <v>892</v>
      </c>
      <c r="Z99" s="1885"/>
      <c r="AA99" s="733"/>
      <c r="AB99" s="734"/>
      <c r="AC99" s="735"/>
      <c r="AD99" s="1882"/>
      <c r="AE99" s="1883"/>
      <c r="AF99" s="736">
        <f>AD99</f>
        <v>0</v>
      </c>
      <c r="AG99" s="769"/>
      <c r="AH99" s="769"/>
      <c r="AI99" s="769"/>
      <c r="AJ99" s="702">
        <v>18</v>
      </c>
      <c r="AK99" s="702" t="s">
        <v>843</v>
      </c>
      <c r="GA99" s="769"/>
      <c r="GB99" s="769"/>
      <c r="GC99" s="769"/>
      <c r="GD99" s="769"/>
      <c r="GE99" s="769"/>
      <c r="GF99" s="769"/>
      <c r="GG99" s="769"/>
      <c r="GH99" s="769"/>
      <c r="GI99" s="769"/>
      <c r="GJ99" s="769"/>
      <c r="GK99" s="769"/>
      <c r="GL99" s="769"/>
      <c r="GM99" s="769"/>
      <c r="GN99" s="769"/>
      <c r="GO99" s="769"/>
      <c r="GP99" s="769"/>
      <c r="GQ99" s="769"/>
      <c r="GR99" s="769"/>
      <c r="GS99" s="769"/>
      <c r="GT99" s="769"/>
      <c r="GU99" s="769"/>
      <c r="GV99" s="769"/>
      <c r="GW99" s="769"/>
      <c r="GX99" s="769"/>
      <c r="GY99" s="769"/>
      <c r="GZ99" s="769"/>
      <c r="HA99" s="769"/>
      <c r="HB99" s="769"/>
      <c r="HC99" s="769"/>
      <c r="HD99" s="769"/>
      <c r="HE99" s="769"/>
      <c r="HF99" s="769"/>
      <c r="HG99" s="769"/>
      <c r="HH99" s="769"/>
      <c r="HI99" s="769"/>
      <c r="HJ99" s="769"/>
      <c r="HK99" s="769"/>
      <c r="HL99" s="769"/>
      <c r="HM99" s="769"/>
      <c r="HN99" s="769"/>
      <c r="HO99" s="769"/>
      <c r="HP99" s="769"/>
      <c r="HQ99" s="769"/>
      <c r="HR99" s="769"/>
      <c r="HS99" s="769"/>
      <c r="HT99" s="769"/>
      <c r="HU99" s="769"/>
      <c r="HV99" s="769"/>
      <c r="HW99" s="769"/>
      <c r="HX99" s="769"/>
      <c r="HY99" s="769"/>
      <c r="HZ99" s="769"/>
      <c r="IA99" s="769"/>
      <c r="IB99" s="769"/>
      <c r="IC99" s="769"/>
      <c r="ID99" s="769"/>
    </row>
    <row r="100" spans="2:238" s="702" customFormat="1" ht="22" customHeight="1" thickTop="1" x14ac:dyDescent="0.35">
      <c r="B100" s="1979" t="s">
        <v>16</v>
      </c>
      <c r="C100" s="1980"/>
      <c r="D100" s="1981"/>
      <c r="E100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0" s="106" t="s">
        <v>107</v>
      </c>
      <c r="G100" s="808">
        <f>Pricing!D34</f>
        <v>300</v>
      </c>
      <c r="H100" s="88" t="s">
        <v>68</v>
      </c>
      <c r="I100" s="42"/>
      <c r="J100" s="2079">
        <v>0.5</v>
      </c>
      <c r="K100" s="2080"/>
      <c r="L100" s="42"/>
      <c r="M100" s="2076">
        <f>SUM(O98:P103)</f>
        <v>0</v>
      </c>
      <c r="N100" s="2077"/>
      <c r="O100" s="2078">
        <f>((IF(AND(E100&gt;0,E100&lt;4),E100*G100,0)+IF(AND(E100&gt;3,E100&lt;8),G100*3,0)+IF(AND(E100&gt;7,E100&lt;21),E100/7*G100*3,0)+IF(AND(E100&gt;20,E100&lt;30),G100*9,0)+IF(E100&gt;29,E100/30*G100*9,0)))*(1+$AE$63+J$100)</f>
        <v>0</v>
      </c>
      <c r="P100" s="1896"/>
      <c r="Q100" s="687"/>
      <c r="R100" s="687"/>
      <c r="S100" s="537"/>
      <c r="T100" s="299"/>
      <c r="U100" s="622"/>
      <c r="V100" s="622"/>
      <c r="W100" s="622"/>
      <c r="X100" s="622"/>
      <c r="Y100" s="193" t="s">
        <v>287</v>
      </c>
      <c r="Z100" s="106"/>
      <c r="AA100"/>
      <c r="AB100" s="194">
        <f>ROUNDUP(D49/15000,0)</f>
        <v>0</v>
      </c>
      <c r="AC100" s="42" t="s">
        <v>288</v>
      </c>
      <c r="AD100" s="195">
        <f>Pricing!N30</f>
        <v>27</v>
      </c>
      <c r="AE100" s="88" t="s">
        <v>293</v>
      </c>
      <c r="AF100" s="680">
        <f t="shared" ref="AF100:AF109" si="76">IF(AC$63="Y",AB100*AD100,AB100*AD100*(1+AE$63))</f>
        <v>0</v>
      </c>
      <c r="AG100" s="769"/>
      <c r="AH100" s="769"/>
      <c r="AI100" s="769"/>
      <c r="AJ100" s="702">
        <v>20</v>
      </c>
      <c r="AK100" s="702" t="s">
        <v>93</v>
      </c>
      <c r="AO100" s="702">
        <f>SUM(O92:P93)</f>
        <v>0</v>
      </c>
      <c r="GA100" s="769"/>
      <c r="GB100" s="769"/>
      <c r="GC100" s="769"/>
      <c r="GD100" s="769"/>
      <c r="GE100" s="769"/>
      <c r="GF100" s="769"/>
      <c r="GG100" s="769"/>
      <c r="GH100" s="769"/>
      <c r="GI100" s="769"/>
      <c r="GJ100" s="769"/>
      <c r="GK100" s="769"/>
      <c r="GL100" s="769"/>
      <c r="GM100" s="769"/>
      <c r="GN100" s="769"/>
      <c r="GO100" s="769"/>
      <c r="GP100" s="769"/>
      <c r="GQ100" s="769"/>
      <c r="GR100" s="769"/>
      <c r="GS100" s="769"/>
      <c r="GT100" s="769"/>
      <c r="GU100" s="769"/>
      <c r="GV100" s="769"/>
      <c r="GW100" s="769"/>
      <c r="GX100" s="769"/>
      <c r="GY100" s="769"/>
      <c r="GZ100" s="769"/>
      <c r="HA100" s="769"/>
      <c r="HB100" s="769"/>
      <c r="HC100" s="769"/>
      <c r="HD100" s="769"/>
      <c r="HE100" s="769"/>
      <c r="HF100" s="769"/>
      <c r="HG100" s="769"/>
      <c r="HH100" s="769"/>
      <c r="HI100" s="769"/>
      <c r="HJ100" s="769"/>
      <c r="HK100" s="769"/>
      <c r="HL100" s="769"/>
      <c r="HM100" s="769"/>
      <c r="HN100" s="769"/>
      <c r="HO100" s="769"/>
      <c r="HP100" s="769"/>
      <c r="HQ100" s="769"/>
      <c r="HR100" s="769"/>
      <c r="HS100" s="769"/>
      <c r="HT100" s="769"/>
      <c r="HU100" s="769"/>
      <c r="HV100" s="769"/>
      <c r="HW100" s="769"/>
      <c r="HX100" s="769"/>
      <c r="HY100" s="769"/>
      <c r="HZ100" s="769"/>
      <c r="IA100" s="769"/>
      <c r="IB100" s="769"/>
      <c r="IC100" s="769"/>
      <c r="ID100" s="769"/>
    </row>
    <row r="101" spans="2:238" s="702" customFormat="1" ht="22" customHeight="1" x14ac:dyDescent="0.35">
      <c r="B101" s="1979" t="s">
        <v>160</v>
      </c>
      <c r="C101" s="1980"/>
      <c r="D101" s="1981"/>
      <c r="E101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1" s="42" t="s">
        <v>107</v>
      </c>
      <c r="G101" s="808">
        <f>Pricing!D37</f>
        <v>65</v>
      </c>
      <c r="H101" s="88" t="s">
        <v>68</v>
      </c>
      <c r="I101" s="42"/>
      <c r="J101" s="2081"/>
      <c r="K101" s="2082"/>
      <c r="L101" s="42"/>
      <c r="M101" s="42"/>
      <c r="N101" s="42"/>
      <c r="O101" s="1895">
        <f>((IF(AND(E101&gt;0,E101&lt;4),E101*G101,0)+IF(AND(E101&gt;3,E101&lt;8),G101*3,0)+IF(AND(E101&gt;7,E101&lt;21),E101/7*G101*3,0)+IF(AND(E101&gt;20,E101&lt;30),G101*9,0)+IF(E101&gt;29,E101/30*G101*9,0)))*(1+$AE$63+J$100)</f>
        <v>0</v>
      </c>
      <c r="P101" s="1896"/>
      <c r="Q101" s="687"/>
      <c r="R101" s="687"/>
      <c r="S101" s="537"/>
      <c r="T101" s="299"/>
      <c r="U101" s="622"/>
      <c r="V101" s="622"/>
      <c r="W101" s="622"/>
      <c r="X101" s="622"/>
      <c r="Y101" s="193" t="s">
        <v>361</v>
      </c>
      <c r="Z101" s="106"/>
      <c r="AA101"/>
      <c r="AB101" s="194">
        <f>I83/15000</f>
        <v>0</v>
      </c>
      <c r="AC101" s="42" t="s">
        <v>781</v>
      </c>
      <c r="AD101" s="195">
        <f>Pricing!N34</f>
        <v>4</v>
      </c>
      <c r="AE101" s="88" t="s">
        <v>294</v>
      </c>
      <c r="AF101" s="680">
        <f t="shared" si="76"/>
        <v>0</v>
      </c>
      <c r="AG101" s="769"/>
      <c r="AH101" s="769"/>
      <c r="AI101" s="769"/>
      <c r="AJ101" s="702">
        <v>21</v>
      </c>
      <c r="AK101" s="702" t="s">
        <v>254</v>
      </c>
      <c r="AO101" s="702">
        <f>O96</f>
        <v>0</v>
      </c>
      <c r="GA101" s="769"/>
      <c r="GB101" s="769"/>
      <c r="GC101" s="769"/>
      <c r="GD101" s="769"/>
      <c r="GE101" s="769"/>
      <c r="GF101" s="769"/>
      <c r="GG101" s="769"/>
      <c r="GH101" s="769"/>
      <c r="GI101" s="769"/>
      <c r="GJ101" s="769"/>
      <c r="GK101" s="769"/>
      <c r="GL101" s="769"/>
      <c r="GM101" s="769"/>
      <c r="GN101" s="769"/>
      <c r="GO101" s="769"/>
      <c r="GP101" s="769"/>
      <c r="GQ101" s="769"/>
      <c r="GR101" s="769"/>
      <c r="GS101" s="769"/>
      <c r="GT101" s="769"/>
      <c r="GU101" s="769"/>
      <c r="GV101" s="769"/>
      <c r="GW101" s="769"/>
      <c r="GX101" s="769"/>
      <c r="GY101" s="769"/>
      <c r="GZ101" s="769"/>
      <c r="HA101" s="769"/>
      <c r="HB101" s="769"/>
      <c r="HC101" s="769"/>
      <c r="HD101" s="769"/>
      <c r="HE101" s="769"/>
      <c r="HF101" s="769"/>
      <c r="HG101" s="769"/>
      <c r="HH101" s="769"/>
      <c r="HI101" s="769"/>
      <c r="HJ101" s="769"/>
      <c r="HK101" s="769"/>
      <c r="HL101" s="769"/>
      <c r="HM101" s="769"/>
      <c r="HN101" s="769"/>
      <c r="HO101" s="769"/>
      <c r="HP101" s="769"/>
      <c r="HQ101" s="769"/>
      <c r="HR101" s="769"/>
      <c r="HS101" s="769"/>
      <c r="HT101" s="769"/>
      <c r="HU101" s="769"/>
      <c r="HV101" s="769"/>
      <c r="HW101" s="769"/>
      <c r="HX101" s="769"/>
      <c r="HY101" s="769"/>
      <c r="HZ101" s="769"/>
      <c r="IA101" s="769"/>
      <c r="IB101" s="769"/>
      <c r="IC101" s="769"/>
      <c r="ID101" s="769"/>
    </row>
    <row r="102" spans="2:238" s="702" customFormat="1" ht="22" customHeight="1" x14ac:dyDescent="0.35">
      <c r="B102" s="1979" t="s">
        <v>723</v>
      </c>
      <c r="C102" s="1980"/>
      <c r="D102" s="1981"/>
      <c r="E102" s="755">
        <v>0</v>
      </c>
      <c r="F102" s="42" t="s">
        <v>107</v>
      </c>
      <c r="G102" s="808">
        <v>15</v>
      </c>
      <c r="H102" s="88" t="s">
        <v>68</v>
      </c>
      <c r="I102" s="42"/>
      <c r="J102" s="42"/>
      <c r="K102" s="42"/>
      <c r="L102" s="42"/>
      <c r="M102" s="42"/>
      <c r="N102" s="42"/>
      <c r="O102" s="1895">
        <f>((IF(AND(E102&gt;0,E102&lt;4),E102*G102,0)+IF(AND(E102&gt;3,E102&lt;8),G102*3,0)+IF(AND(E102&gt;7,E102&lt;21),E102/7*G102*3,0)+IF(AND(E102&gt;20,E102&lt;30),G102*9,0)+IF(E102&gt;29,E102/30*G102*9,0)))*(1+$AE$63+J$100)</f>
        <v>0</v>
      </c>
      <c r="P102" s="1896"/>
      <c r="Q102" s="687"/>
      <c r="R102" s="687"/>
      <c r="S102" s="537"/>
      <c r="T102" s="299"/>
      <c r="U102" s="622"/>
      <c r="V102" s="622"/>
      <c r="W102" s="622"/>
      <c r="X102" s="622"/>
      <c r="Y102" s="193" t="s">
        <v>285</v>
      </c>
      <c r="Z102" s="106"/>
      <c r="AA102"/>
      <c r="AB102" s="194">
        <f>L74+(L75*0.75)</f>
        <v>0</v>
      </c>
      <c r="AC102" s="42" t="s">
        <v>32</v>
      </c>
      <c r="AD102" s="195">
        <v>0.04</v>
      </c>
      <c r="AE102" s="88" t="s">
        <v>88</v>
      </c>
      <c r="AF102" s="680">
        <f t="shared" si="76"/>
        <v>0</v>
      </c>
      <c r="AG102" s="769"/>
      <c r="AH102" s="769"/>
      <c r="AI102" s="769"/>
      <c r="AJ102" s="702">
        <v>22</v>
      </c>
      <c r="AK102" s="702" t="s">
        <v>255</v>
      </c>
      <c r="AO102" s="702">
        <f>SUM(L83:M89)</f>
        <v>0</v>
      </c>
      <c r="GA102" s="769"/>
      <c r="GB102" s="769"/>
      <c r="GC102" s="769"/>
      <c r="GD102" s="769"/>
      <c r="GE102" s="769"/>
      <c r="GF102" s="769"/>
      <c r="GG102" s="769"/>
      <c r="GH102" s="769"/>
      <c r="GI102" s="769"/>
      <c r="GJ102" s="769"/>
      <c r="GK102" s="769"/>
      <c r="GL102" s="769"/>
      <c r="GM102" s="769"/>
      <c r="GN102" s="769"/>
      <c r="GO102" s="769"/>
      <c r="GP102" s="769"/>
      <c r="GQ102" s="769"/>
      <c r="GR102" s="769"/>
      <c r="GS102" s="769"/>
      <c r="GT102" s="769"/>
      <c r="GU102" s="769"/>
      <c r="GV102" s="769"/>
      <c r="GW102" s="769"/>
      <c r="GX102" s="769"/>
      <c r="GY102" s="769"/>
      <c r="GZ102" s="769"/>
      <c r="HA102" s="769"/>
      <c r="HB102" s="769"/>
      <c r="HC102" s="769"/>
      <c r="HD102" s="769"/>
      <c r="HE102" s="769"/>
      <c r="HF102" s="769"/>
      <c r="HG102" s="769"/>
      <c r="HH102" s="769"/>
      <c r="HI102" s="769"/>
      <c r="HJ102" s="769"/>
      <c r="HK102" s="769"/>
      <c r="HL102" s="769"/>
      <c r="HM102" s="769"/>
      <c r="HN102" s="769"/>
      <c r="HO102" s="769"/>
      <c r="HP102" s="769"/>
      <c r="HQ102" s="769"/>
      <c r="HR102" s="769"/>
      <c r="HS102" s="769"/>
      <c r="HT102" s="769"/>
      <c r="HU102" s="769"/>
      <c r="HV102" s="769"/>
      <c r="HW102" s="769"/>
      <c r="HX102" s="769"/>
      <c r="HY102" s="769"/>
      <c r="HZ102" s="769"/>
      <c r="IA102" s="769"/>
      <c r="IB102" s="769"/>
      <c r="IC102" s="769"/>
      <c r="ID102" s="769"/>
    </row>
    <row r="103" spans="2:238" s="702" customFormat="1" ht="22" customHeight="1" thickBot="1" x14ac:dyDescent="0.4">
      <c r="B103" s="2069" t="s">
        <v>108</v>
      </c>
      <c r="C103" s="2070"/>
      <c r="D103" s="2071"/>
      <c r="E103" s="755">
        <v>0</v>
      </c>
      <c r="F103" s="49" t="s">
        <v>573</v>
      </c>
      <c r="G103" s="809">
        <v>55</v>
      </c>
      <c r="H103" s="96" t="s">
        <v>68</v>
      </c>
      <c r="I103" s="49"/>
      <c r="J103" s="49"/>
      <c r="K103" s="49"/>
      <c r="L103" s="49"/>
      <c r="M103" s="117"/>
      <c r="N103" s="49"/>
      <c r="O103" s="2072">
        <f>((IF(AND(E103&gt;0,E103&lt;4),E103*G103,0)+IF(AND(E103&gt;3,E103&lt;8),G103*3,0)+IF(AND(E103&gt;7,E103&lt;21),E103/7*G103*3,0)+IF(AND(E103&gt;20,E103&lt;30),G103*9,0)+IF(E103&gt;29,E103/30*G103*9,0)))</f>
        <v>0</v>
      </c>
      <c r="P103" s="2073"/>
      <c r="Q103" s="687"/>
      <c r="R103" s="687"/>
      <c r="S103" s="537"/>
      <c r="T103" s="299"/>
      <c r="U103" s="622"/>
      <c r="V103" s="622"/>
      <c r="W103" s="622"/>
      <c r="X103" s="622"/>
      <c r="Y103" s="193"/>
      <c r="Z103" s="106"/>
      <c r="AA103"/>
      <c r="AB103" s="106"/>
      <c r="AC103" s="42"/>
      <c r="AD103" s="195"/>
      <c r="AE103" s="42"/>
      <c r="AF103" s="680">
        <f t="shared" si="76"/>
        <v>0</v>
      </c>
      <c r="AG103" s="769"/>
      <c r="AH103" s="769"/>
      <c r="AI103" s="769"/>
      <c r="AJ103" s="702">
        <v>23</v>
      </c>
      <c r="AK103" s="702" t="s">
        <v>256</v>
      </c>
      <c r="AO103" s="702">
        <f>O110</f>
        <v>0</v>
      </c>
      <c r="GA103" s="769"/>
      <c r="GB103" s="769"/>
      <c r="GC103" s="769"/>
      <c r="GD103" s="769"/>
      <c r="GE103" s="769"/>
      <c r="GF103" s="769"/>
      <c r="GG103" s="769"/>
      <c r="GH103" s="769"/>
      <c r="GI103" s="769"/>
      <c r="GJ103" s="769"/>
      <c r="GK103" s="769"/>
      <c r="GL103" s="769"/>
      <c r="GM103" s="769"/>
      <c r="GN103" s="769"/>
      <c r="GO103" s="769"/>
      <c r="GP103" s="769"/>
      <c r="GQ103" s="769"/>
      <c r="GR103" s="769"/>
      <c r="GS103" s="769"/>
      <c r="GT103" s="769"/>
      <c r="GU103" s="769"/>
      <c r="GV103" s="769"/>
      <c r="GW103" s="769"/>
      <c r="GX103" s="769"/>
      <c r="GY103" s="769"/>
      <c r="GZ103" s="769"/>
      <c r="HA103" s="769"/>
      <c r="HB103" s="769"/>
      <c r="HC103" s="769"/>
      <c r="HD103" s="769"/>
      <c r="HE103" s="769"/>
      <c r="HF103" s="769"/>
      <c r="HG103" s="769"/>
      <c r="HH103" s="769"/>
      <c r="HI103" s="769"/>
      <c r="HJ103" s="769"/>
      <c r="HK103" s="769"/>
      <c r="HL103" s="769"/>
      <c r="HM103" s="769"/>
      <c r="HN103" s="769"/>
      <c r="HO103" s="769"/>
      <c r="HP103" s="769"/>
      <c r="HQ103" s="769"/>
      <c r="HR103" s="769"/>
      <c r="HS103" s="769"/>
      <c r="HT103" s="769"/>
      <c r="HU103" s="769"/>
      <c r="HV103" s="769"/>
      <c r="HW103" s="769"/>
      <c r="HX103" s="769"/>
      <c r="HY103" s="769"/>
      <c r="HZ103" s="769"/>
      <c r="IA103" s="769"/>
      <c r="IB103" s="769"/>
      <c r="IC103" s="769"/>
      <c r="ID103" s="769"/>
    </row>
    <row r="104" spans="2:238" s="702" customFormat="1" ht="22" customHeight="1" thickBot="1" x14ac:dyDescent="0.4">
      <c r="B104" s="2018" t="s">
        <v>174</v>
      </c>
      <c r="C104" s="2019"/>
      <c r="D104" s="2019"/>
      <c r="E104" s="2019"/>
      <c r="F104" s="2019"/>
      <c r="G104" s="2019"/>
      <c r="H104" s="2019"/>
      <c r="I104" s="2019"/>
      <c r="J104" s="2019"/>
      <c r="K104" s="2019"/>
      <c r="L104" s="2019"/>
      <c r="M104" s="2019"/>
      <c r="N104" s="2019"/>
      <c r="O104" s="2019"/>
      <c r="P104" s="2020"/>
      <c r="Q104" s="685"/>
      <c r="R104" s="685"/>
      <c r="S104" s="537"/>
      <c r="T104" s="299"/>
      <c r="U104" s="622"/>
      <c r="V104" s="622"/>
      <c r="W104" s="622"/>
      <c r="X104" s="622"/>
      <c r="Y104" s="193"/>
      <c r="Z104" s="106"/>
      <c r="AA104"/>
      <c r="AB104" s="106"/>
      <c r="AC104" s="42"/>
      <c r="AD104" s="195"/>
      <c r="AE104" s="42"/>
      <c r="AF104" s="680">
        <f t="shared" si="76"/>
        <v>0</v>
      </c>
      <c r="AG104" s="769"/>
      <c r="AH104" s="769"/>
      <c r="AI104" s="769"/>
      <c r="AJ104" s="702">
        <v>24</v>
      </c>
      <c r="AK104" s="702" t="s">
        <v>257</v>
      </c>
      <c r="GA104" s="769"/>
      <c r="GB104" s="769"/>
      <c r="GC104" s="769"/>
      <c r="GD104" s="769"/>
      <c r="GE104" s="769"/>
      <c r="GF104" s="769"/>
      <c r="GG104" s="769"/>
      <c r="GH104" s="769"/>
      <c r="GI104" s="769"/>
      <c r="GJ104" s="769"/>
      <c r="GK104" s="769"/>
      <c r="GL104" s="769"/>
      <c r="GM104" s="769"/>
      <c r="GN104" s="769"/>
      <c r="GO104" s="769"/>
      <c r="GP104" s="769"/>
      <c r="GQ104" s="769"/>
      <c r="GR104" s="769"/>
      <c r="GS104" s="769"/>
      <c r="GT104" s="769"/>
      <c r="GU104" s="769"/>
      <c r="GV104" s="769"/>
      <c r="GW104" s="769"/>
      <c r="GX104" s="769"/>
      <c r="GY104" s="769"/>
      <c r="GZ104" s="769"/>
      <c r="HA104" s="769"/>
      <c r="HB104" s="769"/>
      <c r="HC104" s="769"/>
      <c r="HD104" s="769"/>
      <c r="HE104" s="769"/>
      <c r="HF104" s="769"/>
      <c r="HG104" s="769"/>
      <c r="HH104" s="769"/>
      <c r="HI104" s="769"/>
      <c r="HJ104" s="769"/>
      <c r="HK104" s="769"/>
      <c r="HL104" s="769"/>
      <c r="HM104" s="769"/>
      <c r="HN104" s="769"/>
      <c r="HO104" s="769"/>
      <c r="HP104" s="769"/>
      <c r="HQ104" s="769"/>
      <c r="HR104" s="769"/>
      <c r="HS104" s="769"/>
      <c r="HT104" s="769"/>
      <c r="HU104" s="769"/>
      <c r="HV104" s="769"/>
      <c r="HW104" s="769"/>
      <c r="HX104" s="769"/>
      <c r="HY104" s="769"/>
      <c r="HZ104" s="769"/>
      <c r="IA104" s="769"/>
      <c r="IB104" s="769"/>
      <c r="IC104" s="769"/>
      <c r="ID104" s="769"/>
    </row>
    <row r="105" spans="2:238" s="702" customFormat="1" ht="22" customHeight="1" thickBot="1" x14ac:dyDescent="0.4">
      <c r="B105" s="2052" t="s">
        <v>189</v>
      </c>
      <c r="C105" s="2053"/>
      <c r="D105" s="2054"/>
      <c r="E105" s="756">
        <v>0.55000000000000004</v>
      </c>
      <c r="F105" s="115" t="s">
        <v>118</v>
      </c>
      <c r="G105" s="2048"/>
      <c r="H105" s="2049"/>
      <c r="I105" s="48" t="s">
        <v>95</v>
      </c>
      <c r="J105" s="48"/>
      <c r="K105" s="48"/>
      <c r="L105" s="48"/>
      <c r="M105" s="48"/>
      <c r="N105" s="48"/>
      <c r="O105" s="2050">
        <f>E105*G105</f>
        <v>0</v>
      </c>
      <c r="P105" s="2051"/>
      <c r="Q105" s="688"/>
      <c r="R105" s="688"/>
      <c r="S105" s="537"/>
      <c r="T105" s="299"/>
      <c r="U105" s="622"/>
      <c r="V105" s="622"/>
      <c r="W105" s="622"/>
      <c r="X105" s="622"/>
      <c r="Y105" s="198"/>
      <c r="Z105" s="199"/>
      <c r="AA105" s="262"/>
      <c r="AB105" s="199"/>
      <c r="AC105" s="75"/>
      <c r="AD105" s="201"/>
      <c r="AE105" s="75"/>
      <c r="AF105" s="681">
        <f t="shared" si="76"/>
        <v>0</v>
      </c>
      <c r="AG105" s="769"/>
      <c r="AH105" s="769"/>
      <c r="AI105" s="769"/>
      <c r="AJ105" s="702">
        <v>25</v>
      </c>
      <c r="AK105" s="702" t="s">
        <v>258</v>
      </c>
      <c r="GA105" s="769"/>
      <c r="GB105" s="769"/>
      <c r="GC105" s="769"/>
      <c r="GD105" s="769"/>
      <c r="GE105" s="769"/>
      <c r="GF105" s="769"/>
      <c r="GG105" s="769"/>
      <c r="GH105" s="769"/>
      <c r="GI105" s="769"/>
      <c r="GJ105" s="769"/>
      <c r="GK105" s="769"/>
      <c r="GL105" s="769"/>
      <c r="GM105" s="769"/>
      <c r="GN105" s="769"/>
      <c r="GO105" s="769"/>
      <c r="GP105" s="769"/>
      <c r="GQ105" s="769"/>
      <c r="GR105" s="769"/>
      <c r="GS105" s="769"/>
      <c r="GT105" s="769"/>
      <c r="GU105" s="769"/>
      <c r="GV105" s="769"/>
      <c r="GW105" s="769"/>
      <c r="GX105" s="769"/>
      <c r="GY105" s="769"/>
      <c r="GZ105" s="769"/>
      <c r="HA105" s="769"/>
      <c r="HB105" s="769"/>
      <c r="HC105" s="769"/>
      <c r="HD105" s="769"/>
      <c r="HE105" s="769"/>
      <c r="HF105" s="769"/>
      <c r="HG105" s="769"/>
      <c r="HH105" s="769"/>
      <c r="HI105" s="769"/>
      <c r="HJ105" s="769"/>
      <c r="HK105" s="769"/>
      <c r="HL105" s="769"/>
      <c r="HM105" s="769"/>
      <c r="HN105" s="769"/>
      <c r="HO105" s="769"/>
      <c r="HP105" s="769"/>
      <c r="HQ105" s="769"/>
      <c r="HR105" s="769"/>
      <c r="HS105" s="769"/>
      <c r="HT105" s="769"/>
      <c r="HU105" s="769"/>
      <c r="HV105" s="769"/>
      <c r="HW105" s="769"/>
      <c r="HX105" s="769"/>
      <c r="HY105" s="769"/>
      <c r="HZ105" s="769"/>
      <c r="IA105" s="769"/>
      <c r="IB105" s="769"/>
      <c r="IC105" s="769"/>
      <c r="ID105" s="769"/>
    </row>
    <row r="106" spans="2:238" s="702" customFormat="1" ht="22" customHeight="1" thickTop="1" x14ac:dyDescent="0.35">
      <c r="B106" s="1979" t="s">
        <v>176</v>
      </c>
      <c r="C106" s="1980"/>
      <c r="D106" s="1981"/>
      <c r="E106" s="757"/>
      <c r="F106" s="88" t="s">
        <v>118</v>
      </c>
      <c r="G106" s="2089">
        <f>IF(L106=0,0,D49*2/L106)</f>
        <v>0</v>
      </c>
      <c r="H106" s="2090"/>
      <c r="I106" s="88" t="s">
        <v>42</v>
      </c>
      <c r="J106" s="2092" t="s">
        <v>382</v>
      </c>
      <c r="K106" s="2093"/>
      <c r="L106" s="2091">
        <v>15</v>
      </c>
      <c r="M106" s="42"/>
      <c r="N106" s="42"/>
      <c r="O106" s="2087">
        <f>E106*G106</f>
        <v>0</v>
      </c>
      <c r="P106" s="2088"/>
      <c r="Q106" s="688"/>
      <c r="R106" s="688"/>
      <c r="S106" s="537"/>
      <c r="T106" s="299"/>
      <c r="U106" s="622"/>
      <c r="V106" s="622"/>
      <c r="W106" s="622"/>
      <c r="X106" s="622"/>
      <c r="Y106" s="193"/>
      <c r="Z106" s="106"/>
      <c r="AA106"/>
      <c r="AB106" s="106"/>
      <c r="AC106" s="42"/>
      <c r="AD106" s="195"/>
      <c r="AE106" s="42"/>
      <c r="AF106" s="680">
        <f t="shared" si="76"/>
        <v>0</v>
      </c>
      <c r="AG106" s="769"/>
      <c r="AH106" s="769"/>
      <c r="AI106" s="769"/>
      <c r="AJ106" s="702">
        <v>30</v>
      </c>
      <c r="AK106" s="702" t="s">
        <v>259</v>
      </c>
      <c r="AO106" s="702">
        <f>O107</f>
        <v>0</v>
      </c>
      <c r="GA106" s="769"/>
      <c r="GB106" s="769"/>
      <c r="GC106" s="769"/>
      <c r="GD106" s="769"/>
      <c r="GE106" s="769"/>
      <c r="GF106" s="769"/>
      <c r="GG106" s="769"/>
      <c r="GH106" s="769"/>
      <c r="GI106" s="769"/>
      <c r="GJ106" s="769"/>
      <c r="GK106" s="769"/>
      <c r="GL106" s="769"/>
      <c r="GM106" s="769"/>
      <c r="GN106" s="769"/>
      <c r="GO106" s="769"/>
      <c r="GP106" s="769"/>
      <c r="GQ106" s="769"/>
      <c r="GR106" s="769"/>
      <c r="GS106" s="769"/>
      <c r="GT106" s="769"/>
      <c r="GU106" s="769"/>
      <c r="GV106" s="769"/>
      <c r="GW106" s="769"/>
      <c r="GX106" s="769"/>
      <c r="GY106" s="769"/>
      <c r="GZ106" s="769"/>
      <c r="HA106" s="769"/>
      <c r="HB106" s="769"/>
      <c r="HC106" s="769"/>
      <c r="HD106" s="769"/>
      <c r="HE106" s="769"/>
      <c r="HF106" s="769"/>
      <c r="HG106" s="769"/>
      <c r="HH106" s="769"/>
      <c r="HI106" s="769"/>
      <c r="HJ106" s="769"/>
      <c r="HK106" s="769"/>
      <c r="HL106" s="769"/>
      <c r="HM106" s="769"/>
      <c r="HN106" s="769"/>
      <c r="HO106" s="769"/>
      <c r="HP106" s="769"/>
      <c r="HQ106" s="769"/>
      <c r="HR106" s="769"/>
      <c r="HS106" s="769"/>
      <c r="HT106" s="769"/>
      <c r="HU106" s="769"/>
      <c r="HV106" s="769"/>
      <c r="HW106" s="769"/>
      <c r="HX106" s="769"/>
      <c r="HY106" s="769"/>
      <c r="HZ106" s="769"/>
      <c r="IA106" s="769"/>
      <c r="IB106" s="769"/>
      <c r="IC106" s="769"/>
      <c r="ID106" s="769"/>
    </row>
    <row r="107" spans="2:238" s="702" customFormat="1" ht="22" customHeight="1" x14ac:dyDescent="0.35">
      <c r="B107" s="1979" t="s">
        <v>442</v>
      </c>
      <c r="C107" s="1980"/>
      <c r="D107" s="1981"/>
      <c r="E107" s="758">
        <f>Pricing!D41</f>
        <v>16</v>
      </c>
      <c r="F107" s="108" t="s">
        <v>443</v>
      </c>
      <c r="G107" s="2089">
        <f>BO49</f>
        <v>0</v>
      </c>
      <c r="H107" s="2090"/>
      <c r="I107" s="42" t="s">
        <v>444</v>
      </c>
      <c r="J107" s="2092"/>
      <c r="K107" s="2093"/>
      <c r="L107" s="2091"/>
      <c r="M107" s="42"/>
      <c r="N107" s="42"/>
      <c r="O107" s="2087">
        <f>E107*G107</f>
        <v>0</v>
      </c>
      <c r="P107" s="2088"/>
      <c r="Q107" s="688"/>
      <c r="R107" s="688"/>
      <c r="S107" s="537"/>
      <c r="T107" s="299"/>
      <c r="U107" s="622"/>
      <c r="V107" s="622"/>
      <c r="W107" s="622"/>
      <c r="X107" s="622"/>
      <c r="Y107" s="193" t="s">
        <v>211</v>
      </c>
      <c r="Z107" s="106"/>
      <c r="AA107"/>
      <c r="AB107" s="194">
        <f>ROUNDUP(I83/300/55,0)</f>
        <v>0</v>
      </c>
      <c r="AC107" s="42" t="s">
        <v>754</v>
      </c>
      <c r="AD107" s="195">
        <f>Pricing!N42</f>
        <v>540</v>
      </c>
      <c r="AE107" s="88" t="s">
        <v>295</v>
      </c>
      <c r="AF107" s="680">
        <f t="shared" si="76"/>
        <v>0</v>
      </c>
      <c r="AG107" s="769"/>
      <c r="AH107" s="769"/>
      <c r="AI107" s="769"/>
      <c r="AJ107" s="702">
        <v>31</v>
      </c>
      <c r="AK107" s="702" t="s">
        <v>744</v>
      </c>
      <c r="GA107" s="769"/>
      <c r="GB107" s="769"/>
      <c r="GC107" s="769"/>
      <c r="GD107" s="769"/>
      <c r="GE107" s="769"/>
      <c r="GF107" s="769"/>
      <c r="GG107" s="769"/>
      <c r="GH107" s="769"/>
      <c r="GI107" s="769"/>
      <c r="GJ107" s="769"/>
      <c r="GK107" s="769"/>
      <c r="GL107" s="769"/>
      <c r="GM107" s="769"/>
      <c r="GN107" s="769"/>
      <c r="GO107" s="769"/>
      <c r="GP107" s="769"/>
      <c r="GQ107" s="769"/>
      <c r="GR107" s="769"/>
      <c r="GS107" s="769"/>
      <c r="GT107" s="769"/>
      <c r="GU107" s="769"/>
      <c r="GV107" s="769"/>
      <c r="GW107" s="769"/>
      <c r="GX107" s="769"/>
      <c r="GY107" s="769"/>
      <c r="GZ107" s="769"/>
      <c r="HA107" s="769"/>
      <c r="HB107" s="769"/>
      <c r="HC107" s="769"/>
      <c r="HD107" s="769"/>
      <c r="HE107" s="769"/>
      <c r="HF107" s="769"/>
      <c r="HG107" s="769"/>
      <c r="HH107" s="769"/>
      <c r="HI107" s="769"/>
      <c r="HJ107" s="769"/>
      <c r="HK107" s="769"/>
      <c r="HL107" s="769"/>
      <c r="HM107" s="769"/>
      <c r="HN107" s="769"/>
      <c r="HO107" s="769"/>
      <c r="HP107" s="769"/>
      <c r="HQ107" s="769"/>
      <c r="HR107" s="769"/>
      <c r="HS107" s="769"/>
      <c r="HT107" s="769"/>
      <c r="HU107" s="769"/>
      <c r="HV107" s="769"/>
      <c r="HW107" s="769"/>
      <c r="HX107" s="769"/>
      <c r="HY107" s="769"/>
      <c r="HZ107" s="769"/>
      <c r="IA107" s="769"/>
      <c r="IB107" s="769"/>
      <c r="IC107" s="769"/>
      <c r="ID107" s="769"/>
    </row>
    <row r="108" spans="2:238" s="702" customFormat="1" ht="22" customHeight="1" thickBot="1" x14ac:dyDescent="0.4">
      <c r="B108" s="1979" t="s">
        <v>307</v>
      </c>
      <c r="C108" s="1980"/>
      <c r="D108" s="1980"/>
      <c r="E108" s="757">
        <v>4</v>
      </c>
      <c r="F108" s="109" t="s">
        <v>124</v>
      </c>
      <c r="G108" s="2085"/>
      <c r="H108" s="2086"/>
      <c r="I108" s="42" t="s">
        <v>31</v>
      </c>
      <c r="J108" s="42"/>
      <c r="K108" s="42"/>
      <c r="L108" s="42"/>
      <c r="M108" s="42"/>
      <c r="N108" s="42"/>
      <c r="O108" s="2087">
        <f>E108*G108</f>
        <v>0</v>
      </c>
      <c r="P108" s="2088"/>
      <c r="Q108" s="688"/>
      <c r="R108" s="688"/>
      <c r="S108" s="537"/>
      <c r="T108" s="299"/>
      <c r="U108" s="622"/>
      <c r="V108" s="622"/>
      <c r="W108" s="622"/>
      <c r="X108" s="622"/>
      <c r="Y108" s="198" t="s">
        <v>212</v>
      </c>
      <c r="Z108" s="199"/>
      <c r="AA108" s="262"/>
      <c r="AB108" s="200">
        <v>0</v>
      </c>
      <c r="AC108" s="75" t="s">
        <v>754</v>
      </c>
      <c r="AD108" s="201">
        <f>Pricing!N43</f>
        <v>542</v>
      </c>
      <c r="AE108" s="90" t="s">
        <v>295</v>
      </c>
      <c r="AF108" s="681">
        <f t="shared" si="76"/>
        <v>0</v>
      </c>
      <c r="AG108" s="769"/>
      <c r="AH108" s="769"/>
      <c r="AI108" s="769"/>
      <c r="AJ108" s="702">
        <v>32</v>
      </c>
      <c r="AK108" s="702" t="s">
        <v>260</v>
      </c>
      <c r="GA108" s="769"/>
      <c r="GB108" s="769"/>
      <c r="GC108" s="769"/>
      <c r="GD108" s="769"/>
      <c r="GE108" s="769"/>
      <c r="GF108" s="769"/>
      <c r="GG108" s="769"/>
      <c r="GH108" s="769"/>
      <c r="GI108" s="769"/>
      <c r="GJ108" s="769"/>
      <c r="GK108" s="769"/>
      <c r="GL108" s="769"/>
      <c r="GM108" s="769"/>
      <c r="GN108" s="769"/>
      <c r="GO108" s="769"/>
      <c r="GP108" s="769"/>
      <c r="GQ108" s="769"/>
      <c r="GR108" s="769"/>
      <c r="GS108" s="769"/>
      <c r="GT108" s="769"/>
      <c r="GU108" s="769"/>
      <c r="GV108" s="769"/>
      <c r="GW108" s="769"/>
      <c r="GX108" s="769"/>
      <c r="GY108" s="769"/>
      <c r="GZ108" s="769"/>
      <c r="HA108" s="769"/>
      <c r="HB108" s="769"/>
      <c r="HC108" s="769"/>
      <c r="HD108" s="769"/>
      <c r="HE108" s="769"/>
      <c r="HF108" s="769"/>
      <c r="HG108" s="769"/>
      <c r="HH108" s="769"/>
      <c r="HI108" s="769"/>
      <c r="HJ108" s="769"/>
      <c r="HK108" s="769"/>
      <c r="HL108" s="769"/>
      <c r="HM108" s="769"/>
      <c r="HN108" s="769"/>
      <c r="HO108" s="769"/>
      <c r="HP108" s="769"/>
      <c r="HQ108" s="769"/>
      <c r="HR108" s="769"/>
      <c r="HS108" s="769"/>
      <c r="HT108" s="769"/>
      <c r="HU108" s="769"/>
      <c r="HV108" s="769"/>
      <c r="HW108" s="769"/>
      <c r="HX108" s="769"/>
      <c r="HY108" s="769"/>
      <c r="HZ108" s="769"/>
      <c r="IA108" s="769"/>
      <c r="IB108" s="769"/>
      <c r="IC108" s="769"/>
      <c r="ID108" s="769"/>
    </row>
    <row r="109" spans="2:238" s="702" customFormat="1" ht="22" customHeight="1" thickTop="1" x14ac:dyDescent="0.35">
      <c r="B109" s="1979" t="s">
        <v>524</v>
      </c>
      <c r="C109" s="1980"/>
      <c r="D109" s="1980"/>
      <c r="E109" s="759">
        <v>0.25</v>
      </c>
      <c r="F109" s="88" t="s">
        <v>191</v>
      </c>
      <c r="G109" s="2101">
        <v>0</v>
      </c>
      <c r="H109" s="2102"/>
      <c r="I109" s="42" t="s">
        <v>95</v>
      </c>
      <c r="J109" s="42"/>
      <c r="K109" s="42"/>
      <c r="L109" s="42"/>
      <c r="M109" s="42"/>
      <c r="N109" s="46"/>
      <c r="O109" s="2087">
        <f>IF(E109=0,0,E109*G109)</f>
        <v>0</v>
      </c>
      <c r="P109" s="2088"/>
      <c r="Q109" s="688"/>
      <c r="R109" s="688"/>
      <c r="S109" s="537"/>
      <c r="T109" s="299"/>
      <c r="U109" s="622"/>
      <c r="V109" s="622"/>
      <c r="W109" s="622"/>
      <c r="X109" s="622"/>
      <c r="Y109" s="193"/>
      <c r="Z109" s="106"/>
      <c r="AA109" s="106"/>
      <c r="AB109" s="42"/>
      <c r="AC109" s="106"/>
      <c r="AD109" s="42"/>
      <c r="AE109"/>
      <c r="AF109" s="680">
        <f t="shared" si="76"/>
        <v>0</v>
      </c>
      <c r="AG109" s="769"/>
      <c r="AH109" s="769"/>
      <c r="AI109" s="769"/>
      <c r="AJ109" s="702">
        <v>33</v>
      </c>
      <c r="AK109" s="702" t="s">
        <v>261</v>
      </c>
      <c r="AO109" s="704">
        <f>O108</f>
        <v>0</v>
      </c>
      <c r="AP109" s="704"/>
      <c r="GA109" s="769"/>
      <c r="GB109" s="769"/>
      <c r="GC109" s="769"/>
      <c r="GD109" s="769"/>
      <c r="GE109" s="769"/>
      <c r="GF109" s="769"/>
      <c r="GG109" s="769"/>
      <c r="GH109" s="769"/>
      <c r="GI109" s="769"/>
      <c r="GJ109" s="769"/>
      <c r="GK109" s="769"/>
      <c r="GL109" s="769"/>
      <c r="GM109" s="769"/>
      <c r="GN109" s="769"/>
      <c r="GO109" s="769"/>
      <c r="GP109" s="769"/>
      <c r="GQ109" s="769"/>
      <c r="GR109" s="769"/>
      <c r="GS109" s="769"/>
      <c r="GT109" s="769"/>
      <c r="GU109" s="769"/>
      <c r="GV109" s="769"/>
      <c r="GW109" s="769"/>
      <c r="GX109" s="769"/>
      <c r="GY109" s="769"/>
      <c r="GZ109" s="769"/>
      <c r="HA109" s="769"/>
      <c r="HB109" s="769"/>
      <c r="HC109" s="769"/>
      <c r="HD109" s="769"/>
      <c r="HE109" s="769"/>
      <c r="HF109" s="769"/>
      <c r="HG109" s="769"/>
      <c r="HH109" s="769"/>
      <c r="HI109" s="769"/>
      <c r="HJ109" s="769"/>
      <c r="HK109" s="769"/>
      <c r="HL109" s="769"/>
      <c r="HM109" s="769"/>
      <c r="HN109" s="769"/>
      <c r="HO109" s="769"/>
      <c r="HP109" s="769"/>
      <c r="HQ109" s="769"/>
      <c r="HR109" s="769"/>
      <c r="HS109" s="769"/>
      <c r="HT109" s="769"/>
      <c r="HU109" s="769"/>
      <c r="HV109" s="769"/>
      <c r="HW109" s="769"/>
      <c r="HX109" s="769"/>
      <c r="HY109" s="769"/>
      <c r="HZ109" s="769"/>
      <c r="IA109" s="769"/>
      <c r="IB109" s="769"/>
      <c r="IC109" s="769"/>
      <c r="ID109" s="769"/>
    </row>
    <row r="110" spans="2:238" s="702" customFormat="1" ht="22" customHeight="1" x14ac:dyDescent="0.35">
      <c r="B110" s="1979" t="s">
        <v>186</v>
      </c>
      <c r="C110" s="1980"/>
      <c r="D110" s="1980"/>
      <c r="E110" s="760"/>
      <c r="F110" s="109" t="s">
        <v>97</v>
      </c>
      <c r="G110" s="2099">
        <v>250</v>
      </c>
      <c r="H110" s="2100"/>
      <c r="I110" s="88" t="s">
        <v>68</v>
      </c>
      <c r="J110" s="42"/>
      <c r="K110" s="42"/>
      <c r="L110" s="42"/>
      <c r="M110" s="42"/>
      <c r="N110" s="42"/>
      <c r="O110" s="2087">
        <f>E110*G110</f>
        <v>0</v>
      </c>
      <c r="P110" s="2088"/>
      <c r="Q110" s="688"/>
      <c r="R110" s="688"/>
      <c r="S110" s="537"/>
      <c r="T110" s="299"/>
      <c r="U110" s="2107"/>
      <c r="V110" s="2107"/>
      <c r="W110" s="2107"/>
      <c r="X110" s="2107"/>
      <c r="Y110" s="2096" t="s">
        <v>216</v>
      </c>
      <c r="Z110" s="2097"/>
      <c r="AA110" s="806">
        <v>18</v>
      </c>
      <c r="AB110" s="42" t="s">
        <v>217</v>
      </c>
      <c r="AC110" s="106"/>
      <c r="AD110" s="42"/>
      <c r="AE110"/>
      <c r="AF110" s="680"/>
      <c r="AG110" s="769"/>
      <c r="AH110" s="769"/>
      <c r="AI110" s="769"/>
      <c r="AJ110" s="702">
        <v>34</v>
      </c>
      <c r="AK110" s="702" t="s">
        <v>262</v>
      </c>
      <c r="AO110" s="702">
        <f>O106+O105+O109</f>
        <v>0</v>
      </c>
      <c r="GA110" s="769"/>
      <c r="GB110" s="769"/>
      <c r="GC110" s="769"/>
      <c r="GD110" s="769"/>
      <c r="GE110" s="769"/>
      <c r="GF110" s="769"/>
      <c r="GG110" s="769"/>
      <c r="GH110" s="769"/>
      <c r="GI110" s="769"/>
      <c r="GJ110" s="769"/>
      <c r="GK110" s="769"/>
      <c r="GL110" s="769"/>
      <c r="GM110" s="769"/>
      <c r="GN110" s="769"/>
      <c r="GO110" s="769"/>
      <c r="GP110" s="769"/>
      <c r="GQ110" s="769"/>
      <c r="GR110" s="769"/>
      <c r="GS110" s="769"/>
      <c r="GT110" s="769"/>
      <c r="GU110" s="769"/>
      <c r="GV110" s="769"/>
      <c r="GW110" s="769"/>
      <c r="GX110" s="769"/>
      <c r="GY110" s="769"/>
      <c r="GZ110" s="769"/>
      <c r="HA110" s="769"/>
      <c r="HB110" s="769"/>
      <c r="HC110" s="769"/>
      <c r="HD110" s="769"/>
      <c r="HE110" s="769"/>
      <c r="HF110" s="769"/>
      <c r="HG110" s="769"/>
      <c r="HH110" s="769"/>
      <c r="HI110" s="769"/>
      <c r="HJ110" s="769"/>
      <c r="HK110" s="769"/>
      <c r="HL110" s="769"/>
      <c r="HM110" s="769"/>
      <c r="HN110" s="769"/>
      <c r="HO110" s="769"/>
      <c r="HP110" s="769"/>
      <c r="HQ110" s="769"/>
      <c r="HR110" s="769"/>
      <c r="HS110" s="769"/>
      <c r="HT110" s="769"/>
      <c r="HU110" s="769"/>
      <c r="HV110" s="769"/>
      <c r="HW110" s="769"/>
      <c r="HX110" s="769"/>
      <c r="HY110" s="769"/>
      <c r="HZ110" s="769"/>
      <c r="IA110" s="769"/>
      <c r="IB110" s="769"/>
      <c r="IC110" s="769"/>
      <c r="ID110" s="769"/>
    </row>
    <row r="111" spans="2:238" s="702" customFormat="1" ht="22" customHeight="1" thickBot="1" x14ac:dyDescent="0.4">
      <c r="B111" s="2069" t="s">
        <v>108</v>
      </c>
      <c r="C111" s="2070"/>
      <c r="D111" s="2070"/>
      <c r="E111" s="754"/>
      <c r="F111" s="49"/>
      <c r="G111" s="2103">
        <v>1000</v>
      </c>
      <c r="H111" s="2104"/>
      <c r="I111" s="49" t="s">
        <v>177</v>
      </c>
      <c r="J111" s="49"/>
      <c r="K111" s="49"/>
      <c r="L111" s="49"/>
      <c r="M111" s="49"/>
      <c r="N111" s="49"/>
      <c r="O111" s="2105">
        <f>E111*G111</f>
        <v>0</v>
      </c>
      <c r="P111" s="2106"/>
      <c r="Q111" s="688"/>
      <c r="R111" s="688"/>
      <c r="S111" s="537"/>
      <c r="T111" s="299"/>
      <c r="U111" s="622"/>
      <c r="V111" s="622"/>
      <c r="W111" s="622"/>
      <c r="X111" s="622"/>
      <c r="Y111" s="203" t="s">
        <v>214</v>
      </c>
      <c r="Z111" s="188"/>
      <c r="AA111" s="188">
        <f>ROUNDUP((AB83+AB85+AB86)*12/AA110,0)</f>
        <v>0</v>
      </c>
      <c r="AB111" s="49" t="s">
        <v>215</v>
      </c>
      <c r="AC111" s="2098">
        <f>Pricing!D24</f>
        <v>2</v>
      </c>
      <c r="AD111" s="2098"/>
      <c r="AE111" s="248"/>
      <c r="AF111" s="812">
        <f>IF(AC$63="Y",AA111*AD111,AA111*AD111*(1+AE$63))</f>
        <v>0</v>
      </c>
      <c r="AG111" s="769"/>
      <c r="AH111" s="769"/>
      <c r="AI111" s="769"/>
      <c r="AJ111" s="702">
        <v>35</v>
      </c>
      <c r="AK111" s="702" t="s">
        <v>263</v>
      </c>
      <c r="GA111" s="769"/>
      <c r="GB111" s="769"/>
      <c r="GC111" s="769"/>
      <c r="GD111" s="769"/>
      <c r="GE111" s="769"/>
      <c r="GF111" s="769"/>
      <c r="GG111" s="769"/>
      <c r="GH111" s="769"/>
      <c r="GI111" s="769"/>
      <c r="GJ111" s="769"/>
      <c r="GK111" s="769"/>
      <c r="GL111" s="769"/>
      <c r="GM111" s="769"/>
      <c r="GN111" s="769"/>
      <c r="GO111" s="769"/>
      <c r="GP111" s="769"/>
      <c r="GQ111" s="769"/>
      <c r="GR111" s="769"/>
      <c r="GS111" s="769"/>
      <c r="GT111" s="769"/>
      <c r="GU111" s="769"/>
      <c r="GV111" s="769"/>
      <c r="GW111" s="769"/>
      <c r="GX111" s="769"/>
      <c r="GY111" s="769"/>
      <c r="GZ111" s="769"/>
      <c r="HA111" s="769"/>
      <c r="HB111" s="769"/>
      <c r="HC111" s="769"/>
      <c r="HD111" s="769"/>
      <c r="HE111" s="769"/>
      <c r="HF111" s="769"/>
      <c r="HG111" s="769"/>
      <c r="HH111" s="769"/>
      <c r="HI111" s="769"/>
      <c r="HJ111" s="769"/>
      <c r="HK111" s="769"/>
      <c r="HL111" s="769"/>
      <c r="HM111" s="769"/>
      <c r="HN111" s="769"/>
      <c r="HO111" s="769"/>
      <c r="HP111" s="769"/>
      <c r="HQ111" s="769"/>
      <c r="HR111" s="769"/>
      <c r="HS111" s="769"/>
      <c r="HT111" s="769"/>
      <c r="HU111" s="769"/>
      <c r="HV111" s="769"/>
      <c r="HW111" s="769"/>
      <c r="HX111" s="769"/>
      <c r="HY111" s="769"/>
      <c r="HZ111" s="769"/>
      <c r="IA111" s="769"/>
      <c r="IB111" s="769"/>
      <c r="IC111" s="769"/>
      <c r="ID111" s="769"/>
    </row>
    <row r="112" spans="2:238" s="702" customFormat="1" ht="22" customHeight="1" thickBot="1" x14ac:dyDescent="0.4">
      <c r="B112" s="313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689"/>
      <c r="R112" s="689"/>
      <c r="S112" s="299"/>
      <c r="T112" s="299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328"/>
      <c r="AE112" s="298"/>
      <c r="AF112" s="811">
        <f>SUM(AF72:AF111)</f>
        <v>0</v>
      </c>
      <c r="AG112" s="769"/>
      <c r="AH112" s="769"/>
      <c r="AI112" s="769"/>
      <c r="AJ112" s="702">
        <v>36</v>
      </c>
      <c r="AK112" s="702" t="s">
        <v>745</v>
      </c>
      <c r="GA112" s="769"/>
      <c r="GB112" s="769"/>
      <c r="GC112" s="769"/>
      <c r="GD112" s="769"/>
      <c r="GE112" s="769"/>
      <c r="GF112" s="769"/>
      <c r="GG112" s="769"/>
      <c r="GH112" s="769"/>
      <c r="GI112" s="769"/>
      <c r="GJ112" s="769"/>
      <c r="GK112" s="769"/>
      <c r="GL112" s="769"/>
      <c r="GM112" s="769"/>
      <c r="GN112" s="769"/>
      <c r="GO112" s="769"/>
      <c r="GP112" s="769"/>
      <c r="GQ112" s="769"/>
      <c r="GR112" s="769"/>
      <c r="GS112" s="769"/>
      <c r="GT112" s="769"/>
      <c r="GU112" s="769"/>
      <c r="GV112" s="769"/>
      <c r="GW112" s="769"/>
      <c r="GX112" s="769"/>
      <c r="GY112" s="769"/>
      <c r="GZ112" s="769"/>
      <c r="HA112" s="769"/>
      <c r="HB112" s="769"/>
      <c r="HC112" s="769"/>
      <c r="HD112" s="769"/>
      <c r="HE112" s="769"/>
      <c r="HF112" s="769"/>
      <c r="HG112" s="769"/>
      <c r="HH112" s="769"/>
      <c r="HI112" s="769"/>
      <c r="HJ112" s="769"/>
      <c r="HK112" s="769"/>
      <c r="HL112" s="769"/>
      <c r="HM112" s="769"/>
      <c r="HN112" s="769"/>
      <c r="HO112" s="769"/>
      <c r="HP112" s="769"/>
      <c r="HQ112" s="769"/>
      <c r="HR112" s="769"/>
      <c r="HS112" s="769"/>
      <c r="HT112" s="769"/>
      <c r="HU112" s="769"/>
      <c r="HV112" s="769"/>
      <c r="HW112" s="769"/>
      <c r="HX112" s="769"/>
      <c r="HY112" s="769"/>
      <c r="HZ112" s="769"/>
      <c r="IA112" s="769"/>
      <c r="IB112" s="769"/>
      <c r="IC112" s="769"/>
      <c r="ID112" s="769"/>
    </row>
    <row r="113" spans="1:238" s="702" customFormat="1" ht="24" customHeight="1" x14ac:dyDescent="0.35">
      <c r="B113" s="898"/>
      <c r="C113" s="899"/>
      <c r="D113" s="899"/>
      <c r="E113" s="899"/>
      <c r="F113" s="899"/>
      <c r="G113" s="899"/>
      <c r="H113" s="899"/>
      <c r="I113" s="899"/>
      <c r="J113" s="899"/>
      <c r="K113" s="899"/>
      <c r="L113" s="900"/>
      <c r="M113" s="899"/>
      <c r="N113" s="899"/>
      <c r="O113" s="899"/>
      <c r="P113" s="899"/>
      <c r="Q113" s="899"/>
      <c r="R113" s="899"/>
      <c r="S113" s="1170"/>
      <c r="T113" s="1170"/>
      <c r="U113" s="899"/>
      <c r="V113" s="899"/>
      <c r="W113" s="899"/>
      <c r="X113" s="899"/>
      <c r="Y113" s="899"/>
      <c r="Z113" s="899"/>
      <c r="AA113" s="899"/>
      <c r="AB113" s="899"/>
      <c r="AC113" s="899"/>
      <c r="AD113" s="899"/>
      <c r="AE113" s="899"/>
      <c r="AF113" s="1115"/>
      <c r="AG113" s="769"/>
      <c r="AH113" s="769"/>
      <c r="AI113" s="769"/>
      <c r="AJ113" s="702">
        <v>39</v>
      </c>
      <c r="AK113" s="702" t="s">
        <v>264</v>
      </c>
      <c r="GA113" s="769"/>
      <c r="GB113" s="769"/>
      <c r="GC113" s="769"/>
      <c r="GD113" s="769"/>
      <c r="GE113" s="769"/>
      <c r="GF113" s="769"/>
      <c r="GG113" s="769"/>
      <c r="GH113" s="769"/>
      <c r="GI113" s="769"/>
      <c r="GJ113" s="769"/>
      <c r="GK113" s="769"/>
      <c r="GL113" s="769"/>
      <c r="GM113" s="769"/>
      <c r="GN113" s="769"/>
      <c r="GO113" s="769"/>
      <c r="GP113" s="769"/>
      <c r="GQ113" s="769"/>
      <c r="GR113" s="769"/>
      <c r="GS113" s="769"/>
      <c r="GT113" s="769"/>
      <c r="GU113" s="769"/>
      <c r="GV113" s="769"/>
      <c r="GW113" s="769"/>
      <c r="GX113" s="769"/>
      <c r="GY113" s="769"/>
      <c r="GZ113" s="769"/>
      <c r="HA113" s="769"/>
      <c r="HB113" s="769"/>
      <c r="HC113" s="769"/>
      <c r="HD113" s="769"/>
      <c r="HE113" s="769"/>
      <c r="HF113" s="769"/>
      <c r="HG113" s="769"/>
      <c r="HH113" s="769"/>
      <c r="HI113" s="769"/>
      <c r="HJ113" s="769"/>
      <c r="HK113" s="769"/>
      <c r="HL113" s="769"/>
      <c r="HM113" s="769"/>
      <c r="HN113" s="769"/>
      <c r="HO113" s="769"/>
      <c r="HP113" s="769"/>
      <c r="HQ113" s="769"/>
      <c r="HR113" s="769"/>
      <c r="HS113" s="769"/>
      <c r="HT113" s="769"/>
      <c r="HU113" s="769"/>
      <c r="HV113" s="769"/>
      <c r="HW113" s="769"/>
      <c r="HX113" s="769"/>
      <c r="HY113" s="769"/>
      <c r="HZ113" s="769"/>
      <c r="IA113" s="769"/>
      <c r="IB113" s="769"/>
      <c r="IC113" s="769"/>
      <c r="ID113" s="769"/>
    </row>
    <row r="114" spans="1:238" s="702" customFormat="1" ht="31" hidden="1" x14ac:dyDescent="0.35">
      <c r="B114" s="1987" t="s">
        <v>185</v>
      </c>
      <c r="C114" s="2041"/>
      <c r="D114" s="1988"/>
      <c r="E114" s="1987" t="s">
        <v>140</v>
      </c>
      <c r="F114" s="1988"/>
      <c r="G114" s="1987" t="s">
        <v>178</v>
      </c>
      <c r="H114" s="2041"/>
      <c r="I114" s="1988"/>
      <c r="J114" s="61" t="s">
        <v>184</v>
      </c>
      <c r="K114" s="62"/>
      <c r="L114" s="60"/>
      <c r="M114" s="2044" t="s">
        <v>179</v>
      </c>
      <c r="N114" s="2045"/>
      <c r="O114" s="132"/>
      <c r="P114" s="133"/>
      <c r="Q114" s="1086"/>
      <c r="R114" s="1086"/>
      <c r="S114" s="1116"/>
      <c r="T114" s="1116"/>
      <c r="U114" s="897"/>
      <c r="V114" s="897"/>
      <c r="W114" s="897"/>
      <c r="X114" s="897"/>
      <c r="Y114" s="897"/>
      <c r="Z114" s="39" t="s">
        <v>34</v>
      </c>
      <c r="AA114" s="48"/>
      <c r="AB114" s="48" t="s">
        <v>758</v>
      </c>
      <c r="AC114" s="813" t="str">
        <f>AC63</f>
        <v>n</v>
      </c>
      <c r="AD114" s="286" t="s">
        <v>298</v>
      </c>
      <c r="AE114" s="814">
        <f>AE63</f>
        <v>8.2500000000000004E-2</v>
      </c>
      <c r="AF114" s="1113"/>
      <c r="AG114" s="769"/>
      <c r="AH114" s="769"/>
      <c r="AI114" s="769"/>
      <c r="AJ114" s="702">
        <v>40</v>
      </c>
      <c r="AK114" s="702" t="s">
        <v>222</v>
      </c>
      <c r="AO114" s="704">
        <f>O88</f>
        <v>0</v>
      </c>
      <c r="AP114" s="704"/>
      <c r="GA114" s="769"/>
      <c r="GB114" s="769"/>
      <c r="GC114" s="769"/>
      <c r="GD114" s="769"/>
      <c r="GE114" s="769"/>
      <c r="GF114" s="769"/>
      <c r="GG114" s="769"/>
      <c r="GH114" s="769"/>
      <c r="GI114" s="769"/>
      <c r="GJ114" s="769"/>
      <c r="GK114" s="769"/>
      <c r="GL114" s="769"/>
      <c r="GM114" s="769"/>
      <c r="GN114" s="769"/>
      <c r="GO114" s="769"/>
      <c r="GP114" s="769"/>
      <c r="GQ114" s="769"/>
      <c r="GR114" s="769"/>
      <c r="GS114" s="769"/>
      <c r="GT114" s="769"/>
      <c r="GU114" s="769"/>
      <c r="GV114" s="769"/>
      <c r="GW114" s="769"/>
      <c r="GX114" s="769"/>
      <c r="GY114" s="769"/>
      <c r="GZ114" s="769"/>
      <c r="HA114" s="769"/>
      <c r="HB114" s="769"/>
      <c r="HC114" s="769"/>
      <c r="HD114" s="769"/>
      <c r="HE114" s="769"/>
      <c r="HF114" s="769"/>
      <c r="HG114" s="769"/>
      <c r="HH114" s="769"/>
      <c r="HI114" s="769"/>
      <c r="HJ114" s="769"/>
      <c r="HK114" s="769"/>
      <c r="HL114" s="769"/>
      <c r="HM114" s="769"/>
      <c r="HN114" s="769"/>
      <c r="HO114" s="769"/>
      <c r="HP114" s="769"/>
      <c r="HQ114" s="769"/>
      <c r="HR114" s="769"/>
      <c r="HS114" s="769"/>
      <c r="HT114" s="769"/>
      <c r="HU114" s="769"/>
      <c r="HV114" s="769"/>
      <c r="HW114" s="769"/>
      <c r="HX114" s="769"/>
      <c r="HY114" s="769"/>
      <c r="HZ114" s="769"/>
      <c r="IA114" s="769"/>
      <c r="IB114" s="769"/>
      <c r="IC114" s="769"/>
      <c r="ID114" s="769"/>
    </row>
    <row r="115" spans="1:238" s="702" customFormat="1" ht="16" hidden="1" thickBot="1" x14ac:dyDescent="0.4">
      <c r="B115" s="11" t="s">
        <v>180</v>
      </c>
      <c r="C115" s="1999">
        <f>C64</f>
        <v>0</v>
      </c>
      <c r="D115" s="2000"/>
      <c r="E115" s="2003">
        <f>E64</f>
        <v>0</v>
      </c>
      <c r="F115" s="2004"/>
      <c r="G115" s="15">
        <f>G64</f>
        <v>0</v>
      </c>
      <c r="H115" s="2042">
        <f>H64</f>
        <v>0</v>
      </c>
      <c r="I115" s="2043"/>
      <c r="J115" s="2064">
        <f>J64</f>
        <v>0</v>
      </c>
      <c r="K115" s="2065"/>
      <c r="L115" s="2066"/>
      <c r="M115" s="725">
        <f>M64</f>
        <v>0.18</v>
      </c>
      <c r="N115" s="726"/>
      <c r="O115" s="726"/>
      <c r="P115" s="727"/>
      <c r="Q115" s="1169"/>
      <c r="R115" s="1169"/>
      <c r="S115" s="1116"/>
      <c r="T115" s="1116"/>
      <c r="U115" s="902"/>
      <c r="V115" s="937"/>
      <c r="W115" s="902"/>
      <c r="X115" s="937"/>
      <c r="Y115" s="902"/>
      <c r="Z115" s="156" t="s">
        <v>50</v>
      </c>
      <c r="AA115" s="49"/>
      <c r="AB115" s="49"/>
      <c r="AC115" s="2095">
        <f>AC64</f>
        <v>0</v>
      </c>
      <c r="AD115" s="2095"/>
      <c r="AE115" s="159"/>
      <c r="AF115" s="1113"/>
      <c r="AG115" s="769"/>
      <c r="AH115" s="769"/>
      <c r="AI115" s="769"/>
      <c r="AJ115" s="702">
        <v>41</v>
      </c>
      <c r="AK115" s="702" t="s">
        <v>265</v>
      </c>
      <c r="AO115" s="702">
        <f>O83</f>
        <v>0</v>
      </c>
      <c r="GA115" s="769"/>
      <c r="GB115" s="769"/>
      <c r="GC115" s="769"/>
      <c r="GD115" s="769"/>
      <c r="GE115" s="769"/>
      <c r="GF115" s="769"/>
      <c r="GG115" s="769"/>
      <c r="GH115" s="769"/>
      <c r="GI115" s="769"/>
      <c r="GJ115" s="769"/>
      <c r="GK115" s="769"/>
      <c r="GL115" s="769"/>
      <c r="GM115" s="769"/>
      <c r="GN115" s="769"/>
      <c r="GO115" s="769"/>
      <c r="GP115" s="769"/>
      <c r="GQ115" s="769"/>
      <c r="GR115" s="769"/>
      <c r="GS115" s="769"/>
      <c r="GT115" s="769"/>
      <c r="GU115" s="769"/>
      <c r="GV115" s="769"/>
      <c r="GW115" s="769"/>
      <c r="GX115" s="769"/>
      <c r="GY115" s="769"/>
      <c r="GZ115" s="769"/>
      <c r="HA115" s="769"/>
      <c r="HB115" s="769"/>
      <c r="HC115" s="769"/>
      <c r="HD115" s="769"/>
      <c r="HE115" s="769"/>
      <c r="HF115" s="769"/>
      <c r="HG115" s="769"/>
      <c r="HH115" s="769"/>
      <c r="HI115" s="769"/>
      <c r="HJ115" s="769"/>
      <c r="HK115" s="769"/>
      <c r="HL115" s="769"/>
      <c r="HM115" s="769"/>
      <c r="HN115" s="769"/>
      <c r="HO115" s="769"/>
      <c r="HP115" s="769"/>
      <c r="HQ115" s="769"/>
      <c r="HR115" s="769"/>
      <c r="HS115" s="769"/>
      <c r="HT115" s="769"/>
      <c r="HU115" s="769"/>
      <c r="HV115" s="769"/>
      <c r="HW115" s="769"/>
      <c r="HX115" s="769"/>
      <c r="HY115" s="769"/>
      <c r="HZ115" s="769"/>
      <c r="IA115" s="769"/>
      <c r="IB115" s="769"/>
      <c r="IC115" s="769"/>
      <c r="ID115" s="769"/>
    </row>
    <row r="116" spans="1:238" s="702" customFormat="1" ht="21.75" customHeight="1" x14ac:dyDescent="0.35">
      <c r="B116" s="938"/>
      <c r="C116" s="897"/>
      <c r="D116" s="897"/>
      <c r="E116" s="897"/>
      <c r="F116" s="897"/>
      <c r="G116" s="897"/>
      <c r="H116" s="897"/>
      <c r="I116" s="897"/>
      <c r="J116" s="897"/>
      <c r="K116" s="897"/>
      <c r="L116" s="897"/>
      <c r="M116" s="897"/>
      <c r="N116" s="897"/>
      <c r="O116" s="897"/>
      <c r="P116" s="897"/>
      <c r="Q116" s="897"/>
      <c r="R116" s="897"/>
      <c r="S116" s="1116"/>
      <c r="T116" s="1116"/>
      <c r="U116" s="897"/>
      <c r="V116" s="897"/>
      <c r="W116" s="897"/>
      <c r="X116" s="897"/>
      <c r="Y116" s="897"/>
      <c r="Z116" s="897"/>
      <c r="AA116" s="897"/>
      <c r="AB116" s="897"/>
      <c r="AC116" s="897"/>
      <c r="AD116" s="897"/>
      <c r="AE116" s="897"/>
      <c r="AF116" s="1113"/>
      <c r="AG116" s="769"/>
      <c r="AH116" s="769"/>
      <c r="AI116" s="769"/>
      <c r="AJ116" s="702">
        <v>42</v>
      </c>
      <c r="AK116" s="702" t="s">
        <v>266</v>
      </c>
      <c r="AO116" s="702">
        <f>O84</f>
        <v>0</v>
      </c>
      <c r="GA116" s="769"/>
      <c r="GB116" s="769"/>
      <c r="GC116" s="769"/>
      <c r="GD116" s="769"/>
      <c r="GE116" s="769"/>
      <c r="GF116" s="769"/>
      <c r="GG116" s="769"/>
      <c r="GH116" s="769"/>
      <c r="GI116" s="769"/>
      <c r="GJ116" s="769"/>
      <c r="GK116" s="769"/>
      <c r="GL116" s="769"/>
      <c r="GM116" s="769"/>
      <c r="GN116" s="769"/>
      <c r="GO116" s="769"/>
      <c r="GP116" s="769"/>
      <c r="GQ116" s="769"/>
      <c r="GR116" s="769"/>
      <c r="GS116" s="769"/>
      <c r="GT116" s="769"/>
      <c r="GU116" s="769"/>
      <c r="GV116" s="769"/>
      <c r="GW116" s="769"/>
      <c r="GX116" s="769"/>
      <c r="GY116" s="769"/>
      <c r="GZ116" s="769"/>
      <c r="HA116" s="769"/>
      <c r="HB116" s="769"/>
      <c r="HC116" s="769"/>
      <c r="HD116" s="769"/>
      <c r="HE116" s="769"/>
      <c r="HF116" s="769"/>
      <c r="HG116" s="769"/>
      <c r="HH116" s="769"/>
      <c r="HI116" s="769"/>
      <c r="HJ116" s="769"/>
      <c r="HK116" s="769"/>
      <c r="HL116" s="769"/>
      <c r="HM116" s="769"/>
      <c r="HN116" s="769"/>
      <c r="HO116" s="769"/>
      <c r="HP116" s="769"/>
      <c r="HQ116" s="769"/>
      <c r="HR116" s="769"/>
      <c r="HS116" s="769"/>
      <c r="HT116" s="769"/>
      <c r="HU116" s="769"/>
      <c r="HV116" s="769"/>
      <c r="HW116" s="769"/>
      <c r="HX116" s="769"/>
      <c r="HY116" s="769"/>
      <c r="HZ116" s="769"/>
      <c r="IA116" s="769"/>
      <c r="IB116" s="769"/>
      <c r="IC116" s="769"/>
      <c r="ID116" s="769"/>
    </row>
    <row r="117" spans="1:238" s="769" customFormat="1" ht="15" customHeight="1" x14ac:dyDescent="0.35">
      <c r="AJ117" s="702">
        <v>44</v>
      </c>
      <c r="AK117" s="702" t="s">
        <v>267</v>
      </c>
      <c r="AL117" s="702"/>
      <c r="AM117" s="702"/>
      <c r="AN117" s="702"/>
      <c r="AO117" s="702">
        <f>O85</f>
        <v>0</v>
      </c>
      <c r="AP117" s="702"/>
    </row>
    <row r="118" spans="1:238" customFormat="1" ht="15" hidden="1" customHeight="1" x14ac:dyDescent="0.35">
      <c r="A118" s="769"/>
      <c r="B118" s="769"/>
      <c r="C118" s="769"/>
      <c r="D118" s="769"/>
      <c r="E118" s="769"/>
      <c r="F118" s="769"/>
      <c r="G118" s="769"/>
      <c r="H118" s="769"/>
      <c r="I118" s="769"/>
      <c r="J118" s="769"/>
      <c r="K118" s="769"/>
      <c r="L118" s="769"/>
      <c r="M118" s="769"/>
      <c r="N118" s="769"/>
      <c r="O118" s="769"/>
      <c r="P118" s="769"/>
      <c r="Q118" s="769"/>
      <c r="R118" s="769"/>
      <c r="S118" s="769"/>
      <c r="T118" s="769"/>
      <c r="U118" s="769"/>
      <c r="V118" s="769"/>
      <c r="W118" s="769"/>
      <c r="X118" s="769"/>
      <c r="Y118" s="769"/>
      <c r="Z118" s="769"/>
      <c r="AA118" s="769"/>
      <c r="AB118" s="769"/>
      <c r="AC118" s="769"/>
      <c r="AD118" s="769"/>
      <c r="AE118" s="769"/>
      <c r="AF118" s="769"/>
      <c r="AG118" s="769"/>
      <c r="AJ118" s="298">
        <v>45</v>
      </c>
      <c r="AK118" s="298" t="s">
        <v>268</v>
      </c>
      <c r="AL118" s="298"/>
      <c r="AM118" s="298"/>
      <c r="AN118" s="298"/>
      <c r="AO118" s="298">
        <f>O87</f>
        <v>0</v>
      </c>
      <c r="AP118" s="298"/>
      <c r="BH118" s="594"/>
    </row>
    <row r="119" spans="1:238" ht="15" hidden="1" customHeight="1" x14ac:dyDescent="0.35">
      <c r="B119" s="769"/>
      <c r="C119" s="769"/>
      <c r="D119" s="769"/>
      <c r="E119" s="769"/>
      <c r="F119" s="769"/>
      <c r="G119" s="769"/>
      <c r="H119" s="769"/>
      <c r="I119" s="769"/>
      <c r="J119" s="769"/>
      <c r="K119" s="769"/>
      <c r="L119" s="769"/>
      <c r="M119" s="769"/>
      <c r="N119" s="769"/>
      <c r="O119" s="769"/>
      <c r="P119" s="769"/>
      <c r="Q119" s="769"/>
      <c r="R119" s="769"/>
      <c r="S119" s="769"/>
      <c r="T119" s="769"/>
      <c r="U119" s="769"/>
      <c r="V119" s="769"/>
      <c r="W119" s="769"/>
      <c r="X119" s="769"/>
      <c r="Y119" s="769"/>
      <c r="Z119" s="769"/>
      <c r="AA119" s="769"/>
      <c r="AB119" s="769"/>
      <c r="AC119" s="769"/>
      <c r="AD119" s="769"/>
      <c r="AH119"/>
      <c r="AI119"/>
      <c r="AJ119" s="298">
        <v>46</v>
      </c>
      <c r="AK119" s="298" t="s">
        <v>269</v>
      </c>
      <c r="AL119" s="298"/>
      <c r="AM119" s="298"/>
      <c r="AN119" s="298"/>
      <c r="AO119" s="298">
        <f>O86</f>
        <v>0</v>
      </c>
      <c r="AP119" s="298"/>
    </row>
    <row r="120" spans="1:238" ht="15" hidden="1" customHeight="1" x14ac:dyDescent="0.35">
      <c r="B120" s="769"/>
      <c r="C120" s="769"/>
      <c r="D120" s="769"/>
      <c r="E120" s="769"/>
      <c r="F120" s="769"/>
      <c r="G120" s="769"/>
      <c r="H120" s="769"/>
      <c r="I120" s="769"/>
      <c r="J120" s="769"/>
      <c r="K120" s="769"/>
      <c r="L120" s="769"/>
      <c r="M120" s="769"/>
      <c r="N120" s="769"/>
      <c r="O120" s="769"/>
      <c r="P120" s="769"/>
      <c r="Q120" s="769"/>
      <c r="R120" s="769"/>
      <c r="S120" s="769"/>
      <c r="T120" s="769"/>
      <c r="U120" s="769"/>
      <c r="V120" s="769"/>
      <c r="W120" s="769"/>
      <c r="X120" s="769"/>
      <c r="Y120" s="769"/>
      <c r="Z120" s="769"/>
      <c r="AA120" s="769"/>
      <c r="AB120" s="769"/>
      <c r="AC120" s="769"/>
      <c r="AD120" s="769"/>
      <c r="AH120"/>
      <c r="AI120"/>
      <c r="AJ120"/>
      <c r="AK120"/>
      <c r="AL120"/>
      <c r="AM120"/>
      <c r="AN120"/>
      <c r="AO120"/>
      <c r="AP120"/>
    </row>
    <row r="121" spans="1:238" ht="15" hidden="1" customHeight="1" x14ac:dyDescent="0.35">
      <c r="B121" s="769"/>
      <c r="C121" s="769"/>
      <c r="D121" s="769"/>
      <c r="E121" s="769"/>
      <c r="F121" s="769"/>
      <c r="G121" s="769"/>
      <c r="H121" s="769"/>
      <c r="I121" s="769"/>
      <c r="J121" s="769"/>
      <c r="K121" s="769"/>
      <c r="L121" s="769"/>
      <c r="M121" s="769"/>
      <c r="N121" s="769"/>
      <c r="O121" s="769"/>
      <c r="P121" s="769"/>
      <c r="Q121" s="769"/>
      <c r="R121" s="769"/>
      <c r="S121" s="769"/>
      <c r="T121" s="769"/>
      <c r="U121" s="769"/>
      <c r="V121" s="769"/>
      <c r="W121" s="769"/>
      <c r="X121" s="769"/>
      <c r="Y121" s="769"/>
      <c r="Z121" s="769"/>
      <c r="AA121" s="769"/>
      <c r="AB121" s="769"/>
      <c r="AC121" s="769"/>
      <c r="AD121" s="769"/>
      <c r="AH121"/>
      <c r="AI121"/>
      <c r="AJ121"/>
      <c r="AK121"/>
      <c r="AL121"/>
      <c r="AM121"/>
      <c r="AN121"/>
      <c r="AO121"/>
      <c r="AP121"/>
    </row>
    <row r="122" spans="1:238" ht="15" hidden="1" customHeight="1" x14ac:dyDescent="0.35">
      <c r="B122" s="769"/>
      <c r="C122" s="769"/>
      <c r="D122" s="769"/>
      <c r="E122" s="769"/>
      <c r="F122" s="769"/>
      <c r="G122" s="769"/>
      <c r="H122" s="769"/>
      <c r="I122" s="769"/>
      <c r="J122" s="769"/>
      <c r="K122" s="769"/>
      <c r="L122" s="769"/>
      <c r="M122" s="769"/>
      <c r="N122" s="769"/>
      <c r="O122" s="769"/>
      <c r="P122" s="769"/>
      <c r="Q122" s="769"/>
      <c r="R122" s="769"/>
      <c r="S122" s="769"/>
      <c r="T122" s="769"/>
      <c r="U122" s="769"/>
      <c r="V122" s="769"/>
      <c r="W122" s="769"/>
      <c r="X122" s="769"/>
      <c r="Y122" s="769"/>
      <c r="Z122" s="769"/>
      <c r="AA122" s="769"/>
      <c r="AB122" s="769"/>
      <c r="AC122" s="769"/>
      <c r="AD122" s="769"/>
      <c r="AH122"/>
      <c r="AI122"/>
      <c r="AJ122" s="298">
        <v>49</v>
      </c>
      <c r="AK122" s="298" t="s">
        <v>272</v>
      </c>
      <c r="AL122" s="298"/>
      <c r="AM122" s="298"/>
      <c r="AN122" s="298"/>
      <c r="AO122" s="298"/>
      <c r="AP122" s="298"/>
    </row>
    <row r="123" spans="1:238" ht="15" hidden="1" customHeight="1" x14ac:dyDescent="0.35">
      <c r="B123" s="769"/>
      <c r="C123" s="769"/>
      <c r="D123" s="769"/>
      <c r="E123" s="769"/>
      <c r="F123" s="769"/>
      <c r="G123" s="769"/>
      <c r="H123" s="769"/>
      <c r="I123" s="769"/>
      <c r="J123" s="769"/>
      <c r="K123" s="769"/>
      <c r="L123" s="769"/>
      <c r="M123" s="769"/>
      <c r="N123" s="769"/>
      <c r="O123" s="769"/>
      <c r="P123" s="769"/>
      <c r="Q123" s="769"/>
      <c r="R123" s="769"/>
      <c r="S123" s="769"/>
      <c r="T123" s="769"/>
      <c r="U123" s="769"/>
      <c r="V123" s="769"/>
      <c r="W123" s="769"/>
      <c r="X123" s="769"/>
      <c r="Y123" s="769"/>
      <c r="Z123" s="769"/>
      <c r="AA123" s="769"/>
      <c r="AB123" s="769"/>
      <c r="AC123" s="769"/>
      <c r="AD123" s="769"/>
      <c r="AH123"/>
      <c r="AI123"/>
      <c r="AJ123" s="298">
        <v>50</v>
      </c>
      <c r="AK123" s="298" t="s">
        <v>711</v>
      </c>
      <c r="AL123" s="298"/>
      <c r="AM123" s="298"/>
      <c r="AN123" s="298"/>
      <c r="AO123" s="298"/>
      <c r="AP123" s="298"/>
    </row>
    <row r="124" spans="1:238" ht="15" hidden="1" customHeight="1" x14ac:dyDescent="0.35">
      <c r="B124" s="769"/>
      <c r="C124" s="769"/>
      <c r="D124" s="769"/>
      <c r="E124" s="769"/>
      <c r="F124" s="769"/>
      <c r="G124" s="769"/>
      <c r="H124" s="769"/>
      <c r="I124" s="769"/>
      <c r="J124" s="769"/>
      <c r="K124" s="769"/>
      <c r="L124" s="769"/>
      <c r="M124" s="769"/>
      <c r="N124" s="769"/>
      <c r="O124" s="769"/>
      <c r="P124" s="769"/>
      <c r="Q124" s="769"/>
      <c r="R124" s="769"/>
      <c r="S124" s="769"/>
      <c r="T124" s="769"/>
      <c r="U124" s="769"/>
      <c r="V124" s="769"/>
      <c r="W124" s="769"/>
      <c r="X124" s="769"/>
      <c r="Y124" s="769"/>
      <c r="Z124" s="769"/>
      <c r="AA124" s="769"/>
      <c r="AB124" s="769"/>
      <c r="AC124" s="769"/>
      <c r="AD124" s="769"/>
      <c r="AH124"/>
      <c r="AI124"/>
      <c r="AJ124" s="298">
        <v>51</v>
      </c>
      <c r="AK124" s="298" t="s">
        <v>714</v>
      </c>
      <c r="AL124" s="298"/>
      <c r="AM124" s="298"/>
      <c r="AN124" s="298"/>
      <c r="AO124" s="298"/>
      <c r="AP124" s="298"/>
    </row>
    <row r="125" spans="1:238" ht="15" hidden="1" customHeight="1" x14ac:dyDescent="0.35">
      <c r="B125" s="769"/>
      <c r="C125" s="769"/>
      <c r="D125" s="769"/>
      <c r="E125" s="769"/>
      <c r="F125" s="769"/>
      <c r="G125" s="769"/>
      <c r="H125" s="769"/>
      <c r="I125" s="769"/>
      <c r="J125" s="769"/>
      <c r="K125" s="769"/>
      <c r="L125" s="769"/>
      <c r="M125" s="769"/>
      <c r="N125" s="769"/>
      <c r="O125" s="769"/>
      <c r="P125" s="769"/>
      <c r="Q125" s="769"/>
      <c r="R125" s="769"/>
      <c r="S125" s="769"/>
      <c r="T125" s="769"/>
      <c r="U125" s="769"/>
      <c r="V125" s="769"/>
      <c r="W125" s="769"/>
      <c r="X125" s="769"/>
      <c r="Y125" s="769"/>
      <c r="Z125" s="769"/>
      <c r="AA125" s="769"/>
      <c r="AB125" s="769"/>
      <c r="AC125" s="769"/>
      <c r="AD125" s="769"/>
      <c r="AH125"/>
      <c r="AI125"/>
      <c r="AJ125" s="298">
        <v>52</v>
      </c>
      <c r="AK125" s="298" t="s">
        <v>273</v>
      </c>
      <c r="AL125" s="298"/>
      <c r="AM125" s="298"/>
      <c r="AN125" s="298"/>
      <c r="AO125" s="298"/>
      <c r="AP125" s="298"/>
    </row>
    <row r="126" spans="1:238" ht="15" hidden="1" customHeight="1" x14ac:dyDescent="0.35">
      <c r="B126" s="769"/>
      <c r="C126" s="769"/>
      <c r="D126" s="769"/>
      <c r="E126" s="769"/>
      <c r="F126" s="769"/>
      <c r="G126" s="769"/>
      <c r="H126" s="769"/>
      <c r="I126" s="769"/>
      <c r="J126" s="769"/>
      <c r="K126" s="769"/>
      <c r="L126" s="769"/>
      <c r="M126" s="769"/>
      <c r="N126" s="769"/>
      <c r="O126" s="769"/>
      <c r="P126" s="769"/>
      <c r="Q126" s="769"/>
      <c r="R126" s="769"/>
      <c r="S126" s="769"/>
      <c r="T126" s="769"/>
      <c r="U126" s="769"/>
      <c r="V126" s="769"/>
      <c r="W126" s="769"/>
      <c r="X126" s="769"/>
      <c r="Y126" s="769"/>
      <c r="Z126" s="769"/>
      <c r="AA126" s="769"/>
      <c r="AB126" s="769"/>
      <c r="AC126" s="769"/>
      <c r="AD126" s="769"/>
      <c r="AH126"/>
      <c r="AI126"/>
      <c r="AJ126" s="298">
        <v>53</v>
      </c>
      <c r="AK126" s="298" t="s">
        <v>274</v>
      </c>
      <c r="AL126" s="298"/>
      <c r="AM126" s="298"/>
      <c r="AN126" s="298"/>
      <c r="AO126" s="298"/>
      <c r="AP126" s="298"/>
    </row>
    <row r="127" spans="1:238" ht="15" hidden="1" customHeight="1" x14ac:dyDescent="0.35">
      <c r="B127" s="769"/>
      <c r="C127" s="769"/>
      <c r="D127" s="769"/>
      <c r="E127" s="769"/>
      <c r="F127" s="769"/>
      <c r="G127" s="769"/>
      <c r="H127" s="769"/>
      <c r="I127" s="769"/>
      <c r="J127" s="769"/>
      <c r="K127" s="769"/>
      <c r="L127" s="769"/>
      <c r="M127" s="769"/>
      <c r="N127" s="769"/>
      <c r="O127" s="769"/>
      <c r="P127" s="769"/>
      <c r="Q127" s="769"/>
      <c r="R127" s="769"/>
      <c r="S127" s="769"/>
      <c r="T127" s="769"/>
      <c r="U127" s="769"/>
      <c r="V127" s="769"/>
      <c r="W127" s="769"/>
      <c r="X127" s="769"/>
      <c r="Y127" s="769"/>
      <c r="Z127" s="769"/>
      <c r="AA127" s="769"/>
      <c r="AB127" s="769"/>
      <c r="AC127" s="769"/>
      <c r="AD127" s="769"/>
      <c r="AH127"/>
      <c r="AI127"/>
      <c r="AJ127" s="298">
        <v>54</v>
      </c>
      <c r="AK127" s="298" t="s">
        <v>275</v>
      </c>
      <c r="AL127" s="298"/>
      <c r="AM127" s="298"/>
      <c r="AN127" s="298"/>
      <c r="AO127" s="298"/>
      <c r="AP127" s="298"/>
    </row>
    <row r="128" spans="1:238" ht="15" hidden="1" customHeight="1" x14ac:dyDescent="0.35">
      <c r="B128" s="769"/>
      <c r="C128" s="769"/>
      <c r="D128" s="769"/>
      <c r="E128" s="769"/>
      <c r="F128" s="769"/>
      <c r="G128" s="769"/>
      <c r="H128" s="769"/>
      <c r="I128" s="769"/>
      <c r="J128" s="769"/>
      <c r="K128" s="769"/>
      <c r="L128" s="769"/>
      <c r="M128" s="769"/>
      <c r="N128" s="769"/>
      <c r="O128" s="769"/>
      <c r="P128" s="769"/>
      <c r="Q128" s="769"/>
      <c r="R128" s="769"/>
      <c r="S128" s="769"/>
      <c r="T128" s="769"/>
      <c r="U128" s="769"/>
      <c r="V128" s="769"/>
      <c r="W128" s="769"/>
      <c r="X128" s="769"/>
      <c r="Y128" s="769"/>
      <c r="Z128" s="769"/>
      <c r="AA128" s="769"/>
      <c r="AB128" s="769"/>
      <c r="AC128" s="769"/>
      <c r="AD128" s="769"/>
      <c r="AH128"/>
      <c r="AI128"/>
      <c r="AJ128" s="298">
        <v>55</v>
      </c>
      <c r="AK128" s="298" t="s">
        <v>276</v>
      </c>
      <c r="AL128" s="298"/>
      <c r="AM128" s="298"/>
      <c r="AN128" s="298"/>
      <c r="AO128" s="298"/>
      <c r="AP128" s="298"/>
    </row>
    <row r="129" spans="2:42" ht="15" hidden="1" customHeight="1" x14ac:dyDescent="0.35">
      <c r="B129" s="769"/>
      <c r="C129" s="769"/>
      <c r="D129" s="769"/>
      <c r="E129" s="769"/>
      <c r="F129" s="769"/>
      <c r="G129" s="769"/>
      <c r="H129" s="769"/>
      <c r="I129" s="769"/>
      <c r="J129" s="769"/>
      <c r="K129" s="769"/>
      <c r="L129" s="769"/>
      <c r="M129" s="769"/>
      <c r="N129" s="769"/>
      <c r="O129" s="769"/>
      <c r="P129" s="769"/>
      <c r="Q129" s="769"/>
      <c r="R129" s="769"/>
      <c r="S129" s="769"/>
      <c r="T129" s="769"/>
      <c r="U129" s="769"/>
      <c r="V129" s="769"/>
      <c r="W129" s="769"/>
      <c r="X129" s="769"/>
      <c r="Y129" s="769"/>
      <c r="Z129" s="769"/>
      <c r="AA129" s="769"/>
      <c r="AB129" s="769"/>
      <c r="AC129" s="769"/>
      <c r="AD129" s="769"/>
      <c r="AH129"/>
      <c r="AI129"/>
      <c r="AJ129" s="298">
        <v>56</v>
      </c>
      <c r="AK129" s="298" t="s">
        <v>277</v>
      </c>
      <c r="AL129" s="298"/>
      <c r="AM129" s="298"/>
      <c r="AN129" s="298"/>
      <c r="AO129" s="298"/>
      <c r="AP129" s="298"/>
    </row>
    <row r="130" spans="2:42" ht="15" hidden="1" customHeight="1" x14ac:dyDescent="0.35">
      <c r="B130" s="769"/>
      <c r="C130" s="769"/>
      <c r="D130" s="769"/>
      <c r="E130" s="769"/>
      <c r="F130" s="769"/>
      <c r="G130" s="769"/>
      <c r="H130" s="769"/>
      <c r="I130" s="769"/>
      <c r="J130" s="769"/>
      <c r="K130" s="769"/>
      <c r="L130" s="769"/>
      <c r="M130" s="769"/>
      <c r="N130" s="769"/>
      <c r="O130" s="769"/>
      <c r="P130" s="769"/>
      <c r="Q130" s="769"/>
      <c r="R130" s="769"/>
      <c r="S130" s="769"/>
      <c r="T130" s="769"/>
      <c r="U130" s="769"/>
      <c r="V130" s="769"/>
      <c r="W130" s="769"/>
      <c r="X130" s="769"/>
      <c r="Y130" s="769"/>
      <c r="Z130" s="769"/>
      <c r="AA130" s="769"/>
      <c r="AB130" s="769"/>
      <c r="AC130" s="769"/>
      <c r="AD130" s="769"/>
      <c r="AH130"/>
      <c r="AI130"/>
      <c r="AJ130" s="298">
        <v>57</v>
      </c>
      <c r="AK130" s="298" t="s">
        <v>278</v>
      </c>
      <c r="AL130" s="298"/>
      <c r="AM130" s="298"/>
      <c r="AN130" s="298"/>
      <c r="AO130" s="298"/>
      <c r="AP130" s="298"/>
    </row>
    <row r="131" spans="2:42" ht="15" hidden="1" customHeight="1" x14ac:dyDescent="0.35">
      <c r="B131" s="769"/>
      <c r="C131" s="769"/>
      <c r="D131" s="769"/>
      <c r="E131" s="769"/>
      <c r="F131" s="769"/>
      <c r="G131" s="769"/>
      <c r="H131" s="769"/>
      <c r="I131" s="769"/>
      <c r="J131" s="769"/>
      <c r="K131" s="769"/>
      <c r="L131" s="769"/>
      <c r="M131" s="769"/>
      <c r="N131" s="769"/>
      <c r="O131" s="769"/>
      <c r="P131" s="769"/>
      <c r="Q131" s="769"/>
      <c r="R131" s="769"/>
      <c r="S131" s="769"/>
      <c r="T131" s="769"/>
      <c r="U131" s="769"/>
      <c r="V131" s="769"/>
      <c r="W131" s="769"/>
      <c r="X131" s="769"/>
      <c r="Y131" s="769"/>
      <c r="Z131" s="769"/>
      <c r="AA131" s="769"/>
      <c r="AB131" s="769"/>
      <c r="AC131" s="769"/>
      <c r="AD131" s="769"/>
      <c r="AH131"/>
      <c r="AI131"/>
      <c r="AJ131" s="298">
        <v>58</v>
      </c>
      <c r="AK131" s="298" t="s">
        <v>279</v>
      </c>
      <c r="AL131" s="298"/>
      <c r="AM131" s="298"/>
      <c r="AN131" s="298"/>
      <c r="AO131" s="303">
        <f>O111</f>
        <v>0</v>
      </c>
      <c r="AP131" s="303"/>
    </row>
    <row r="132" spans="2:42" ht="15" hidden="1" customHeight="1" x14ac:dyDescent="0.35">
      <c r="B132" s="769"/>
      <c r="C132" s="769"/>
      <c r="D132" s="769"/>
      <c r="E132" s="769"/>
      <c r="F132" s="769"/>
      <c r="G132" s="769"/>
      <c r="H132" s="769"/>
      <c r="I132" s="769"/>
      <c r="J132" s="769"/>
      <c r="K132" s="769"/>
      <c r="L132" s="769"/>
      <c r="M132" s="769"/>
      <c r="N132" s="769"/>
      <c r="O132" s="769"/>
      <c r="P132" s="769"/>
      <c r="Q132" s="769"/>
      <c r="R132" s="769"/>
      <c r="S132" s="769"/>
      <c r="T132" s="769"/>
      <c r="U132" s="769"/>
      <c r="V132" s="769"/>
      <c r="W132" s="769"/>
      <c r="X132" s="769"/>
      <c r="Y132" s="769"/>
      <c r="Z132" s="769"/>
      <c r="AA132" s="769"/>
      <c r="AB132" s="769"/>
      <c r="AC132" s="769"/>
      <c r="AD132" s="769"/>
      <c r="AH132"/>
      <c r="AI132"/>
      <c r="AJ132" s="298">
        <v>59</v>
      </c>
      <c r="AK132" s="298" t="s">
        <v>280</v>
      </c>
      <c r="AL132" s="298"/>
      <c r="AM132" s="298"/>
      <c r="AN132" s="298"/>
      <c r="AO132" s="298">
        <f>O89</f>
        <v>0</v>
      </c>
      <c r="AP132" s="298"/>
    </row>
    <row r="133" spans="2:42" ht="15" hidden="1" customHeight="1" x14ac:dyDescent="0.35">
      <c r="B133" s="769"/>
      <c r="C133" s="769"/>
      <c r="D133" s="769"/>
      <c r="E133" s="769"/>
      <c r="F133" s="769"/>
      <c r="G133" s="769"/>
      <c r="H133" s="769"/>
      <c r="I133" s="769"/>
      <c r="J133" s="769"/>
      <c r="K133" s="769"/>
      <c r="L133" s="769"/>
      <c r="M133" s="769"/>
      <c r="N133" s="769"/>
      <c r="O133" s="769"/>
      <c r="P133" s="769"/>
      <c r="Q133" s="769"/>
      <c r="R133" s="769"/>
      <c r="S133" s="769"/>
      <c r="T133" s="769"/>
      <c r="U133" s="769"/>
      <c r="V133" s="769"/>
      <c r="W133" s="769"/>
      <c r="X133" s="769"/>
      <c r="Y133" s="769"/>
      <c r="Z133" s="769"/>
      <c r="AA133" s="769"/>
      <c r="AB133" s="769"/>
      <c r="AC133" s="769"/>
      <c r="AD133" s="769"/>
      <c r="AH133"/>
      <c r="AI133"/>
      <c r="AJ133" s="298">
        <v>60</v>
      </c>
      <c r="AK133" s="298" t="s">
        <v>281</v>
      </c>
      <c r="AL133" s="298"/>
      <c r="AM133" s="298"/>
      <c r="AN133" s="298"/>
      <c r="AO133" s="303">
        <f>SUM(O98:P102)</f>
        <v>0</v>
      </c>
      <c r="AP133" s="303"/>
    </row>
    <row r="134" spans="2:42" ht="15" hidden="1" customHeight="1" x14ac:dyDescent="0.35">
      <c r="B134" s="769"/>
      <c r="C134" s="769"/>
      <c r="D134" s="769"/>
      <c r="E134" s="769"/>
      <c r="F134" s="769"/>
      <c r="G134" s="769"/>
      <c r="H134" s="769"/>
      <c r="I134" s="769"/>
      <c r="J134" s="769"/>
      <c r="K134" s="769"/>
      <c r="L134" s="769"/>
      <c r="M134" s="769"/>
      <c r="N134" s="769"/>
      <c r="O134" s="769"/>
      <c r="P134" s="769"/>
      <c r="Q134" s="769"/>
      <c r="R134" s="769"/>
      <c r="S134" s="769"/>
      <c r="T134" s="769"/>
      <c r="U134" s="769"/>
      <c r="V134" s="769"/>
      <c r="W134" s="769"/>
      <c r="X134" s="769"/>
      <c r="Y134" s="769"/>
      <c r="Z134" s="769"/>
      <c r="AA134" s="769"/>
      <c r="AB134" s="769"/>
      <c r="AC134" s="769"/>
      <c r="AD134" s="769"/>
      <c r="AH134"/>
      <c r="AI134"/>
      <c r="AJ134" s="298">
        <v>65</v>
      </c>
      <c r="AK134" s="298" t="s">
        <v>282</v>
      </c>
      <c r="AL134" s="298"/>
      <c r="AM134" s="298"/>
      <c r="AN134" s="298"/>
      <c r="AO134" s="298">
        <f>O103</f>
        <v>0</v>
      </c>
      <c r="AP134" s="298"/>
    </row>
    <row r="135" spans="2:42" ht="15" hidden="1" customHeight="1" x14ac:dyDescent="0.35">
      <c r="B135" s="769"/>
      <c r="C135" s="769"/>
      <c r="D135" s="769"/>
      <c r="E135" s="769"/>
      <c r="F135" s="769"/>
      <c r="G135" s="769"/>
      <c r="H135" s="769"/>
      <c r="I135" s="769"/>
      <c r="J135" s="769"/>
      <c r="K135" s="769"/>
      <c r="L135" s="769"/>
      <c r="M135" s="769"/>
      <c r="N135" s="769"/>
      <c r="O135" s="769"/>
      <c r="P135" s="769"/>
      <c r="Q135" s="769"/>
      <c r="R135" s="769"/>
      <c r="S135" s="769"/>
      <c r="T135" s="769"/>
      <c r="U135" s="769"/>
      <c r="V135" s="769"/>
      <c r="W135" s="769"/>
      <c r="X135" s="769"/>
      <c r="Y135" s="769"/>
      <c r="Z135" s="769"/>
      <c r="AA135" s="769"/>
      <c r="AB135" s="769"/>
      <c r="AC135" s="769"/>
      <c r="AD135" s="769"/>
      <c r="AH135"/>
      <c r="AI135"/>
      <c r="AJ135" s="298">
        <v>99</v>
      </c>
      <c r="AK135" s="298" t="s">
        <v>893</v>
      </c>
      <c r="AL135" s="298"/>
      <c r="AM135" s="298"/>
      <c r="AN135" s="298"/>
      <c r="AO135" s="344">
        <f>AF99</f>
        <v>0</v>
      </c>
      <c r="AP135" s="344"/>
    </row>
    <row r="136" spans="2:42" ht="15" hidden="1" customHeight="1" x14ac:dyDescent="0.35">
      <c r="B136" s="769"/>
      <c r="C136" s="769"/>
      <c r="D136" s="769"/>
      <c r="E136" s="769"/>
      <c r="F136" s="769"/>
      <c r="G136" s="769"/>
      <c r="H136" s="769"/>
      <c r="I136" s="769"/>
      <c r="J136" s="769"/>
      <c r="K136" s="769"/>
      <c r="L136" s="769"/>
      <c r="M136" s="769"/>
      <c r="N136" s="769"/>
      <c r="O136" s="769"/>
      <c r="P136" s="769"/>
      <c r="Q136" s="769"/>
      <c r="R136" s="769"/>
      <c r="S136" s="769"/>
      <c r="T136" s="769"/>
      <c r="U136" s="769"/>
      <c r="V136" s="769"/>
      <c r="W136" s="769"/>
      <c r="X136" s="769"/>
      <c r="Y136" s="769"/>
      <c r="Z136" s="769"/>
      <c r="AA136" s="769"/>
      <c r="AB136" s="769"/>
      <c r="AC136" s="769"/>
      <c r="AD136" s="769"/>
      <c r="AH136"/>
      <c r="AI136"/>
      <c r="AJ136" s="298"/>
      <c r="AK136" s="298"/>
      <c r="AL136" s="298"/>
      <c r="AM136" s="298"/>
      <c r="AN136" s="298"/>
      <c r="AO136" s="298"/>
      <c r="AP136" s="298"/>
    </row>
    <row r="137" spans="2:42" hidden="1" x14ac:dyDescent="0.35">
      <c r="B137" s="769"/>
      <c r="C137" s="769"/>
      <c r="D137" s="769"/>
      <c r="E137" s="769"/>
      <c r="F137" s="769"/>
      <c r="G137" s="769"/>
      <c r="H137" s="769"/>
      <c r="I137" s="769"/>
      <c r="J137" s="769"/>
      <c r="K137" s="769"/>
      <c r="L137" s="769"/>
      <c r="M137" s="769"/>
      <c r="N137" s="769"/>
      <c r="O137" s="769"/>
      <c r="P137" s="769"/>
      <c r="Q137" s="769"/>
      <c r="R137" s="769"/>
      <c r="S137" s="769"/>
      <c r="T137" s="769"/>
      <c r="U137" s="769"/>
      <c r="V137" s="769"/>
      <c r="W137" s="769"/>
      <c r="X137" s="769"/>
      <c r="Y137" s="769"/>
      <c r="Z137" s="769"/>
      <c r="AA137" s="769"/>
      <c r="AB137" s="769"/>
      <c r="AC137" s="769"/>
      <c r="AD137" s="769"/>
      <c r="AH137"/>
      <c r="AI137"/>
      <c r="AJ137" s="298"/>
      <c r="AK137" s="298"/>
      <c r="AL137" s="298"/>
      <c r="AM137" s="298"/>
      <c r="AN137" s="298"/>
      <c r="AO137" s="298"/>
      <c r="AP137" s="298"/>
    </row>
    <row r="138" spans="2:42" hidden="1" x14ac:dyDescent="0.35">
      <c r="B138" s="769"/>
      <c r="C138" s="769"/>
      <c r="D138" s="769"/>
      <c r="E138" s="769"/>
      <c r="F138" s="769"/>
      <c r="G138" s="769"/>
      <c r="H138" s="769"/>
      <c r="I138" s="769"/>
      <c r="J138" s="769"/>
      <c r="K138" s="769"/>
      <c r="L138" s="769"/>
      <c r="M138" s="769"/>
      <c r="N138" s="769"/>
      <c r="O138" s="769"/>
      <c r="P138" s="769"/>
      <c r="Q138" s="769"/>
      <c r="R138" s="769"/>
      <c r="S138" s="769"/>
      <c r="T138" s="769"/>
      <c r="U138" s="769"/>
      <c r="V138" s="769"/>
      <c r="W138" s="769"/>
      <c r="X138" s="769"/>
      <c r="Y138" s="769"/>
      <c r="Z138" s="769"/>
      <c r="AA138" s="769"/>
      <c r="AB138" s="769"/>
      <c r="AC138" s="769"/>
      <c r="AD138" s="769"/>
      <c r="AH138"/>
      <c r="AI138"/>
      <c r="AJ138" s="298"/>
      <c r="AK138" s="298"/>
      <c r="AL138" s="298"/>
      <c r="AM138" s="298"/>
      <c r="AN138" s="298"/>
      <c r="AO138" s="298"/>
      <c r="AP138" s="298"/>
    </row>
    <row r="139" spans="2:42" hidden="1" x14ac:dyDescent="0.35">
      <c r="B139" s="769"/>
      <c r="C139" s="769"/>
      <c r="D139" s="769"/>
      <c r="E139" s="769"/>
      <c r="F139" s="769"/>
      <c r="G139" s="769"/>
      <c r="H139" s="769"/>
      <c r="I139" s="769"/>
      <c r="J139" s="769"/>
      <c r="K139" s="769"/>
      <c r="L139" s="769"/>
      <c r="M139" s="769"/>
      <c r="N139" s="769"/>
      <c r="O139" s="769"/>
      <c r="P139" s="769"/>
      <c r="Q139" s="769"/>
      <c r="R139" s="769"/>
      <c r="S139" s="769"/>
      <c r="T139" s="769"/>
      <c r="U139" s="769"/>
      <c r="V139" s="769"/>
      <c r="W139" s="769"/>
      <c r="X139" s="769"/>
      <c r="Y139" s="769"/>
      <c r="Z139" s="769"/>
      <c r="AA139" s="769"/>
      <c r="AB139" s="769"/>
      <c r="AC139" s="769"/>
      <c r="AD139" s="769"/>
      <c r="AH139"/>
      <c r="AI139"/>
      <c r="AJ139" s="298"/>
      <c r="AK139" s="298"/>
      <c r="AL139" s="298"/>
      <c r="AM139" s="298"/>
      <c r="AN139" s="298"/>
      <c r="AO139" s="298">
        <f>SUM(AO81:AO134)</f>
        <v>0</v>
      </c>
      <c r="AP139" s="298"/>
    </row>
    <row r="140" spans="2:42" hidden="1" x14ac:dyDescent="0.35">
      <c r="B140" s="769"/>
      <c r="C140" s="769"/>
      <c r="D140" s="769"/>
      <c r="E140" s="769"/>
      <c r="F140" s="769"/>
      <c r="G140" s="769"/>
      <c r="H140" s="769"/>
      <c r="I140" s="769"/>
      <c r="J140" s="769"/>
      <c r="K140" s="769"/>
      <c r="L140" s="769"/>
      <c r="M140" s="769"/>
      <c r="N140" s="769"/>
      <c r="O140" s="769"/>
      <c r="P140" s="769"/>
      <c r="Q140" s="769"/>
      <c r="R140" s="769"/>
      <c r="S140" s="769"/>
      <c r="T140" s="769"/>
      <c r="U140" s="769"/>
      <c r="V140" s="769"/>
      <c r="W140" s="769"/>
      <c r="X140" s="769"/>
      <c r="Y140" s="769"/>
      <c r="Z140" s="769"/>
      <c r="AA140" s="769"/>
      <c r="AB140" s="769"/>
      <c r="AC140" s="769"/>
      <c r="AD140" s="769"/>
      <c r="AH140"/>
      <c r="AI140"/>
    </row>
    <row r="141" spans="2:42" hidden="1" x14ac:dyDescent="0.35">
      <c r="B141" s="769"/>
      <c r="C141" s="769"/>
      <c r="D141" s="769"/>
      <c r="E141" s="769"/>
      <c r="F141" s="769"/>
      <c r="G141" s="769"/>
      <c r="H141" s="769"/>
      <c r="I141" s="769"/>
      <c r="J141" s="769"/>
      <c r="K141" s="769"/>
      <c r="L141" s="769"/>
      <c r="M141" s="769"/>
      <c r="N141" s="769"/>
      <c r="O141" s="769"/>
      <c r="P141" s="769"/>
      <c r="Q141" s="769"/>
      <c r="R141" s="769"/>
      <c r="S141" s="769"/>
      <c r="T141" s="769"/>
      <c r="U141" s="769"/>
      <c r="V141" s="769"/>
      <c r="W141" s="769"/>
      <c r="X141" s="769"/>
      <c r="Y141" s="769"/>
      <c r="Z141" s="769"/>
      <c r="AA141" s="769"/>
      <c r="AB141" s="769"/>
      <c r="AC141" s="769"/>
      <c r="AD141" s="769"/>
      <c r="AH141"/>
      <c r="AI141"/>
    </row>
    <row r="142" spans="2:42" hidden="1" x14ac:dyDescent="0.35">
      <c r="B142" s="769"/>
      <c r="C142" s="769"/>
      <c r="D142" s="769"/>
      <c r="E142" s="769"/>
      <c r="F142" s="769"/>
      <c r="G142" s="769"/>
      <c r="H142" s="769"/>
      <c r="I142" s="769"/>
      <c r="J142" s="769"/>
      <c r="K142" s="769"/>
      <c r="L142" s="769"/>
      <c r="M142" s="769"/>
      <c r="N142" s="769"/>
      <c r="O142" s="769"/>
      <c r="P142" s="769"/>
      <c r="Q142" s="769"/>
      <c r="R142" s="769"/>
      <c r="S142" s="769"/>
      <c r="T142" s="769"/>
      <c r="U142" s="769"/>
      <c r="V142" s="769"/>
      <c r="W142" s="769"/>
      <c r="X142" s="769"/>
      <c r="Y142" s="769"/>
      <c r="Z142" s="769"/>
      <c r="AA142" s="769"/>
      <c r="AB142" s="769"/>
      <c r="AC142" s="769"/>
      <c r="AD142" s="769"/>
      <c r="AH142"/>
      <c r="AI142"/>
    </row>
    <row r="143" spans="2:42" hidden="1" x14ac:dyDescent="0.35">
      <c r="B143" s="769"/>
      <c r="C143" s="769"/>
      <c r="D143" s="769"/>
      <c r="E143" s="769"/>
      <c r="F143" s="769"/>
      <c r="G143" s="769"/>
      <c r="H143" s="769"/>
      <c r="I143" s="769"/>
      <c r="J143" s="769"/>
      <c r="K143" s="769"/>
      <c r="L143" s="769"/>
      <c r="M143" s="769"/>
      <c r="N143" s="769"/>
      <c r="O143" s="769"/>
      <c r="P143" s="769"/>
      <c r="Q143" s="769"/>
      <c r="R143" s="769"/>
      <c r="S143" s="769"/>
      <c r="T143" s="769"/>
      <c r="U143" s="769"/>
      <c r="V143" s="769"/>
      <c r="W143" s="769"/>
      <c r="X143" s="769"/>
      <c r="Y143" s="769"/>
      <c r="Z143" s="769"/>
      <c r="AA143" s="769"/>
      <c r="AB143" s="769"/>
      <c r="AC143" s="769"/>
      <c r="AD143" s="769"/>
      <c r="AH143"/>
      <c r="AI143"/>
    </row>
    <row r="144" spans="2:42" hidden="1" x14ac:dyDescent="0.35">
      <c r="B144" s="769"/>
      <c r="C144" s="769"/>
      <c r="D144" s="769"/>
      <c r="E144" s="769"/>
      <c r="F144" s="769"/>
      <c r="G144" s="769"/>
      <c r="H144" s="769"/>
      <c r="I144" s="769"/>
      <c r="J144" s="769"/>
      <c r="K144" s="769"/>
      <c r="L144" s="769"/>
      <c r="M144" s="769"/>
      <c r="N144" s="769"/>
      <c r="O144" s="769"/>
      <c r="P144" s="769"/>
      <c r="Q144" s="769"/>
      <c r="R144" s="769"/>
      <c r="S144" s="769"/>
      <c r="T144" s="769"/>
      <c r="U144" s="769"/>
      <c r="V144" s="769"/>
      <c r="W144" s="769"/>
      <c r="X144" s="769"/>
      <c r="Y144" s="769"/>
      <c r="Z144" s="769"/>
      <c r="AA144" s="769"/>
      <c r="AB144" s="769"/>
      <c r="AC144" s="769"/>
      <c r="AD144" s="769"/>
      <c r="AH144"/>
      <c r="AI144"/>
    </row>
    <row r="145" spans="2:35" hidden="1" x14ac:dyDescent="0.35">
      <c r="B145" s="769"/>
      <c r="C145" s="769"/>
      <c r="D145" s="769"/>
      <c r="E145" s="769"/>
      <c r="F145" s="769"/>
      <c r="G145" s="769"/>
      <c r="H145" s="769"/>
      <c r="I145" s="769"/>
      <c r="J145" s="769"/>
      <c r="K145" s="769"/>
      <c r="L145" s="769"/>
      <c r="M145" s="769"/>
      <c r="N145" s="769"/>
      <c r="O145" s="769"/>
      <c r="P145" s="769"/>
      <c r="Q145" s="769"/>
      <c r="R145" s="769"/>
      <c r="S145" s="769"/>
      <c r="T145" s="769"/>
      <c r="U145" s="769"/>
      <c r="V145" s="769"/>
      <c r="W145" s="769"/>
      <c r="X145" s="769"/>
      <c r="Y145" s="769"/>
      <c r="Z145" s="769"/>
      <c r="AA145" s="769"/>
      <c r="AB145" s="769"/>
      <c r="AC145" s="769"/>
      <c r="AD145" s="769"/>
      <c r="AH145"/>
      <c r="AI145"/>
    </row>
    <row r="146" spans="2:35" hidden="1" x14ac:dyDescent="0.35">
      <c r="B146" s="769"/>
      <c r="C146" s="769"/>
      <c r="D146" s="769"/>
      <c r="E146" s="769"/>
      <c r="F146" s="769"/>
      <c r="G146" s="769"/>
      <c r="H146" s="769"/>
      <c r="I146" s="769"/>
      <c r="J146" s="769"/>
      <c r="K146" s="769"/>
      <c r="L146" s="769"/>
      <c r="M146" s="769"/>
      <c r="N146" s="769"/>
      <c r="O146" s="769"/>
      <c r="P146" s="769"/>
      <c r="Q146" s="769"/>
      <c r="R146" s="769"/>
      <c r="S146" s="769"/>
      <c r="T146" s="769"/>
      <c r="U146" s="769"/>
      <c r="V146" s="769"/>
      <c r="W146" s="769"/>
      <c r="X146" s="769"/>
      <c r="Y146" s="769"/>
      <c r="Z146" s="769"/>
      <c r="AA146" s="769"/>
      <c r="AB146" s="769"/>
      <c r="AC146" s="769"/>
      <c r="AD146" s="769"/>
      <c r="AH146"/>
      <c r="AI146"/>
    </row>
    <row r="147" spans="2:35" hidden="1" x14ac:dyDescent="0.35">
      <c r="B147" s="769"/>
      <c r="C147" s="769"/>
      <c r="D147" s="769"/>
      <c r="E147" s="769"/>
      <c r="F147" s="769"/>
      <c r="G147" s="769"/>
      <c r="H147" s="769"/>
      <c r="I147" s="769"/>
      <c r="J147" s="769"/>
      <c r="K147" s="769"/>
      <c r="L147" s="769"/>
      <c r="M147" s="769"/>
      <c r="N147" s="769"/>
      <c r="O147" s="769"/>
      <c r="P147" s="769"/>
      <c r="Q147" s="769"/>
      <c r="R147" s="769"/>
      <c r="S147" s="769"/>
      <c r="T147" s="769"/>
      <c r="U147" s="769"/>
      <c r="V147" s="769"/>
      <c r="W147" s="769"/>
      <c r="X147" s="769"/>
      <c r="Y147" s="769"/>
      <c r="Z147" s="769"/>
      <c r="AA147" s="769"/>
      <c r="AB147" s="769"/>
      <c r="AC147" s="769"/>
      <c r="AD147" s="769"/>
      <c r="AH147"/>
      <c r="AI147"/>
    </row>
    <row r="148" spans="2:35" hidden="1" x14ac:dyDescent="0.35">
      <c r="B148" s="769"/>
      <c r="C148" s="769"/>
      <c r="D148" s="769"/>
      <c r="E148" s="769"/>
      <c r="F148" s="769"/>
      <c r="G148" s="769"/>
      <c r="H148" s="769"/>
      <c r="I148" s="769"/>
      <c r="J148" s="769"/>
      <c r="K148" s="769"/>
      <c r="L148" s="769"/>
      <c r="M148" s="769"/>
      <c r="N148" s="769"/>
      <c r="O148" s="769"/>
      <c r="P148" s="769"/>
      <c r="Q148" s="769"/>
      <c r="R148" s="769"/>
      <c r="S148" s="769"/>
      <c r="T148" s="769"/>
      <c r="U148" s="769"/>
      <c r="V148" s="769"/>
      <c r="W148" s="769"/>
      <c r="X148" s="769"/>
      <c r="Y148" s="769"/>
      <c r="Z148" s="769"/>
      <c r="AA148" s="769"/>
      <c r="AB148" s="769"/>
      <c r="AC148" s="769"/>
      <c r="AD148" s="769"/>
      <c r="AH148"/>
      <c r="AI148"/>
    </row>
    <row r="149" spans="2:35" hidden="1" x14ac:dyDescent="0.35">
      <c r="B149" s="769"/>
      <c r="C149" s="769"/>
      <c r="D149" s="769"/>
      <c r="E149" s="769"/>
      <c r="F149" s="769"/>
      <c r="G149" s="769"/>
      <c r="H149" s="769"/>
      <c r="I149" s="769"/>
      <c r="J149" s="769"/>
      <c r="K149" s="769"/>
      <c r="L149" s="769"/>
      <c r="M149" s="769"/>
      <c r="N149" s="769"/>
      <c r="O149" s="769"/>
      <c r="P149" s="769"/>
      <c r="Q149" s="769"/>
      <c r="R149" s="769"/>
      <c r="S149" s="769"/>
      <c r="T149" s="769"/>
      <c r="U149" s="769"/>
      <c r="V149" s="769"/>
      <c r="W149" s="769"/>
      <c r="X149" s="769"/>
      <c r="Y149" s="769"/>
      <c r="Z149" s="769"/>
      <c r="AA149" s="769"/>
      <c r="AB149" s="769"/>
      <c r="AC149" s="769"/>
      <c r="AD149" s="769"/>
      <c r="AH149"/>
      <c r="AI149"/>
    </row>
    <row r="150" spans="2:35" hidden="1" x14ac:dyDescent="0.35">
      <c r="B150" s="769"/>
      <c r="C150" s="769"/>
      <c r="D150" s="769"/>
      <c r="E150" s="769"/>
      <c r="F150" s="769"/>
      <c r="G150" s="769"/>
      <c r="H150" s="769"/>
      <c r="I150" s="769"/>
      <c r="J150" s="769"/>
      <c r="K150" s="769"/>
      <c r="L150" s="769"/>
      <c r="M150" s="769"/>
      <c r="N150" s="769"/>
      <c r="O150" s="769"/>
      <c r="P150" s="769"/>
      <c r="Q150" s="769"/>
      <c r="R150" s="769"/>
      <c r="S150" s="769"/>
      <c r="T150" s="769"/>
      <c r="U150" s="769"/>
      <c r="V150" s="769"/>
      <c r="W150" s="769"/>
      <c r="X150" s="769"/>
      <c r="Y150" s="769"/>
      <c r="Z150" s="769"/>
      <c r="AA150" s="769"/>
      <c r="AB150" s="769"/>
      <c r="AC150" s="769"/>
      <c r="AD150" s="769"/>
      <c r="AH150"/>
      <c r="AI150"/>
    </row>
    <row r="151" spans="2:35" hidden="1" x14ac:dyDescent="0.35">
      <c r="B151" s="769"/>
      <c r="C151" s="769"/>
      <c r="D151" s="769"/>
      <c r="E151" s="769"/>
      <c r="F151" s="769"/>
      <c r="G151" s="769"/>
      <c r="H151" s="769"/>
      <c r="I151" s="769"/>
      <c r="J151" s="769"/>
      <c r="K151" s="769"/>
      <c r="L151" s="769"/>
      <c r="M151" s="769"/>
      <c r="N151" s="769"/>
      <c r="O151" s="769"/>
      <c r="P151" s="769"/>
      <c r="Q151" s="769"/>
      <c r="R151" s="769"/>
      <c r="S151" s="769"/>
      <c r="T151" s="769"/>
      <c r="U151" s="769"/>
      <c r="V151" s="769"/>
      <c r="W151" s="769"/>
      <c r="X151" s="769"/>
      <c r="Y151" s="769"/>
      <c r="Z151" s="769"/>
      <c r="AA151" s="769"/>
      <c r="AB151" s="769"/>
      <c r="AC151" s="769"/>
      <c r="AD151" s="769"/>
      <c r="AH151"/>
      <c r="AI151"/>
    </row>
    <row r="152" spans="2:35" hidden="1" x14ac:dyDescent="0.35">
      <c r="B152" s="769"/>
      <c r="C152" s="769"/>
      <c r="D152" s="769"/>
      <c r="E152" s="769"/>
      <c r="F152" s="769"/>
      <c r="G152" s="769"/>
      <c r="H152" s="769"/>
      <c r="I152" s="769"/>
      <c r="J152" s="769"/>
      <c r="K152" s="769"/>
      <c r="L152" s="769"/>
      <c r="M152" s="769"/>
      <c r="N152" s="769"/>
      <c r="O152" s="769"/>
      <c r="P152" s="769"/>
      <c r="Q152" s="769"/>
      <c r="R152" s="769"/>
      <c r="S152" s="769"/>
      <c r="T152" s="769"/>
      <c r="U152" s="769"/>
      <c r="V152" s="769"/>
      <c r="W152" s="769"/>
      <c r="X152" s="769"/>
      <c r="Y152" s="769"/>
      <c r="Z152" s="769"/>
      <c r="AA152" s="769"/>
      <c r="AB152" s="769"/>
      <c r="AC152" s="769"/>
      <c r="AD152" s="769"/>
      <c r="AH152"/>
      <c r="AI152"/>
    </row>
    <row r="153" spans="2:35" hidden="1" x14ac:dyDescent="0.35">
      <c r="B153" s="769"/>
      <c r="C153" s="769"/>
      <c r="D153" s="769"/>
      <c r="E153" s="769"/>
      <c r="F153" s="769"/>
      <c r="G153" s="769"/>
      <c r="H153" s="769"/>
      <c r="I153" s="769"/>
      <c r="J153" s="769"/>
      <c r="K153" s="769"/>
      <c r="L153" s="769"/>
      <c r="M153" s="769"/>
      <c r="N153" s="769"/>
      <c r="O153" s="769"/>
      <c r="P153" s="769"/>
      <c r="Q153" s="769"/>
      <c r="R153" s="769"/>
      <c r="S153" s="769"/>
      <c r="T153" s="769"/>
      <c r="U153" s="769"/>
      <c r="V153" s="769"/>
      <c r="W153" s="769"/>
      <c r="X153" s="769"/>
      <c r="Y153" s="769"/>
      <c r="Z153" s="769"/>
      <c r="AA153" s="769"/>
      <c r="AB153" s="769"/>
      <c r="AC153" s="769"/>
      <c r="AD153" s="769"/>
      <c r="AH153"/>
      <c r="AI153"/>
    </row>
    <row r="154" spans="2:35" hidden="1" x14ac:dyDescent="0.35">
      <c r="B154" s="769"/>
      <c r="C154" s="769"/>
      <c r="D154" s="769"/>
      <c r="E154" s="769"/>
      <c r="F154" s="769"/>
      <c r="G154" s="769"/>
      <c r="H154" s="769"/>
      <c r="I154" s="769"/>
      <c r="J154" s="769"/>
      <c r="K154" s="769"/>
      <c r="L154" s="769"/>
      <c r="M154" s="769"/>
      <c r="N154" s="769"/>
      <c r="O154" s="769"/>
      <c r="P154" s="769"/>
      <c r="Q154" s="769"/>
      <c r="R154" s="769"/>
      <c r="S154" s="769"/>
      <c r="T154" s="769"/>
      <c r="U154" s="769"/>
      <c r="V154" s="769"/>
      <c r="W154" s="769"/>
      <c r="X154" s="769"/>
      <c r="Y154" s="769"/>
      <c r="Z154" s="769"/>
      <c r="AA154" s="769"/>
      <c r="AB154" s="769"/>
      <c r="AC154" s="769"/>
      <c r="AD154" s="769"/>
      <c r="AH154"/>
      <c r="AI154"/>
    </row>
    <row r="155" spans="2:35" hidden="1" x14ac:dyDescent="0.35">
      <c r="B155" s="769"/>
      <c r="C155" s="769"/>
      <c r="D155" s="769"/>
      <c r="E155" s="769"/>
      <c r="F155" s="769"/>
      <c r="G155" s="769"/>
      <c r="H155" s="769"/>
      <c r="I155" s="769"/>
      <c r="J155" s="769"/>
      <c r="K155" s="769"/>
      <c r="L155" s="769"/>
      <c r="M155" s="769"/>
      <c r="N155" s="769"/>
      <c r="O155" s="769"/>
      <c r="P155" s="769"/>
      <c r="Q155" s="769"/>
      <c r="R155" s="769"/>
      <c r="S155" s="769"/>
      <c r="T155" s="769"/>
      <c r="U155" s="769"/>
      <c r="V155" s="769"/>
      <c r="W155" s="769"/>
      <c r="X155" s="769"/>
      <c r="Y155" s="769"/>
      <c r="Z155" s="769"/>
      <c r="AA155" s="769"/>
      <c r="AB155" s="769"/>
      <c r="AC155" s="769"/>
      <c r="AD155" s="769"/>
      <c r="AH155"/>
      <c r="AI155"/>
    </row>
    <row r="156" spans="2:35" hidden="1" x14ac:dyDescent="0.35">
      <c r="B156" s="769"/>
      <c r="C156" s="769"/>
      <c r="D156" s="769"/>
      <c r="E156" s="769"/>
      <c r="F156" s="769"/>
      <c r="G156" s="769"/>
      <c r="H156" s="769"/>
      <c r="I156" s="769"/>
      <c r="J156" s="769"/>
      <c r="K156" s="769"/>
      <c r="L156" s="769"/>
      <c r="M156" s="769"/>
      <c r="N156" s="769"/>
      <c r="O156" s="769"/>
      <c r="P156" s="769"/>
      <c r="Q156" s="769"/>
      <c r="R156" s="769"/>
      <c r="S156" s="769"/>
      <c r="T156" s="769"/>
      <c r="U156" s="769"/>
      <c r="V156" s="769"/>
      <c r="W156" s="769"/>
      <c r="X156" s="769"/>
      <c r="Y156" s="769"/>
      <c r="Z156" s="769"/>
      <c r="AA156" s="769"/>
      <c r="AB156" s="769"/>
      <c r="AC156" s="769"/>
      <c r="AD156" s="769"/>
      <c r="AH156"/>
      <c r="AI156"/>
    </row>
    <row r="157" spans="2:35" hidden="1" x14ac:dyDescent="0.35">
      <c r="B157" s="769"/>
      <c r="C157" s="769"/>
      <c r="D157" s="769"/>
      <c r="E157" s="769"/>
      <c r="F157" s="769"/>
      <c r="G157" s="769"/>
      <c r="H157" s="769"/>
      <c r="I157" s="769"/>
      <c r="J157" s="769"/>
      <c r="K157" s="769"/>
      <c r="L157" s="769"/>
      <c r="M157" s="769"/>
      <c r="N157" s="769"/>
      <c r="O157" s="769"/>
      <c r="P157" s="769"/>
      <c r="Q157" s="769"/>
      <c r="R157" s="769"/>
      <c r="S157" s="769"/>
      <c r="T157" s="769"/>
      <c r="U157" s="769"/>
      <c r="V157" s="769"/>
      <c r="W157" s="769"/>
      <c r="X157" s="769"/>
      <c r="Y157" s="769"/>
      <c r="Z157" s="769"/>
      <c r="AA157" s="769"/>
      <c r="AB157" s="769"/>
      <c r="AC157" s="769"/>
      <c r="AD157" s="769"/>
      <c r="AH157"/>
      <c r="AI157"/>
    </row>
    <row r="158" spans="2:35" hidden="1" x14ac:dyDescent="0.35">
      <c r="B158" s="769"/>
      <c r="C158" s="769"/>
      <c r="D158" s="769"/>
      <c r="E158" s="769"/>
      <c r="F158" s="769"/>
      <c r="G158" s="769"/>
      <c r="H158" s="769"/>
      <c r="I158" s="769"/>
      <c r="J158" s="769"/>
      <c r="K158" s="769"/>
      <c r="L158" s="769"/>
      <c r="M158" s="769"/>
      <c r="N158" s="769"/>
      <c r="O158" s="769"/>
      <c r="P158" s="769"/>
      <c r="Q158" s="769"/>
      <c r="R158" s="769"/>
      <c r="S158" s="769"/>
      <c r="T158" s="769"/>
      <c r="U158" s="769"/>
      <c r="V158" s="769"/>
      <c r="W158" s="769"/>
      <c r="X158" s="769"/>
      <c r="Y158" s="769"/>
      <c r="Z158" s="769"/>
      <c r="AA158" s="769"/>
      <c r="AB158" s="769"/>
      <c r="AC158" s="769"/>
      <c r="AD158" s="769"/>
      <c r="AH158"/>
      <c r="AI158"/>
    </row>
    <row r="159" spans="2:35" hidden="1" x14ac:dyDescent="0.35">
      <c r="B159" s="769"/>
      <c r="C159" s="769"/>
      <c r="D159" s="769"/>
      <c r="E159" s="769"/>
      <c r="F159" s="769"/>
      <c r="G159" s="769"/>
      <c r="H159" s="769"/>
      <c r="I159" s="769"/>
      <c r="J159" s="769"/>
      <c r="K159" s="769"/>
      <c r="L159" s="769"/>
      <c r="M159" s="769"/>
      <c r="N159" s="769"/>
      <c r="O159" s="769"/>
      <c r="P159" s="769"/>
      <c r="Q159" s="769"/>
      <c r="R159" s="769"/>
      <c r="S159" s="769"/>
      <c r="T159" s="769"/>
      <c r="U159" s="769"/>
      <c r="V159" s="769"/>
      <c r="W159" s="769"/>
      <c r="X159" s="769"/>
      <c r="Y159" s="769"/>
      <c r="Z159" s="769"/>
      <c r="AA159" s="769"/>
      <c r="AB159" s="769"/>
      <c r="AC159" s="769"/>
      <c r="AD159" s="769"/>
      <c r="AH159"/>
      <c r="AI159"/>
    </row>
    <row r="160" spans="2:35" hidden="1" x14ac:dyDescent="0.35">
      <c r="B160" s="769"/>
      <c r="C160" s="769"/>
      <c r="D160" s="769"/>
      <c r="E160" s="769"/>
      <c r="F160" s="769"/>
      <c r="G160" s="769"/>
      <c r="H160" s="769"/>
      <c r="I160" s="769"/>
      <c r="J160" s="769"/>
      <c r="K160" s="769"/>
      <c r="L160" s="769"/>
      <c r="M160" s="769"/>
      <c r="N160" s="769"/>
      <c r="O160" s="769"/>
      <c r="P160" s="769"/>
      <c r="Q160" s="769"/>
      <c r="R160" s="769"/>
      <c r="S160" s="769"/>
      <c r="T160" s="769"/>
      <c r="U160" s="769"/>
      <c r="V160" s="769"/>
      <c r="W160" s="769"/>
      <c r="X160" s="769"/>
      <c r="Y160" s="769"/>
      <c r="Z160" s="769"/>
      <c r="AA160" s="769"/>
      <c r="AB160" s="769"/>
      <c r="AC160" s="769"/>
      <c r="AD160" s="769"/>
      <c r="AH160"/>
      <c r="AI160"/>
    </row>
    <row r="161" spans="2:35" hidden="1" x14ac:dyDescent="0.35">
      <c r="B161" s="769"/>
      <c r="C161" s="769"/>
      <c r="D161" s="769"/>
      <c r="E161" s="769"/>
      <c r="F161" s="769"/>
      <c r="G161" s="769"/>
      <c r="H161" s="769"/>
      <c r="I161" s="769"/>
      <c r="J161" s="769"/>
      <c r="K161" s="769"/>
      <c r="L161" s="769"/>
      <c r="M161" s="769"/>
      <c r="N161" s="769"/>
      <c r="O161" s="769"/>
      <c r="P161" s="769"/>
      <c r="Q161" s="769"/>
      <c r="R161" s="769"/>
      <c r="S161" s="769"/>
      <c r="T161" s="769"/>
      <c r="U161" s="769"/>
      <c r="V161" s="769"/>
      <c r="W161" s="769"/>
      <c r="X161" s="769"/>
      <c r="Y161" s="769"/>
      <c r="Z161" s="769"/>
      <c r="AA161" s="769"/>
      <c r="AB161" s="769"/>
      <c r="AC161" s="769"/>
      <c r="AD161" s="769"/>
      <c r="AH161"/>
      <c r="AI161"/>
    </row>
    <row r="162" spans="2:35" hidden="1" x14ac:dyDescent="0.35">
      <c r="B162" s="769"/>
      <c r="C162" s="769"/>
      <c r="D162" s="769"/>
      <c r="E162" s="769"/>
      <c r="F162" s="769"/>
      <c r="G162" s="769"/>
      <c r="H162" s="769"/>
      <c r="I162" s="769"/>
      <c r="J162" s="769"/>
      <c r="K162" s="769"/>
      <c r="L162" s="769"/>
      <c r="M162" s="769"/>
      <c r="N162" s="769"/>
      <c r="O162" s="769"/>
      <c r="P162" s="769"/>
      <c r="Q162" s="769"/>
      <c r="R162" s="769"/>
      <c r="S162" s="769"/>
      <c r="T162" s="769"/>
      <c r="U162" s="769"/>
      <c r="V162" s="769"/>
      <c r="W162" s="769"/>
      <c r="X162" s="769"/>
      <c r="Y162" s="769"/>
      <c r="Z162" s="769"/>
      <c r="AA162" s="769"/>
      <c r="AB162" s="769"/>
      <c r="AC162" s="769"/>
      <c r="AD162" s="769"/>
      <c r="AH162"/>
      <c r="AI162"/>
    </row>
    <row r="163" spans="2:35" hidden="1" x14ac:dyDescent="0.35">
      <c r="B163" s="769"/>
      <c r="C163" s="769"/>
      <c r="D163" s="769"/>
      <c r="E163" s="769"/>
      <c r="F163" s="769"/>
      <c r="G163" s="769"/>
      <c r="H163" s="769"/>
      <c r="I163" s="769"/>
      <c r="J163" s="769"/>
      <c r="K163" s="769"/>
      <c r="L163" s="769"/>
      <c r="M163" s="769"/>
      <c r="N163" s="769"/>
      <c r="O163" s="769"/>
      <c r="P163" s="769"/>
      <c r="Q163" s="769"/>
      <c r="R163" s="769"/>
      <c r="S163" s="769"/>
      <c r="T163" s="769"/>
      <c r="U163" s="769"/>
      <c r="V163" s="769"/>
      <c r="W163" s="769"/>
      <c r="X163" s="769"/>
      <c r="Y163" s="769"/>
      <c r="Z163" s="769"/>
      <c r="AA163" s="769"/>
      <c r="AB163" s="769"/>
      <c r="AC163" s="769"/>
      <c r="AD163" s="769"/>
      <c r="AH163"/>
      <c r="AI163"/>
    </row>
    <row r="164" spans="2:35" hidden="1" x14ac:dyDescent="0.35">
      <c r="B164" s="769"/>
      <c r="C164" s="769"/>
      <c r="D164" s="769"/>
      <c r="E164" s="769"/>
      <c r="F164" s="769"/>
      <c r="G164" s="769"/>
      <c r="H164" s="769"/>
      <c r="I164" s="769"/>
      <c r="J164" s="769"/>
      <c r="K164" s="769"/>
      <c r="L164" s="769"/>
      <c r="M164" s="769"/>
      <c r="N164" s="769"/>
      <c r="O164" s="769"/>
      <c r="P164" s="769"/>
      <c r="Q164" s="769"/>
      <c r="R164" s="769"/>
      <c r="S164" s="769"/>
      <c r="T164" s="769"/>
      <c r="U164" s="769"/>
      <c r="V164" s="769"/>
      <c r="W164" s="769"/>
      <c r="X164" s="769"/>
      <c r="Y164" s="769"/>
      <c r="Z164" s="769"/>
      <c r="AA164" s="769"/>
      <c r="AB164" s="769"/>
      <c r="AC164" s="769"/>
      <c r="AD164" s="769"/>
      <c r="AH164"/>
      <c r="AI164"/>
    </row>
    <row r="165" spans="2:35" hidden="1" x14ac:dyDescent="0.35">
      <c r="B165" s="769"/>
      <c r="C165" s="769"/>
      <c r="D165" s="769"/>
      <c r="E165" s="769"/>
      <c r="F165" s="769"/>
      <c r="G165" s="769"/>
      <c r="H165" s="769"/>
      <c r="I165" s="769"/>
      <c r="J165" s="769"/>
      <c r="K165" s="769"/>
      <c r="L165" s="769"/>
      <c r="M165" s="769"/>
      <c r="N165" s="769"/>
      <c r="O165" s="769"/>
      <c r="P165" s="769"/>
      <c r="Q165" s="769"/>
      <c r="R165" s="769"/>
      <c r="S165" s="769"/>
      <c r="T165" s="769"/>
      <c r="U165" s="769"/>
      <c r="V165" s="769"/>
      <c r="W165" s="769"/>
      <c r="X165" s="769"/>
      <c r="Y165" s="769"/>
      <c r="Z165" s="769"/>
      <c r="AA165" s="769"/>
      <c r="AB165" s="769"/>
      <c r="AC165" s="769"/>
      <c r="AD165" s="769"/>
      <c r="AH165"/>
      <c r="AI165"/>
    </row>
    <row r="166" spans="2:35" hidden="1" x14ac:dyDescent="0.35">
      <c r="B166" s="769"/>
      <c r="C166" s="769"/>
      <c r="D166" s="769"/>
      <c r="E166" s="769"/>
      <c r="F166" s="769"/>
      <c r="G166" s="769"/>
      <c r="H166" s="769"/>
      <c r="I166" s="769"/>
      <c r="J166" s="769"/>
      <c r="K166" s="769"/>
      <c r="L166" s="769"/>
      <c r="M166" s="769"/>
      <c r="N166" s="769"/>
      <c r="O166" s="769"/>
      <c r="P166" s="769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  <c r="AA166" s="769"/>
      <c r="AB166" s="769"/>
      <c r="AC166" s="769"/>
      <c r="AD166" s="769"/>
      <c r="AH166"/>
      <c r="AI166"/>
    </row>
    <row r="167" spans="2:35" hidden="1" x14ac:dyDescent="0.35">
      <c r="B167" s="769"/>
      <c r="C167" s="769"/>
      <c r="D167" s="769"/>
      <c r="E167" s="769"/>
      <c r="F167" s="769"/>
      <c r="G167" s="769"/>
      <c r="H167" s="769"/>
      <c r="I167" s="769"/>
      <c r="J167" s="769"/>
      <c r="K167" s="769"/>
      <c r="L167" s="769"/>
      <c r="M167" s="769"/>
      <c r="N167" s="769"/>
      <c r="O167" s="769"/>
      <c r="P167" s="769"/>
      <c r="Q167" s="769"/>
      <c r="R167" s="769"/>
      <c r="S167" s="769"/>
      <c r="T167" s="769"/>
      <c r="U167" s="769"/>
      <c r="V167" s="769"/>
      <c r="W167" s="769"/>
      <c r="X167" s="769"/>
      <c r="Y167" s="769"/>
      <c r="Z167" s="769"/>
      <c r="AA167" s="769"/>
      <c r="AB167" s="769"/>
      <c r="AC167" s="769"/>
      <c r="AD167" s="769"/>
      <c r="AH167"/>
      <c r="AI167"/>
    </row>
    <row r="168" spans="2:35" hidden="1" x14ac:dyDescent="0.35">
      <c r="B168" s="769"/>
      <c r="C168" s="769"/>
      <c r="D168" s="769"/>
      <c r="E168" s="769"/>
      <c r="F168" s="769"/>
      <c r="G168" s="769"/>
      <c r="H168" s="769"/>
      <c r="I168" s="769"/>
      <c r="J168" s="769"/>
      <c r="K168" s="769"/>
      <c r="L168" s="769"/>
      <c r="M168" s="769"/>
      <c r="N168" s="769"/>
      <c r="O168" s="769"/>
      <c r="P168" s="769"/>
      <c r="Q168" s="769"/>
      <c r="R168" s="769"/>
      <c r="S168" s="769"/>
      <c r="T168" s="769"/>
      <c r="U168" s="769"/>
      <c r="V168" s="769"/>
      <c r="W168" s="769"/>
      <c r="X168" s="769"/>
      <c r="Y168" s="769"/>
      <c r="Z168" s="769"/>
      <c r="AA168" s="769"/>
      <c r="AB168" s="769"/>
      <c r="AC168" s="769"/>
      <c r="AD168" s="769"/>
    </row>
    <row r="169" spans="2:35" hidden="1" x14ac:dyDescent="0.35">
      <c r="B169" s="769"/>
      <c r="C169" s="769"/>
      <c r="D169" s="769"/>
      <c r="E169" s="769"/>
      <c r="F169" s="769"/>
      <c r="G169" s="769"/>
      <c r="H169" s="769"/>
      <c r="I169" s="769"/>
      <c r="J169" s="769"/>
      <c r="K169" s="769"/>
      <c r="L169" s="769"/>
      <c r="M169" s="769"/>
      <c r="N169" s="769"/>
      <c r="O169" s="769"/>
      <c r="P169" s="769"/>
      <c r="Q169" s="769"/>
      <c r="R169" s="769"/>
      <c r="S169" s="769"/>
      <c r="T169" s="769"/>
      <c r="U169" s="769"/>
      <c r="V169" s="769"/>
      <c r="W169" s="769"/>
      <c r="X169" s="769"/>
      <c r="Y169" s="769"/>
      <c r="Z169" s="769"/>
      <c r="AA169" s="769"/>
      <c r="AB169" s="769"/>
      <c r="AC169" s="769"/>
      <c r="AD169" s="769"/>
    </row>
    <row r="170" spans="2:35" hidden="1" x14ac:dyDescent="0.35">
      <c r="B170" s="769"/>
      <c r="C170" s="769"/>
      <c r="D170" s="769"/>
      <c r="E170" s="769"/>
      <c r="F170" s="769"/>
      <c r="G170" s="769"/>
      <c r="H170" s="769"/>
      <c r="I170" s="769"/>
      <c r="J170" s="769"/>
      <c r="K170" s="769"/>
      <c r="L170" s="769"/>
      <c r="M170" s="769"/>
      <c r="N170" s="769"/>
      <c r="O170" s="769"/>
      <c r="P170" s="769"/>
      <c r="Q170" s="769"/>
      <c r="R170" s="769"/>
      <c r="S170" s="769"/>
      <c r="T170" s="769"/>
      <c r="U170" s="769"/>
      <c r="V170" s="769"/>
      <c r="W170" s="769"/>
      <c r="X170" s="769"/>
      <c r="Y170" s="769"/>
      <c r="Z170" s="769"/>
      <c r="AA170" s="769"/>
      <c r="AB170" s="769"/>
      <c r="AC170" s="769"/>
      <c r="AD170" s="769"/>
    </row>
    <row r="171" spans="2:35" hidden="1" x14ac:dyDescent="0.35">
      <c r="B171" s="769"/>
      <c r="C171" s="769"/>
      <c r="D171" s="769"/>
      <c r="E171" s="769"/>
      <c r="F171" s="769"/>
      <c r="G171" s="769"/>
      <c r="H171" s="769"/>
      <c r="I171" s="769"/>
      <c r="J171" s="769"/>
      <c r="K171" s="769"/>
      <c r="L171" s="769"/>
      <c r="M171" s="769"/>
      <c r="N171" s="769"/>
      <c r="O171" s="769"/>
      <c r="P171" s="769"/>
      <c r="Q171" s="769"/>
      <c r="R171" s="769"/>
      <c r="S171" s="769"/>
      <c r="T171" s="769"/>
      <c r="U171" s="769"/>
      <c r="V171" s="769"/>
      <c r="W171" s="769"/>
      <c r="X171" s="769"/>
      <c r="Y171" s="769"/>
      <c r="Z171" s="769"/>
      <c r="AA171" s="769"/>
      <c r="AB171" s="769"/>
      <c r="AC171" s="769"/>
      <c r="AD171" s="769"/>
    </row>
    <row r="172" spans="2:35" hidden="1" x14ac:dyDescent="0.35">
      <c r="B172" s="769"/>
      <c r="C172" s="769"/>
      <c r="D172" s="769"/>
      <c r="E172" s="769"/>
      <c r="F172" s="769"/>
      <c r="G172" s="769"/>
      <c r="H172" s="769"/>
      <c r="I172" s="769"/>
      <c r="J172" s="769"/>
      <c r="K172" s="769"/>
      <c r="L172" s="769"/>
      <c r="M172" s="769"/>
      <c r="N172" s="769"/>
      <c r="O172" s="769"/>
      <c r="P172" s="769"/>
      <c r="Q172" s="769"/>
      <c r="R172" s="769"/>
      <c r="S172" s="769"/>
      <c r="T172" s="769"/>
      <c r="U172" s="769"/>
      <c r="V172" s="769"/>
      <c r="W172" s="769"/>
      <c r="X172" s="769"/>
      <c r="Y172" s="769"/>
      <c r="Z172" s="769"/>
      <c r="AA172" s="769"/>
      <c r="AB172" s="769"/>
      <c r="AC172" s="769"/>
      <c r="AD172" s="769"/>
    </row>
    <row r="173" spans="2:35" hidden="1" x14ac:dyDescent="0.35">
      <c r="B173" s="769"/>
      <c r="C173" s="769"/>
      <c r="D173" s="769"/>
      <c r="E173" s="769"/>
      <c r="F173" s="769"/>
      <c r="G173" s="769"/>
      <c r="H173" s="769"/>
      <c r="I173" s="769"/>
      <c r="J173" s="769"/>
      <c r="K173" s="769"/>
      <c r="L173" s="769"/>
      <c r="M173" s="769"/>
      <c r="N173" s="769"/>
      <c r="O173" s="769"/>
      <c r="P173" s="769"/>
      <c r="Q173" s="769"/>
      <c r="R173" s="769"/>
      <c r="S173" s="769"/>
      <c r="T173" s="769"/>
      <c r="U173" s="769"/>
      <c r="V173" s="769"/>
      <c r="W173" s="769"/>
      <c r="X173" s="769"/>
      <c r="Y173" s="769"/>
      <c r="Z173" s="769"/>
      <c r="AA173" s="769"/>
      <c r="AB173" s="769"/>
      <c r="AC173" s="769"/>
      <c r="AD173" s="769"/>
    </row>
    <row r="174" spans="2:35" hidden="1" x14ac:dyDescent="0.35">
      <c r="B174" s="769"/>
      <c r="C174" s="769"/>
      <c r="D174" s="769"/>
      <c r="E174" s="769"/>
      <c r="F174" s="769"/>
      <c r="G174" s="769"/>
      <c r="H174" s="769"/>
      <c r="I174" s="769"/>
      <c r="J174" s="769"/>
      <c r="K174" s="769"/>
      <c r="L174" s="769"/>
      <c r="M174" s="769"/>
      <c r="N174" s="769"/>
      <c r="O174" s="769"/>
      <c r="P174" s="769"/>
      <c r="Q174" s="769"/>
      <c r="R174" s="769"/>
      <c r="S174" s="769"/>
      <c r="T174" s="769"/>
      <c r="U174" s="769"/>
      <c r="V174" s="769"/>
      <c r="W174" s="769"/>
      <c r="X174" s="769"/>
      <c r="Y174" s="769"/>
      <c r="Z174" s="769"/>
      <c r="AA174" s="769"/>
      <c r="AB174" s="769"/>
      <c r="AC174" s="769"/>
      <c r="AD174" s="769"/>
    </row>
    <row r="175" spans="2:35" hidden="1" x14ac:dyDescent="0.35">
      <c r="B175" s="769"/>
      <c r="C175" s="769"/>
      <c r="D175" s="769"/>
      <c r="E175" s="769"/>
      <c r="F175" s="769"/>
      <c r="G175" s="769"/>
      <c r="H175" s="769"/>
      <c r="I175" s="769"/>
      <c r="J175" s="769"/>
      <c r="K175" s="769"/>
      <c r="L175" s="769"/>
      <c r="M175" s="769"/>
      <c r="N175" s="769"/>
      <c r="O175" s="769"/>
      <c r="P175" s="769"/>
      <c r="Q175" s="769"/>
      <c r="R175" s="769"/>
      <c r="S175" s="769"/>
      <c r="T175" s="769"/>
      <c r="U175" s="769"/>
      <c r="V175" s="769"/>
      <c r="W175" s="769"/>
      <c r="X175" s="769"/>
      <c r="Y175" s="769"/>
      <c r="Z175" s="769"/>
      <c r="AA175" s="769"/>
      <c r="AB175" s="769"/>
      <c r="AC175" s="769"/>
      <c r="AD175" s="769"/>
    </row>
    <row r="176" spans="2:35" hidden="1" x14ac:dyDescent="0.35">
      <c r="B176" s="769"/>
      <c r="C176" s="769"/>
      <c r="D176" s="769"/>
      <c r="E176" s="769"/>
      <c r="F176" s="769"/>
      <c r="G176" s="769"/>
      <c r="H176" s="769"/>
      <c r="I176" s="769"/>
      <c r="J176" s="769"/>
      <c r="K176" s="769"/>
      <c r="L176" s="769"/>
      <c r="M176" s="769"/>
      <c r="N176" s="769"/>
      <c r="O176" s="769"/>
      <c r="P176" s="769"/>
      <c r="Q176" s="769"/>
      <c r="R176" s="769"/>
      <c r="S176" s="769"/>
      <c r="T176" s="769"/>
      <c r="U176" s="769"/>
      <c r="V176" s="769"/>
      <c r="W176" s="769"/>
      <c r="X176" s="769"/>
      <c r="Y176" s="769"/>
      <c r="Z176" s="769"/>
      <c r="AA176" s="769"/>
      <c r="AB176" s="769"/>
      <c r="AC176" s="769"/>
      <c r="AD176" s="769"/>
    </row>
    <row r="177" spans="2:30" hidden="1" x14ac:dyDescent="0.35">
      <c r="B177" s="769"/>
      <c r="C177" s="769"/>
      <c r="D177" s="769"/>
      <c r="E177" s="769"/>
      <c r="F177" s="769"/>
      <c r="G177" s="769"/>
      <c r="H177" s="769"/>
      <c r="I177" s="769"/>
      <c r="J177" s="769"/>
      <c r="K177" s="769"/>
      <c r="L177" s="769"/>
      <c r="M177" s="769"/>
      <c r="N177" s="769"/>
      <c r="O177" s="769"/>
      <c r="P177" s="769"/>
      <c r="Q177" s="769"/>
      <c r="R177" s="769"/>
      <c r="S177" s="769"/>
      <c r="T177" s="769"/>
      <c r="U177" s="769"/>
      <c r="V177" s="769"/>
      <c r="W177" s="769"/>
      <c r="X177" s="769"/>
      <c r="Y177" s="769"/>
      <c r="Z177" s="769"/>
      <c r="AA177" s="769"/>
      <c r="AB177" s="769"/>
      <c r="AC177" s="769"/>
      <c r="AD177" s="769"/>
    </row>
    <row r="178" spans="2:30" hidden="1" x14ac:dyDescent="0.35">
      <c r="B178" s="769"/>
      <c r="C178" s="769"/>
      <c r="D178" s="769"/>
      <c r="E178" s="769"/>
      <c r="F178" s="769"/>
      <c r="G178" s="769"/>
      <c r="H178" s="769"/>
      <c r="I178" s="769"/>
      <c r="J178" s="769"/>
      <c r="K178" s="769"/>
      <c r="L178" s="769"/>
      <c r="M178" s="769"/>
      <c r="N178" s="769"/>
      <c r="O178" s="769"/>
      <c r="P178" s="769"/>
      <c r="Q178" s="769"/>
      <c r="R178" s="769"/>
      <c r="S178" s="769"/>
      <c r="T178" s="769"/>
      <c r="U178" s="769"/>
      <c r="V178" s="769"/>
      <c r="W178" s="769"/>
      <c r="X178" s="769"/>
      <c r="Y178" s="769"/>
      <c r="Z178" s="769"/>
      <c r="AA178" s="769"/>
      <c r="AB178" s="769"/>
      <c r="AC178" s="769"/>
      <c r="AD178" s="769"/>
    </row>
    <row r="179" spans="2:30" hidden="1" x14ac:dyDescent="0.35">
      <c r="B179" s="769"/>
      <c r="C179" s="769"/>
      <c r="D179" s="769"/>
      <c r="E179" s="769"/>
      <c r="F179" s="769"/>
      <c r="G179" s="769"/>
      <c r="H179" s="769"/>
      <c r="I179" s="769"/>
      <c r="J179" s="769"/>
      <c r="K179" s="769"/>
      <c r="L179" s="769"/>
      <c r="M179" s="769"/>
      <c r="N179" s="769"/>
      <c r="O179" s="769"/>
      <c r="P179" s="769"/>
      <c r="Q179" s="769"/>
      <c r="R179" s="769"/>
      <c r="S179" s="769"/>
      <c r="T179" s="769"/>
      <c r="U179" s="769"/>
      <c r="V179" s="769"/>
      <c r="W179" s="769"/>
      <c r="X179" s="769"/>
      <c r="Y179" s="769"/>
      <c r="Z179" s="769"/>
      <c r="AA179" s="769"/>
      <c r="AB179" s="769"/>
      <c r="AC179" s="769"/>
      <c r="AD179" s="769"/>
    </row>
    <row r="180" spans="2:30" hidden="1" x14ac:dyDescent="0.35">
      <c r="B180" s="769"/>
      <c r="C180" s="769"/>
      <c r="D180" s="769"/>
      <c r="E180" s="769"/>
      <c r="F180" s="769"/>
      <c r="G180" s="769"/>
      <c r="H180" s="769"/>
      <c r="I180" s="769"/>
      <c r="J180" s="769"/>
      <c r="K180" s="769"/>
      <c r="L180" s="769"/>
      <c r="M180" s="769"/>
      <c r="N180" s="769"/>
      <c r="O180" s="769"/>
      <c r="P180" s="769"/>
      <c r="Q180" s="769"/>
      <c r="R180" s="769"/>
      <c r="S180" s="769"/>
      <c r="T180" s="769"/>
      <c r="U180" s="769"/>
      <c r="V180" s="769"/>
      <c r="W180" s="769"/>
      <c r="X180" s="769"/>
      <c r="Y180" s="769"/>
      <c r="Z180" s="769"/>
      <c r="AA180" s="769"/>
      <c r="AB180" s="769"/>
      <c r="AC180" s="769"/>
      <c r="AD180" s="769"/>
    </row>
    <row r="181" spans="2:30" hidden="1" x14ac:dyDescent="0.35">
      <c r="B181" s="769"/>
      <c r="C181" s="769"/>
      <c r="D181" s="769"/>
      <c r="E181" s="769"/>
      <c r="F181" s="769"/>
      <c r="G181" s="769"/>
      <c r="H181" s="769"/>
      <c r="I181" s="769"/>
      <c r="J181" s="769"/>
      <c r="K181" s="769"/>
      <c r="L181" s="769"/>
      <c r="M181" s="769"/>
      <c r="N181" s="769"/>
      <c r="O181" s="769"/>
      <c r="P181" s="769"/>
      <c r="Q181" s="769"/>
      <c r="R181" s="769"/>
      <c r="S181" s="769"/>
      <c r="T181" s="769"/>
      <c r="U181" s="769"/>
      <c r="V181" s="769"/>
      <c r="W181" s="769"/>
      <c r="X181" s="769"/>
      <c r="Y181" s="769"/>
      <c r="Z181" s="769"/>
      <c r="AA181" s="769"/>
      <c r="AB181" s="769"/>
      <c r="AC181" s="769"/>
      <c r="AD181" s="769"/>
    </row>
    <row r="182" spans="2:30" hidden="1" x14ac:dyDescent="0.35">
      <c r="B182" s="769"/>
      <c r="C182" s="769"/>
      <c r="D182" s="769"/>
      <c r="E182" s="769"/>
      <c r="F182" s="769"/>
      <c r="G182" s="769"/>
      <c r="H182" s="769"/>
      <c r="I182" s="769"/>
      <c r="J182" s="769"/>
      <c r="K182" s="769"/>
      <c r="L182" s="769"/>
      <c r="M182" s="769"/>
      <c r="N182" s="769"/>
      <c r="O182" s="769"/>
      <c r="P182" s="769"/>
      <c r="Q182" s="769"/>
      <c r="R182" s="769"/>
      <c r="S182" s="769"/>
      <c r="T182" s="769"/>
      <c r="U182" s="769"/>
      <c r="V182" s="769"/>
      <c r="W182" s="769"/>
      <c r="X182" s="769"/>
      <c r="Y182" s="769"/>
      <c r="Z182" s="769"/>
      <c r="AA182" s="769"/>
      <c r="AB182" s="769"/>
      <c r="AC182" s="769"/>
      <c r="AD182" s="769"/>
    </row>
    <row r="183" spans="2:30" hidden="1" x14ac:dyDescent="0.35">
      <c r="B183" s="769"/>
      <c r="C183" s="769"/>
      <c r="D183" s="769"/>
      <c r="E183" s="769"/>
      <c r="F183" s="769"/>
      <c r="G183" s="769"/>
      <c r="H183" s="769"/>
      <c r="I183" s="769"/>
      <c r="J183" s="769"/>
      <c r="K183" s="769"/>
      <c r="L183" s="769"/>
      <c r="M183" s="769"/>
      <c r="N183" s="769"/>
      <c r="O183" s="769"/>
      <c r="P183" s="769"/>
      <c r="Q183" s="769"/>
      <c r="R183" s="769"/>
      <c r="S183" s="769"/>
      <c r="T183" s="769"/>
      <c r="U183" s="769"/>
      <c r="V183" s="769"/>
      <c r="W183" s="769"/>
      <c r="X183" s="769"/>
      <c r="Y183" s="769"/>
      <c r="Z183" s="769"/>
      <c r="AA183" s="769"/>
      <c r="AB183" s="769"/>
      <c r="AC183" s="769"/>
      <c r="AD183" s="769"/>
    </row>
    <row r="184" spans="2:30" hidden="1" x14ac:dyDescent="0.35">
      <c r="B184" s="769"/>
      <c r="C184" s="769"/>
      <c r="D184" s="769"/>
      <c r="E184" s="769"/>
      <c r="F184" s="769"/>
      <c r="G184" s="769"/>
      <c r="H184" s="769"/>
      <c r="I184" s="769"/>
      <c r="J184" s="769"/>
      <c r="K184" s="769"/>
      <c r="L184" s="769"/>
      <c r="M184" s="769"/>
      <c r="N184" s="769"/>
      <c r="O184" s="769"/>
      <c r="P184" s="769"/>
      <c r="Q184" s="769"/>
      <c r="R184" s="769"/>
      <c r="S184" s="769"/>
      <c r="T184" s="769"/>
      <c r="U184" s="769"/>
      <c r="V184" s="769"/>
      <c r="W184" s="769"/>
      <c r="X184" s="769"/>
      <c r="Y184" s="769"/>
      <c r="Z184" s="769"/>
      <c r="AA184" s="769"/>
      <c r="AB184" s="769"/>
      <c r="AC184" s="769"/>
      <c r="AD184" s="769"/>
    </row>
    <row r="185" spans="2:30" hidden="1" x14ac:dyDescent="0.35">
      <c r="B185" s="769"/>
      <c r="C185" s="769"/>
      <c r="D185" s="769"/>
      <c r="E185" s="769"/>
      <c r="F185" s="769"/>
      <c r="G185" s="769"/>
      <c r="H185" s="769"/>
      <c r="I185" s="769"/>
      <c r="J185" s="769"/>
      <c r="K185" s="769"/>
      <c r="L185" s="769"/>
      <c r="M185" s="769"/>
      <c r="N185" s="769"/>
      <c r="O185" s="769"/>
      <c r="P185" s="769"/>
      <c r="Q185" s="769"/>
      <c r="R185" s="769"/>
      <c r="S185" s="769"/>
      <c r="T185" s="769"/>
      <c r="U185" s="769"/>
      <c r="V185" s="769"/>
      <c r="W185" s="769"/>
      <c r="X185" s="769"/>
      <c r="Y185" s="769"/>
      <c r="Z185" s="769"/>
      <c r="AA185" s="769"/>
      <c r="AB185" s="769"/>
      <c r="AC185" s="769"/>
      <c r="AD185" s="769"/>
    </row>
    <row r="186" spans="2:30" hidden="1" x14ac:dyDescent="0.35">
      <c r="B186" s="769"/>
      <c r="C186" s="769"/>
      <c r="D186" s="769"/>
      <c r="E186" s="769"/>
      <c r="F186" s="769"/>
      <c r="G186" s="769"/>
      <c r="H186" s="769"/>
      <c r="I186" s="769"/>
      <c r="J186" s="769"/>
      <c r="K186" s="769"/>
      <c r="L186" s="769"/>
      <c r="M186" s="769"/>
      <c r="N186" s="769"/>
      <c r="O186" s="769"/>
      <c r="P186" s="769"/>
      <c r="Q186" s="769"/>
      <c r="R186" s="769"/>
      <c r="S186" s="769"/>
      <c r="T186" s="769"/>
      <c r="U186" s="769"/>
      <c r="V186" s="769"/>
      <c r="W186" s="769"/>
      <c r="X186" s="769"/>
      <c r="Y186" s="769"/>
      <c r="Z186" s="769"/>
      <c r="AA186" s="769"/>
      <c r="AB186" s="769"/>
      <c r="AC186" s="769"/>
      <c r="AD186" s="769"/>
    </row>
    <row r="187" spans="2:30" hidden="1" x14ac:dyDescent="0.35">
      <c r="B187" s="769"/>
      <c r="C187" s="769"/>
      <c r="D187" s="769"/>
      <c r="E187" s="769"/>
      <c r="F187" s="769"/>
      <c r="G187" s="769"/>
      <c r="H187" s="769"/>
      <c r="I187" s="769"/>
      <c r="J187" s="769"/>
      <c r="K187" s="769"/>
      <c r="L187" s="769"/>
      <c r="M187" s="769"/>
      <c r="N187" s="769"/>
      <c r="O187" s="769"/>
      <c r="P187" s="769"/>
      <c r="Q187" s="769"/>
      <c r="R187" s="769"/>
      <c r="S187" s="769"/>
      <c r="T187" s="769"/>
      <c r="U187" s="769"/>
      <c r="V187" s="769"/>
      <c r="W187" s="769"/>
      <c r="X187" s="769"/>
      <c r="Y187" s="769"/>
      <c r="Z187" s="769"/>
      <c r="AA187" s="769"/>
      <c r="AB187" s="769"/>
      <c r="AC187" s="769"/>
      <c r="AD187" s="769"/>
    </row>
    <row r="188" spans="2:30" hidden="1" x14ac:dyDescent="0.35">
      <c r="B188" s="769"/>
      <c r="C188" s="769"/>
      <c r="D188" s="769"/>
      <c r="E188" s="769"/>
      <c r="F188" s="769"/>
      <c r="G188" s="769"/>
      <c r="H188" s="769"/>
      <c r="I188" s="769"/>
      <c r="J188" s="769"/>
      <c r="K188" s="769"/>
      <c r="L188" s="769"/>
      <c r="M188" s="769"/>
      <c r="N188" s="769"/>
      <c r="O188" s="769"/>
      <c r="P188" s="769"/>
      <c r="Q188" s="769"/>
      <c r="R188" s="769"/>
      <c r="S188" s="769"/>
      <c r="T188" s="769"/>
      <c r="U188" s="769"/>
      <c r="V188" s="769"/>
      <c r="W188" s="769"/>
      <c r="X188" s="769"/>
      <c r="Y188" s="769"/>
      <c r="Z188" s="769"/>
      <c r="AA188" s="769"/>
      <c r="AB188" s="769"/>
      <c r="AC188" s="769"/>
      <c r="AD188" s="769"/>
    </row>
    <row r="189" spans="2:30" hidden="1" x14ac:dyDescent="0.35">
      <c r="B189" s="769"/>
      <c r="C189" s="769"/>
      <c r="D189" s="769"/>
      <c r="E189" s="769"/>
      <c r="F189" s="769"/>
      <c r="G189" s="769"/>
      <c r="H189" s="769"/>
      <c r="I189" s="769"/>
      <c r="J189" s="769"/>
      <c r="K189" s="769"/>
      <c r="L189" s="769"/>
      <c r="M189" s="769"/>
      <c r="N189" s="769"/>
      <c r="O189" s="769"/>
      <c r="P189" s="769"/>
      <c r="Q189" s="769"/>
      <c r="R189" s="769"/>
      <c r="S189" s="769"/>
      <c r="T189" s="769"/>
      <c r="U189" s="769"/>
      <c r="V189" s="769"/>
      <c r="W189" s="769"/>
      <c r="X189" s="769"/>
      <c r="Y189" s="769"/>
      <c r="Z189" s="769"/>
      <c r="AA189" s="769"/>
      <c r="AB189" s="769"/>
      <c r="AC189" s="769"/>
      <c r="AD189" s="769"/>
    </row>
    <row r="190" spans="2:30" hidden="1" x14ac:dyDescent="0.35">
      <c r="B190" s="769"/>
      <c r="C190" s="769"/>
      <c r="D190" s="769"/>
      <c r="E190" s="769"/>
      <c r="F190" s="769"/>
      <c r="G190" s="769"/>
      <c r="H190" s="769"/>
      <c r="I190" s="769"/>
      <c r="J190" s="769"/>
      <c r="K190" s="769"/>
      <c r="L190" s="769"/>
      <c r="M190" s="769"/>
      <c r="N190" s="769"/>
      <c r="O190" s="769"/>
      <c r="P190" s="769"/>
      <c r="Q190" s="769"/>
      <c r="R190" s="769"/>
      <c r="S190" s="769"/>
      <c r="T190" s="769"/>
      <c r="U190" s="769"/>
      <c r="V190" s="769"/>
      <c r="W190" s="769"/>
      <c r="X190" s="769"/>
      <c r="Y190" s="769"/>
      <c r="Z190" s="769"/>
      <c r="AA190" s="769"/>
      <c r="AB190" s="769"/>
      <c r="AC190" s="769"/>
      <c r="AD190" s="769"/>
    </row>
    <row r="191" spans="2:30" hidden="1" x14ac:dyDescent="0.35">
      <c r="B191" s="769"/>
      <c r="C191" s="769"/>
      <c r="D191" s="769"/>
      <c r="E191" s="769"/>
      <c r="F191" s="769"/>
      <c r="G191" s="769"/>
      <c r="H191" s="769"/>
      <c r="I191" s="769"/>
      <c r="J191" s="769"/>
      <c r="K191" s="769"/>
      <c r="L191" s="769"/>
      <c r="M191" s="769"/>
      <c r="N191" s="769"/>
      <c r="O191" s="769"/>
      <c r="P191" s="769"/>
      <c r="Q191" s="769"/>
      <c r="R191" s="769"/>
      <c r="S191" s="769"/>
      <c r="T191" s="769"/>
      <c r="U191" s="769"/>
      <c r="V191" s="769"/>
      <c r="W191" s="769"/>
      <c r="X191" s="769"/>
      <c r="Y191" s="769"/>
      <c r="Z191" s="769"/>
      <c r="AA191" s="769"/>
      <c r="AB191" s="769"/>
      <c r="AC191" s="769"/>
      <c r="AD191" s="769"/>
    </row>
    <row r="192" spans="2:30" hidden="1" x14ac:dyDescent="0.35">
      <c r="B192" s="769"/>
      <c r="C192" s="769"/>
      <c r="D192" s="769"/>
      <c r="E192" s="769"/>
      <c r="F192" s="769"/>
      <c r="G192" s="769"/>
      <c r="H192" s="769"/>
      <c r="I192" s="769"/>
      <c r="J192" s="769"/>
      <c r="K192" s="769"/>
      <c r="L192" s="769"/>
      <c r="M192" s="769"/>
      <c r="N192" s="769"/>
      <c r="O192" s="769"/>
      <c r="P192" s="769"/>
      <c r="Q192" s="769"/>
      <c r="R192" s="769"/>
      <c r="S192" s="769"/>
      <c r="T192" s="769"/>
      <c r="U192" s="769"/>
      <c r="V192" s="769"/>
      <c r="W192" s="769"/>
      <c r="X192" s="769"/>
      <c r="Y192" s="769"/>
      <c r="Z192" s="769"/>
      <c r="AA192" s="769"/>
      <c r="AB192" s="769"/>
      <c r="AC192" s="769"/>
      <c r="AD192" s="769"/>
    </row>
    <row r="193" spans="2:30" hidden="1" x14ac:dyDescent="0.35">
      <c r="B193" s="769"/>
      <c r="C193" s="769"/>
      <c r="D193" s="769"/>
      <c r="E193" s="769"/>
      <c r="F193" s="769"/>
      <c r="G193" s="769"/>
      <c r="H193" s="769"/>
      <c r="I193" s="769"/>
      <c r="J193" s="769"/>
      <c r="K193" s="769"/>
      <c r="L193" s="769"/>
      <c r="M193" s="769"/>
      <c r="N193" s="769"/>
      <c r="O193" s="769"/>
      <c r="P193" s="769"/>
      <c r="Q193" s="769"/>
      <c r="R193" s="769"/>
      <c r="S193" s="769"/>
      <c r="T193" s="769"/>
      <c r="U193" s="769"/>
      <c r="V193" s="769"/>
      <c r="W193" s="769"/>
      <c r="X193" s="769"/>
      <c r="Y193" s="769"/>
      <c r="Z193" s="769"/>
      <c r="AA193" s="769"/>
      <c r="AB193" s="769"/>
      <c r="AC193" s="769"/>
      <c r="AD193" s="769"/>
    </row>
    <row r="194" spans="2:30" hidden="1" x14ac:dyDescent="0.35">
      <c r="B194" s="769"/>
      <c r="C194" s="769"/>
      <c r="D194" s="769"/>
      <c r="E194" s="769"/>
      <c r="F194" s="769"/>
      <c r="G194" s="769"/>
      <c r="H194" s="769"/>
      <c r="I194" s="769"/>
      <c r="J194" s="769"/>
      <c r="K194" s="769"/>
      <c r="L194" s="769"/>
      <c r="M194" s="769"/>
      <c r="N194" s="769"/>
      <c r="O194" s="769"/>
      <c r="P194" s="769"/>
      <c r="Q194" s="769"/>
      <c r="R194" s="769"/>
      <c r="S194" s="769"/>
      <c r="T194" s="769"/>
      <c r="U194" s="769"/>
      <c r="V194" s="769"/>
      <c r="W194" s="769"/>
      <c r="X194" s="769"/>
      <c r="Y194" s="769"/>
      <c r="Z194" s="769"/>
      <c r="AA194" s="769"/>
      <c r="AB194" s="769"/>
      <c r="AC194" s="769"/>
      <c r="AD194" s="769"/>
    </row>
    <row r="195" spans="2:30" hidden="1" x14ac:dyDescent="0.35">
      <c r="B195" s="769"/>
      <c r="C195" s="769"/>
      <c r="D195" s="769"/>
      <c r="E195" s="769"/>
      <c r="F195" s="769"/>
      <c r="G195" s="769"/>
      <c r="H195" s="769"/>
      <c r="I195" s="769"/>
      <c r="J195" s="769"/>
      <c r="K195" s="769"/>
      <c r="L195" s="769"/>
      <c r="M195" s="769"/>
      <c r="N195" s="769"/>
      <c r="O195" s="769"/>
      <c r="P195" s="769"/>
      <c r="Q195" s="769"/>
      <c r="R195" s="769"/>
      <c r="S195" s="769"/>
      <c r="T195" s="769"/>
      <c r="U195" s="769"/>
      <c r="V195" s="769"/>
      <c r="W195" s="769"/>
      <c r="X195" s="769"/>
      <c r="Y195" s="769"/>
      <c r="Z195" s="769"/>
      <c r="AA195" s="769"/>
      <c r="AB195" s="769"/>
      <c r="AC195" s="769"/>
      <c r="AD195" s="769"/>
    </row>
    <row r="196" spans="2:30" hidden="1" x14ac:dyDescent="0.35">
      <c r="B196" s="769"/>
      <c r="C196" s="769"/>
      <c r="D196" s="769"/>
      <c r="E196" s="769"/>
      <c r="F196" s="769"/>
      <c r="G196" s="769"/>
      <c r="H196" s="769"/>
      <c r="I196" s="769"/>
      <c r="J196" s="769"/>
      <c r="K196" s="769"/>
      <c r="L196" s="769"/>
      <c r="M196" s="769"/>
      <c r="N196" s="769"/>
      <c r="O196" s="769"/>
      <c r="P196" s="769"/>
      <c r="Q196" s="769"/>
      <c r="R196" s="769"/>
      <c r="S196" s="769"/>
      <c r="T196" s="769"/>
      <c r="U196" s="769"/>
      <c r="V196" s="769"/>
      <c r="W196" s="769"/>
      <c r="X196" s="769"/>
      <c r="Y196" s="769"/>
      <c r="Z196" s="769"/>
      <c r="AA196" s="769"/>
      <c r="AB196" s="769"/>
      <c r="AC196" s="769"/>
      <c r="AD196" s="769"/>
    </row>
    <row r="197" spans="2:30" hidden="1" x14ac:dyDescent="0.35">
      <c r="B197" s="769"/>
      <c r="C197" s="769"/>
      <c r="D197" s="769"/>
      <c r="E197" s="769"/>
      <c r="F197" s="769"/>
      <c r="G197" s="769"/>
      <c r="H197" s="769"/>
      <c r="I197" s="769"/>
      <c r="J197" s="769"/>
      <c r="K197" s="769"/>
      <c r="L197" s="769"/>
      <c r="M197" s="769"/>
      <c r="N197" s="769"/>
      <c r="O197" s="769"/>
      <c r="P197" s="769"/>
      <c r="Q197" s="769"/>
      <c r="R197" s="769"/>
      <c r="S197" s="769"/>
      <c r="T197" s="769"/>
      <c r="U197" s="769"/>
      <c r="V197" s="769"/>
      <c r="W197" s="769"/>
      <c r="X197" s="769"/>
      <c r="Y197" s="769"/>
      <c r="Z197" s="769"/>
      <c r="AA197" s="769"/>
      <c r="AB197" s="769"/>
      <c r="AC197" s="769"/>
      <c r="AD197" s="769"/>
    </row>
    <row r="198" spans="2:30" hidden="1" x14ac:dyDescent="0.35">
      <c r="B198" s="769"/>
      <c r="C198" s="769"/>
      <c r="D198" s="769"/>
      <c r="E198" s="769"/>
      <c r="F198" s="769"/>
      <c r="G198" s="769"/>
      <c r="H198" s="769"/>
      <c r="I198" s="769"/>
      <c r="J198" s="769"/>
      <c r="K198" s="769"/>
      <c r="L198" s="769"/>
      <c r="M198" s="769"/>
      <c r="N198" s="769"/>
      <c r="O198" s="769"/>
      <c r="P198" s="769"/>
      <c r="Q198" s="769"/>
      <c r="R198" s="769"/>
      <c r="S198" s="769"/>
      <c r="T198" s="769"/>
      <c r="U198" s="769"/>
      <c r="V198" s="769"/>
      <c r="W198" s="769"/>
      <c r="X198" s="769"/>
      <c r="Y198" s="769"/>
      <c r="Z198" s="769"/>
      <c r="AA198" s="769"/>
      <c r="AB198" s="769"/>
      <c r="AC198" s="769"/>
      <c r="AD198" s="769"/>
    </row>
    <row r="199" spans="2:30" hidden="1" x14ac:dyDescent="0.35">
      <c r="B199" s="769"/>
      <c r="C199" s="769"/>
      <c r="D199" s="769"/>
      <c r="E199" s="769"/>
      <c r="F199" s="769"/>
      <c r="G199" s="769"/>
      <c r="H199" s="769"/>
      <c r="I199" s="769"/>
      <c r="J199" s="769"/>
      <c r="K199" s="769"/>
      <c r="L199" s="769"/>
      <c r="M199" s="769"/>
      <c r="N199" s="769"/>
      <c r="O199" s="769"/>
      <c r="P199" s="769"/>
      <c r="Q199" s="769"/>
      <c r="R199" s="769"/>
      <c r="S199" s="769"/>
      <c r="T199" s="769"/>
      <c r="U199" s="769"/>
      <c r="V199" s="769"/>
      <c r="W199" s="769"/>
      <c r="X199" s="769"/>
      <c r="Y199" s="769"/>
      <c r="Z199" s="769"/>
      <c r="AA199" s="769"/>
      <c r="AB199" s="769"/>
      <c r="AC199" s="769"/>
      <c r="AD199" s="769"/>
    </row>
    <row r="200" spans="2:30" hidden="1" x14ac:dyDescent="0.35">
      <c r="B200" s="769"/>
      <c r="C200" s="769"/>
      <c r="D200" s="769"/>
      <c r="E200" s="769"/>
      <c r="F200" s="769"/>
      <c r="G200" s="769"/>
      <c r="H200" s="769"/>
      <c r="I200" s="769"/>
      <c r="J200" s="769"/>
      <c r="K200" s="769"/>
      <c r="L200" s="769"/>
      <c r="M200" s="769"/>
      <c r="N200" s="769"/>
      <c r="O200" s="769"/>
      <c r="P200" s="769"/>
      <c r="Q200" s="769"/>
      <c r="R200" s="769"/>
      <c r="S200" s="769"/>
      <c r="T200" s="769"/>
      <c r="U200" s="769"/>
      <c r="V200" s="769"/>
      <c r="W200" s="769"/>
      <c r="X200" s="769"/>
      <c r="Y200" s="769"/>
      <c r="Z200" s="769"/>
      <c r="AA200" s="769"/>
      <c r="AB200" s="769"/>
      <c r="AC200" s="769"/>
      <c r="AD200" s="769"/>
    </row>
    <row r="201" spans="2:30" hidden="1" x14ac:dyDescent="0.35">
      <c r="B201" s="769"/>
      <c r="C201" s="769"/>
      <c r="D201" s="769"/>
      <c r="E201" s="769"/>
      <c r="F201" s="769"/>
      <c r="G201" s="769"/>
      <c r="H201" s="769"/>
      <c r="I201" s="769"/>
      <c r="J201" s="769"/>
      <c r="K201" s="769"/>
      <c r="L201" s="769"/>
      <c r="M201" s="769"/>
      <c r="N201" s="769"/>
      <c r="O201" s="769"/>
      <c r="P201" s="769"/>
      <c r="Q201" s="769"/>
      <c r="R201" s="769"/>
      <c r="S201" s="769"/>
      <c r="T201" s="769"/>
      <c r="U201" s="769"/>
      <c r="V201" s="769"/>
      <c r="W201" s="769"/>
      <c r="X201" s="769"/>
      <c r="Y201" s="769"/>
      <c r="Z201" s="769"/>
      <c r="AA201" s="769"/>
      <c r="AB201" s="769"/>
      <c r="AC201" s="769"/>
      <c r="AD201" s="769"/>
    </row>
    <row r="202" spans="2:30" hidden="1" x14ac:dyDescent="0.35">
      <c r="B202" s="769"/>
      <c r="C202" s="769"/>
      <c r="D202" s="769"/>
      <c r="E202" s="769"/>
      <c r="F202" s="769"/>
      <c r="G202" s="769"/>
      <c r="H202" s="769"/>
      <c r="I202" s="769"/>
      <c r="J202" s="769"/>
      <c r="K202" s="769"/>
      <c r="L202" s="769"/>
      <c r="M202" s="769"/>
      <c r="N202" s="769"/>
      <c r="O202" s="769"/>
      <c r="P202" s="769"/>
      <c r="Q202" s="769"/>
      <c r="R202" s="769"/>
      <c r="S202" s="769"/>
      <c r="T202" s="769"/>
      <c r="U202" s="769"/>
      <c r="V202" s="769"/>
      <c r="W202" s="769"/>
      <c r="X202" s="769"/>
      <c r="Y202" s="769"/>
      <c r="Z202" s="769"/>
      <c r="AA202" s="769"/>
      <c r="AB202" s="769"/>
      <c r="AC202" s="769"/>
      <c r="AD202" s="769"/>
    </row>
  </sheetData>
  <mergeCells count="280">
    <mergeCell ref="O96:P96"/>
    <mergeCell ref="M93:N93"/>
    <mergeCell ref="CO50:CV50"/>
    <mergeCell ref="Y89:AA90"/>
    <mergeCell ref="Y92:Z92"/>
    <mergeCell ref="B50:B51"/>
    <mergeCell ref="B98:D98"/>
    <mergeCell ref="L89:M89"/>
    <mergeCell ref="P57:S57"/>
    <mergeCell ref="P58:S58"/>
    <mergeCell ref="P59:S59"/>
    <mergeCell ref="P60:S60"/>
    <mergeCell ref="I50:J50"/>
    <mergeCell ref="B63:D63"/>
    <mergeCell ref="G50:H50"/>
    <mergeCell ref="O76:P76"/>
    <mergeCell ref="B77:F77"/>
    <mergeCell ref="L77:M77"/>
    <mergeCell ref="L84:M84"/>
    <mergeCell ref="L85:M85"/>
    <mergeCell ref="L86:M86"/>
    <mergeCell ref="I81:J81"/>
    <mergeCell ref="O90:P90"/>
    <mergeCell ref="L90:M90"/>
    <mergeCell ref="O92:P92"/>
    <mergeCell ref="O93:P93"/>
    <mergeCell ref="J76:K76"/>
    <mergeCell ref="AC115:AD115"/>
    <mergeCell ref="C115:D115"/>
    <mergeCell ref="E115:F115"/>
    <mergeCell ref="H115:I115"/>
    <mergeCell ref="J115:L115"/>
    <mergeCell ref="O109:P109"/>
    <mergeCell ref="Y110:Z110"/>
    <mergeCell ref="AC111:AD111"/>
    <mergeCell ref="B114:D114"/>
    <mergeCell ref="E114:F114"/>
    <mergeCell ref="G110:H110"/>
    <mergeCell ref="O110:P110"/>
    <mergeCell ref="B109:D109"/>
    <mergeCell ref="G109:H109"/>
    <mergeCell ref="B111:D111"/>
    <mergeCell ref="G111:H111"/>
    <mergeCell ref="O111:P111"/>
    <mergeCell ref="B110:D110"/>
    <mergeCell ref="W110:X110"/>
    <mergeCell ref="U110:V110"/>
    <mergeCell ref="M114:N114"/>
    <mergeCell ref="G114:I114"/>
    <mergeCell ref="O103:P103"/>
    <mergeCell ref="B101:D101"/>
    <mergeCell ref="B99:D99"/>
    <mergeCell ref="M99:N99"/>
    <mergeCell ref="O99:P99"/>
    <mergeCell ref="B100:D100"/>
    <mergeCell ref="M100:N100"/>
    <mergeCell ref="O100:P100"/>
    <mergeCell ref="B102:D102"/>
    <mergeCell ref="O101:P101"/>
    <mergeCell ref="J100:K101"/>
    <mergeCell ref="J99:K99"/>
    <mergeCell ref="B108:D108"/>
    <mergeCell ref="G108:H108"/>
    <mergeCell ref="O108:P108"/>
    <mergeCell ref="B107:D107"/>
    <mergeCell ref="G107:H107"/>
    <mergeCell ref="O107:P107"/>
    <mergeCell ref="B106:D106"/>
    <mergeCell ref="G106:H106"/>
    <mergeCell ref="L106:L107"/>
    <mergeCell ref="J106:K107"/>
    <mergeCell ref="O106:P106"/>
    <mergeCell ref="G105:H105"/>
    <mergeCell ref="O102:P102"/>
    <mergeCell ref="O105:P105"/>
    <mergeCell ref="B104:P104"/>
    <mergeCell ref="B105:D105"/>
    <mergeCell ref="T53:Y53"/>
    <mergeCell ref="L75:M75"/>
    <mergeCell ref="S71:S73"/>
    <mergeCell ref="O72:P72"/>
    <mergeCell ref="Y70:Z70"/>
    <mergeCell ref="O74:P74"/>
    <mergeCell ref="O86:P86"/>
    <mergeCell ref="L80:M80"/>
    <mergeCell ref="O78:P78"/>
    <mergeCell ref="O77:P77"/>
    <mergeCell ref="L78:M78"/>
    <mergeCell ref="L73:M73"/>
    <mergeCell ref="O73:P73"/>
    <mergeCell ref="L71:M71"/>
    <mergeCell ref="J64:L64"/>
    <mergeCell ref="P54:S54"/>
    <mergeCell ref="I77:J77"/>
    <mergeCell ref="I75:J75"/>
    <mergeCell ref="B103:D103"/>
    <mergeCell ref="L74:M74"/>
    <mergeCell ref="I71:J73"/>
    <mergeCell ref="U70:V70"/>
    <mergeCell ref="K65:L65"/>
    <mergeCell ref="K71:K73"/>
    <mergeCell ref="T57:Y57"/>
    <mergeCell ref="T58:Y58"/>
    <mergeCell ref="T59:Y59"/>
    <mergeCell ref="T60:Y60"/>
    <mergeCell ref="P61:S61"/>
    <mergeCell ref="G63:I63"/>
    <mergeCell ref="H64:I64"/>
    <mergeCell ref="I74:J74"/>
    <mergeCell ref="M63:N63"/>
    <mergeCell ref="O71:P71"/>
    <mergeCell ref="B81:F81"/>
    <mergeCell ref="E85:F85"/>
    <mergeCell ref="I78:J78"/>
    <mergeCell ref="E84:F84"/>
    <mergeCell ref="E87:F87"/>
    <mergeCell ref="O98:P98"/>
    <mergeCell ref="O87:P87"/>
    <mergeCell ref="I87:J87"/>
    <mergeCell ref="L87:M87"/>
    <mergeCell ref="O79:P79"/>
    <mergeCell ref="K79:K80"/>
    <mergeCell ref="O80:P80"/>
    <mergeCell ref="I80:J80"/>
    <mergeCell ref="I90:K90"/>
    <mergeCell ref="B97:P97"/>
    <mergeCell ref="L79:M79"/>
    <mergeCell ref="E78:E80"/>
    <mergeCell ref="H83:H86"/>
    <mergeCell ref="E83:F83"/>
    <mergeCell ref="L81:M81"/>
    <mergeCell ref="E89:F89"/>
    <mergeCell ref="B91:P91"/>
    <mergeCell ref="O94:P94"/>
    <mergeCell ref="O95:P95"/>
    <mergeCell ref="C64:D64"/>
    <mergeCell ref="E67:F67"/>
    <mergeCell ref="K50:L50"/>
    <mergeCell ref="D32:E32"/>
    <mergeCell ref="D29:E29"/>
    <mergeCell ref="D30:E30"/>
    <mergeCell ref="E66:F66"/>
    <mergeCell ref="D37:E37"/>
    <mergeCell ref="D38:E38"/>
    <mergeCell ref="D47:E47"/>
    <mergeCell ref="D44:E44"/>
    <mergeCell ref="D45:E45"/>
    <mergeCell ref="D31:E31"/>
    <mergeCell ref="D46:E46"/>
    <mergeCell ref="D42:E42"/>
    <mergeCell ref="D43:E43"/>
    <mergeCell ref="E64:F64"/>
    <mergeCell ref="I9:I10"/>
    <mergeCell ref="D11:E11"/>
    <mergeCell ref="D24:E24"/>
    <mergeCell ref="D25:E25"/>
    <mergeCell ref="B76:F76"/>
    <mergeCell ref="D35:E35"/>
    <mergeCell ref="D36:E36"/>
    <mergeCell ref="E50:F50"/>
    <mergeCell ref="D49:E49"/>
    <mergeCell ref="B74:F74"/>
    <mergeCell ref="D33:E33"/>
    <mergeCell ref="D28:E28"/>
    <mergeCell ref="D39:E39"/>
    <mergeCell ref="E63:F63"/>
    <mergeCell ref="E65:F65"/>
    <mergeCell ref="D40:E40"/>
    <mergeCell ref="D41:E41"/>
    <mergeCell ref="B75:F75"/>
    <mergeCell ref="D48:E48"/>
    <mergeCell ref="D26:E26"/>
    <mergeCell ref="D27:E27"/>
    <mergeCell ref="D34:E34"/>
    <mergeCell ref="E68:F68"/>
    <mergeCell ref="C70:P70"/>
    <mergeCell ref="D21:E21"/>
    <mergeCell ref="D16:E16"/>
    <mergeCell ref="D22:E22"/>
    <mergeCell ref="D23:E23"/>
    <mergeCell ref="D17:E17"/>
    <mergeCell ref="D18:E18"/>
    <mergeCell ref="D19:E19"/>
    <mergeCell ref="D20:E20"/>
    <mergeCell ref="H9:H10"/>
    <mergeCell ref="B3:E3"/>
    <mergeCell ref="O3:P3"/>
    <mergeCell ref="S3:T3"/>
    <mergeCell ref="B4:E4"/>
    <mergeCell ref="J4:N4"/>
    <mergeCell ref="B9:B10"/>
    <mergeCell ref="C9:C10"/>
    <mergeCell ref="D6:E6"/>
    <mergeCell ref="J6:N6"/>
    <mergeCell ref="D8:E8"/>
    <mergeCell ref="G8:I8"/>
    <mergeCell ref="O4:P4"/>
    <mergeCell ref="S4:T4"/>
    <mergeCell ref="B5:E5"/>
    <mergeCell ref="J5:N5"/>
    <mergeCell ref="O5:P5"/>
    <mergeCell ref="S5:T5"/>
    <mergeCell ref="O6:P6"/>
    <mergeCell ref="D7:E7"/>
    <mergeCell ref="J7:N7"/>
    <mergeCell ref="O7:P7"/>
    <mergeCell ref="S7:T7"/>
    <mergeCell ref="J8:N8"/>
    <mergeCell ref="J9:J10"/>
    <mergeCell ref="M50:O50"/>
    <mergeCell ref="AC64:AD64"/>
    <mergeCell ref="T54:Y54"/>
    <mergeCell ref="T55:Y55"/>
    <mergeCell ref="L9:M9"/>
    <mergeCell ref="J63:L63"/>
    <mergeCell ref="AA55:AB56"/>
    <mergeCell ref="AA57:AB57"/>
    <mergeCell ref="P55:S55"/>
    <mergeCell ref="O9:P9"/>
    <mergeCell ref="Q9:R9"/>
    <mergeCell ref="AC2:AD2"/>
    <mergeCell ref="AD9:AD10"/>
    <mergeCell ref="AC9:AC10"/>
    <mergeCell ref="AA2:AB2"/>
    <mergeCell ref="S9:AB9"/>
    <mergeCell ref="T50:Y51"/>
    <mergeCell ref="AA49:AB49"/>
    <mergeCell ref="AA50:AB50"/>
    <mergeCell ref="AA51:AB51"/>
    <mergeCell ref="S6:T6"/>
    <mergeCell ref="P50:S51"/>
    <mergeCell ref="AA5:AB5"/>
    <mergeCell ref="AD99:AE99"/>
    <mergeCell ref="Y99:Z99"/>
    <mergeCell ref="L88:M88"/>
    <mergeCell ref="O75:P75"/>
    <mergeCell ref="L82:M82"/>
    <mergeCell ref="N82:P82"/>
    <mergeCell ref="T56:Y56"/>
    <mergeCell ref="T61:Y61"/>
    <mergeCell ref="L76:M76"/>
    <mergeCell ref="O89:P89"/>
    <mergeCell ref="O84:P84"/>
    <mergeCell ref="O83:P83"/>
    <mergeCell ref="O85:P85"/>
    <mergeCell ref="O88:P88"/>
    <mergeCell ref="O81:P81"/>
    <mergeCell ref="N65:O65"/>
    <mergeCell ref="AC65:AD65"/>
    <mergeCell ref="AB61:AC61"/>
    <mergeCell ref="AA58:AB59"/>
    <mergeCell ref="W99:X99"/>
    <mergeCell ref="U99:V99"/>
    <mergeCell ref="P56:S56"/>
    <mergeCell ref="L72:M72"/>
    <mergeCell ref="W70:X70"/>
    <mergeCell ref="AO10:AP10"/>
    <mergeCell ref="AG9:AG10"/>
    <mergeCell ref="E88:F88"/>
    <mergeCell ref="E86:F86"/>
    <mergeCell ref="I88:J88"/>
    <mergeCell ref="I83:J86"/>
    <mergeCell ref="L83:M83"/>
    <mergeCell ref="E90:F90"/>
    <mergeCell ref="P52:S52"/>
    <mergeCell ref="AF9:AF10"/>
    <mergeCell ref="AE9:AE10"/>
    <mergeCell ref="N9:N10"/>
    <mergeCell ref="D12:E12"/>
    <mergeCell ref="D13:E13"/>
    <mergeCell ref="K9:K10"/>
    <mergeCell ref="T52:Y52"/>
    <mergeCell ref="D9:E10"/>
    <mergeCell ref="F9:F10"/>
    <mergeCell ref="D14:E14"/>
    <mergeCell ref="D15:E15"/>
    <mergeCell ref="I89:J89"/>
    <mergeCell ref="AA52:AB53"/>
    <mergeCell ref="P53:S53"/>
    <mergeCell ref="M64:P64"/>
  </mergeCells>
  <phoneticPr fontId="7" type="noConversion"/>
  <printOptions gridLines="1"/>
  <pageMargins left="0.87" right="0.21" top="0.49" bottom="0.28000000000000003" header="0.17" footer="0.17"/>
  <pageSetup paperSize="5" scale="50" fitToHeight="2" orientation="landscape" r:id="rId1"/>
  <headerFooter alignWithMargins="0">
    <oddHeader>&amp;L&amp;"Arial,Bold"&amp;16&amp;A&amp;C&amp;"Arial,Bold"&amp;16&amp;F&amp;R&amp;16&amp;D   
&amp;10 &amp;P OF &amp;N</oddHeader>
  </headerFooter>
  <rowBreaks count="6" manualBreakCount="6">
    <brk id="65" max="16383" man="1"/>
    <brk id="135" max="16383" man="1"/>
    <brk id="165" max="16383" man="1"/>
    <brk id="195" max="16383" man="1"/>
    <brk id="225" max="16383" man="1"/>
    <brk id="255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CF7D-001F-4815-873C-3C13D9ED8742}">
  <dimension ref="A1:XFC202"/>
  <sheetViews>
    <sheetView topLeftCell="A11" zoomScale="85" zoomScaleNormal="85" workbookViewId="0">
      <selection activeCell="B92" sqref="B92:P96"/>
    </sheetView>
  </sheetViews>
  <sheetFormatPr defaultColWidth="0" defaultRowHeight="15.5" zeroHeight="1" x14ac:dyDescent="0.35"/>
  <cols>
    <col min="1" max="1" width="3.54296875" style="702" customWidth="1"/>
    <col min="2" max="2" width="18.7265625" style="702" customWidth="1"/>
    <col min="3" max="3" width="8.1796875" style="702" customWidth="1"/>
    <col min="4" max="4" width="6.54296875" style="702" bestFit="1" customWidth="1"/>
    <col min="5" max="5" width="13.26953125" style="702" bestFit="1" customWidth="1"/>
    <col min="6" max="6" width="9.7265625" style="702" customWidth="1"/>
    <col min="7" max="7" width="10.1796875" style="702" bestFit="1" customWidth="1"/>
    <col min="8" max="8" width="9.6328125" style="702" bestFit="1" customWidth="1"/>
    <col min="9" max="9" width="9.7265625" style="702" customWidth="1"/>
    <col min="10" max="10" width="9.90625" style="702" bestFit="1" customWidth="1"/>
    <col min="11" max="11" width="10.81640625" style="702" bestFit="1" customWidth="1"/>
    <col min="12" max="12" width="8.90625" style="702" bestFit="1" customWidth="1"/>
    <col min="13" max="13" width="8.26953125" style="702" bestFit="1" customWidth="1"/>
    <col min="14" max="14" width="7.7265625" style="702" customWidth="1"/>
    <col min="15" max="15" width="6.81640625" style="702" customWidth="1"/>
    <col min="16" max="16" width="8.453125" style="702" customWidth="1"/>
    <col min="17" max="17" width="6.6328125" style="702" bestFit="1" customWidth="1"/>
    <col min="18" max="18" width="6.1796875" style="702" customWidth="1"/>
    <col min="19" max="19" width="9.453125" style="702" customWidth="1"/>
    <col min="20" max="20" width="8.08984375" style="702" customWidth="1"/>
    <col min="21" max="21" width="8.6328125" style="702" customWidth="1"/>
    <col min="22" max="22" width="6.54296875" style="702" customWidth="1"/>
    <col min="23" max="23" width="7.1796875" style="702" customWidth="1"/>
    <col min="24" max="24" width="5.81640625" style="702" customWidth="1"/>
    <col min="25" max="25" width="7.36328125" style="702" customWidth="1"/>
    <col min="26" max="26" width="6.81640625" style="702" customWidth="1"/>
    <col min="27" max="27" width="5.81640625" style="702" customWidth="1"/>
    <col min="28" max="28" width="13.7265625" style="702" customWidth="1"/>
    <col min="29" max="29" width="15.26953125" style="702" customWidth="1"/>
    <col min="30" max="30" width="12.453125" style="702" customWidth="1"/>
    <col min="31" max="31" width="15.81640625" style="769" customWidth="1"/>
    <col min="32" max="32" width="20.26953125" style="769" customWidth="1"/>
    <col min="33" max="33" width="13.81640625" style="769" customWidth="1"/>
    <col min="34" max="34" width="14" style="42" customWidth="1"/>
    <col min="35" max="35" width="3.26953125" style="42" customWidth="1"/>
    <col min="36" max="38" width="9.1796875" style="42" hidden="1"/>
    <col min="39" max="39" width="14.54296875" style="42" hidden="1"/>
    <col min="40" max="40" width="9.1796875" style="42" hidden="1"/>
    <col min="41" max="41" width="10.453125" style="42" hidden="1"/>
    <col min="42" max="42" width="16.1796875" style="42" hidden="1"/>
    <col min="43" max="59" width="20.7265625" style="42" hidden="1"/>
    <col min="60" max="60" width="20.7265625" style="593" hidden="1"/>
    <col min="61" max="74" width="20.7265625" style="42" hidden="1"/>
    <col min="75" max="75" width="25.1796875" style="42" hidden="1"/>
    <col min="76" max="182" width="20.7265625" style="42" hidden="1"/>
    <col min="183" max="202" width="20.7265625" hidden="1"/>
    <col min="203" max="238" width="9.1796875" hidden="1"/>
    <col min="239" max="268" width="9.1796875" style="42" hidden="1"/>
    <col min="269" max="270" width="18.7265625" style="42" hidden="1"/>
    <col min="271" max="16381" width="8.7265625" style="42" hidden="1"/>
    <col min="16382" max="16383" width="3.7265625" style="42" hidden="1"/>
    <col min="16384" max="16384" width="3.36328125" style="42" hidden="1"/>
  </cols>
  <sheetData>
    <row r="1" spans="2:238" s="702" customFormat="1" ht="13" customHeight="1" x14ac:dyDescent="0.35">
      <c r="AE1" s="769"/>
      <c r="AF1" s="769"/>
      <c r="AG1" s="769"/>
      <c r="GA1" s="769"/>
      <c r="GB1" s="769"/>
      <c r="GC1" s="769"/>
      <c r="GD1" s="769"/>
      <c r="GE1" s="769"/>
      <c r="GF1" s="769"/>
      <c r="GG1" s="769"/>
      <c r="GH1" s="769"/>
      <c r="GI1" s="769"/>
      <c r="GJ1" s="769"/>
      <c r="GK1" s="769"/>
      <c r="GL1" s="769"/>
      <c r="GM1" s="769"/>
      <c r="GN1" s="769"/>
      <c r="GO1" s="769"/>
      <c r="GP1" s="769"/>
      <c r="GQ1" s="769"/>
      <c r="GR1" s="769"/>
      <c r="GS1" s="769"/>
      <c r="GT1" s="769"/>
      <c r="GU1" s="769"/>
      <c r="GV1" s="769"/>
      <c r="GW1" s="769"/>
      <c r="GX1" s="769"/>
      <c r="GY1" s="769"/>
      <c r="GZ1" s="769"/>
      <c r="HA1" s="769"/>
      <c r="HB1" s="769"/>
      <c r="HC1" s="769"/>
      <c r="HD1" s="769"/>
      <c r="HE1" s="769"/>
      <c r="HF1" s="769"/>
      <c r="HG1" s="769"/>
      <c r="HH1" s="769"/>
      <c r="HI1" s="769"/>
      <c r="HJ1" s="769"/>
      <c r="HK1" s="769"/>
      <c r="HL1" s="769"/>
      <c r="HM1" s="769"/>
      <c r="HN1" s="769"/>
      <c r="HO1" s="769"/>
      <c r="HP1" s="769"/>
      <c r="HQ1" s="769"/>
      <c r="HR1" s="769"/>
      <c r="HS1" s="769"/>
      <c r="HT1" s="769"/>
      <c r="HU1" s="769"/>
      <c r="HV1" s="769"/>
      <c r="HW1" s="769"/>
      <c r="HX1" s="769"/>
      <c r="HY1" s="769"/>
      <c r="HZ1" s="769"/>
      <c r="IA1" s="769"/>
      <c r="IB1" s="769"/>
      <c r="IC1" s="769"/>
      <c r="ID1" s="769"/>
    </row>
    <row r="2" spans="2:238" ht="16" thickBot="1" x14ac:dyDescent="0.4">
      <c r="B2" s="937" t="s">
        <v>303</v>
      </c>
      <c r="C2" s="897"/>
      <c r="D2" s="897"/>
      <c r="E2" s="897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1916" t="s">
        <v>305</v>
      </c>
      <c r="AB2" s="1916"/>
      <c r="AC2" s="1911">
        <v>37456</v>
      </c>
      <c r="AD2" s="1911"/>
      <c r="AE2" s="299"/>
      <c r="AF2" s="1794"/>
      <c r="AG2" s="1794"/>
      <c r="AH2" s="1794"/>
      <c r="AI2" s="702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8"/>
      <c r="BA2" s="298"/>
      <c r="BB2" s="298"/>
      <c r="BC2" s="298"/>
      <c r="BD2" s="298"/>
      <c r="BE2" s="298"/>
      <c r="BF2" s="298"/>
      <c r="BG2" s="298"/>
      <c r="BI2" s="298"/>
      <c r="BJ2" s="298"/>
      <c r="BK2" s="298"/>
      <c r="BL2" s="298"/>
      <c r="BM2" s="298"/>
      <c r="BN2" s="298"/>
      <c r="BO2" s="298"/>
      <c r="BP2" s="298"/>
      <c r="BQ2" s="298"/>
      <c r="BR2" s="298"/>
      <c r="BS2" s="298"/>
      <c r="BT2" s="298"/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298"/>
      <c r="CI2" s="298"/>
      <c r="CJ2" s="298"/>
      <c r="CK2" s="298"/>
      <c r="CL2" s="298"/>
      <c r="CM2" s="298"/>
      <c r="CN2" s="298"/>
      <c r="CO2" s="298"/>
      <c r="CP2" s="298"/>
      <c r="CQ2" s="298"/>
      <c r="CR2" s="298"/>
      <c r="CS2" s="298"/>
      <c r="CT2" s="298"/>
      <c r="CU2" s="298"/>
      <c r="CV2" s="298"/>
      <c r="CW2" s="298"/>
      <c r="CX2" s="298"/>
      <c r="CY2" s="298"/>
      <c r="CZ2" s="298"/>
      <c r="DA2" s="298"/>
      <c r="DB2" s="298"/>
    </row>
    <row r="3" spans="2:238" ht="16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880"/>
      <c r="R3" s="880"/>
      <c r="S3" s="1950" t="s">
        <v>306</v>
      </c>
      <c r="T3" s="1951"/>
      <c r="U3" s="298"/>
      <c r="V3" s="298"/>
      <c r="W3" s="298"/>
      <c r="X3" s="298"/>
      <c r="Y3" s="298"/>
      <c r="Z3" s="298"/>
      <c r="AA3" s="792" t="s">
        <v>304</v>
      </c>
      <c r="AB3" s="942"/>
      <c r="AC3" s="943" t="str">
        <f>Information!C8</f>
        <v>Chad McKinney</v>
      </c>
      <c r="AD3" s="944"/>
      <c r="AE3" s="299"/>
      <c r="AF3" s="1794"/>
      <c r="AG3" s="1794"/>
      <c r="AH3" s="1794"/>
      <c r="AI3" s="702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8"/>
      <c r="BA3" s="298"/>
      <c r="BB3" s="298"/>
      <c r="BC3" s="298"/>
      <c r="BD3" s="298"/>
      <c r="BE3" s="298"/>
      <c r="BF3" s="298"/>
      <c r="BG3" s="298"/>
      <c r="BI3" s="298"/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  <c r="BU3" s="298"/>
      <c r="BV3" s="298"/>
      <c r="BW3" s="298"/>
      <c r="BX3" s="298"/>
      <c r="BY3" s="298"/>
      <c r="BZ3" s="298"/>
      <c r="CA3" s="298"/>
      <c r="CB3" s="298"/>
      <c r="CC3" s="298"/>
      <c r="CD3" s="298"/>
      <c r="CE3" s="298"/>
      <c r="CF3" s="298"/>
      <c r="CG3" s="298"/>
      <c r="CH3" s="298"/>
      <c r="CI3" s="298"/>
      <c r="CJ3" s="298"/>
      <c r="CK3" s="298"/>
      <c r="CL3" s="298"/>
      <c r="CM3" s="298"/>
      <c r="CN3" s="298"/>
      <c r="CO3" s="298"/>
      <c r="CP3" s="298"/>
      <c r="CQ3" s="298"/>
      <c r="CR3" s="298"/>
      <c r="CS3" s="298"/>
      <c r="CT3" s="298"/>
      <c r="CU3" s="298"/>
      <c r="CV3" s="298"/>
      <c r="CW3" s="298"/>
      <c r="CX3" s="298"/>
      <c r="CY3" s="298"/>
      <c r="CZ3" s="298"/>
      <c r="DA3" s="298"/>
      <c r="DB3" s="298"/>
    </row>
    <row r="4" spans="2:238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1947">
        <f>Summary!K3</f>
        <v>0</v>
      </c>
      <c r="K4" s="1948"/>
      <c r="L4" s="1948"/>
      <c r="M4" s="1948"/>
      <c r="N4" s="1948"/>
      <c r="O4" s="1964">
        <f>Summary!O3</f>
        <v>0</v>
      </c>
      <c r="P4" s="1964"/>
      <c r="Q4" s="885"/>
      <c r="R4" s="885"/>
      <c r="S4" s="1964">
        <f>Summary!P3</f>
        <v>0</v>
      </c>
      <c r="T4" s="1965"/>
      <c r="U4" s="298"/>
      <c r="V4" s="298"/>
      <c r="W4" s="298"/>
      <c r="X4" s="298"/>
      <c r="Y4" s="298"/>
      <c r="Z4" s="298"/>
      <c r="AA4" s="790"/>
      <c r="AB4" s="770"/>
      <c r="AC4" s="770"/>
      <c r="AD4" s="876"/>
      <c r="AE4" s="299"/>
      <c r="AF4" s="1794"/>
      <c r="AG4" s="1794"/>
      <c r="AH4" s="1794"/>
      <c r="AI4" s="702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</row>
    <row r="5" spans="2:238" ht="20.149999999999999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1952">
        <f>Summary!K4</f>
        <v>0</v>
      </c>
      <c r="K5" s="1953"/>
      <c r="L5" s="1953"/>
      <c r="M5" s="1953"/>
      <c r="N5" s="1953"/>
      <c r="O5" s="1927">
        <f>Summary!O4</f>
        <v>0</v>
      </c>
      <c r="P5" s="1927"/>
      <c r="Q5" s="887"/>
      <c r="R5" s="887"/>
      <c r="S5" s="1927">
        <f>Summary!P4</f>
        <v>0</v>
      </c>
      <c r="T5" s="1928"/>
      <c r="U5" s="298"/>
      <c r="V5" s="298"/>
      <c r="W5" s="298"/>
      <c r="X5" s="298"/>
      <c r="Y5" s="298"/>
      <c r="Z5" s="298"/>
      <c r="AA5" s="1929" t="str">
        <f>Information!H5</f>
        <v>Approved by Chad:</v>
      </c>
      <c r="AB5" s="1930"/>
      <c r="AC5" s="945"/>
      <c r="AD5" s="946"/>
      <c r="AE5" s="299"/>
      <c r="AF5" s="1794"/>
      <c r="AG5" s="1794"/>
      <c r="AH5" s="1794"/>
      <c r="AI5" s="702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298"/>
      <c r="BX5" s="298"/>
      <c r="BY5" s="298"/>
      <c r="BZ5" s="298"/>
      <c r="CA5" s="298"/>
      <c r="CB5" s="298"/>
      <c r="CC5" s="298"/>
      <c r="CD5" s="298"/>
      <c r="CE5" s="298"/>
      <c r="CF5" s="298"/>
      <c r="CG5" s="298"/>
      <c r="CH5" s="298"/>
      <c r="CI5" s="298"/>
      <c r="CJ5" s="298"/>
      <c r="CK5" s="298"/>
      <c r="CL5" s="298"/>
      <c r="CM5" s="298"/>
      <c r="CN5" s="298"/>
      <c r="CO5" s="298"/>
      <c r="CP5" s="298"/>
      <c r="CQ5" s="298"/>
      <c r="CR5" s="298"/>
      <c r="CS5" s="298"/>
      <c r="CT5" s="298"/>
      <c r="CU5" s="298"/>
      <c r="CV5" s="298"/>
      <c r="CW5" s="298"/>
      <c r="CX5" s="298"/>
      <c r="CY5" s="298"/>
      <c r="CZ5" s="298"/>
      <c r="DA5" s="298"/>
      <c r="DB5" s="298"/>
    </row>
    <row r="6" spans="2:238" ht="20.149999999999999" customHeight="1" x14ac:dyDescent="0.35">
      <c r="B6" s="57" t="s">
        <v>115</v>
      </c>
      <c r="C6" s="42"/>
      <c r="D6" s="1959" t="s">
        <v>125</v>
      </c>
      <c r="E6" s="1959"/>
      <c r="F6" s="298"/>
      <c r="G6" s="298"/>
      <c r="H6" s="938"/>
      <c r="I6" s="939" t="s">
        <v>134</v>
      </c>
      <c r="J6" s="1952">
        <f>Summary!K5</f>
        <v>0</v>
      </c>
      <c r="K6" s="1953"/>
      <c r="L6" s="1953"/>
      <c r="M6" s="1953"/>
      <c r="N6" s="1953"/>
      <c r="O6" s="1927">
        <f>Summary!O5</f>
        <v>0</v>
      </c>
      <c r="P6" s="1927"/>
      <c r="Q6" s="887"/>
      <c r="R6" s="887"/>
      <c r="S6" s="1927">
        <f>Summary!P5</f>
        <v>0</v>
      </c>
      <c r="T6" s="1928"/>
      <c r="U6" s="298"/>
      <c r="V6" s="298"/>
      <c r="W6" s="298"/>
      <c r="X6" s="298"/>
      <c r="Y6" s="298"/>
      <c r="Z6" s="298"/>
      <c r="AA6" s="790"/>
      <c r="AB6" s="770"/>
      <c r="AC6" s="770"/>
      <c r="AD6" s="876"/>
      <c r="AE6" s="299"/>
      <c r="AF6" s="1794"/>
      <c r="AG6" s="1794"/>
      <c r="AH6" s="1794"/>
      <c r="AI6" s="702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I6" s="298"/>
      <c r="BJ6" s="298"/>
      <c r="BK6" s="298"/>
      <c r="BL6" s="298"/>
      <c r="BM6" s="298"/>
      <c r="BN6" s="298"/>
      <c r="BO6" s="298"/>
      <c r="BP6" s="298"/>
      <c r="BQ6" s="298"/>
      <c r="BR6" s="298"/>
      <c r="BS6" s="298"/>
      <c r="BT6" s="298"/>
      <c r="BU6" s="298"/>
      <c r="BV6" s="298"/>
      <c r="BW6" s="298"/>
      <c r="BX6" s="298"/>
      <c r="BY6" s="298"/>
      <c r="BZ6" s="298"/>
      <c r="CA6" s="298"/>
      <c r="CB6" s="298"/>
      <c r="CC6" s="298"/>
      <c r="CD6" s="298"/>
      <c r="CE6" s="298"/>
      <c r="CF6" s="298"/>
      <c r="CG6" s="298"/>
      <c r="CH6" s="298"/>
      <c r="CI6" s="298"/>
      <c r="CJ6" s="298"/>
      <c r="CK6" s="298"/>
      <c r="CL6" s="298"/>
      <c r="CM6" s="298"/>
      <c r="CN6" s="298"/>
      <c r="CO6" s="298"/>
      <c r="CP6" s="298"/>
      <c r="CQ6" s="298"/>
      <c r="CR6" s="298"/>
      <c r="CS6" s="298"/>
      <c r="CT6" s="298"/>
      <c r="CU6" s="298"/>
      <c r="CV6" s="298"/>
      <c r="CW6" s="298"/>
      <c r="CX6" s="298"/>
      <c r="CY6" s="298"/>
      <c r="CZ6" s="298"/>
      <c r="DA6" s="298"/>
      <c r="DB6" s="298"/>
    </row>
    <row r="7" spans="2:238" ht="20.149999999999999" customHeight="1" thickBot="1" x14ac:dyDescent="0.4">
      <c r="B7" s="775">
        <v>0</v>
      </c>
      <c r="C7" s="42"/>
      <c r="D7" s="1969">
        <v>0</v>
      </c>
      <c r="E7" s="1969"/>
      <c r="F7" s="298"/>
      <c r="G7" s="298"/>
      <c r="H7" s="889"/>
      <c r="I7" s="940" t="s">
        <v>135</v>
      </c>
      <c r="J7" s="1966">
        <f>Summary!K6</f>
        <v>0</v>
      </c>
      <c r="K7" s="1967"/>
      <c r="L7" s="1967"/>
      <c r="M7" s="1967"/>
      <c r="N7" s="1967"/>
      <c r="O7" s="1970">
        <f>Summary!O6</f>
        <v>0</v>
      </c>
      <c r="P7" s="1970"/>
      <c r="Q7" s="818"/>
      <c r="R7" s="818"/>
      <c r="S7" s="1970">
        <f>Summary!P6</f>
        <v>0</v>
      </c>
      <c r="T7" s="1971"/>
      <c r="U7" s="298"/>
      <c r="V7" s="298"/>
      <c r="W7" s="298"/>
      <c r="X7" s="298"/>
      <c r="Y7" s="298"/>
      <c r="Z7" s="298"/>
      <c r="AA7" s="791" t="str">
        <f>Information!H6</f>
        <v>Approved by Edward:</v>
      </c>
      <c r="AB7" s="947"/>
      <c r="AC7" s="947"/>
      <c r="AD7" s="948"/>
      <c r="AE7" s="299"/>
      <c r="AF7" s="1794"/>
      <c r="AG7" s="1794"/>
      <c r="AH7" s="1794"/>
      <c r="AI7" s="702"/>
      <c r="AN7" s="298"/>
      <c r="AO7" s="298"/>
      <c r="AP7" s="298"/>
      <c r="AQ7" s="298"/>
      <c r="AR7" s="298"/>
      <c r="AS7" s="298"/>
      <c r="AT7" s="298"/>
      <c r="AU7" s="298"/>
      <c r="AV7" s="298"/>
      <c r="AW7" s="298"/>
      <c r="AX7" s="298"/>
      <c r="AY7" s="298"/>
      <c r="AZ7" s="298"/>
      <c r="BA7" s="298"/>
      <c r="BB7" s="298"/>
      <c r="BC7" s="298"/>
      <c r="BD7" s="298"/>
      <c r="BE7" s="298"/>
      <c r="BF7" s="298"/>
      <c r="BG7" s="298"/>
      <c r="BI7" s="298"/>
      <c r="BJ7" s="298"/>
      <c r="BK7" s="298"/>
      <c r="BL7" s="298"/>
      <c r="BM7" s="298"/>
      <c r="BN7" s="298"/>
      <c r="BO7" s="298"/>
      <c r="BP7" s="298"/>
      <c r="BQ7" s="298"/>
      <c r="BR7" s="298"/>
      <c r="BS7" s="298"/>
      <c r="BT7" s="298"/>
      <c r="BU7" s="298"/>
      <c r="BV7" s="298"/>
      <c r="BW7" s="298"/>
      <c r="BX7" s="298"/>
      <c r="BY7" s="298"/>
      <c r="BZ7" s="298"/>
      <c r="CA7" s="298"/>
      <c r="CB7" s="298"/>
      <c r="CC7" s="298"/>
      <c r="CD7" s="298"/>
      <c r="CE7" s="298"/>
      <c r="CF7" s="298"/>
      <c r="CG7" s="298"/>
      <c r="CH7" s="298"/>
      <c r="CI7" s="298"/>
      <c r="CJ7" s="298"/>
      <c r="CK7" s="298"/>
      <c r="CL7" s="298"/>
      <c r="CM7" s="298"/>
      <c r="CN7" s="298"/>
      <c r="CO7" s="298"/>
      <c r="CP7" s="298"/>
      <c r="CQ7" s="298"/>
      <c r="CR7" s="298"/>
      <c r="CS7" s="298"/>
      <c r="CT7" s="298"/>
      <c r="CU7" s="298"/>
      <c r="CV7" s="298"/>
      <c r="CW7" s="298"/>
      <c r="CX7" s="298"/>
      <c r="CY7" s="298"/>
      <c r="CZ7" s="298"/>
      <c r="DA7" s="298"/>
      <c r="DB7" s="298"/>
    </row>
    <row r="8" spans="2:238" ht="20.149999999999999" customHeight="1" thickBot="1" x14ac:dyDescent="0.4">
      <c r="B8" s="776">
        <v>0</v>
      </c>
      <c r="C8" s="288"/>
      <c r="D8" s="1960">
        <v>0</v>
      </c>
      <c r="E8" s="1961"/>
      <c r="F8" s="306"/>
      <c r="G8" s="1962" t="s">
        <v>308</v>
      </c>
      <c r="H8" s="1963"/>
      <c r="I8" s="1963"/>
      <c r="J8" s="1972" t="str">
        <f>Pricing!A2</f>
        <v>Martin Marrieta</v>
      </c>
      <c r="K8" s="1972"/>
      <c r="L8" s="1972"/>
      <c r="M8" s="1972"/>
      <c r="N8" s="1972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9"/>
      <c r="AF8" s="1794"/>
      <c r="AG8" s="1794"/>
      <c r="AH8" s="1794"/>
      <c r="AI8" s="702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I8" s="298"/>
      <c r="BJ8" s="298"/>
      <c r="BK8" s="298"/>
      <c r="BL8" s="298"/>
      <c r="BM8" s="298"/>
      <c r="BN8" s="298"/>
      <c r="BO8" s="298"/>
      <c r="BP8" s="298"/>
      <c r="BQ8" s="298"/>
      <c r="BR8" s="298"/>
      <c r="BS8" s="298"/>
      <c r="BT8" s="298"/>
      <c r="BU8" s="298"/>
      <c r="BV8" s="298"/>
      <c r="BW8" s="298"/>
      <c r="BX8" s="298"/>
      <c r="BY8" s="298"/>
      <c r="BZ8" s="298"/>
      <c r="CA8" s="298"/>
      <c r="CB8" s="298"/>
      <c r="CC8" s="298"/>
      <c r="CD8" s="298"/>
      <c r="CE8" s="298"/>
      <c r="CF8" s="298"/>
      <c r="CG8" s="298"/>
      <c r="CH8" s="298"/>
      <c r="CI8" s="298"/>
      <c r="CJ8" s="298"/>
      <c r="CK8" s="298"/>
      <c r="CL8" s="298"/>
      <c r="CM8" s="298"/>
      <c r="CN8" s="298"/>
      <c r="CO8" s="298"/>
      <c r="CP8" s="298"/>
      <c r="CQ8" s="298"/>
      <c r="CR8" s="298"/>
      <c r="CS8" s="298"/>
      <c r="CT8" s="298"/>
      <c r="CU8" s="298"/>
      <c r="CV8" s="298"/>
      <c r="CW8" s="298"/>
      <c r="CX8" s="298"/>
      <c r="CY8" s="298"/>
      <c r="CZ8" s="298"/>
      <c r="DA8" s="298"/>
      <c r="DB8" s="298"/>
    </row>
    <row r="9" spans="2:238" s="702" customFormat="1" ht="39" customHeight="1" x14ac:dyDescent="0.35">
      <c r="B9" s="1955" t="s">
        <v>47</v>
      </c>
      <c r="C9" s="1957" t="s">
        <v>648</v>
      </c>
      <c r="D9" s="1870" t="s">
        <v>346</v>
      </c>
      <c r="E9" s="1871"/>
      <c r="F9" s="1866" t="s">
        <v>569</v>
      </c>
      <c r="G9" s="1053" t="s">
        <v>586</v>
      </c>
      <c r="H9" s="1973" t="s">
        <v>568</v>
      </c>
      <c r="I9" s="1975" t="s">
        <v>35</v>
      </c>
      <c r="J9" s="1866" t="s">
        <v>600</v>
      </c>
      <c r="K9" s="1866" t="s">
        <v>493</v>
      </c>
      <c r="L9" s="1933" t="s">
        <v>53</v>
      </c>
      <c r="M9" s="1934"/>
      <c r="N9" s="1860" t="s">
        <v>725</v>
      </c>
      <c r="O9" s="2217" t="s">
        <v>581</v>
      </c>
      <c r="P9" s="1917"/>
      <c r="Q9" s="1917"/>
      <c r="R9" s="1918"/>
      <c r="S9" s="1917" t="s">
        <v>48</v>
      </c>
      <c r="T9" s="1917"/>
      <c r="U9" s="1917"/>
      <c r="V9" s="1917"/>
      <c r="W9" s="1917"/>
      <c r="X9" s="1917"/>
      <c r="Y9" s="1917"/>
      <c r="Z9" s="1917"/>
      <c r="AA9" s="1917"/>
      <c r="AB9" s="1918"/>
      <c r="AC9" s="1914" t="s">
        <v>349</v>
      </c>
      <c r="AD9" s="1912" t="s">
        <v>599</v>
      </c>
      <c r="AE9" s="1858" t="s">
        <v>410</v>
      </c>
      <c r="AF9" s="1840" t="s">
        <v>588</v>
      </c>
      <c r="AG9" s="1840" t="s">
        <v>1054</v>
      </c>
      <c r="AH9" s="1757"/>
      <c r="AI9" s="769"/>
      <c r="AV9" s="702" t="s">
        <v>519</v>
      </c>
      <c r="BI9" s="1063"/>
      <c r="CB9" s="702">
        <f>SUM(BZ29:CD29)</f>
        <v>0</v>
      </c>
      <c r="CO9" s="1058" t="s">
        <v>906</v>
      </c>
      <c r="CP9" s="1059" t="s">
        <v>1072</v>
      </c>
      <c r="CQ9" s="1059" t="s">
        <v>907</v>
      </c>
      <c r="CR9" s="1059" t="s">
        <v>908</v>
      </c>
      <c r="CS9" s="1059" t="s">
        <v>909</v>
      </c>
      <c r="CT9" s="1059" t="s">
        <v>1080</v>
      </c>
      <c r="CU9" s="1059" t="s">
        <v>1081</v>
      </c>
      <c r="CV9" s="1060" t="s">
        <v>910</v>
      </c>
      <c r="CW9" s="702" t="s">
        <v>92</v>
      </c>
      <c r="GA9" s="769"/>
      <c r="GB9" s="769"/>
      <c r="GC9" s="769"/>
      <c r="GD9" s="769"/>
      <c r="GE9" s="769"/>
      <c r="GF9" s="769"/>
      <c r="GG9" s="769"/>
      <c r="GH9" s="769"/>
      <c r="GI9" s="769"/>
      <c r="GJ9" s="769"/>
      <c r="GK9" s="769"/>
      <c r="GL9" s="769"/>
      <c r="GM9" s="769"/>
      <c r="GN9" s="769"/>
      <c r="GO9" s="769"/>
      <c r="GP9" s="769"/>
      <c r="GQ9" s="769"/>
      <c r="GR9" s="769"/>
      <c r="GS9" s="769"/>
      <c r="GT9" s="769"/>
      <c r="GU9" s="769"/>
      <c r="GV9" s="769"/>
      <c r="GW9" s="769"/>
      <c r="GX9" s="769"/>
      <c r="GY9" s="769"/>
      <c r="GZ9" s="769"/>
      <c r="HA9" s="769"/>
      <c r="HB9" s="769"/>
      <c r="HC9" s="769"/>
      <c r="HD9" s="769"/>
      <c r="HE9" s="769"/>
      <c r="HF9" s="769"/>
      <c r="HG9" s="769"/>
      <c r="HH9" s="769"/>
      <c r="HI9" s="769"/>
      <c r="HJ9" s="769"/>
      <c r="HK9" s="769"/>
      <c r="HL9" s="769"/>
      <c r="HM9" s="769"/>
      <c r="HN9" s="769"/>
      <c r="HO9" s="769"/>
      <c r="HP9" s="769"/>
      <c r="HQ9" s="769"/>
      <c r="HR9" s="769"/>
      <c r="HS9" s="769"/>
      <c r="HT9" s="769"/>
      <c r="HU9" s="769"/>
      <c r="HV9" s="769"/>
      <c r="HW9" s="769"/>
      <c r="HX9" s="769"/>
      <c r="HY9" s="769"/>
      <c r="HZ9" s="769"/>
      <c r="IA9" s="769"/>
      <c r="IB9" s="769"/>
      <c r="IC9" s="769"/>
      <c r="ID9" s="769"/>
    </row>
    <row r="10" spans="2:238" s="702" customFormat="1" ht="20.149999999999999" customHeight="1" thickBot="1" x14ac:dyDescent="0.4">
      <c r="B10" s="1956"/>
      <c r="C10" s="1958"/>
      <c r="D10" s="2218"/>
      <c r="E10" s="2219"/>
      <c r="F10" s="1867"/>
      <c r="G10" s="1634" t="s">
        <v>499</v>
      </c>
      <c r="H10" s="1974"/>
      <c r="I10" s="1976"/>
      <c r="J10" s="1867"/>
      <c r="K10" s="1867"/>
      <c r="L10" s="1398" t="s">
        <v>28</v>
      </c>
      <c r="M10" s="871" t="s">
        <v>576</v>
      </c>
      <c r="N10" s="1861"/>
      <c r="O10" s="1635" t="s">
        <v>47</v>
      </c>
      <c r="P10" s="871" t="s">
        <v>42</v>
      </c>
      <c r="Q10" s="1331" t="s">
        <v>47</v>
      </c>
      <c r="R10" s="1636" t="s">
        <v>42</v>
      </c>
      <c r="S10" s="1399" t="s">
        <v>47</v>
      </c>
      <c r="T10" s="1400" t="s">
        <v>42</v>
      </c>
      <c r="U10" s="1401" t="s">
        <v>47</v>
      </c>
      <c r="V10" s="1400" t="s">
        <v>42</v>
      </c>
      <c r="W10" s="1401" t="s">
        <v>47</v>
      </c>
      <c r="X10" s="1400" t="s">
        <v>42</v>
      </c>
      <c r="Y10" s="1401" t="s">
        <v>47</v>
      </c>
      <c r="Z10" s="1400" t="s">
        <v>42</v>
      </c>
      <c r="AA10" s="1399" t="s">
        <v>496</v>
      </c>
      <c r="AB10" s="1402" t="s">
        <v>42</v>
      </c>
      <c r="AC10" s="1915"/>
      <c r="AD10" s="1913"/>
      <c r="AE10" s="1859"/>
      <c r="AF10" s="1841"/>
      <c r="AG10" s="1841"/>
      <c r="AH10" s="1760"/>
      <c r="AI10" s="769"/>
      <c r="AO10" s="1839" t="s">
        <v>1059</v>
      </c>
      <c r="AP10" s="1839"/>
      <c r="AQ10" s="702" t="s">
        <v>582</v>
      </c>
      <c r="AY10" s="702" t="s">
        <v>516</v>
      </c>
      <c r="BD10" s="702" t="s">
        <v>82</v>
      </c>
      <c r="BE10" s="702" t="s">
        <v>580</v>
      </c>
      <c r="BF10" s="702" t="s">
        <v>578</v>
      </c>
      <c r="BG10" s="702" t="s">
        <v>587</v>
      </c>
      <c r="BH10" s="702" t="s">
        <v>386</v>
      </c>
      <c r="BI10" s="702" t="s">
        <v>227</v>
      </c>
      <c r="BJ10" s="702" t="s">
        <v>228</v>
      </c>
      <c r="BK10" s="702" t="s">
        <v>229</v>
      </c>
      <c r="BL10" s="702" t="s">
        <v>230</v>
      </c>
      <c r="BM10" s="702" t="s">
        <v>231</v>
      </c>
      <c r="BN10" s="702" t="s">
        <v>232</v>
      </c>
      <c r="BO10" s="702" t="s">
        <v>114</v>
      </c>
      <c r="BP10" s="702" t="s">
        <v>497</v>
      </c>
      <c r="BQ10" s="702" t="s">
        <v>590</v>
      </c>
      <c r="BR10" s="702" t="s">
        <v>585</v>
      </c>
      <c r="BT10" s="702" t="s">
        <v>98</v>
      </c>
      <c r="BU10" s="702" t="s">
        <v>80</v>
      </c>
      <c r="BW10" s="702" t="s">
        <v>589</v>
      </c>
      <c r="BX10" s="702" t="s">
        <v>106</v>
      </c>
      <c r="BY10" s="702" t="s">
        <v>82</v>
      </c>
      <c r="BZ10" s="702" t="s">
        <v>1073</v>
      </c>
      <c r="CA10" s="702" t="s">
        <v>222</v>
      </c>
      <c r="CB10" s="702" t="s">
        <v>355</v>
      </c>
      <c r="CC10" s="702" t="s">
        <v>405</v>
      </c>
      <c r="CD10" s="702" t="s">
        <v>33</v>
      </c>
      <c r="CE10" s="702" t="s">
        <v>360</v>
      </c>
      <c r="CF10" s="702" t="s">
        <v>67</v>
      </c>
      <c r="CG10" s="702" t="s">
        <v>148</v>
      </c>
      <c r="CH10" s="702" t="s">
        <v>370</v>
      </c>
      <c r="CI10" s="702" t="s">
        <v>500</v>
      </c>
      <c r="CJ10" s="702" t="s">
        <v>492</v>
      </c>
      <c r="CK10" s="702" t="s">
        <v>409</v>
      </c>
      <c r="CL10" s="702" t="s">
        <v>86</v>
      </c>
      <c r="CM10" s="702" t="s">
        <v>80</v>
      </c>
      <c r="CO10" s="1061" t="s">
        <v>904</v>
      </c>
      <c r="CP10" s="702" t="s">
        <v>904</v>
      </c>
      <c r="CQ10" s="702" t="s">
        <v>904</v>
      </c>
      <c r="CR10" s="702" t="s">
        <v>905</v>
      </c>
      <c r="CS10" s="702" t="s">
        <v>905</v>
      </c>
      <c r="CT10" s="702" t="s">
        <v>905</v>
      </c>
      <c r="CU10" s="702" t="s">
        <v>905</v>
      </c>
      <c r="CV10" s="1062"/>
      <c r="GA10" s="769"/>
      <c r="GB10" s="769"/>
      <c r="GC10" s="769"/>
      <c r="GD10" s="769"/>
      <c r="GE10" s="769"/>
      <c r="GF10" s="769"/>
      <c r="GG10" s="769"/>
      <c r="GH10" s="769"/>
      <c r="GI10" s="769"/>
      <c r="GJ10" s="769"/>
      <c r="GK10" s="769"/>
      <c r="GL10" s="769"/>
      <c r="GM10" s="769"/>
      <c r="GN10" s="769"/>
      <c r="GO10" s="769"/>
      <c r="GP10" s="769"/>
      <c r="GQ10" s="769"/>
      <c r="GR10" s="769"/>
      <c r="GS10" s="769"/>
      <c r="GT10" s="769"/>
      <c r="GU10" s="769"/>
      <c r="GV10" s="769"/>
      <c r="GW10" s="769"/>
      <c r="GX10" s="769"/>
      <c r="GY10" s="769"/>
      <c r="GZ10" s="769"/>
      <c r="HA10" s="769"/>
      <c r="HB10" s="769"/>
      <c r="HC10" s="769"/>
      <c r="HD10" s="769"/>
      <c r="HE10" s="769"/>
      <c r="HF10" s="769"/>
      <c r="HG10" s="769"/>
      <c r="HH10" s="769"/>
      <c r="HI10" s="769"/>
      <c r="HJ10" s="769"/>
      <c r="HK10" s="769"/>
      <c r="HL10" s="769"/>
      <c r="HM10" s="769"/>
      <c r="HN10" s="769"/>
      <c r="HO10" s="769"/>
      <c r="HP10" s="769"/>
      <c r="HQ10" s="769"/>
      <c r="HR10" s="769"/>
      <c r="HS10" s="769"/>
      <c r="HT10" s="769"/>
      <c r="HU10" s="769"/>
      <c r="HV10" s="769"/>
      <c r="HW10" s="769"/>
      <c r="HX10" s="769"/>
      <c r="HY10" s="769"/>
      <c r="HZ10" s="769"/>
      <c r="IA10" s="769"/>
      <c r="IB10" s="769"/>
      <c r="IC10" s="769"/>
      <c r="ID10" s="769"/>
    </row>
    <row r="11" spans="2:238" s="702" customFormat="1" ht="20.149999999999999" customHeight="1" x14ac:dyDescent="0.35">
      <c r="B11" s="193"/>
      <c r="C11" s="393"/>
      <c r="D11" s="2220"/>
      <c r="E11" s="2002"/>
      <c r="F11" s="127"/>
      <c r="G11" s="779"/>
      <c r="H11" s="127"/>
      <c r="I11" s="779"/>
      <c r="J11" s="127"/>
      <c r="K11" s="1225"/>
      <c r="L11" s="30"/>
      <c r="M11" s="121"/>
      <c r="N11" s="394"/>
      <c r="O11" s="205"/>
      <c r="P11" s="30"/>
      <c r="Q11" s="264"/>
      <c r="R11" s="266"/>
      <c r="S11" s="176">
        <v>1</v>
      </c>
      <c r="T11" s="555">
        <f t="shared" ref="T11:T48" si="0">K11</f>
        <v>0</v>
      </c>
      <c r="U11" s="30">
        <v>2</v>
      </c>
      <c r="V11" s="377"/>
      <c r="W11" s="30"/>
      <c r="X11" s="377"/>
      <c r="Y11" s="30"/>
      <c r="Z11" s="377"/>
      <c r="AA11" s="176"/>
      <c r="AB11" s="278"/>
      <c r="AC11" s="1380">
        <f>IF(BG11=0,0,SUM(BD11:BE11)/BG11)</f>
        <v>0</v>
      </c>
      <c r="AD11" s="906">
        <f>((D11*F11/324)*(1+K$71)+AV11)</f>
        <v>0</v>
      </c>
      <c r="AE11" s="1633">
        <f>IF(D11=0,0,AF11/D11)</f>
        <v>0</v>
      </c>
      <c r="AF11" s="155">
        <f>SUM(BW11)*(1+M$64+Summary!P$64)</f>
        <v>0</v>
      </c>
      <c r="AG11" s="632" t="e">
        <f t="shared" ref="AG11:AG48" si="1">D11/AD11</f>
        <v>#DIV/0!</v>
      </c>
      <c r="AH11" s="1758">
        <f>AF11*G11</f>
        <v>0</v>
      </c>
      <c r="AI11" s="769"/>
      <c r="AO11" s="702">
        <f t="shared" ref="AO11:AO48" si="2">IF(O11=1,P11*$T$52,0)+IF(O11=2,P11*$T$53,0)+IF(O11=3,P11*$T$54,0)+IF(O11=4,P11*$T$55,0)+IF(O11=5,P11*$T$56,0)+IF(O11=6,P11*$T$57,0)+IF(O11=7,P11*$T$58,0)+IF(O11=8,P11*$T$59,0)+IF(O11=9,P11*$T$60,0)+IF(O11=10,P11*$T$61,0)</f>
        <v>0</v>
      </c>
      <c r="AP11" s="702">
        <f>IF(Q11=1,R11*$T$52,0)+IF(Q11=2,R11*$T$53,0)+IF(Q11=3,R11*$T$54,0)+IF(Q11=4,R11*$T$55,0)+IF(Q11=5,R11*$T$56,0)+IF(Q11=6,R11*$T$57,0)+IF(Q11=7,R11*$T$58,0)+IF(Q11=8,R11*$T$59,0)+IF(Q11=9,R11*$T$60,0)+IF(Q11=10,R11*$T$61,0)</f>
        <v>0</v>
      </c>
      <c r="AQ11" s="702">
        <f t="shared" ref="AQ11:AQ48" si="3">IF(S11=1,T11*$T$52,0)+IF(S11=2,T11*$T$53,0)+IF(S11=3,T11*$T$54,0)+IF(S11=4,T11*$T$55,0)+IF(S11=5,T11*$T$56,0)+IF(S11=6,T11*$T$57,0)+IF(S11=7,T11*$T$58,0)+IF(S11=8,T11*$T$59,0)+IF(S11=9,T11*$T$60,0)+IF(S11=10,T11*$T$61,0)</f>
        <v>0</v>
      </c>
      <c r="AR11" s="702">
        <f t="shared" ref="AR11:AR48" si="4">IF(U11=1,V11*$T$52,0)+IF(U11=2,V11*$T$53,0)+IF(U11=3,V11*$T$54,0)+IF(U11=4,V11*$T$55,0)+IF(U11=5,V11*$T$56,0)+IF(U11=6,V11*$T$57,0)+IF(U11=7,V11*$T$58,0)+IF(U11=8,V11*$T$59,0)+IF(U11=9,V11*$T$60,0)+IF(U11=10,V11*$T$61,0)</f>
        <v>0</v>
      </c>
      <c r="AS11" s="702">
        <f t="shared" ref="AS11:AS48" si="5">IF(W11=1,X11*$T$52,0)+IF(W11=2,X11*$T$53,0)+IF(W11=3,X11*$T$54,0)+IF(W11=4,X11*$T$55,0)+IF(W11=5,X11*$T$56,0)+IF(W11=6,X11*$T$57,0)+IF(W11=7,X11*$T$58,0)+IF(W11=8,X11*$T$59,0)+IF(W11=9,X11*$T$60,0)+IF(W11=10,X11*$T$61,0)</f>
        <v>0</v>
      </c>
      <c r="AT11" s="702">
        <f t="shared" ref="AT11:AT48" si="6">IF(Y11=1,Z11*$T$52,0)+IF(Y11=2,Z11*$T$53,0)+IF(Y11=3,Z11*$T$54,0)+IF(Y11=4,Z11*$T$55,0)+IF(Y11=5,Z11*$T$56,0)+IF(Y11=6,Z11*$T$57,0)+IF(Y11=7,Z11*$T$58,0)+IF(Y11=8,Z11*$T$59,0)+IF(Y11=9,Z11*$T$60,0)+IF(Y11=10,Z11*$T$61,0)</f>
        <v>0</v>
      </c>
      <c r="AU11" s="702">
        <f t="shared" ref="AU11:AU48" si="7">IF(AA11=1,AB11*$T$52,0)+IF(AA11=2,AB11*$T$53,0)+IF(AA11=3,AB11*$T$54,0)+IF(AA11=4,AB11*$T$55,0)+IF(AA11=5,AB11*$T$56,0)+IF(AA11=6,AB11*$T$57,0)+IF(AA11=7,AB11*$T$58,0)+IF(AA11=8,AB11*$T$59,0)+IF(AA11=9,AB11*$T$60,0)+IF(AA11=10,AB11*$T$61,0)</f>
        <v>0</v>
      </c>
      <c r="AV11" s="1063">
        <f>SUM(AO11:AU11)</f>
        <v>0</v>
      </c>
      <c r="AW11" s="1063">
        <f t="shared" ref="AW11:AW48" si="8">ROUNDUP(IF(O11=1,P11*$P$52,0)+IF(O11=2,P11*$P$53,0)+IF(O11=3,P11*$P$54,0)+IF(O11=4,P11*$P$55,0)+IF(O11=5,P11*$P$56,0)+IF(O11=6,P11*$P$57,0)+IF(O11=7,P11*$P$58,0)+IF(O11=8,P11*$P$59,0)+IF(O11=9,P11*$P$60,0)+IF(O11=10,P11*$P$61,0),0)*BG11</f>
        <v>0</v>
      </c>
      <c r="AX11" s="702">
        <f>ROUNDUP(IF(Q11=1,R11*$P$52,0)+IF(Q11=2,R11*$P$53,0)+IF(Q11=3,R11*$P$54,0)+IF(Q11=4,R11*$P$55,0)+IF(Q11=5,R11*$P$56,0)+IF(Q11=6,R11*$P$57,0)+IF(Q11=7,R11*$P$58,0)+IF(Q11=8,R11*$P$59,0)+IF(Q11=9,R11*$P$60,0)+IF(Q11=10,R11*$P$61,0),0)</f>
        <v>0</v>
      </c>
      <c r="AY11" s="702">
        <f t="shared" ref="AY11:AY48" si="9">ROUNDUP(IF(S11=1,T11*$P$52,0)+IF(S11=2,T11*$P$53,0)+IF(S11=3,T11*$P$54,0)+IF(S11=4,T11*$P$55,0)+IF(S11=5,T11*$P$56,0)+IF(S11=6,T11*$P$57,0)+IF(S11=7,T11*$P$58,0)+IF(S11=8,T11*$P$59,0)+IF(S11=9,T11*$P$60,0)+IF(S11=10,T11*$P$61,0),0)</f>
        <v>0</v>
      </c>
      <c r="AZ11" s="702">
        <f t="shared" ref="AZ11:AZ48" si="10">ROUNDUP(IF(U11=1,V11*$P$52,0)+IF(U11=2,V11*$P$53,0)+IF(U11=3,V11*$P$54,0)+IF(U11=4,V11*$P$55,0)+IF(U11=5,V11*$P$56,0)+IF(U11=6,V11*$P$57,0)+IF(U11=7,V11*$P$58,0)+IF(U11=8,V11*$P$59,0)+IF(U11=9,V11*$P$60,0)+IF(U11=10,V11*$P$61,0),0)</f>
        <v>0</v>
      </c>
      <c r="BA11" s="702">
        <f t="shared" ref="BA11:BA48" si="11">ROUNDUP(IF(W11=1,X11*$P$52,0)+IF(W11=2,X11*$P$53,0)+IF(W11=3,X11*$P$54,0)+IF(W11=4,X11*$P$55,0)+IF(W11=5,X11*$P$56,0)+IF(W11=6,X11*$P$57,0)+IF(W11=7,X11*$P$58,0)+IF(W11=8,X11*$P$59,0)+IF(W11=9,X11*$P$60,0)+IF(W11=10,X11*$P$61,0),0)</f>
        <v>0</v>
      </c>
      <c r="BB11" s="702">
        <f t="shared" ref="BB11:BB48" si="12">ROUNDUP(IF(Y11=1,Z11*$P$52,0)+IF(Y11=2,Z11*$P$53,0)+IF(Y11=3,Z11*$P$54,0)+IF(Y11=4,Z11*$P$55,0)+IF(Y11=5,Z11*$P$56,0)+IF(Y11=6,Z11*$P$57,0)+IF(Y11=7,Z11*$P$58,0)+IF(Y11=8,Z11*$P$59,0)+IF(Y11=9,Z11*$P$60,0)+IF(Y11=10,Z11*$P$61,0),0)</f>
        <v>0</v>
      </c>
      <c r="BC11" s="702">
        <f t="shared" ref="BC11:BC48" si="13">ROUNDUP(IF(AA11=1,AB11*$P$52,0)+IF(AA11=2,AB11*$P$53,0)+IF(AA11=3,AB11*$P$54,0)+IF(AA11=4,AB11*$P$55,0)+IF(AA11=5,AB11*$P$56,0)+IF(AA11=6,AB11*$P$57,0)+IF(AA11=7,AB11*$P$58,0)+IF(AA11=8,AB11*$P$59,0)+IF(AA11=9,AB11*$P$60,0)+IF(AA11=10,AB11*$P$61,0),0)</f>
        <v>0</v>
      </c>
      <c r="BD11" s="1063">
        <f>SUM(AW11:BC11)*BG11</f>
        <v>0</v>
      </c>
      <c r="BE11" s="1064">
        <f t="shared" ref="BE11:BE48" si="14">IF(M11=0,0,(M11/12+M11/12)/(M11/12*M11/12)*D11*((L11/16*L11/16)*10.6870159))*(1+K$74)*BG11</f>
        <v>0</v>
      </c>
      <c r="BF11" s="1063">
        <f t="shared" ref="BF11:BF48" si="15">IF(N11="Y",D11*(1+K$75)*BG11,0)</f>
        <v>0</v>
      </c>
      <c r="BG11" s="1065">
        <f t="shared" ref="BG11:BG48" si="16">G11</f>
        <v>0</v>
      </c>
      <c r="BH11" s="702">
        <f t="shared" ref="BH11:BH48" si="17">IF(N11="y",D11,0)</f>
        <v>0</v>
      </c>
      <c r="BI11" s="1063">
        <f>IF($I11=1,$AD11,0)*BG11</f>
        <v>0</v>
      </c>
      <c r="BJ11" s="1063">
        <f t="shared" ref="BJ11:BJ48" si="18">IF($I11=2,$AD11,0)*BG11</f>
        <v>0</v>
      </c>
      <c r="BK11" s="1063">
        <f t="shared" ref="BK11:BK48" si="19">IF($I11=3,$AD11,0)*BG11</f>
        <v>0</v>
      </c>
      <c r="BL11" s="1063">
        <f t="shared" ref="BL11:BL48" si="20">IF($I11=4,$AD11,0)*BG11</f>
        <v>0</v>
      </c>
      <c r="BM11" s="1063">
        <f t="shared" ref="BM11:BM48" si="21">IF($I11=5,$AD11,0)*BG11</f>
        <v>0</v>
      </c>
      <c r="BN11" s="1064">
        <f>IF($I11=6,$AD11,0)*BG11</f>
        <v>0</v>
      </c>
      <c r="BO11" s="1761">
        <f>SUM(BI11:BN11)</f>
        <v>0</v>
      </c>
      <c r="BP11" s="1063">
        <f>IF(H11="N",0,D11)*BG11</f>
        <v>0</v>
      </c>
      <c r="BQ11" s="1064">
        <f t="shared" ref="BQ11:BQ48" si="22">K11*BG11</f>
        <v>0</v>
      </c>
      <c r="BR11" s="1063">
        <f t="shared" ref="BR11:BR48" si="23">IF(O11=1,D$52*P11/12,IF(O11=2,D$53*P11/12,IF(O11=3,D$54*P11/12,IF(O11=4,D$55*P11/12,IF(O11=5,D$56*P11/12,IF(O11=6,D$57*P11/12,IF(O11=7,D$58*P11/12,IF(O11=8,D$59*P11/12,IF(O11=9,D$60*P11/12,IF(O11=10,D$61*P11/12,0))))))*BG11))))</f>
        <v>0</v>
      </c>
      <c r="BS11" s="1063">
        <f>IF(Q11=1,D$52*R11/12,IF(Q11=2,D$53*R11/12,IF(Q11=3,D$54*R11/12,IF(Q11=4,D$55*R11/12,IF(Q11=5,D$56*R11/12,IF(Q11=6,D$57*R11/12,IF(Q11=7,D$58*R11/12,IF(Q11=8,D$59*R11/12,IF(Q11=9,D$60*R11/12,IF(Q11=10,D$61*R11/12,0))))))*BG11))))</f>
        <v>0</v>
      </c>
      <c r="BT11" s="1064">
        <f t="shared" ref="BT11:BT48" si="24">D11*BG11</f>
        <v>0</v>
      </c>
      <c r="BU11" s="1064">
        <f t="shared" ref="BU11:BU48" si="25">D11*J11/324*(1+K$77)*BG11</f>
        <v>0</v>
      </c>
      <c r="BV11" s="1064">
        <f>AC11*BG11</f>
        <v>0</v>
      </c>
      <c r="BW11" s="1066">
        <f t="shared" ref="BW11:BW48" si="26">IF(BG11=0,0,SUM(BX11:CM11)/BG11)</f>
        <v>0</v>
      </c>
      <c r="BX11" s="1063">
        <f>(BI11*Pricing!F$2+BJ11*Pricing!G$2+BK11*Pricing!H$2+BL11*Pricing!I$2+BM11*Pricing!J$2+BN11*Pricing!K$2)*IF(AC$63="N",(1+AE$63),1)</f>
        <v>0</v>
      </c>
      <c r="BY11" s="1063">
        <f>AC11*G$74*IF(AC$63="n",1+AE$63,1)*BG11</f>
        <v>0</v>
      </c>
      <c r="BZ11" s="1063">
        <f>IF(I$83=0,0,D11*(SUM(L$83:M$86)+L$88)/I$83*BG11)</f>
        <v>0</v>
      </c>
      <c r="CA11" s="1063">
        <f>IF(I$83=0,0,D11*(SUM(O$83:P$86)+O$88)/I$83*BG11)</f>
        <v>0</v>
      </c>
      <c r="CB11" s="1067">
        <f t="shared" ref="CB11:CB48" si="27">BR11*E$87</f>
        <v>0</v>
      </c>
      <c r="CD11" s="702">
        <f>BD11/2000*E$89</f>
        <v>0</v>
      </c>
      <c r="CE11" s="1063">
        <f t="shared" ref="CE11:CE48" si="28">IF(D$49=0,0,SUM(O$92:P$96)/D$49*D11)*BG11</f>
        <v>0</v>
      </c>
      <c r="CF11" s="1063">
        <f t="shared" ref="CF11:CF48" si="29">IF(D$49=0,0,SUM(AF$72:AF$99)/D$49*D11*BG11)</f>
        <v>0</v>
      </c>
      <c r="CG11" s="1063">
        <f t="shared" ref="CG11:CG48" si="30">IF(D$49=0,0,SUM(O$98:P$103)/D$49*D11)*BG11</f>
        <v>0</v>
      </c>
      <c r="CH11" s="702">
        <f t="shared" ref="CH11:CH48" si="31">IF(D$49=0,0,SUM(O$105:O$111)/D$49)*D11*BG11</f>
        <v>0</v>
      </c>
      <c r="CI11" s="1063">
        <f t="shared" ref="CI11:CI48" si="32">IF(D$49=0,0,SUM(AF$100:AF$111)/D$49*D11*BG11)</f>
        <v>0</v>
      </c>
      <c r="CJ11" s="702">
        <f t="shared" ref="CJ11:CJ48" si="33">IF(J$76&gt;0,J$76/D$49*D11*G11,BP11*(G$76*(1+AE$63)))</f>
        <v>0</v>
      </c>
      <c r="CK11" s="1063">
        <f t="shared" ref="CK11:CK48" si="34">IF(L$78=0,0,O$78/L$78)*AW11+IF(L$79=0,0,O$79/L$79)*BC11+IF(L$80=0,0,O$80/L$80)*BC11</f>
        <v>0</v>
      </c>
      <c r="CL11" s="704">
        <f t="shared" ref="CL11:CL48" si="35">BF11*G$75*IF(AC$63="Y",1,1+AE$63)</f>
        <v>0</v>
      </c>
      <c r="CM11" s="702">
        <f t="shared" ref="CM11:CM48" si="36">BU11*G$77*IF(AC$63="Y",1,1+AE$63)</f>
        <v>0</v>
      </c>
      <c r="CO11" s="1061">
        <f>IF(O11=1,P11*$AM$52,0)+IF(O11=2,P11*$AM$53,0)+IF(O11=3,P11*$AM$54,0)+IF(O11=4,P11*$AM$55,0)+IF(O11=5,P11*$AM$56,0)+IF(O11=6,P11*$AM$57,0)+IF(O11=7,P11*$AM$58,0)+IF(O11=8,P11*$AM$59,0)+IF(O11=9,P11*$AM$60,0)+IF(O11=10,P11*$AM$61,0)</f>
        <v>0</v>
      </c>
      <c r="CP11" s="702">
        <f>IF(Q11=1,R11*$AM$52,0)+IF(Q11=2,R11*$AM$53,0)+IF(Q11=3,R11*$AM$54,0)+IF(Q11=4,R11*$AM$55,0)+IF(Q11=5,R11*$AM$56,0)+IF(Q11=6,R11*$AM$57,0)+IF(Q11=7,R11*$AM$58,0)+IF(Q11=8,R11*$AM$59,0)+IF(Q11=9,R11*$AM$60,0)+IF(Q11=10,R11*$AM$61,0)</f>
        <v>0</v>
      </c>
      <c r="CQ11" s="702">
        <f>IF(S11=1,T11*$AM$52,0)+IF(S11=2,T11*$AM$53,0)+IF(S11=3,T11*$AM$54,0)+IF(S11=4,T11*$AM$55,0)+IF(S11=5,T11*$AM$56,0)+IF(S11=6,T11*$AM$57,0)+IF(S11=7,T11*$AM$58,0)+IF(S11=8,T11*$AM$59,0)+IF(S11=9,T11*$AM$60,0)+IF(S11=10,T11*$AM$61,0)</f>
        <v>0</v>
      </c>
      <c r="CR11" s="702">
        <f>IF(U11=1,V11*$AM$52,0)+IF(U11=2,V11*$AM$53,0)+IF(U11=3,V11*$AM$54,0)+IF(U11=4,V11*$AM$55,0)+IF(U11=5,V11*$AM$56,0)+IF(U11=6,V11*$AM$57,0)+IF(U11=7,V11*$AM$58,0)+IF(U11=8,V11*$AM$59,0)+IF(U11=9,V11*$AM$60,0)+IF(U11=10,V11*$AM$61,0)</f>
        <v>0</v>
      </c>
      <c r="CS11" s="702">
        <f>IF(W11=1,X11*$AM$52,0)+IF(W11=2,X11*$AM$53,0)+IF(W11=3,X11*$AM$54,0)+IF(W11=4,X11*$AM$55,0)+IF(W11=5,X11*$AM$56,0)+IF(W11=6,X11*$AM$57,0)+IF(W11=7,X11*$AM$58,0)+IF(W11=8,X11*$AM$59,0)+IF(W11=9,X11*$AM$60,0)+IF(W11=10,X11*$AM$61,0)</f>
        <v>0</v>
      </c>
      <c r="CT11" s="702">
        <f>IF(Y11=1,Z11*$AM$52,0)+IF(Y11=2,Z11*$AM$53,0)+IF(Y11=3,Z11*$AM$54,0)+IF(Y11=4,Z11*$AM$55,0)+IF(Y11=5,Z11*$AM$56,0)+IF(Y11=6,Z11*$AM$57,0)+IF(Y11=7,Z11*$AM$58,0)+IF(Y11=8,Z11*$AM$59,0)+IF(Y11=9,Z11*$AM$60,0)+IF(Y11=10,Z11*$AM$61,0)</f>
        <v>0</v>
      </c>
      <c r="CU11" s="702">
        <f>IF(AA11=1,AB11*$AM$52,0)+IF(AA11=2,AB11*$AM$53,0)+IF(AA11=3,AB11*$AM$54,0)+IF(AA11=4,AB11*$AM$55,0)+IF(AA11=5,AB11*$AM$56,0)+IF(AA11=6,AB11*$AM$57,0)+IF(AA11=7,AB11*$AM$58,0)+IF(AA11=8,AB11*$AM$59,0)+IF(AA11=9,AB11*$AM$60,0)+IF(AA11=10,AB11*$AM$61,0)</f>
        <v>0</v>
      </c>
      <c r="CV11" s="1068">
        <f t="shared" ref="CV11:CV48" si="37">D11</f>
        <v>0</v>
      </c>
      <c r="CW11" s="1064">
        <f>SUM(CO11:CV11)*BG11</f>
        <v>0</v>
      </c>
      <c r="FU11" s="701"/>
      <c r="FV11" s="701"/>
      <c r="FW11" s="701"/>
      <c r="FX11" s="701"/>
      <c r="FY11" s="701"/>
      <c r="FZ11" s="701"/>
      <c r="GA11" s="701"/>
      <c r="GB11" s="701"/>
      <c r="GC11" s="701"/>
      <c r="GD11" s="701"/>
      <c r="GE11" s="701"/>
      <c r="GF11" s="701"/>
      <c r="GG11" s="701"/>
      <c r="GH11" s="701"/>
      <c r="GI11" s="701"/>
      <c r="GJ11" s="701"/>
      <c r="GK11" s="701"/>
      <c r="GL11" s="701"/>
      <c r="GM11" s="701"/>
      <c r="GN11" s="701"/>
      <c r="GO11" s="701"/>
      <c r="GP11" s="701"/>
      <c r="GQ11" s="701"/>
      <c r="GR11" s="701"/>
      <c r="GS11" s="701"/>
      <c r="GT11" s="701"/>
      <c r="GU11" s="701"/>
      <c r="GV11" s="701"/>
      <c r="GW11" s="701"/>
      <c r="GX11" s="701"/>
      <c r="GY11" s="701"/>
      <c r="GZ11" s="701"/>
      <c r="HA11" s="701"/>
      <c r="HB11" s="701"/>
      <c r="HC11" s="701"/>
      <c r="HD11" s="701"/>
      <c r="HE11" s="701"/>
      <c r="HF11" s="701"/>
      <c r="HG11" s="701"/>
      <c r="HH11" s="701"/>
      <c r="HI11" s="701"/>
      <c r="HJ11" s="701"/>
      <c r="HK11" s="701"/>
      <c r="HL11" s="701"/>
      <c r="HM11" s="701"/>
      <c r="HN11" s="701"/>
      <c r="HO11" s="701"/>
      <c r="HP11" s="701"/>
      <c r="HQ11" s="701"/>
      <c r="HR11" s="701"/>
      <c r="HS11" s="701"/>
      <c r="HT11" s="701"/>
      <c r="HU11" s="701"/>
      <c r="HV11" s="701"/>
      <c r="HW11" s="701"/>
      <c r="HX11" s="701"/>
    </row>
    <row r="12" spans="2:238" s="702" customFormat="1" ht="20.149999999999999" customHeight="1" x14ac:dyDescent="0.35">
      <c r="B12" s="398"/>
      <c r="C12" s="396"/>
      <c r="D12" s="1991"/>
      <c r="E12" s="1992"/>
      <c r="F12" s="97"/>
      <c r="G12" s="777"/>
      <c r="H12" s="97"/>
      <c r="I12" s="779"/>
      <c r="J12" s="97"/>
      <c r="K12" s="781"/>
      <c r="L12" s="32"/>
      <c r="M12" s="211"/>
      <c r="N12" s="397"/>
      <c r="O12" s="212"/>
      <c r="P12" s="32"/>
      <c r="Q12" s="810"/>
      <c r="R12" s="722"/>
      <c r="S12" s="180">
        <v>1</v>
      </c>
      <c r="T12" s="554">
        <f t="shared" si="0"/>
        <v>0</v>
      </c>
      <c r="U12" s="32">
        <v>2</v>
      </c>
      <c r="V12" s="371"/>
      <c r="W12" s="32"/>
      <c r="X12" s="371"/>
      <c r="Y12" s="32"/>
      <c r="Z12" s="371"/>
      <c r="AA12" s="180"/>
      <c r="AB12" s="280"/>
      <c r="AC12" s="1380">
        <f>IF(BG12=0,0,SUM(BD12:BE12)/BG12)</f>
        <v>0</v>
      </c>
      <c r="AD12" s="906">
        <f t="shared" ref="AD12:AD48" si="38">(D12*F12/324)*(1+K$71)+AV12</f>
        <v>0</v>
      </c>
      <c r="AE12" s="794">
        <f t="shared" ref="AE12:AE48" si="39">IF(D12=0,0,AF12/D12)</f>
        <v>0</v>
      </c>
      <c r="AF12" s="155">
        <f>SUM(BW12)*(1+M$64+Summary!P$64)</f>
        <v>0</v>
      </c>
      <c r="AG12" s="632" t="e">
        <f t="shared" si="1"/>
        <v>#DIV/0!</v>
      </c>
      <c r="AH12" s="1758">
        <f t="shared" ref="AH12:AH48" si="40">AF12*G12</f>
        <v>0</v>
      </c>
      <c r="AI12" s="769"/>
      <c r="AO12" s="702">
        <f t="shared" si="2"/>
        <v>0</v>
      </c>
      <c r="AP12" s="702">
        <f t="shared" ref="AP12:AP48" si="41">IF(Q12=1,R12*$T$52,0)+IF(Q12=2,R12*$T$53,0)+IF(Q12=3,R12*$T$54,0)+IF(Q12=4,R12*$T$55,0)+IF(Q12=5,R12*$T$56,0)+IF(Q12=6,R12*$T$57,0)+IF(Q12=7,R12*$T$58,0)+IF(Q12=8,R12*$T$59,0)+IF(Q12=9,R12*$T$60,0)+IF(Q12=10,R12*$T$61,0)</f>
        <v>0</v>
      </c>
      <c r="AQ12" s="702">
        <f t="shared" si="3"/>
        <v>0</v>
      </c>
      <c r="AR12" s="702">
        <f t="shared" si="4"/>
        <v>0</v>
      </c>
      <c r="AS12" s="702">
        <f t="shared" si="5"/>
        <v>0</v>
      </c>
      <c r="AT12" s="702">
        <f t="shared" si="6"/>
        <v>0</v>
      </c>
      <c r="AU12" s="702">
        <f t="shared" si="7"/>
        <v>0</v>
      </c>
      <c r="AV12" s="1063">
        <f t="shared" ref="AV12:AV48" si="42">SUM(AO12:AU12)</f>
        <v>0</v>
      </c>
      <c r="AW12" s="1063">
        <f t="shared" si="8"/>
        <v>0</v>
      </c>
      <c r="AX12" s="702">
        <f t="shared" ref="AX12:AX48" si="43">ROUNDUP(IF(Q12=1,R12*$P$52,0)+IF(Q12=2,R12*$P$53,0)+IF(Q12=3,R12*$P$54,0)+IF(Q12=4,R12*$P$55,0)+IF(Q12=5,R12*$P$56,0)+IF(Q12=6,R12*$P$57,0)+IF(Q12=7,R12*$P$58,0)+IF(Q12=8,R12*$P$59,0)+IF(Q12=9,R12*$P$60,0)+IF(Q12=10,R12*$P$61,0),0)</f>
        <v>0</v>
      </c>
      <c r="AY12" s="702">
        <f t="shared" si="9"/>
        <v>0</v>
      </c>
      <c r="AZ12" s="702">
        <f t="shared" si="10"/>
        <v>0</v>
      </c>
      <c r="BA12" s="702">
        <f t="shared" si="11"/>
        <v>0</v>
      </c>
      <c r="BB12" s="702">
        <f t="shared" si="12"/>
        <v>0</v>
      </c>
      <c r="BC12" s="702">
        <f t="shared" si="13"/>
        <v>0</v>
      </c>
      <c r="BD12" s="1063">
        <f t="shared" ref="BD12:BD48" si="44">SUM(AW12:BC12)*BG12</f>
        <v>0</v>
      </c>
      <c r="BE12" s="1064">
        <f t="shared" si="14"/>
        <v>0</v>
      </c>
      <c r="BF12" s="1063">
        <f t="shared" si="15"/>
        <v>0</v>
      </c>
      <c r="BG12" s="1065">
        <f t="shared" si="16"/>
        <v>0</v>
      </c>
      <c r="BH12" s="702">
        <f t="shared" si="17"/>
        <v>0</v>
      </c>
      <c r="BI12" s="1063">
        <f t="shared" ref="BI12:BI48" si="45">IF($I12=1,$AD12,0)*BG12</f>
        <v>0</v>
      </c>
      <c r="BJ12" s="1063">
        <f t="shared" si="18"/>
        <v>0</v>
      </c>
      <c r="BK12" s="1063">
        <f t="shared" si="19"/>
        <v>0</v>
      </c>
      <c r="BL12" s="1063">
        <f t="shared" si="20"/>
        <v>0</v>
      </c>
      <c r="BM12" s="1063">
        <f t="shared" si="21"/>
        <v>0</v>
      </c>
      <c r="BN12" s="1064">
        <f t="shared" ref="BN12:BN48" si="46">IF($I12=6,$AD12,0)*BG12</f>
        <v>0</v>
      </c>
      <c r="BO12" s="1761">
        <f t="shared" ref="BO12:BO48" si="47">SUM(BI12:BN12)</f>
        <v>0</v>
      </c>
      <c r="BP12" s="1063">
        <f t="shared" ref="BP12:BP48" si="48">IF(H12="N",0,D12)*BG12</f>
        <v>0</v>
      </c>
      <c r="BQ12" s="1064">
        <f t="shared" si="22"/>
        <v>0</v>
      </c>
      <c r="BR12" s="1063">
        <f t="shared" si="23"/>
        <v>0</v>
      </c>
      <c r="BS12" s="1063">
        <f t="shared" ref="BS12:BS48" si="49">IF(Q12=1,D$52*R12/12,IF(Q12=2,D$53*R12/12,IF(Q12=3,D$54*R12/12,IF(Q12=4,D$55*R12/12,IF(Q12=5,D$56*R12/12,IF(Q12=6,D$57*R12/12,IF(Q12=7,D$58*R12/12,IF(Q12=8,D$59*R12/12,IF(Q12=9,D$60*R12/12,IF(Q12=10,D$61*R12/12,0))))))*BG12))))</f>
        <v>0</v>
      </c>
      <c r="BT12" s="1064">
        <f t="shared" si="24"/>
        <v>0</v>
      </c>
      <c r="BU12" s="1064">
        <f t="shared" si="25"/>
        <v>0</v>
      </c>
      <c r="BV12" s="1064">
        <f t="shared" ref="BV12:BV48" si="50">AC12*BG12</f>
        <v>0</v>
      </c>
      <c r="BW12" s="1066">
        <f t="shared" si="26"/>
        <v>0</v>
      </c>
      <c r="BX12" s="1063">
        <f>(BI12*Pricing!F$2+BJ12*Pricing!G$2+BK12*Pricing!H$2+BL12*Pricing!I$2+BM12*Pricing!J$2+BN12*Pricing!K$2)*IF(AC$63="N",(1+AE$63),1)</f>
        <v>0</v>
      </c>
      <c r="BY12" s="1063">
        <f t="shared" ref="BY12:BY48" si="51">AC12*G$74*IF(AC$63="n",1+AE$63,1)*BG12</f>
        <v>0</v>
      </c>
      <c r="BZ12" s="1063">
        <f t="shared" ref="BZ12:BZ48" si="52">IF(I$83=0,0,D12*(SUM(L$83:M$86)+L$88)/I$83*BG12)</f>
        <v>0</v>
      </c>
      <c r="CA12" s="1063">
        <f t="shared" ref="CA12:CA48" si="53">IF(I$83=0,0,D12*(SUM(O$83:P$86)+O$88)/I$83*BG12)</f>
        <v>0</v>
      </c>
      <c r="CB12" s="1067">
        <f t="shared" si="27"/>
        <v>0</v>
      </c>
      <c r="CD12" s="702">
        <f t="shared" ref="CD12:CD48" si="54">BD12/2000*E$89</f>
        <v>0</v>
      </c>
      <c r="CE12" s="1063">
        <f t="shared" si="28"/>
        <v>0</v>
      </c>
      <c r="CF12" s="1063">
        <f t="shared" si="29"/>
        <v>0</v>
      </c>
      <c r="CG12" s="1063">
        <f t="shared" si="30"/>
        <v>0</v>
      </c>
      <c r="CH12" s="702">
        <f t="shared" si="31"/>
        <v>0</v>
      </c>
      <c r="CI12" s="1063">
        <f t="shared" si="32"/>
        <v>0</v>
      </c>
      <c r="CJ12" s="702">
        <f t="shared" si="33"/>
        <v>0</v>
      </c>
      <c r="CK12" s="1063">
        <f t="shared" si="34"/>
        <v>0</v>
      </c>
      <c r="CL12" s="704">
        <f t="shared" si="35"/>
        <v>0</v>
      </c>
      <c r="CM12" s="702">
        <f t="shared" si="36"/>
        <v>0</v>
      </c>
      <c r="CO12" s="1061">
        <f t="shared" ref="CO12:CO48" si="55">IF(O12=1,P12*$AM$52,0)+IF(O12=2,P12*$AM$53,0)+IF(O12=3,P12*$AM$54,0)+IF(O12=4,P12*$AM$55,0)+IF(O12=5,P12*$AM$56,0)+IF(O12=6,P12*$AM$57,0)+IF(O12=7,P12*$AM$58,0)+IF(O12=8,P12*$AM$59,0)+IF(O12=9,P12*$AM$60,0)+IF(O12=10,P12*$AM$61,0)</f>
        <v>0</v>
      </c>
      <c r="CP12" s="702">
        <f t="shared" ref="CP12:CP48" si="56">IF(Q12=1,R12*$AM$52,0)+IF(Q12=2,R12*$AM$53,0)+IF(Q12=3,R12*$AM$54,0)+IF(Q12=4,R12*$AM$55,0)+IF(Q12=5,R12*$AM$56,0)+IF(Q12=6,R12*$AM$57,0)+IF(Q12=7,R12*$AM$58,0)+IF(Q12=8,R12*$AM$59,0)+IF(Q12=9,R12*$AM$60,0)+IF(Q12=10,R12*$AM$61,0)</f>
        <v>0</v>
      </c>
      <c r="CQ12" s="702">
        <f t="shared" ref="CQ12:CQ48" si="57">IF(S12=1,T12*$AM$52,0)+IF(S12=2,T12*$AM$53,0)+IF(S12=3,T12*$AM$54,0)+IF(S12=4,T12*$AM$55,0)+IF(S12=5,T12*$AM$56,0)+IF(S12=6,T12*$AM$57,0)+IF(S12=7,T12*$AM$58,0)+IF(S12=8,T12*$AM$59,0)+IF(S12=9,T12*$AM$60,0)+IF(S12=10,T12*$AM$61,0)</f>
        <v>0</v>
      </c>
      <c r="CR12" s="702">
        <f>IF(U12=1,V12*$AM$52,0)+IF(U12=2,V12*$AM$53,0)+IF(U12=3,V12*$AM$54,0)+IF(U12=4,V12*$AM$55,0)+IF(U12=5,V12*$AM$56,0)+IF(U12=6,V12*$AM$57,0)+IF(U12=7,V12*$AM$58,0)+IF(U12=8,V12*$AM$59,0)+IF(U12=9,V12*$AM$60,0)+IF(U12=10,V12*$AM$61,0)</f>
        <v>0</v>
      </c>
      <c r="CS12" s="702">
        <f t="shared" ref="CS12:CS48" si="58">IF(W12=1,X12*$AM$52,0)+IF(W12=2,X12*$AM$53,0)+IF(W12=3,X12*$AM$54,0)+IF(W12=4,X12*$AM$55,0)+IF(W12=5,X12*$AM$56,0)+IF(W12=6,X12*$AM$57,0)+IF(W12=7,X12*$AM$58,0)+IF(W12=8,X12*$AM$59,0)+IF(W12=9,X12*$AM$60,0)+IF(W12=10,X12*$AM$61,0)</f>
        <v>0</v>
      </c>
      <c r="CT12" s="702">
        <f t="shared" ref="CT12:CT48" si="59">IF(Y12=1,Z12*$AM$52,0)+IF(Y12=2,Z12*$AM$53,0)+IF(Y12=3,Z12*$AM$54,0)+IF(Y12=4,Z12*$AM$55,0)+IF(Y12=5,Z12*$AM$56,0)+IF(Y12=6,Z12*$AM$57,0)+IF(Y12=7,Z12*$AM$58,0)+IF(Y12=8,Z12*$AM$59,0)+IF(Y12=9,Z12*$AM$60,0)+IF(Y12=10,Z12*$AM$61,0)</f>
        <v>0</v>
      </c>
      <c r="CU12" s="702">
        <f t="shared" ref="CU12:CU48" si="60">IF(AA12=1,AB12*$AM$52,0)+IF(AA12=2,AB12*$AM$53,0)+IF(AA12=3,AB12*$AM$54,0)+IF(AA12=4,AB12*$AM$55,0)+IF(AA12=5,AB12*$AM$56,0)+IF(AA12=6,AB12*$AM$57,0)+IF(AA12=7,AB12*$AM$58,0)+IF(AA12=8,AB12*$AM$59,0)+IF(AA12=9,AB12*$AM$60,0)+IF(AA12=10,AB12*$AM$61,0)</f>
        <v>0</v>
      </c>
      <c r="CV12" s="1068">
        <f t="shared" si="37"/>
        <v>0</v>
      </c>
      <c r="CW12" s="1064">
        <f t="shared" ref="CW12:CW48" si="61">SUM(CO12:CV12)*BG12</f>
        <v>0</v>
      </c>
      <c r="FX12" s="701"/>
      <c r="FY12" s="701"/>
      <c r="FZ12" s="701"/>
      <c r="GA12" s="701"/>
      <c r="GB12" s="701"/>
      <c r="GC12" s="701"/>
      <c r="GD12" s="701"/>
      <c r="GE12" s="701"/>
      <c r="GF12" s="701"/>
      <c r="GG12" s="701"/>
      <c r="GH12" s="701"/>
      <c r="GI12" s="701"/>
      <c r="GJ12" s="701"/>
      <c r="GK12" s="701"/>
      <c r="GL12" s="701"/>
      <c r="GM12" s="701"/>
      <c r="GN12" s="701"/>
      <c r="GO12" s="701"/>
      <c r="GP12" s="701"/>
      <c r="GQ12" s="701"/>
      <c r="GR12" s="701"/>
      <c r="GS12" s="701"/>
      <c r="GT12" s="701"/>
      <c r="GU12" s="701"/>
      <c r="GV12" s="701"/>
      <c r="GW12" s="701"/>
      <c r="GX12" s="701"/>
      <c r="GY12" s="701"/>
      <c r="GZ12" s="701"/>
      <c r="HA12" s="701"/>
      <c r="HB12" s="701"/>
      <c r="HC12" s="701"/>
      <c r="HD12" s="701"/>
      <c r="HE12" s="701"/>
      <c r="HF12" s="701"/>
      <c r="HG12" s="701"/>
      <c r="HH12" s="701"/>
      <c r="HI12" s="701"/>
      <c r="HJ12" s="701"/>
      <c r="HK12" s="701"/>
      <c r="HL12" s="701"/>
      <c r="HM12" s="701"/>
      <c r="HN12" s="701"/>
      <c r="HO12" s="701"/>
      <c r="HP12" s="701"/>
      <c r="HQ12" s="701"/>
      <c r="HR12" s="701"/>
      <c r="HS12" s="701"/>
      <c r="HT12" s="701"/>
      <c r="HU12" s="701"/>
      <c r="HV12" s="701"/>
      <c r="HW12" s="701"/>
      <c r="HX12" s="701"/>
      <c r="HY12" s="701"/>
      <c r="HZ12" s="701"/>
      <c r="IA12" s="701"/>
    </row>
    <row r="13" spans="2:238" s="702" customFormat="1" ht="20.149999999999999" customHeight="1" x14ac:dyDescent="0.35">
      <c r="B13" s="193"/>
      <c r="C13" s="393"/>
      <c r="D13" s="1985"/>
      <c r="E13" s="1986"/>
      <c r="F13" s="127"/>
      <c r="G13" s="777"/>
      <c r="H13" s="214"/>
      <c r="I13" s="779"/>
      <c r="J13" s="127"/>
      <c r="K13" s="781"/>
      <c r="L13" s="30"/>
      <c r="M13" s="121"/>
      <c r="N13" s="394"/>
      <c r="O13" s="205"/>
      <c r="P13" s="30"/>
      <c r="Q13" s="264"/>
      <c r="R13" s="266"/>
      <c r="S13" s="176">
        <v>1</v>
      </c>
      <c r="T13" s="555">
        <f t="shared" si="0"/>
        <v>0</v>
      </c>
      <c r="U13" s="31">
        <v>2</v>
      </c>
      <c r="V13" s="531"/>
      <c r="W13" s="31"/>
      <c r="X13" s="531"/>
      <c r="Y13" s="31"/>
      <c r="Z13" s="531"/>
      <c r="AA13" s="178"/>
      <c r="AB13" s="279"/>
      <c r="AC13" s="1380">
        <f t="shared" ref="AC13:AC47" si="62">IF(BG13=0,0,SUM(BD13:BE13)/BG13)</f>
        <v>0</v>
      </c>
      <c r="AD13" s="906">
        <f t="shared" si="38"/>
        <v>0</v>
      </c>
      <c r="AE13" s="794">
        <f t="shared" si="39"/>
        <v>0</v>
      </c>
      <c r="AF13" s="282">
        <f>SUM(BW13)*(1+M$64+Summary!P$64)</f>
        <v>0</v>
      </c>
      <c r="AG13" s="632" t="e">
        <f t="shared" si="1"/>
        <v>#DIV/0!</v>
      </c>
      <c r="AH13" s="1758">
        <f t="shared" si="40"/>
        <v>0</v>
      </c>
      <c r="AI13" s="769"/>
      <c r="AO13" s="702">
        <f t="shared" si="2"/>
        <v>0</v>
      </c>
      <c r="AP13" s="702">
        <f t="shared" si="41"/>
        <v>0</v>
      </c>
      <c r="AQ13" s="702">
        <f t="shared" si="3"/>
        <v>0</v>
      </c>
      <c r="AR13" s="702">
        <f t="shared" si="4"/>
        <v>0</v>
      </c>
      <c r="AS13" s="702">
        <f t="shared" si="5"/>
        <v>0</v>
      </c>
      <c r="AT13" s="702">
        <f t="shared" si="6"/>
        <v>0</v>
      </c>
      <c r="AU13" s="702">
        <f t="shared" si="7"/>
        <v>0</v>
      </c>
      <c r="AV13" s="1063">
        <f t="shared" si="42"/>
        <v>0</v>
      </c>
      <c r="AW13" s="1063">
        <f t="shared" si="8"/>
        <v>0</v>
      </c>
      <c r="AX13" s="702">
        <f t="shared" si="43"/>
        <v>0</v>
      </c>
      <c r="AY13" s="702">
        <f t="shared" si="9"/>
        <v>0</v>
      </c>
      <c r="AZ13" s="702">
        <f t="shared" si="10"/>
        <v>0</v>
      </c>
      <c r="BA13" s="702">
        <f t="shared" si="11"/>
        <v>0</v>
      </c>
      <c r="BB13" s="702">
        <f t="shared" si="12"/>
        <v>0</v>
      </c>
      <c r="BC13" s="702">
        <f t="shared" si="13"/>
        <v>0</v>
      </c>
      <c r="BD13" s="1063">
        <f t="shared" si="44"/>
        <v>0</v>
      </c>
      <c r="BE13" s="1064">
        <f t="shared" si="14"/>
        <v>0</v>
      </c>
      <c r="BF13" s="1063">
        <f t="shared" si="15"/>
        <v>0</v>
      </c>
      <c r="BG13" s="1065">
        <f t="shared" si="16"/>
        <v>0</v>
      </c>
      <c r="BH13" s="702">
        <f t="shared" si="17"/>
        <v>0</v>
      </c>
      <c r="BI13" s="1063">
        <f t="shared" si="45"/>
        <v>0</v>
      </c>
      <c r="BJ13" s="1063">
        <f t="shared" si="18"/>
        <v>0</v>
      </c>
      <c r="BK13" s="1063">
        <f t="shared" si="19"/>
        <v>0</v>
      </c>
      <c r="BL13" s="1063">
        <f t="shared" si="20"/>
        <v>0</v>
      </c>
      <c r="BM13" s="1063">
        <f t="shared" si="21"/>
        <v>0</v>
      </c>
      <c r="BN13" s="1064">
        <f t="shared" si="46"/>
        <v>0</v>
      </c>
      <c r="BO13" s="1761">
        <f t="shared" si="47"/>
        <v>0</v>
      </c>
      <c r="BP13" s="1063">
        <f t="shared" si="48"/>
        <v>0</v>
      </c>
      <c r="BQ13" s="1064">
        <f t="shared" si="22"/>
        <v>0</v>
      </c>
      <c r="BR13" s="1063">
        <f t="shared" si="23"/>
        <v>0</v>
      </c>
      <c r="BS13" s="1063">
        <f t="shared" si="49"/>
        <v>0</v>
      </c>
      <c r="BT13" s="1064">
        <f t="shared" si="24"/>
        <v>0</v>
      </c>
      <c r="BU13" s="1064">
        <f t="shared" si="25"/>
        <v>0</v>
      </c>
      <c r="BV13" s="1064">
        <f t="shared" si="50"/>
        <v>0</v>
      </c>
      <c r="BW13" s="1066">
        <f t="shared" si="26"/>
        <v>0</v>
      </c>
      <c r="BX13" s="1063">
        <f>(BI13*Pricing!F$2+BJ13*Pricing!G$2+BK13*Pricing!H$2+BL13*Pricing!I$2+BM13*Pricing!J$2+BN13*Pricing!K$2)*IF(AC$63="N",(1+AE$63),1)</f>
        <v>0</v>
      </c>
      <c r="BY13" s="1063">
        <f t="shared" si="51"/>
        <v>0</v>
      </c>
      <c r="BZ13" s="1063">
        <f t="shared" si="52"/>
        <v>0</v>
      </c>
      <c r="CA13" s="1063">
        <f t="shared" si="53"/>
        <v>0</v>
      </c>
      <c r="CB13" s="1067">
        <f t="shared" si="27"/>
        <v>0</v>
      </c>
      <c r="CD13" s="702">
        <f t="shared" si="54"/>
        <v>0</v>
      </c>
      <c r="CE13" s="1063">
        <f t="shared" si="28"/>
        <v>0</v>
      </c>
      <c r="CF13" s="1063">
        <f t="shared" si="29"/>
        <v>0</v>
      </c>
      <c r="CG13" s="1063">
        <f t="shared" si="30"/>
        <v>0</v>
      </c>
      <c r="CH13" s="702">
        <f t="shared" si="31"/>
        <v>0</v>
      </c>
      <c r="CI13" s="1063">
        <f t="shared" si="32"/>
        <v>0</v>
      </c>
      <c r="CJ13" s="702">
        <f t="shared" si="33"/>
        <v>0</v>
      </c>
      <c r="CK13" s="1063">
        <f t="shared" si="34"/>
        <v>0</v>
      </c>
      <c r="CL13" s="704">
        <f t="shared" si="35"/>
        <v>0</v>
      </c>
      <c r="CM13" s="702">
        <f t="shared" si="36"/>
        <v>0</v>
      </c>
      <c r="CO13" s="1061">
        <f t="shared" si="55"/>
        <v>0</v>
      </c>
      <c r="CP13" s="702">
        <f t="shared" si="56"/>
        <v>0</v>
      </c>
      <c r="CQ13" s="702">
        <f t="shared" si="57"/>
        <v>0</v>
      </c>
      <c r="CR13" s="702">
        <f t="shared" ref="CR13:CR48" si="63">IF(U13=1,V13*$AM$52,0)+IF(U13=2,V13*$AM$53,0)+IF(U13=3,V13*$AM$54,0)+IF(U13=4,V13*$AM$55,0)+IF(U13=5,V13*$AM$56,0)+IF(U13=6,V13*$AM$57,0)+IF(U13=7,V13*$AM$58,0)+IF(U13=8,V13*$AM$59,0)+IF(U13=9,V13*$AM$60,0)+IF(U13=10,V13*$AM$61,0)</f>
        <v>0</v>
      </c>
      <c r="CS13" s="702">
        <f t="shared" si="58"/>
        <v>0</v>
      </c>
      <c r="CT13" s="702">
        <f t="shared" si="59"/>
        <v>0</v>
      </c>
      <c r="CU13" s="702">
        <f t="shared" si="60"/>
        <v>0</v>
      </c>
      <c r="CV13" s="1068">
        <f t="shared" si="37"/>
        <v>0</v>
      </c>
      <c r="CW13" s="1064">
        <f t="shared" si="61"/>
        <v>0</v>
      </c>
      <c r="FX13" s="701"/>
      <c r="FY13" s="701"/>
      <c r="FZ13" s="701"/>
      <c r="GA13" s="701"/>
      <c r="GB13" s="701"/>
      <c r="GC13" s="701"/>
      <c r="GD13" s="701"/>
      <c r="GE13" s="701"/>
      <c r="GF13" s="701"/>
      <c r="GG13" s="701"/>
      <c r="GH13" s="701"/>
      <c r="GI13" s="701"/>
      <c r="GJ13" s="701"/>
      <c r="GK13" s="701"/>
      <c r="GL13" s="701"/>
      <c r="GM13" s="701"/>
      <c r="GN13" s="701"/>
      <c r="GO13" s="701"/>
      <c r="GP13" s="701"/>
      <c r="GQ13" s="701"/>
      <c r="GR13" s="701"/>
      <c r="GS13" s="701"/>
      <c r="GT13" s="701"/>
      <c r="GU13" s="701"/>
      <c r="GV13" s="701"/>
      <c r="GW13" s="701"/>
      <c r="GX13" s="701"/>
      <c r="GY13" s="701"/>
      <c r="GZ13" s="701"/>
      <c r="HA13" s="701"/>
      <c r="HB13" s="701"/>
      <c r="HC13" s="701"/>
      <c r="HD13" s="701"/>
      <c r="HE13" s="701"/>
      <c r="HF13" s="701"/>
      <c r="HG13" s="701"/>
      <c r="HH13" s="701"/>
      <c r="HI13" s="701"/>
      <c r="HJ13" s="701"/>
      <c r="HK13" s="701"/>
      <c r="HL13" s="701"/>
      <c r="HM13" s="701"/>
      <c r="HN13" s="701"/>
      <c r="HO13" s="701"/>
      <c r="HP13" s="701"/>
      <c r="HQ13" s="701"/>
      <c r="HR13" s="701"/>
      <c r="HS13" s="701"/>
      <c r="HT13" s="701"/>
      <c r="HU13" s="701"/>
      <c r="HV13" s="701"/>
      <c r="HW13" s="701"/>
      <c r="HX13" s="701"/>
      <c r="HY13" s="701"/>
      <c r="HZ13" s="701"/>
      <c r="IA13" s="701"/>
    </row>
    <row r="14" spans="2:238" s="702" customFormat="1" ht="20.149999999999999" customHeight="1" x14ac:dyDescent="0.35">
      <c r="B14" s="398"/>
      <c r="C14" s="396"/>
      <c r="D14" s="1991"/>
      <c r="E14" s="1992"/>
      <c r="F14" s="97"/>
      <c r="G14" s="777"/>
      <c r="H14" s="97"/>
      <c r="I14" s="779"/>
      <c r="J14" s="97"/>
      <c r="K14" s="781"/>
      <c r="L14" s="32"/>
      <c r="M14" s="211"/>
      <c r="N14" s="397"/>
      <c r="O14" s="212"/>
      <c r="P14" s="32"/>
      <c r="Q14" s="810"/>
      <c r="R14" s="722"/>
      <c r="S14" s="180">
        <v>1</v>
      </c>
      <c r="T14" s="554">
        <f t="shared" si="0"/>
        <v>0</v>
      </c>
      <c r="U14" s="32">
        <v>2</v>
      </c>
      <c r="V14" s="371"/>
      <c r="W14" s="32"/>
      <c r="X14" s="371"/>
      <c r="Y14" s="32"/>
      <c r="Z14" s="371"/>
      <c r="AA14" s="180"/>
      <c r="AB14" s="280"/>
      <c r="AC14" s="1380">
        <f t="shared" si="62"/>
        <v>0</v>
      </c>
      <c r="AD14" s="906">
        <f t="shared" si="38"/>
        <v>0</v>
      </c>
      <c r="AE14" s="794">
        <f t="shared" si="39"/>
        <v>0</v>
      </c>
      <c r="AF14" s="282">
        <f>SUM(BW14)*(1+M$64+Summary!P$64)</f>
        <v>0</v>
      </c>
      <c r="AG14" s="632" t="e">
        <f t="shared" si="1"/>
        <v>#DIV/0!</v>
      </c>
      <c r="AH14" s="1758">
        <f t="shared" si="40"/>
        <v>0</v>
      </c>
      <c r="AI14" s="769"/>
      <c r="AO14" s="702">
        <f t="shared" si="2"/>
        <v>0</v>
      </c>
      <c r="AP14" s="702">
        <f t="shared" si="41"/>
        <v>0</v>
      </c>
      <c r="AQ14" s="702">
        <f t="shared" si="3"/>
        <v>0</v>
      </c>
      <c r="AR14" s="702">
        <f t="shared" si="4"/>
        <v>0</v>
      </c>
      <c r="AS14" s="702">
        <f t="shared" si="5"/>
        <v>0</v>
      </c>
      <c r="AT14" s="702">
        <f t="shared" si="6"/>
        <v>0</v>
      </c>
      <c r="AU14" s="702">
        <f t="shared" si="7"/>
        <v>0</v>
      </c>
      <c r="AV14" s="1063">
        <f t="shared" si="42"/>
        <v>0</v>
      </c>
      <c r="AW14" s="1063">
        <f t="shared" si="8"/>
        <v>0</v>
      </c>
      <c r="AX14" s="702">
        <f t="shared" si="43"/>
        <v>0</v>
      </c>
      <c r="AY14" s="702">
        <f t="shared" si="9"/>
        <v>0</v>
      </c>
      <c r="AZ14" s="702">
        <f t="shared" si="10"/>
        <v>0</v>
      </c>
      <c r="BA14" s="702">
        <f t="shared" si="11"/>
        <v>0</v>
      </c>
      <c r="BB14" s="702">
        <f t="shared" si="12"/>
        <v>0</v>
      </c>
      <c r="BC14" s="702">
        <f t="shared" si="13"/>
        <v>0</v>
      </c>
      <c r="BD14" s="1063">
        <f t="shared" si="44"/>
        <v>0</v>
      </c>
      <c r="BE14" s="1064">
        <f t="shared" si="14"/>
        <v>0</v>
      </c>
      <c r="BF14" s="1063">
        <f t="shared" si="15"/>
        <v>0</v>
      </c>
      <c r="BG14" s="1065">
        <f t="shared" si="16"/>
        <v>0</v>
      </c>
      <c r="BH14" s="702">
        <f t="shared" si="17"/>
        <v>0</v>
      </c>
      <c r="BI14" s="1063">
        <f t="shared" si="45"/>
        <v>0</v>
      </c>
      <c r="BJ14" s="1063">
        <f t="shared" si="18"/>
        <v>0</v>
      </c>
      <c r="BK14" s="1063">
        <f t="shared" si="19"/>
        <v>0</v>
      </c>
      <c r="BL14" s="1063">
        <f t="shared" si="20"/>
        <v>0</v>
      </c>
      <c r="BM14" s="1063">
        <f t="shared" si="21"/>
        <v>0</v>
      </c>
      <c r="BN14" s="1064">
        <f t="shared" si="46"/>
        <v>0</v>
      </c>
      <c r="BO14" s="1761">
        <f t="shared" si="47"/>
        <v>0</v>
      </c>
      <c r="BP14" s="1063">
        <f t="shared" si="48"/>
        <v>0</v>
      </c>
      <c r="BQ14" s="1064">
        <f t="shared" si="22"/>
        <v>0</v>
      </c>
      <c r="BR14" s="1063">
        <f t="shared" si="23"/>
        <v>0</v>
      </c>
      <c r="BS14" s="1063">
        <f t="shared" si="49"/>
        <v>0</v>
      </c>
      <c r="BT14" s="1064">
        <f t="shared" si="24"/>
        <v>0</v>
      </c>
      <c r="BU14" s="1064">
        <f t="shared" si="25"/>
        <v>0</v>
      </c>
      <c r="BV14" s="1064">
        <f t="shared" si="50"/>
        <v>0</v>
      </c>
      <c r="BW14" s="1066">
        <f t="shared" si="26"/>
        <v>0</v>
      </c>
      <c r="BX14" s="1063">
        <f>(BI14*Pricing!F$2+BJ14*Pricing!G$2+BK14*Pricing!H$2+BL14*Pricing!I$2+BM14*Pricing!J$2+BN14*Pricing!K$2)*IF(AC$63="N",(1+AE$63),1)</f>
        <v>0</v>
      </c>
      <c r="BY14" s="1063">
        <f t="shared" si="51"/>
        <v>0</v>
      </c>
      <c r="BZ14" s="1063">
        <f t="shared" si="52"/>
        <v>0</v>
      </c>
      <c r="CA14" s="1063">
        <f t="shared" si="53"/>
        <v>0</v>
      </c>
      <c r="CB14" s="1067">
        <f t="shared" si="27"/>
        <v>0</v>
      </c>
      <c r="CD14" s="702">
        <f t="shared" si="54"/>
        <v>0</v>
      </c>
      <c r="CE14" s="1063">
        <f t="shared" si="28"/>
        <v>0</v>
      </c>
      <c r="CF14" s="1063">
        <f t="shared" si="29"/>
        <v>0</v>
      </c>
      <c r="CG14" s="1063">
        <f t="shared" si="30"/>
        <v>0</v>
      </c>
      <c r="CH14" s="702">
        <f t="shared" si="31"/>
        <v>0</v>
      </c>
      <c r="CI14" s="1063">
        <f t="shared" si="32"/>
        <v>0</v>
      </c>
      <c r="CJ14" s="702">
        <f t="shared" si="33"/>
        <v>0</v>
      </c>
      <c r="CK14" s="1063">
        <f t="shared" si="34"/>
        <v>0</v>
      </c>
      <c r="CL14" s="704">
        <f t="shared" si="35"/>
        <v>0</v>
      </c>
      <c r="CM14" s="702">
        <f t="shared" si="36"/>
        <v>0</v>
      </c>
      <c r="CO14" s="1061">
        <f t="shared" si="55"/>
        <v>0</v>
      </c>
      <c r="CP14" s="702">
        <f t="shared" si="56"/>
        <v>0</v>
      </c>
      <c r="CQ14" s="702">
        <f t="shared" si="57"/>
        <v>0</v>
      </c>
      <c r="CR14" s="702">
        <f t="shared" si="63"/>
        <v>0</v>
      </c>
      <c r="CS14" s="702">
        <f t="shared" si="58"/>
        <v>0</v>
      </c>
      <c r="CT14" s="702">
        <f t="shared" si="59"/>
        <v>0</v>
      </c>
      <c r="CU14" s="702">
        <f t="shared" si="60"/>
        <v>0</v>
      </c>
      <c r="CV14" s="1068">
        <f t="shared" si="37"/>
        <v>0</v>
      </c>
      <c r="CW14" s="1064">
        <f t="shared" si="61"/>
        <v>0</v>
      </c>
      <c r="FX14" s="701"/>
      <c r="FY14" s="701"/>
      <c r="FZ14" s="701"/>
      <c r="GA14" s="701"/>
      <c r="GB14" s="701"/>
      <c r="GC14" s="701"/>
      <c r="GD14" s="701"/>
      <c r="GE14" s="701"/>
      <c r="GF14" s="701"/>
      <c r="GG14" s="701"/>
      <c r="GH14" s="701"/>
      <c r="GI14" s="701"/>
      <c r="GJ14" s="701"/>
      <c r="GK14" s="701"/>
      <c r="GL14" s="701"/>
      <c r="GM14" s="701"/>
      <c r="GN14" s="701"/>
      <c r="GO14" s="701"/>
      <c r="GP14" s="701"/>
      <c r="GQ14" s="701"/>
      <c r="GR14" s="701"/>
      <c r="GS14" s="701"/>
      <c r="GT14" s="701"/>
      <c r="GU14" s="701"/>
      <c r="GV14" s="701"/>
      <c r="GW14" s="701"/>
      <c r="GX14" s="701"/>
      <c r="GY14" s="701"/>
      <c r="GZ14" s="701"/>
      <c r="HA14" s="701"/>
      <c r="HB14" s="701"/>
      <c r="HC14" s="701"/>
      <c r="HD14" s="701"/>
      <c r="HE14" s="701"/>
      <c r="HF14" s="701"/>
      <c r="HG14" s="701"/>
      <c r="HH14" s="701"/>
      <c r="HI14" s="701"/>
      <c r="HJ14" s="701"/>
      <c r="HK14" s="701"/>
      <c r="HL14" s="701"/>
      <c r="HM14" s="701"/>
      <c r="HN14" s="701"/>
      <c r="HO14" s="701"/>
      <c r="HP14" s="701"/>
      <c r="HQ14" s="701"/>
      <c r="HR14" s="701"/>
      <c r="HS14" s="701"/>
      <c r="HT14" s="701"/>
      <c r="HU14" s="701"/>
      <c r="HV14" s="701"/>
      <c r="HW14" s="701"/>
      <c r="HX14" s="701"/>
      <c r="HY14" s="701"/>
      <c r="HZ14" s="701"/>
      <c r="IA14" s="701"/>
    </row>
    <row r="15" spans="2:238" s="702" customFormat="1" ht="20.149999999999999" customHeight="1" x14ac:dyDescent="0.35">
      <c r="B15" s="193"/>
      <c r="C15" s="393"/>
      <c r="D15" s="1985"/>
      <c r="E15" s="1986"/>
      <c r="F15" s="127"/>
      <c r="G15" s="777"/>
      <c r="H15" s="214"/>
      <c r="I15" s="779"/>
      <c r="J15" s="127"/>
      <c r="K15" s="781"/>
      <c r="L15" s="30"/>
      <c r="M15" s="121"/>
      <c r="N15" s="394"/>
      <c r="O15" s="205"/>
      <c r="P15" s="30"/>
      <c r="Q15" s="264"/>
      <c r="R15" s="266"/>
      <c r="S15" s="176">
        <v>1</v>
      </c>
      <c r="T15" s="555">
        <f t="shared" si="0"/>
        <v>0</v>
      </c>
      <c r="U15" s="31">
        <v>2</v>
      </c>
      <c r="V15" s="531"/>
      <c r="W15" s="31"/>
      <c r="X15" s="531"/>
      <c r="Y15" s="31"/>
      <c r="Z15" s="531"/>
      <c r="AA15" s="178"/>
      <c r="AB15" s="279"/>
      <c r="AC15" s="1380">
        <f t="shared" si="62"/>
        <v>0</v>
      </c>
      <c r="AD15" s="906">
        <f t="shared" si="38"/>
        <v>0</v>
      </c>
      <c r="AE15" s="794">
        <f t="shared" si="39"/>
        <v>0</v>
      </c>
      <c r="AF15" s="282">
        <f>SUM(BW15)*(1+M$64+Summary!P$64)</f>
        <v>0</v>
      </c>
      <c r="AG15" s="632" t="e">
        <f t="shared" si="1"/>
        <v>#DIV/0!</v>
      </c>
      <c r="AH15" s="1758">
        <f t="shared" si="40"/>
        <v>0</v>
      </c>
      <c r="AI15" s="769"/>
      <c r="AO15" s="702">
        <f t="shared" si="2"/>
        <v>0</v>
      </c>
      <c r="AP15" s="702">
        <f t="shared" si="41"/>
        <v>0</v>
      </c>
      <c r="AQ15" s="702">
        <f t="shared" si="3"/>
        <v>0</v>
      </c>
      <c r="AR15" s="702">
        <f t="shared" si="4"/>
        <v>0</v>
      </c>
      <c r="AS15" s="702">
        <f t="shared" si="5"/>
        <v>0</v>
      </c>
      <c r="AT15" s="702">
        <f t="shared" si="6"/>
        <v>0</v>
      </c>
      <c r="AU15" s="702">
        <f t="shared" si="7"/>
        <v>0</v>
      </c>
      <c r="AV15" s="1063">
        <f t="shared" si="42"/>
        <v>0</v>
      </c>
      <c r="AW15" s="1063">
        <f t="shared" si="8"/>
        <v>0</v>
      </c>
      <c r="AX15" s="702">
        <f t="shared" si="43"/>
        <v>0</v>
      </c>
      <c r="AY15" s="702">
        <f t="shared" si="9"/>
        <v>0</v>
      </c>
      <c r="AZ15" s="702">
        <f t="shared" si="10"/>
        <v>0</v>
      </c>
      <c r="BA15" s="702">
        <f t="shared" si="11"/>
        <v>0</v>
      </c>
      <c r="BB15" s="702">
        <f t="shared" si="12"/>
        <v>0</v>
      </c>
      <c r="BC15" s="702">
        <f t="shared" si="13"/>
        <v>0</v>
      </c>
      <c r="BD15" s="1063">
        <f t="shared" si="44"/>
        <v>0</v>
      </c>
      <c r="BE15" s="1064">
        <f t="shared" si="14"/>
        <v>0</v>
      </c>
      <c r="BF15" s="1063">
        <f t="shared" si="15"/>
        <v>0</v>
      </c>
      <c r="BG15" s="1065">
        <f t="shared" si="16"/>
        <v>0</v>
      </c>
      <c r="BH15" s="702">
        <f t="shared" si="17"/>
        <v>0</v>
      </c>
      <c r="BI15" s="1063">
        <f t="shared" si="45"/>
        <v>0</v>
      </c>
      <c r="BJ15" s="1063">
        <f t="shared" si="18"/>
        <v>0</v>
      </c>
      <c r="BK15" s="1063">
        <f t="shared" si="19"/>
        <v>0</v>
      </c>
      <c r="BL15" s="1063">
        <f t="shared" si="20"/>
        <v>0</v>
      </c>
      <c r="BM15" s="1063">
        <f t="shared" si="21"/>
        <v>0</v>
      </c>
      <c r="BN15" s="1064">
        <f t="shared" si="46"/>
        <v>0</v>
      </c>
      <c r="BO15" s="1761">
        <f t="shared" si="47"/>
        <v>0</v>
      </c>
      <c r="BP15" s="1063">
        <f t="shared" si="48"/>
        <v>0</v>
      </c>
      <c r="BQ15" s="1064">
        <f t="shared" si="22"/>
        <v>0</v>
      </c>
      <c r="BR15" s="1063">
        <f t="shared" si="23"/>
        <v>0</v>
      </c>
      <c r="BS15" s="1063">
        <f t="shared" si="49"/>
        <v>0</v>
      </c>
      <c r="BT15" s="1064">
        <f t="shared" si="24"/>
        <v>0</v>
      </c>
      <c r="BU15" s="1064">
        <f t="shared" si="25"/>
        <v>0</v>
      </c>
      <c r="BV15" s="1064">
        <f t="shared" si="50"/>
        <v>0</v>
      </c>
      <c r="BW15" s="1066">
        <f t="shared" si="26"/>
        <v>0</v>
      </c>
      <c r="BX15" s="1063">
        <f>(BI15*Pricing!F$2+BJ15*Pricing!G$2+BK15*Pricing!H$2+BL15*Pricing!I$2+BM15*Pricing!J$2+BN15*Pricing!K$2)*IF(AC$63="N",(1+AE$63),1)</f>
        <v>0</v>
      </c>
      <c r="BY15" s="1063">
        <f t="shared" si="51"/>
        <v>0</v>
      </c>
      <c r="BZ15" s="1063">
        <f t="shared" si="52"/>
        <v>0</v>
      </c>
      <c r="CA15" s="1063">
        <f t="shared" si="53"/>
        <v>0</v>
      </c>
      <c r="CB15" s="1067">
        <f t="shared" si="27"/>
        <v>0</v>
      </c>
      <c r="CD15" s="702">
        <f t="shared" si="54"/>
        <v>0</v>
      </c>
      <c r="CE15" s="1063">
        <f t="shared" si="28"/>
        <v>0</v>
      </c>
      <c r="CF15" s="1063">
        <f t="shared" si="29"/>
        <v>0</v>
      </c>
      <c r="CG15" s="1063">
        <f t="shared" si="30"/>
        <v>0</v>
      </c>
      <c r="CH15" s="702">
        <f t="shared" si="31"/>
        <v>0</v>
      </c>
      <c r="CI15" s="1063">
        <f t="shared" si="32"/>
        <v>0</v>
      </c>
      <c r="CJ15" s="702">
        <f t="shared" si="33"/>
        <v>0</v>
      </c>
      <c r="CK15" s="1063">
        <f t="shared" si="34"/>
        <v>0</v>
      </c>
      <c r="CL15" s="704">
        <f t="shared" si="35"/>
        <v>0</v>
      </c>
      <c r="CM15" s="702">
        <f t="shared" si="36"/>
        <v>0</v>
      </c>
      <c r="CO15" s="1061">
        <f t="shared" si="55"/>
        <v>0</v>
      </c>
      <c r="CP15" s="702">
        <f t="shared" si="56"/>
        <v>0</v>
      </c>
      <c r="CQ15" s="702">
        <f t="shared" si="57"/>
        <v>0</v>
      </c>
      <c r="CR15" s="702">
        <f t="shared" si="63"/>
        <v>0</v>
      </c>
      <c r="CS15" s="702">
        <f t="shared" si="58"/>
        <v>0</v>
      </c>
      <c r="CT15" s="702">
        <f t="shared" si="59"/>
        <v>0</v>
      </c>
      <c r="CU15" s="702">
        <f t="shared" si="60"/>
        <v>0</v>
      </c>
      <c r="CV15" s="1068">
        <f t="shared" si="37"/>
        <v>0</v>
      </c>
      <c r="CW15" s="1064">
        <f t="shared" si="61"/>
        <v>0</v>
      </c>
      <c r="FX15" s="701"/>
      <c r="FY15" s="701"/>
      <c r="FZ15" s="701"/>
      <c r="GA15" s="701"/>
      <c r="GB15" s="701"/>
      <c r="GC15" s="701"/>
      <c r="GD15" s="701"/>
      <c r="GE15" s="701"/>
      <c r="GF15" s="701"/>
      <c r="GG15" s="701"/>
      <c r="GH15" s="701"/>
      <c r="GI15" s="701"/>
      <c r="GJ15" s="701"/>
      <c r="GK15" s="701"/>
      <c r="GL15" s="701"/>
      <c r="GM15" s="701"/>
      <c r="GN15" s="701"/>
      <c r="GO15" s="701"/>
      <c r="GP15" s="701"/>
      <c r="GQ15" s="701"/>
      <c r="GR15" s="701"/>
      <c r="GS15" s="701"/>
      <c r="GT15" s="701"/>
      <c r="GU15" s="701"/>
      <c r="GV15" s="701"/>
      <c r="GW15" s="701"/>
      <c r="GX15" s="701"/>
      <c r="GY15" s="701"/>
      <c r="GZ15" s="701"/>
      <c r="HA15" s="701"/>
      <c r="HB15" s="701"/>
      <c r="HC15" s="701"/>
      <c r="HD15" s="701"/>
      <c r="HE15" s="701"/>
      <c r="HF15" s="701"/>
      <c r="HG15" s="701"/>
      <c r="HH15" s="701"/>
      <c r="HI15" s="701"/>
      <c r="HJ15" s="701"/>
      <c r="HK15" s="701"/>
      <c r="HL15" s="701"/>
      <c r="HM15" s="701"/>
      <c r="HN15" s="701"/>
      <c r="HO15" s="701"/>
      <c r="HP15" s="701"/>
      <c r="HQ15" s="701"/>
      <c r="HR15" s="701"/>
      <c r="HS15" s="701"/>
      <c r="HT15" s="701"/>
      <c r="HU15" s="701"/>
      <c r="HV15" s="701"/>
      <c r="HW15" s="701"/>
      <c r="HX15" s="701"/>
      <c r="HY15" s="701"/>
      <c r="HZ15" s="701"/>
      <c r="IA15" s="701"/>
    </row>
    <row r="16" spans="2:238" s="702" customFormat="1" ht="20.149999999999999" customHeight="1" x14ac:dyDescent="0.35">
      <c r="B16" s="398"/>
      <c r="C16" s="396"/>
      <c r="D16" s="1991"/>
      <c r="E16" s="1992"/>
      <c r="F16" s="97"/>
      <c r="G16" s="777"/>
      <c r="H16" s="97"/>
      <c r="I16" s="779"/>
      <c r="J16" s="97"/>
      <c r="K16" s="781"/>
      <c r="L16" s="32"/>
      <c r="M16" s="211"/>
      <c r="N16" s="397"/>
      <c r="O16" s="212"/>
      <c r="P16" s="32"/>
      <c r="Q16" s="810"/>
      <c r="R16" s="722"/>
      <c r="S16" s="180">
        <v>1</v>
      </c>
      <c r="T16" s="554">
        <f t="shared" si="0"/>
        <v>0</v>
      </c>
      <c r="U16" s="32">
        <v>2</v>
      </c>
      <c r="V16" s="371"/>
      <c r="W16" s="32"/>
      <c r="X16" s="371"/>
      <c r="Y16" s="32"/>
      <c r="Z16" s="371"/>
      <c r="AA16" s="180"/>
      <c r="AB16" s="280"/>
      <c r="AC16" s="1380">
        <f t="shared" si="62"/>
        <v>0</v>
      </c>
      <c r="AD16" s="906">
        <f t="shared" si="38"/>
        <v>0</v>
      </c>
      <c r="AE16" s="794">
        <f t="shared" si="39"/>
        <v>0</v>
      </c>
      <c r="AF16" s="282">
        <f>SUM(BW16)*(1+M$64+Summary!P$64)</f>
        <v>0</v>
      </c>
      <c r="AG16" s="632" t="e">
        <f t="shared" si="1"/>
        <v>#DIV/0!</v>
      </c>
      <c r="AH16" s="1758">
        <f t="shared" si="40"/>
        <v>0</v>
      </c>
      <c r="AI16" s="769"/>
      <c r="AO16" s="702">
        <f t="shared" si="2"/>
        <v>0</v>
      </c>
      <c r="AP16" s="702">
        <f t="shared" si="41"/>
        <v>0</v>
      </c>
      <c r="AQ16" s="702">
        <f t="shared" si="3"/>
        <v>0</v>
      </c>
      <c r="AR16" s="702">
        <f t="shared" si="4"/>
        <v>0</v>
      </c>
      <c r="AS16" s="702">
        <f t="shared" si="5"/>
        <v>0</v>
      </c>
      <c r="AT16" s="702">
        <f t="shared" si="6"/>
        <v>0</v>
      </c>
      <c r="AU16" s="702">
        <f t="shared" si="7"/>
        <v>0</v>
      </c>
      <c r="AV16" s="1063">
        <f t="shared" si="42"/>
        <v>0</v>
      </c>
      <c r="AW16" s="1063">
        <f t="shared" si="8"/>
        <v>0</v>
      </c>
      <c r="AX16" s="702">
        <f t="shared" si="43"/>
        <v>0</v>
      </c>
      <c r="AY16" s="702">
        <f t="shared" si="9"/>
        <v>0</v>
      </c>
      <c r="AZ16" s="702">
        <f t="shared" si="10"/>
        <v>0</v>
      </c>
      <c r="BA16" s="702">
        <f t="shared" si="11"/>
        <v>0</v>
      </c>
      <c r="BB16" s="702">
        <f t="shared" si="12"/>
        <v>0</v>
      </c>
      <c r="BC16" s="702">
        <f t="shared" si="13"/>
        <v>0</v>
      </c>
      <c r="BD16" s="1063">
        <f t="shared" si="44"/>
        <v>0</v>
      </c>
      <c r="BE16" s="1064">
        <f t="shared" si="14"/>
        <v>0</v>
      </c>
      <c r="BF16" s="1063">
        <f t="shared" si="15"/>
        <v>0</v>
      </c>
      <c r="BG16" s="1065">
        <f t="shared" si="16"/>
        <v>0</v>
      </c>
      <c r="BH16" s="702">
        <f t="shared" si="17"/>
        <v>0</v>
      </c>
      <c r="BI16" s="1063">
        <f t="shared" si="45"/>
        <v>0</v>
      </c>
      <c r="BJ16" s="1063">
        <f t="shared" si="18"/>
        <v>0</v>
      </c>
      <c r="BK16" s="1063">
        <f t="shared" si="19"/>
        <v>0</v>
      </c>
      <c r="BL16" s="1063">
        <f t="shared" si="20"/>
        <v>0</v>
      </c>
      <c r="BM16" s="1063">
        <f t="shared" si="21"/>
        <v>0</v>
      </c>
      <c r="BN16" s="1064">
        <f t="shared" si="46"/>
        <v>0</v>
      </c>
      <c r="BO16" s="1761">
        <f t="shared" si="47"/>
        <v>0</v>
      </c>
      <c r="BP16" s="1063">
        <f t="shared" si="48"/>
        <v>0</v>
      </c>
      <c r="BQ16" s="1064">
        <f t="shared" si="22"/>
        <v>0</v>
      </c>
      <c r="BR16" s="1063">
        <f t="shared" si="23"/>
        <v>0</v>
      </c>
      <c r="BS16" s="1063">
        <f t="shared" si="49"/>
        <v>0</v>
      </c>
      <c r="BT16" s="1064">
        <f t="shared" si="24"/>
        <v>0</v>
      </c>
      <c r="BU16" s="1064">
        <f t="shared" si="25"/>
        <v>0</v>
      </c>
      <c r="BV16" s="1064">
        <f t="shared" si="50"/>
        <v>0</v>
      </c>
      <c r="BW16" s="1066">
        <f t="shared" si="26"/>
        <v>0</v>
      </c>
      <c r="BX16" s="1063">
        <f>(BI16*Pricing!F$2+BJ16*Pricing!G$2+BK16*Pricing!H$2+BL16*Pricing!I$2+BM16*Pricing!J$2+BN16*Pricing!K$2)*IF(AC$63="N",(1+AE$63),1)</f>
        <v>0</v>
      </c>
      <c r="BY16" s="1063">
        <f t="shared" si="51"/>
        <v>0</v>
      </c>
      <c r="BZ16" s="1063">
        <f t="shared" si="52"/>
        <v>0</v>
      </c>
      <c r="CA16" s="1063">
        <f t="shared" si="53"/>
        <v>0</v>
      </c>
      <c r="CB16" s="1067">
        <f t="shared" si="27"/>
        <v>0</v>
      </c>
      <c r="CD16" s="702">
        <f t="shared" si="54"/>
        <v>0</v>
      </c>
      <c r="CE16" s="1063">
        <f t="shared" si="28"/>
        <v>0</v>
      </c>
      <c r="CF16" s="1063">
        <f t="shared" si="29"/>
        <v>0</v>
      </c>
      <c r="CG16" s="1063">
        <f t="shared" si="30"/>
        <v>0</v>
      </c>
      <c r="CH16" s="702">
        <f t="shared" si="31"/>
        <v>0</v>
      </c>
      <c r="CI16" s="1063">
        <f t="shared" si="32"/>
        <v>0</v>
      </c>
      <c r="CJ16" s="702">
        <f t="shared" si="33"/>
        <v>0</v>
      </c>
      <c r="CK16" s="1063">
        <f t="shared" si="34"/>
        <v>0</v>
      </c>
      <c r="CL16" s="704">
        <f t="shared" si="35"/>
        <v>0</v>
      </c>
      <c r="CM16" s="702">
        <f t="shared" si="36"/>
        <v>0</v>
      </c>
      <c r="CO16" s="1061">
        <f t="shared" si="55"/>
        <v>0</v>
      </c>
      <c r="CP16" s="702">
        <f t="shared" si="56"/>
        <v>0</v>
      </c>
      <c r="CQ16" s="702">
        <f t="shared" si="57"/>
        <v>0</v>
      </c>
      <c r="CR16" s="702">
        <f t="shared" si="63"/>
        <v>0</v>
      </c>
      <c r="CS16" s="702">
        <f t="shared" si="58"/>
        <v>0</v>
      </c>
      <c r="CT16" s="702">
        <f t="shared" si="59"/>
        <v>0</v>
      </c>
      <c r="CU16" s="702">
        <f t="shared" si="60"/>
        <v>0</v>
      </c>
      <c r="CV16" s="1068">
        <f t="shared" si="37"/>
        <v>0</v>
      </c>
      <c r="CW16" s="1064">
        <f t="shared" si="61"/>
        <v>0</v>
      </c>
      <c r="FX16" s="701"/>
      <c r="FY16" s="701"/>
      <c r="FZ16" s="701"/>
      <c r="GA16" s="701"/>
      <c r="GB16" s="701"/>
      <c r="GC16" s="701"/>
      <c r="GD16" s="701"/>
      <c r="GE16" s="701"/>
      <c r="GF16" s="701"/>
      <c r="GG16" s="701"/>
      <c r="GH16" s="701"/>
      <c r="GI16" s="701"/>
      <c r="GJ16" s="701"/>
      <c r="GK16" s="701"/>
      <c r="GL16" s="701"/>
      <c r="GM16" s="701"/>
      <c r="GN16" s="701"/>
      <c r="GO16" s="701"/>
      <c r="GP16" s="701"/>
      <c r="GQ16" s="701"/>
      <c r="GR16" s="701"/>
      <c r="GS16" s="701"/>
      <c r="GT16" s="701"/>
      <c r="GU16" s="701"/>
      <c r="GV16" s="701"/>
      <c r="GW16" s="701"/>
      <c r="GX16" s="701"/>
      <c r="GY16" s="701"/>
      <c r="GZ16" s="701"/>
      <c r="HA16" s="701"/>
      <c r="HB16" s="701"/>
      <c r="HC16" s="701"/>
      <c r="HD16" s="701"/>
      <c r="HE16" s="701"/>
      <c r="HF16" s="701"/>
      <c r="HG16" s="701"/>
      <c r="HH16" s="701"/>
      <c r="HI16" s="701"/>
      <c r="HJ16" s="701"/>
      <c r="HK16" s="701"/>
      <c r="HL16" s="701"/>
      <c r="HM16" s="701"/>
      <c r="HN16" s="701"/>
      <c r="HO16" s="701"/>
      <c r="HP16" s="701"/>
      <c r="HQ16" s="701"/>
      <c r="HR16" s="701"/>
      <c r="HS16" s="701"/>
      <c r="HT16" s="701"/>
      <c r="HU16" s="701"/>
      <c r="HV16" s="701"/>
      <c r="HW16" s="701"/>
      <c r="HX16" s="701"/>
      <c r="HY16" s="701"/>
      <c r="HZ16" s="701"/>
      <c r="IA16" s="701"/>
    </row>
    <row r="17" spans="2:235" s="702" customFormat="1" ht="18" customHeight="1" x14ac:dyDescent="0.35">
      <c r="B17" s="193"/>
      <c r="C17" s="393"/>
      <c r="D17" s="1985"/>
      <c r="E17" s="1986"/>
      <c r="F17" s="127"/>
      <c r="G17" s="777"/>
      <c r="H17" s="214"/>
      <c r="I17" s="779"/>
      <c r="J17" s="127"/>
      <c r="K17" s="781"/>
      <c r="L17" s="30"/>
      <c r="M17" s="121"/>
      <c r="N17" s="394"/>
      <c r="O17" s="205"/>
      <c r="P17" s="30"/>
      <c r="Q17" s="264"/>
      <c r="R17" s="266"/>
      <c r="S17" s="176">
        <v>1</v>
      </c>
      <c r="T17" s="555">
        <f t="shared" si="0"/>
        <v>0</v>
      </c>
      <c r="U17" s="31">
        <v>2</v>
      </c>
      <c r="V17" s="531"/>
      <c r="W17" s="31"/>
      <c r="X17" s="531"/>
      <c r="Y17" s="31"/>
      <c r="Z17" s="531"/>
      <c r="AA17" s="178"/>
      <c r="AB17" s="279"/>
      <c r="AC17" s="1380">
        <f t="shared" si="62"/>
        <v>0</v>
      </c>
      <c r="AD17" s="906">
        <f t="shared" si="38"/>
        <v>0</v>
      </c>
      <c r="AE17" s="794">
        <f t="shared" si="39"/>
        <v>0</v>
      </c>
      <c r="AF17" s="282">
        <f>SUM(BW17)*(1+M$64+Summary!P$64)</f>
        <v>0</v>
      </c>
      <c r="AG17" s="632" t="e">
        <f t="shared" si="1"/>
        <v>#DIV/0!</v>
      </c>
      <c r="AH17" s="1758">
        <f t="shared" si="40"/>
        <v>0</v>
      </c>
      <c r="AI17" s="769"/>
      <c r="AO17" s="702">
        <f t="shared" si="2"/>
        <v>0</v>
      </c>
      <c r="AP17" s="702">
        <f t="shared" si="41"/>
        <v>0</v>
      </c>
      <c r="AQ17" s="702">
        <f t="shared" si="3"/>
        <v>0</v>
      </c>
      <c r="AR17" s="702">
        <f t="shared" si="4"/>
        <v>0</v>
      </c>
      <c r="AS17" s="702">
        <f t="shared" si="5"/>
        <v>0</v>
      </c>
      <c r="AT17" s="702">
        <f t="shared" si="6"/>
        <v>0</v>
      </c>
      <c r="AU17" s="702">
        <f t="shared" si="7"/>
        <v>0</v>
      </c>
      <c r="AV17" s="1063">
        <f t="shared" si="42"/>
        <v>0</v>
      </c>
      <c r="AW17" s="1063">
        <f t="shared" si="8"/>
        <v>0</v>
      </c>
      <c r="AX17" s="702">
        <f t="shared" si="43"/>
        <v>0</v>
      </c>
      <c r="AY17" s="702">
        <f t="shared" si="9"/>
        <v>0</v>
      </c>
      <c r="AZ17" s="702">
        <f t="shared" si="10"/>
        <v>0</v>
      </c>
      <c r="BA17" s="702">
        <f t="shared" si="11"/>
        <v>0</v>
      </c>
      <c r="BB17" s="702">
        <f t="shared" si="12"/>
        <v>0</v>
      </c>
      <c r="BC17" s="702">
        <f t="shared" si="13"/>
        <v>0</v>
      </c>
      <c r="BD17" s="1063">
        <f t="shared" si="44"/>
        <v>0</v>
      </c>
      <c r="BE17" s="1064">
        <f t="shared" si="14"/>
        <v>0</v>
      </c>
      <c r="BF17" s="1063">
        <f t="shared" si="15"/>
        <v>0</v>
      </c>
      <c r="BG17" s="1065">
        <f t="shared" si="16"/>
        <v>0</v>
      </c>
      <c r="BH17" s="702">
        <f t="shared" si="17"/>
        <v>0</v>
      </c>
      <c r="BI17" s="1063">
        <f t="shared" si="45"/>
        <v>0</v>
      </c>
      <c r="BJ17" s="1063">
        <f t="shared" si="18"/>
        <v>0</v>
      </c>
      <c r="BK17" s="1063">
        <f t="shared" si="19"/>
        <v>0</v>
      </c>
      <c r="BL17" s="1063">
        <f t="shared" si="20"/>
        <v>0</v>
      </c>
      <c r="BM17" s="1063">
        <f t="shared" si="21"/>
        <v>0</v>
      </c>
      <c r="BN17" s="1064">
        <f t="shared" si="46"/>
        <v>0</v>
      </c>
      <c r="BO17" s="1761">
        <f t="shared" si="47"/>
        <v>0</v>
      </c>
      <c r="BP17" s="1063">
        <f t="shared" si="48"/>
        <v>0</v>
      </c>
      <c r="BQ17" s="1064">
        <f t="shared" si="22"/>
        <v>0</v>
      </c>
      <c r="BR17" s="1063">
        <f t="shared" si="23"/>
        <v>0</v>
      </c>
      <c r="BS17" s="1063">
        <f t="shared" si="49"/>
        <v>0</v>
      </c>
      <c r="BT17" s="1064">
        <f t="shared" si="24"/>
        <v>0</v>
      </c>
      <c r="BU17" s="1064">
        <f t="shared" si="25"/>
        <v>0</v>
      </c>
      <c r="BV17" s="1064">
        <f t="shared" si="50"/>
        <v>0</v>
      </c>
      <c r="BW17" s="1066">
        <f t="shared" si="26"/>
        <v>0</v>
      </c>
      <c r="BX17" s="1063">
        <f>(BI17*Pricing!F$2+BJ17*Pricing!G$2+BK17*Pricing!H$2+BL17*Pricing!I$2+BM17*Pricing!J$2+BN17*Pricing!K$2)*IF(AC$63="N",(1+AE$63),1)</f>
        <v>0</v>
      </c>
      <c r="BY17" s="1063">
        <f t="shared" si="51"/>
        <v>0</v>
      </c>
      <c r="BZ17" s="1063">
        <f t="shared" si="52"/>
        <v>0</v>
      </c>
      <c r="CA17" s="1063">
        <f t="shared" si="53"/>
        <v>0</v>
      </c>
      <c r="CB17" s="1067">
        <f t="shared" si="27"/>
        <v>0</v>
      </c>
      <c r="CD17" s="702">
        <f t="shared" si="54"/>
        <v>0</v>
      </c>
      <c r="CE17" s="1063">
        <f t="shared" si="28"/>
        <v>0</v>
      </c>
      <c r="CF17" s="1063">
        <f t="shared" si="29"/>
        <v>0</v>
      </c>
      <c r="CG17" s="1063">
        <f t="shared" si="30"/>
        <v>0</v>
      </c>
      <c r="CH17" s="702">
        <f t="shared" si="31"/>
        <v>0</v>
      </c>
      <c r="CI17" s="1063">
        <f t="shared" si="32"/>
        <v>0</v>
      </c>
      <c r="CJ17" s="702">
        <f t="shared" si="33"/>
        <v>0</v>
      </c>
      <c r="CK17" s="1063">
        <f t="shared" si="34"/>
        <v>0</v>
      </c>
      <c r="CL17" s="704">
        <f t="shared" si="35"/>
        <v>0</v>
      </c>
      <c r="CM17" s="702">
        <f t="shared" si="36"/>
        <v>0</v>
      </c>
      <c r="CO17" s="1061">
        <f t="shared" si="55"/>
        <v>0</v>
      </c>
      <c r="CP17" s="702">
        <f t="shared" si="56"/>
        <v>0</v>
      </c>
      <c r="CQ17" s="702">
        <f t="shared" si="57"/>
        <v>0</v>
      </c>
      <c r="CR17" s="702">
        <f t="shared" si="63"/>
        <v>0</v>
      </c>
      <c r="CS17" s="702">
        <f t="shared" si="58"/>
        <v>0</v>
      </c>
      <c r="CT17" s="702">
        <f t="shared" si="59"/>
        <v>0</v>
      </c>
      <c r="CU17" s="702">
        <f t="shared" si="60"/>
        <v>0</v>
      </c>
      <c r="CV17" s="1068">
        <f t="shared" si="37"/>
        <v>0</v>
      </c>
      <c r="CW17" s="1064">
        <f t="shared" si="61"/>
        <v>0</v>
      </c>
      <c r="FX17" s="701"/>
      <c r="FY17" s="701"/>
      <c r="FZ17" s="701"/>
      <c r="GA17" s="701"/>
      <c r="GB17" s="701"/>
      <c r="GC17" s="701"/>
      <c r="GD17" s="701"/>
      <c r="GE17" s="701"/>
      <c r="GF17" s="701"/>
      <c r="GG17" s="701"/>
      <c r="GH17" s="701"/>
      <c r="GI17" s="701"/>
      <c r="GJ17" s="701"/>
      <c r="GK17" s="701"/>
      <c r="GL17" s="701"/>
      <c r="GM17" s="701"/>
      <c r="GN17" s="701"/>
      <c r="GO17" s="701"/>
      <c r="GP17" s="701"/>
      <c r="GQ17" s="701"/>
      <c r="GR17" s="701"/>
      <c r="GS17" s="701"/>
      <c r="GT17" s="701"/>
      <c r="GU17" s="701"/>
      <c r="GV17" s="701"/>
      <c r="GW17" s="701"/>
      <c r="GX17" s="701"/>
      <c r="GY17" s="701"/>
      <c r="GZ17" s="701"/>
      <c r="HA17" s="701"/>
      <c r="HB17" s="701"/>
      <c r="HC17" s="701"/>
      <c r="HD17" s="701"/>
      <c r="HE17" s="701"/>
      <c r="HF17" s="701"/>
      <c r="HG17" s="701"/>
      <c r="HH17" s="701"/>
      <c r="HI17" s="701"/>
      <c r="HJ17" s="701"/>
      <c r="HK17" s="701"/>
      <c r="HL17" s="701"/>
      <c r="HM17" s="701"/>
      <c r="HN17" s="701"/>
      <c r="HO17" s="701"/>
      <c r="HP17" s="701"/>
      <c r="HQ17" s="701"/>
      <c r="HR17" s="701"/>
      <c r="HS17" s="701"/>
      <c r="HT17" s="701"/>
      <c r="HU17" s="701"/>
      <c r="HV17" s="701"/>
      <c r="HW17" s="701"/>
      <c r="HX17" s="701"/>
      <c r="HY17" s="701"/>
      <c r="HZ17" s="701"/>
      <c r="IA17" s="701"/>
    </row>
    <row r="18" spans="2:235" s="702" customFormat="1" ht="20.149999999999999" customHeight="1" x14ac:dyDescent="0.35">
      <c r="B18" s="398"/>
      <c r="C18" s="396"/>
      <c r="D18" s="1991"/>
      <c r="E18" s="1992"/>
      <c r="F18" s="97"/>
      <c r="G18" s="777"/>
      <c r="H18" s="97"/>
      <c r="I18" s="779"/>
      <c r="J18" s="97"/>
      <c r="K18" s="781"/>
      <c r="L18" s="32"/>
      <c r="M18" s="211"/>
      <c r="N18" s="397"/>
      <c r="O18" s="212"/>
      <c r="P18" s="32"/>
      <c r="Q18" s="810"/>
      <c r="R18" s="722"/>
      <c r="S18" s="180">
        <v>1</v>
      </c>
      <c r="T18" s="554">
        <f t="shared" si="0"/>
        <v>0</v>
      </c>
      <c r="U18" s="32">
        <v>2</v>
      </c>
      <c r="V18" s="371"/>
      <c r="W18" s="32"/>
      <c r="X18" s="371"/>
      <c r="Y18" s="32"/>
      <c r="Z18" s="371"/>
      <c r="AA18" s="180"/>
      <c r="AB18" s="280"/>
      <c r="AC18" s="1380">
        <f t="shared" si="62"/>
        <v>0</v>
      </c>
      <c r="AD18" s="906">
        <f t="shared" si="38"/>
        <v>0</v>
      </c>
      <c r="AE18" s="794">
        <f t="shared" si="39"/>
        <v>0</v>
      </c>
      <c r="AF18" s="282">
        <f>SUM(BW18)*(1+M$64+Summary!P$64)</f>
        <v>0</v>
      </c>
      <c r="AG18" s="632" t="e">
        <f t="shared" si="1"/>
        <v>#DIV/0!</v>
      </c>
      <c r="AH18" s="1758">
        <f t="shared" si="40"/>
        <v>0</v>
      </c>
      <c r="AI18" s="769"/>
      <c r="AO18" s="702">
        <f t="shared" si="2"/>
        <v>0</v>
      </c>
      <c r="AP18" s="702">
        <f t="shared" si="41"/>
        <v>0</v>
      </c>
      <c r="AQ18" s="702">
        <f t="shared" si="3"/>
        <v>0</v>
      </c>
      <c r="AR18" s="702">
        <f t="shared" si="4"/>
        <v>0</v>
      </c>
      <c r="AS18" s="702">
        <f t="shared" si="5"/>
        <v>0</v>
      </c>
      <c r="AT18" s="702">
        <f t="shared" si="6"/>
        <v>0</v>
      </c>
      <c r="AU18" s="702">
        <f t="shared" si="7"/>
        <v>0</v>
      </c>
      <c r="AV18" s="1063">
        <f t="shared" si="42"/>
        <v>0</v>
      </c>
      <c r="AW18" s="1063">
        <f t="shared" si="8"/>
        <v>0</v>
      </c>
      <c r="AX18" s="702">
        <f t="shared" si="43"/>
        <v>0</v>
      </c>
      <c r="AY18" s="702">
        <f t="shared" si="9"/>
        <v>0</v>
      </c>
      <c r="AZ18" s="702">
        <f t="shared" si="10"/>
        <v>0</v>
      </c>
      <c r="BA18" s="702">
        <f t="shared" si="11"/>
        <v>0</v>
      </c>
      <c r="BB18" s="702">
        <f t="shared" si="12"/>
        <v>0</v>
      </c>
      <c r="BC18" s="702">
        <f t="shared" si="13"/>
        <v>0</v>
      </c>
      <c r="BD18" s="1063">
        <f t="shared" si="44"/>
        <v>0</v>
      </c>
      <c r="BE18" s="1064">
        <f t="shared" si="14"/>
        <v>0</v>
      </c>
      <c r="BF18" s="1063">
        <f t="shared" si="15"/>
        <v>0</v>
      </c>
      <c r="BG18" s="1065">
        <f t="shared" si="16"/>
        <v>0</v>
      </c>
      <c r="BH18" s="702">
        <f t="shared" si="17"/>
        <v>0</v>
      </c>
      <c r="BI18" s="1063">
        <f t="shared" si="45"/>
        <v>0</v>
      </c>
      <c r="BJ18" s="1063">
        <f t="shared" si="18"/>
        <v>0</v>
      </c>
      <c r="BK18" s="1063">
        <f t="shared" si="19"/>
        <v>0</v>
      </c>
      <c r="BL18" s="1063">
        <f t="shared" si="20"/>
        <v>0</v>
      </c>
      <c r="BM18" s="1063">
        <f t="shared" si="21"/>
        <v>0</v>
      </c>
      <c r="BN18" s="1064">
        <f t="shared" si="46"/>
        <v>0</v>
      </c>
      <c r="BO18" s="1761">
        <f t="shared" si="47"/>
        <v>0</v>
      </c>
      <c r="BP18" s="1063">
        <f t="shared" si="48"/>
        <v>0</v>
      </c>
      <c r="BQ18" s="1064">
        <f t="shared" si="22"/>
        <v>0</v>
      </c>
      <c r="BR18" s="1063">
        <f t="shared" si="23"/>
        <v>0</v>
      </c>
      <c r="BS18" s="1063">
        <f t="shared" si="49"/>
        <v>0</v>
      </c>
      <c r="BT18" s="1064">
        <f t="shared" si="24"/>
        <v>0</v>
      </c>
      <c r="BU18" s="1064">
        <f t="shared" si="25"/>
        <v>0</v>
      </c>
      <c r="BV18" s="1064">
        <f t="shared" si="50"/>
        <v>0</v>
      </c>
      <c r="BW18" s="1066">
        <f t="shared" si="26"/>
        <v>0</v>
      </c>
      <c r="BX18" s="1063">
        <f>(BI18*Pricing!F$2+BJ18*Pricing!G$2+BK18*Pricing!H$2+BL18*Pricing!I$2+BM18*Pricing!J$2+BN18*Pricing!K$2)*IF(AC$63="N",(1+AE$63),1)</f>
        <v>0</v>
      </c>
      <c r="BY18" s="1063">
        <f t="shared" si="51"/>
        <v>0</v>
      </c>
      <c r="BZ18" s="1063">
        <f t="shared" si="52"/>
        <v>0</v>
      </c>
      <c r="CA18" s="1063">
        <f t="shared" si="53"/>
        <v>0</v>
      </c>
      <c r="CB18" s="1067">
        <f t="shared" si="27"/>
        <v>0</v>
      </c>
      <c r="CD18" s="702">
        <f t="shared" si="54"/>
        <v>0</v>
      </c>
      <c r="CE18" s="1063">
        <f t="shared" si="28"/>
        <v>0</v>
      </c>
      <c r="CF18" s="1063">
        <f t="shared" si="29"/>
        <v>0</v>
      </c>
      <c r="CG18" s="1063">
        <f t="shared" si="30"/>
        <v>0</v>
      </c>
      <c r="CH18" s="702">
        <f t="shared" si="31"/>
        <v>0</v>
      </c>
      <c r="CI18" s="1063">
        <f t="shared" si="32"/>
        <v>0</v>
      </c>
      <c r="CJ18" s="702">
        <f t="shared" si="33"/>
        <v>0</v>
      </c>
      <c r="CK18" s="1063">
        <f t="shared" si="34"/>
        <v>0</v>
      </c>
      <c r="CL18" s="704">
        <f t="shared" si="35"/>
        <v>0</v>
      </c>
      <c r="CM18" s="702">
        <f t="shared" si="36"/>
        <v>0</v>
      </c>
      <c r="CO18" s="1061">
        <f t="shared" si="55"/>
        <v>0</v>
      </c>
      <c r="CP18" s="702">
        <f t="shared" si="56"/>
        <v>0</v>
      </c>
      <c r="CQ18" s="702">
        <f t="shared" si="57"/>
        <v>0</v>
      </c>
      <c r="CR18" s="702">
        <f t="shared" si="63"/>
        <v>0</v>
      </c>
      <c r="CS18" s="702">
        <f t="shared" si="58"/>
        <v>0</v>
      </c>
      <c r="CT18" s="702">
        <f t="shared" si="59"/>
        <v>0</v>
      </c>
      <c r="CU18" s="702">
        <f t="shared" si="60"/>
        <v>0</v>
      </c>
      <c r="CV18" s="1068">
        <f t="shared" si="37"/>
        <v>0</v>
      </c>
      <c r="CW18" s="1064">
        <f t="shared" si="61"/>
        <v>0</v>
      </c>
      <c r="FX18" s="701"/>
      <c r="FY18" s="701"/>
      <c r="FZ18" s="701"/>
      <c r="GA18" s="701"/>
      <c r="GB18" s="701"/>
      <c r="GC18" s="701"/>
      <c r="GD18" s="701"/>
      <c r="GE18" s="701"/>
      <c r="GF18" s="701"/>
      <c r="GG18" s="701"/>
      <c r="GH18" s="701"/>
      <c r="GI18" s="701"/>
      <c r="GJ18" s="701"/>
      <c r="GK18" s="701"/>
      <c r="GL18" s="701"/>
      <c r="GM18" s="701"/>
      <c r="GN18" s="701"/>
      <c r="GO18" s="701"/>
      <c r="GP18" s="701"/>
      <c r="GQ18" s="701"/>
      <c r="GR18" s="701"/>
      <c r="GS18" s="701"/>
      <c r="GT18" s="701"/>
      <c r="GU18" s="701"/>
      <c r="GV18" s="701"/>
      <c r="GW18" s="701"/>
      <c r="GX18" s="701"/>
      <c r="GY18" s="701"/>
      <c r="GZ18" s="701"/>
      <c r="HA18" s="701"/>
      <c r="HB18" s="701"/>
      <c r="HC18" s="701"/>
      <c r="HD18" s="701"/>
      <c r="HE18" s="701"/>
      <c r="HF18" s="701"/>
      <c r="HG18" s="701"/>
      <c r="HH18" s="701"/>
      <c r="HI18" s="701"/>
      <c r="HJ18" s="701"/>
      <c r="HK18" s="701"/>
      <c r="HL18" s="701"/>
      <c r="HM18" s="701"/>
      <c r="HN18" s="701"/>
      <c r="HO18" s="701"/>
      <c r="HP18" s="701"/>
      <c r="HQ18" s="701"/>
      <c r="HR18" s="701"/>
      <c r="HS18" s="701"/>
      <c r="HT18" s="701"/>
      <c r="HU18" s="701"/>
      <c r="HV18" s="701"/>
      <c r="HW18" s="701"/>
      <c r="HX18" s="701"/>
      <c r="HY18" s="701"/>
      <c r="HZ18" s="701"/>
      <c r="IA18" s="701"/>
    </row>
    <row r="19" spans="2:235" s="702" customFormat="1" ht="20.149999999999999" customHeight="1" x14ac:dyDescent="0.35">
      <c r="B19" s="193"/>
      <c r="C19" s="393"/>
      <c r="D19" s="1985"/>
      <c r="E19" s="1986"/>
      <c r="F19" s="127"/>
      <c r="G19" s="777"/>
      <c r="H19" s="214"/>
      <c r="I19" s="779"/>
      <c r="J19" s="127"/>
      <c r="K19" s="781"/>
      <c r="L19" s="30"/>
      <c r="M19" s="121"/>
      <c r="N19" s="394"/>
      <c r="O19" s="205"/>
      <c r="P19" s="30"/>
      <c r="Q19" s="264"/>
      <c r="R19" s="266"/>
      <c r="S19" s="176">
        <v>1</v>
      </c>
      <c r="T19" s="555">
        <f t="shared" si="0"/>
        <v>0</v>
      </c>
      <c r="U19" s="31">
        <v>2</v>
      </c>
      <c r="V19" s="531"/>
      <c r="W19" s="31"/>
      <c r="X19" s="531"/>
      <c r="Y19" s="31"/>
      <c r="Z19" s="531"/>
      <c r="AA19" s="178"/>
      <c r="AB19" s="279"/>
      <c r="AC19" s="1380">
        <f t="shared" si="62"/>
        <v>0</v>
      </c>
      <c r="AD19" s="906">
        <f t="shared" si="38"/>
        <v>0</v>
      </c>
      <c r="AE19" s="794">
        <f t="shared" si="39"/>
        <v>0</v>
      </c>
      <c r="AF19" s="282">
        <f>SUM(BW19)*(1+M$64+Summary!P$64)</f>
        <v>0</v>
      </c>
      <c r="AG19" s="632" t="e">
        <f t="shared" si="1"/>
        <v>#DIV/0!</v>
      </c>
      <c r="AH19" s="1758">
        <f t="shared" si="40"/>
        <v>0</v>
      </c>
      <c r="AI19" s="769"/>
      <c r="AO19" s="702">
        <f t="shared" si="2"/>
        <v>0</v>
      </c>
      <c r="AP19" s="702">
        <f t="shared" si="41"/>
        <v>0</v>
      </c>
      <c r="AQ19" s="702">
        <f t="shared" si="3"/>
        <v>0</v>
      </c>
      <c r="AR19" s="702">
        <f t="shared" si="4"/>
        <v>0</v>
      </c>
      <c r="AS19" s="702">
        <f t="shared" si="5"/>
        <v>0</v>
      </c>
      <c r="AT19" s="702">
        <f t="shared" si="6"/>
        <v>0</v>
      </c>
      <c r="AU19" s="702">
        <f t="shared" si="7"/>
        <v>0</v>
      </c>
      <c r="AV19" s="1063">
        <f t="shared" si="42"/>
        <v>0</v>
      </c>
      <c r="AW19" s="1063">
        <f t="shared" si="8"/>
        <v>0</v>
      </c>
      <c r="AX19" s="702">
        <f t="shared" si="43"/>
        <v>0</v>
      </c>
      <c r="AY19" s="702">
        <f t="shared" si="9"/>
        <v>0</v>
      </c>
      <c r="AZ19" s="702">
        <f t="shared" si="10"/>
        <v>0</v>
      </c>
      <c r="BA19" s="702">
        <f t="shared" si="11"/>
        <v>0</v>
      </c>
      <c r="BB19" s="702">
        <f t="shared" si="12"/>
        <v>0</v>
      </c>
      <c r="BC19" s="702">
        <f t="shared" si="13"/>
        <v>0</v>
      </c>
      <c r="BD19" s="1063">
        <f t="shared" si="44"/>
        <v>0</v>
      </c>
      <c r="BE19" s="1064">
        <f t="shared" si="14"/>
        <v>0</v>
      </c>
      <c r="BF19" s="1063">
        <f t="shared" si="15"/>
        <v>0</v>
      </c>
      <c r="BG19" s="1065">
        <f t="shared" si="16"/>
        <v>0</v>
      </c>
      <c r="BH19" s="702">
        <f t="shared" si="17"/>
        <v>0</v>
      </c>
      <c r="BI19" s="1063">
        <f t="shared" si="45"/>
        <v>0</v>
      </c>
      <c r="BJ19" s="1063">
        <f t="shared" si="18"/>
        <v>0</v>
      </c>
      <c r="BK19" s="1063">
        <f t="shared" si="19"/>
        <v>0</v>
      </c>
      <c r="BL19" s="1063">
        <f t="shared" si="20"/>
        <v>0</v>
      </c>
      <c r="BM19" s="1063">
        <f t="shared" si="21"/>
        <v>0</v>
      </c>
      <c r="BN19" s="1064">
        <f t="shared" si="46"/>
        <v>0</v>
      </c>
      <c r="BO19" s="1761">
        <f t="shared" si="47"/>
        <v>0</v>
      </c>
      <c r="BP19" s="1063">
        <f t="shared" si="48"/>
        <v>0</v>
      </c>
      <c r="BQ19" s="1064">
        <f t="shared" si="22"/>
        <v>0</v>
      </c>
      <c r="BR19" s="1063">
        <f t="shared" si="23"/>
        <v>0</v>
      </c>
      <c r="BS19" s="1063">
        <f t="shared" si="49"/>
        <v>0</v>
      </c>
      <c r="BT19" s="1064">
        <f t="shared" si="24"/>
        <v>0</v>
      </c>
      <c r="BU19" s="1064">
        <f t="shared" si="25"/>
        <v>0</v>
      </c>
      <c r="BV19" s="1064">
        <f t="shared" si="50"/>
        <v>0</v>
      </c>
      <c r="BW19" s="1066">
        <f t="shared" si="26"/>
        <v>0</v>
      </c>
      <c r="BX19" s="1063">
        <f>(BI19*Pricing!F$2+BJ19*Pricing!G$2+BK19*Pricing!H$2+BL19*Pricing!I$2+BM19*Pricing!J$2+BN19*Pricing!K$2)*IF(AC$63="N",(1+AE$63),1)</f>
        <v>0</v>
      </c>
      <c r="BY19" s="1063">
        <f t="shared" si="51"/>
        <v>0</v>
      </c>
      <c r="BZ19" s="1063">
        <f t="shared" si="52"/>
        <v>0</v>
      </c>
      <c r="CA19" s="1063">
        <f t="shared" si="53"/>
        <v>0</v>
      </c>
      <c r="CB19" s="1067">
        <f t="shared" si="27"/>
        <v>0</v>
      </c>
      <c r="CD19" s="702">
        <f t="shared" si="54"/>
        <v>0</v>
      </c>
      <c r="CE19" s="1063">
        <f t="shared" si="28"/>
        <v>0</v>
      </c>
      <c r="CF19" s="1063">
        <f t="shared" si="29"/>
        <v>0</v>
      </c>
      <c r="CG19" s="1063">
        <f t="shared" si="30"/>
        <v>0</v>
      </c>
      <c r="CH19" s="702">
        <f t="shared" si="31"/>
        <v>0</v>
      </c>
      <c r="CI19" s="1063">
        <f t="shared" si="32"/>
        <v>0</v>
      </c>
      <c r="CJ19" s="702">
        <f t="shared" si="33"/>
        <v>0</v>
      </c>
      <c r="CK19" s="1063">
        <f t="shared" si="34"/>
        <v>0</v>
      </c>
      <c r="CL19" s="704">
        <f t="shared" si="35"/>
        <v>0</v>
      </c>
      <c r="CM19" s="702">
        <f t="shared" si="36"/>
        <v>0</v>
      </c>
      <c r="CO19" s="1061">
        <f t="shared" si="55"/>
        <v>0</v>
      </c>
      <c r="CP19" s="702">
        <f t="shared" si="56"/>
        <v>0</v>
      </c>
      <c r="CQ19" s="702">
        <f t="shared" si="57"/>
        <v>0</v>
      </c>
      <c r="CR19" s="702">
        <f t="shared" si="63"/>
        <v>0</v>
      </c>
      <c r="CS19" s="702">
        <f t="shared" si="58"/>
        <v>0</v>
      </c>
      <c r="CT19" s="702">
        <f t="shared" si="59"/>
        <v>0</v>
      </c>
      <c r="CU19" s="702">
        <f t="shared" si="60"/>
        <v>0</v>
      </c>
      <c r="CV19" s="1068">
        <f t="shared" si="37"/>
        <v>0</v>
      </c>
      <c r="CW19" s="1064">
        <f t="shared" si="61"/>
        <v>0</v>
      </c>
      <c r="FX19" s="701"/>
      <c r="FY19" s="701"/>
      <c r="FZ19" s="701"/>
      <c r="GA19" s="701"/>
      <c r="GB19" s="701"/>
      <c r="GC19" s="701"/>
      <c r="GD19" s="701"/>
      <c r="GE19" s="701"/>
      <c r="GF19" s="701"/>
      <c r="GG19" s="701"/>
      <c r="GH19" s="701"/>
      <c r="GI19" s="701"/>
      <c r="GJ19" s="701"/>
      <c r="GK19" s="701"/>
      <c r="GL19" s="701"/>
      <c r="GM19" s="701"/>
      <c r="GN19" s="701"/>
      <c r="GO19" s="701"/>
      <c r="GP19" s="701"/>
      <c r="GQ19" s="701"/>
      <c r="GR19" s="701"/>
      <c r="GS19" s="701"/>
      <c r="GT19" s="701"/>
      <c r="GU19" s="701"/>
      <c r="GV19" s="701"/>
      <c r="GW19" s="701"/>
      <c r="GX19" s="701"/>
      <c r="GY19" s="701"/>
      <c r="GZ19" s="701"/>
      <c r="HA19" s="701"/>
      <c r="HB19" s="701"/>
      <c r="HC19" s="701"/>
      <c r="HD19" s="701"/>
      <c r="HE19" s="701"/>
      <c r="HF19" s="701"/>
      <c r="HG19" s="701"/>
      <c r="HH19" s="701"/>
      <c r="HI19" s="701"/>
      <c r="HJ19" s="701"/>
      <c r="HK19" s="701"/>
      <c r="HL19" s="701"/>
      <c r="HM19" s="701"/>
      <c r="HN19" s="701"/>
      <c r="HO19" s="701"/>
      <c r="HP19" s="701"/>
      <c r="HQ19" s="701"/>
      <c r="HR19" s="701"/>
      <c r="HS19" s="701"/>
      <c r="HT19" s="701"/>
      <c r="HU19" s="701"/>
      <c r="HV19" s="701"/>
      <c r="HW19" s="701"/>
      <c r="HX19" s="701"/>
      <c r="HY19" s="701"/>
      <c r="HZ19" s="701"/>
      <c r="IA19" s="701"/>
    </row>
    <row r="20" spans="2:235" s="702" customFormat="1" ht="20.149999999999999" customHeight="1" x14ac:dyDescent="0.35">
      <c r="B20" s="398"/>
      <c r="C20" s="396"/>
      <c r="D20" s="1991"/>
      <c r="E20" s="1992"/>
      <c r="F20" s="97"/>
      <c r="G20" s="777"/>
      <c r="H20" s="97"/>
      <c r="I20" s="779"/>
      <c r="J20" s="97"/>
      <c r="K20" s="781"/>
      <c r="L20" s="32"/>
      <c r="M20" s="211"/>
      <c r="N20" s="397"/>
      <c r="O20" s="212"/>
      <c r="P20" s="32"/>
      <c r="Q20" s="810"/>
      <c r="R20" s="722"/>
      <c r="S20" s="180">
        <v>1</v>
      </c>
      <c r="T20" s="554">
        <f t="shared" si="0"/>
        <v>0</v>
      </c>
      <c r="U20" s="32">
        <v>2</v>
      </c>
      <c r="V20" s="371"/>
      <c r="W20" s="32"/>
      <c r="X20" s="371"/>
      <c r="Y20" s="32"/>
      <c r="Z20" s="371"/>
      <c r="AA20" s="180"/>
      <c r="AB20" s="280"/>
      <c r="AC20" s="1380">
        <f t="shared" si="62"/>
        <v>0</v>
      </c>
      <c r="AD20" s="906">
        <f t="shared" si="38"/>
        <v>0</v>
      </c>
      <c r="AE20" s="794">
        <f t="shared" si="39"/>
        <v>0</v>
      </c>
      <c r="AF20" s="282">
        <f>SUM(BW20)*(1+M$64+Summary!P$64)</f>
        <v>0</v>
      </c>
      <c r="AG20" s="632" t="e">
        <f t="shared" si="1"/>
        <v>#DIV/0!</v>
      </c>
      <c r="AH20" s="1758">
        <f t="shared" si="40"/>
        <v>0</v>
      </c>
      <c r="AI20" s="769"/>
      <c r="AO20" s="702">
        <f t="shared" si="2"/>
        <v>0</v>
      </c>
      <c r="AP20" s="702">
        <f t="shared" si="41"/>
        <v>0</v>
      </c>
      <c r="AQ20" s="702">
        <f t="shared" si="3"/>
        <v>0</v>
      </c>
      <c r="AR20" s="702">
        <f t="shared" si="4"/>
        <v>0</v>
      </c>
      <c r="AS20" s="702">
        <f t="shared" si="5"/>
        <v>0</v>
      </c>
      <c r="AT20" s="702">
        <f t="shared" si="6"/>
        <v>0</v>
      </c>
      <c r="AU20" s="702">
        <f t="shared" si="7"/>
        <v>0</v>
      </c>
      <c r="AV20" s="1063">
        <f t="shared" si="42"/>
        <v>0</v>
      </c>
      <c r="AW20" s="1063">
        <f t="shared" si="8"/>
        <v>0</v>
      </c>
      <c r="AX20" s="702">
        <f t="shared" si="43"/>
        <v>0</v>
      </c>
      <c r="AY20" s="702">
        <f t="shared" si="9"/>
        <v>0</v>
      </c>
      <c r="AZ20" s="702">
        <f t="shared" si="10"/>
        <v>0</v>
      </c>
      <c r="BA20" s="702">
        <f t="shared" si="11"/>
        <v>0</v>
      </c>
      <c r="BB20" s="702">
        <f t="shared" si="12"/>
        <v>0</v>
      </c>
      <c r="BC20" s="702">
        <f t="shared" si="13"/>
        <v>0</v>
      </c>
      <c r="BD20" s="1063">
        <f t="shared" si="44"/>
        <v>0</v>
      </c>
      <c r="BE20" s="1064">
        <f t="shared" si="14"/>
        <v>0</v>
      </c>
      <c r="BF20" s="1063">
        <f t="shared" si="15"/>
        <v>0</v>
      </c>
      <c r="BG20" s="1065">
        <f t="shared" si="16"/>
        <v>0</v>
      </c>
      <c r="BH20" s="702">
        <f t="shared" si="17"/>
        <v>0</v>
      </c>
      <c r="BI20" s="1063">
        <f t="shared" si="45"/>
        <v>0</v>
      </c>
      <c r="BJ20" s="1063">
        <f t="shared" si="18"/>
        <v>0</v>
      </c>
      <c r="BK20" s="1063">
        <f t="shared" si="19"/>
        <v>0</v>
      </c>
      <c r="BL20" s="1063">
        <f t="shared" si="20"/>
        <v>0</v>
      </c>
      <c r="BM20" s="1063">
        <f t="shared" si="21"/>
        <v>0</v>
      </c>
      <c r="BN20" s="1064">
        <f t="shared" si="46"/>
        <v>0</v>
      </c>
      <c r="BO20" s="1761">
        <f t="shared" si="47"/>
        <v>0</v>
      </c>
      <c r="BP20" s="1063">
        <f t="shared" si="48"/>
        <v>0</v>
      </c>
      <c r="BQ20" s="1064">
        <f t="shared" si="22"/>
        <v>0</v>
      </c>
      <c r="BR20" s="1063">
        <f t="shared" si="23"/>
        <v>0</v>
      </c>
      <c r="BS20" s="1063">
        <f t="shared" si="49"/>
        <v>0</v>
      </c>
      <c r="BT20" s="1064">
        <f t="shared" si="24"/>
        <v>0</v>
      </c>
      <c r="BU20" s="1064">
        <f t="shared" si="25"/>
        <v>0</v>
      </c>
      <c r="BV20" s="1064">
        <f t="shared" si="50"/>
        <v>0</v>
      </c>
      <c r="BW20" s="1066">
        <f t="shared" si="26"/>
        <v>0</v>
      </c>
      <c r="BX20" s="1063">
        <f>(BI20*Pricing!F$2+BJ20*Pricing!G$2+BK20*Pricing!H$2+BL20*Pricing!I$2+BM20*Pricing!J$2+BN20*Pricing!K$2)*IF(AC$63="N",(1+AE$63),1)</f>
        <v>0</v>
      </c>
      <c r="BY20" s="1063">
        <f t="shared" si="51"/>
        <v>0</v>
      </c>
      <c r="BZ20" s="1063">
        <f t="shared" si="52"/>
        <v>0</v>
      </c>
      <c r="CA20" s="1063">
        <f t="shared" si="53"/>
        <v>0</v>
      </c>
      <c r="CB20" s="1067">
        <f t="shared" si="27"/>
        <v>0</v>
      </c>
      <c r="CD20" s="702">
        <f t="shared" si="54"/>
        <v>0</v>
      </c>
      <c r="CE20" s="1063">
        <f t="shared" si="28"/>
        <v>0</v>
      </c>
      <c r="CF20" s="1063">
        <f t="shared" si="29"/>
        <v>0</v>
      </c>
      <c r="CG20" s="1063">
        <f t="shared" si="30"/>
        <v>0</v>
      </c>
      <c r="CH20" s="702">
        <f t="shared" si="31"/>
        <v>0</v>
      </c>
      <c r="CI20" s="1063">
        <f t="shared" si="32"/>
        <v>0</v>
      </c>
      <c r="CJ20" s="702">
        <f t="shared" si="33"/>
        <v>0</v>
      </c>
      <c r="CK20" s="1063">
        <f t="shared" si="34"/>
        <v>0</v>
      </c>
      <c r="CL20" s="704">
        <f t="shared" si="35"/>
        <v>0</v>
      </c>
      <c r="CM20" s="702">
        <f t="shared" si="36"/>
        <v>0</v>
      </c>
      <c r="CO20" s="1061">
        <f t="shared" si="55"/>
        <v>0</v>
      </c>
      <c r="CP20" s="702">
        <f t="shared" si="56"/>
        <v>0</v>
      </c>
      <c r="CQ20" s="702">
        <f t="shared" si="57"/>
        <v>0</v>
      </c>
      <c r="CR20" s="702">
        <f t="shared" si="63"/>
        <v>0</v>
      </c>
      <c r="CS20" s="702">
        <f t="shared" si="58"/>
        <v>0</v>
      </c>
      <c r="CT20" s="702">
        <f t="shared" si="59"/>
        <v>0</v>
      </c>
      <c r="CU20" s="702">
        <f t="shared" si="60"/>
        <v>0</v>
      </c>
      <c r="CV20" s="1068">
        <f t="shared" si="37"/>
        <v>0</v>
      </c>
      <c r="CW20" s="1064">
        <f t="shared" si="61"/>
        <v>0</v>
      </c>
      <c r="FX20" s="701"/>
      <c r="FY20" s="701"/>
      <c r="FZ20" s="701"/>
      <c r="GA20" s="701"/>
      <c r="GB20" s="701"/>
      <c r="GC20" s="701"/>
      <c r="GD20" s="701"/>
      <c r="GE20" s="701"/>
      <c r="GF20" s="701"/>
      <c r="GG20" s="701"/>
      <c r="GH20" s="701"/>
      <c r="GI20" s="701"/>
      <c r="GJ20" s="701"/>
      <c r="GK20" s="701"/>
      <c r="GL20" s="701"/>
      <c r="GM20" s="701"/>
      <c r="GN20" s="701"/>
      <c r="GO20" s="701"/>
      <c r="GP20" s="701"/>
      <c r="GQ20" s="701"/>
      <c r="GR20" s="701"/>
      <c r="GS20" s="701"/>
      <c r="GT20" s="701"/>
      <c r="GU20" s="701"/>
      <c r="GV20" s="701"/>
      <c r="GW20" s="701"/>
      <c r="GX20" s="701"/>
      <c r="GY20" s="701"/>
      <c r="GZ20" s="701"/>
      <c r="HA20" s="701"/>
      <c r="HB20" s="701"/>
      <c r="HC20" s="701"/>
      <c r="HD20" s="701"/>
      <c r="HE20" s="701"/>
      <c r="HF20" s="701"/>
      <c r="HG20" s="701"/>
      <c r="HH20" s="701"/>
      <c r="HI20" s="701"/>
      <c r="HJ20" s="701"/>
      <c r="HK20" s="701"/>
      <c r="HL20" s="701"/>
      <c r="HM20" s="701"/>
      <c r="HN20" s="701"/>
      <c r="HO20" s="701"/>
      <c r="HP20" s="701"/>
      <c r="HQ20" s="701"/>
      <c r="HR20" s="701"/>
      <c r="HS20" s="701"/>
      <c r="HT20" s="701"/>
      <c r="HU20" s="701"/>
      <c r="HV20" s="701"/>
      <c r="HW20" s="701"/>
      <c r="HX20" s="701"/>
      <c r="HY20" s="701"/>
      <c r="HZ20" s="701"/>
      <c r="IA20" s="701"/>
    </row>
    <row r="21" spans="2:235" s="702" customFormat="1" ht="20.149999999999999" customHeight="1" x14ac:dyDescent="0.35">
      <c r="B21" s="193"/>
      <c r="C21" s="393"/>
      <c r="D21" s="1985"/>
      <c r="E21" s="1986"/>
      <c r="F21" s="127"/>
      <c r="G21" s="777"/>
      <c r="H21" s="214"/>
      <c r="I21" s="779"/>
      <c r="J21" s="127"/>
      <c r="K21" s="781"/>
      <c r="L21" s="30"/>
      <c r="M21" s="121"/>
      <c r="N21" s="394"/>
      <c r="O21" s="205"/>
      <c r="P21" s="30"/>
      <c r="Q21" s="264"/>
      <c r="R21" s="266"/>
      <c r="S21" s="176">
        <v>1</v>
      </c>
      <c r="T21" s="555">
        <f t="shared" si="0"/>
        <v>0</v>
      </c>
      <c r="U21" s="31">
        <v>2</v>
      </c>
      <c r="V21" s="531"/>
      <c r="W21" s="31"/>
      <c r="X21" s="531"/>
      <c r="Y21" s="31"/>
      <c r="Z21" s="531"/>
      <c r="AA21" s="178"/>
      <c r="AB21" s="279"/>
      <c r="AC21" s="1380">
        <f t="shared" si="62"/>
        <v>0</v>
      </c>
      <c r="AD21" s="906">
        <f t="shared" si="38"/>
        <v>0</v>
      </c>
      <c r="AE21" s="794">
        <f t="shared" si="39"/>
        <v>0</v>
      </c>
      <c r="AF21" s="282">
        <f>SUM(BW21)*(1+M$64+Summary!P$64)</f>
        <v>0</v>
      </c>
      <c r="AG21" s="632" t="e">
        <f t="shared" si="1"/>
        <v>#DIV/0!</v>
      </c>
      <c r="AH21" s="1758">
        <f t="shared" si="40"/>
        <v>0</v>
      </c>
      <c r="AI21" s="769"/>
      <c r="AO21" s="702">
        <f t="shared" si="2"/>
        <v>0</v>
      </c>
      <c r="AP21" s="702">
        <f t="shared" si="41"/>
        <v>0</v>
      </c>
      <c r="AQ21" s="702">
        <f t="shared" si="3"/>
        <v>0</v>
      </c>
      <c r="AR21" s="702">
        <f t="shared" si="4"/>
        <v>0</v>
      </c>
      <c r="AS21" s="702">
        <f t="shared" si="5"/>
        <v>0</v>
      </c>
      <c r="AT21" s="702">
        <f t="shared" si="6"/>
        <v>0</v>
      </c>
      <c r="AU21" s="702">
        <f t="shared" si="7"/>
        <v>0</v>
      </c>
      <c r="AV21" s="1063">
        <f t="shared" si="42"/>
        <v>0</v>
      </c>
      <c r="AW21" s="1063">
        <f t="shared" si="8"/>
        <v>0</v>
      </c>
      <c r="AX21" s="702">
        <f t="shared" si="43"/>
        <v>0</v>
      </c>
      <c r="AY21" s="702">
        <f t="shared" si="9"/>
        <v>0</v>
      </c>
      <c r="AZ21" s="702">
        <f t="shared" si="10"/>
        <v>0</v>
      </c>
      <c r="BA21" s="702">
        <f t="shared" si="11"/>
        <v>0</v>
      </c>
      <c r="BB21" s="702">
        <f t="shared" si="12"/>
        <v>0</v>
      </c>
      <c r="BC21" s="702">
        <f t="shared" si="13"/>
        <v>0</v>
      </c>
      <c r="BD21" s="1063">
        <f t="shared" si="44"/>
        <v>0</v>
      </c>
      <c r="BE21" s="1064">
        <f t="shared" si="14"/>
        <v>0</v>
      </c>
      <c r="BF21" s="1063">
        <f t="shared" si="15"/>
        <v>0</v>
      </c>
      <c r="BG21" s="1065">
        <f t="shared" si="16"/>
        <v>0</v>
      </c>
      <c r="BH21" s="702">
        <f t="shared" si="17"/>
        <v>0</v>
      </c>
      <c r="BI21" s="1063">
        <f t="shared" si="45"/>
        <v>0</v>
      </c>
      <c r="BJ21" s="1063">
        <f t="shared" si="18"/>
        <v>0</v>
      </c>
      <c r="BK21" s="1063">
        <f t="shared" si="19"/>
        <v>0</v>
      </c>
      <c r="BL21" s="1063">
        <f t="shared" si="20"/>
        <v>0</v>
      </c>
      <c r="BM21" s="1063">
        <f t="shared" si="21"/>
        <v>0</v>
      </c>
      <c r="BN21" s="1064">
        <f t="shared" si="46"/>
        <v>0</v>
      </c>
      <c r="BO21" s="1761">
        <f t="shared" si="47"/>
        <v>0</v>
      </c>
      <c r="BP21" s="1063">
        <f t="shared" si="48"/>
        <v>0</v>
      </c>
      <c r="BQ21" s="1064">
        <f t="shared" si="22"/>
        <v>0</v>
      </c>
      <c r="BR21" s="1063">
        <f t="shared" si="23"/>
        <v>0</v>
      </c>
      <c r="BS21" s="1063">
        <f t="shared" si="49"/>
        <v>0</v>
      </c>
      <c r="BT21" s="1064">
        <f t="shared" si="24"/>
        <v>0</v>
      </c>
      <c r="BU21" s="1064">
        <f t="shared" si="25"/>
        <v>0</v>
      </c>
      <c r="BV21" s="1064">
        <f t="shared" si="50"/>
        <v>0</v>
      </c>
      <c r="BW21" s="1066">
        <f t="shared" si="26"/>
        <v>0</v>
      </c>
      <c r="BX21" s="1063">
        <f>(BI21*Pricing!F$2+BJ21*Pricing!G$2+BK21*Pricing!H$2+BL21*Pricing!I$2+BM21*Pricing!J$2+BN21*Pricing!K$2)*IF(AC$63="N",(1+AE$63),1)</f>
        <v>0</v>
      </c>
      <c r="BY21" s="1063">
        <f t="shared" si="51"/>
        <v>0</v>
      </c>
      <c r="BZ21" s="1063">
        <f t="shared" si="52"/>
        <v>0</v>
      </c>
      <c r="CA21" s="1063">
        <f t="shared" si="53"/>
        <v>0</v>
      </c>
      <c r="CB21" s="1067">
        <f t="shared" si="27"/>
        <v>0</v>
      </c>
      <c r="CD21" s="702">
        <f t="shared" si="54"/>
        <v>0</v>
      </c>
      <c r="CE21" s="1063">
        <f t="shared" si="28"/>
        <v>0</v>
      </c>
      <c r="CF21" s="1063">
        <f t="shared" si="29"/>
        <v>0</v>
      </c>
      <c r="CG21" s="1063">
        <f t="shared" si="30"/>
        <v>0</v>
      </c>
      <c r="CH21" s="702">
        <f t="shared" si="31"/>
        <v>0</v>
      </c>
      <c r="CI21" s="1063">
        <f t="shared" si="32"/>
        <v>0</v>
      </c>
      <c r="CJ21" s="702">
        <f t="shared" si="33"/>
        <v>0</v>
      </c>
      <c r="CK21" s="1063">
        <f t="shared" si="34"/>
        <v>0</v>
      </c>
      <c r="CL21" s="704">
        <f t="shared" si="35"/>
        <v>0</v>
      </c>
      <c r="CM21" s="702">
        <f t="shared" si="36"/>
        <v>0</v>
      </c>
      <c r="CO21" s="1061">
        <f t="shared" si="55"/>
        <v>0</v>
      </c>
      <c r="CP21" s="702">
        <f t="shared" si="56"/>
        <v>0</v>
      </c>
      <c r="CQ21" s="702">
        <f t="shared" si="57"/>
        <v>0</v>
      </c>
      <c r="CR21" s="702">
        <f t="shared" si="63"/>
        <v>0</v>
      </c>
      <c r="CS21" s="702">
        <f t="shared" si="58"/>
        <v>0</v>
      </c>
      <c r="CT21" s="702">
        <f t="shared" si="59"/>
        <v>0</v>
      </c>
      <c r="CU21" s="702">
        <f t="shared" si="60"/>
        <v>0</v>
      </c>
      <c r="CV21" s="1068">
        <f t="shared" si="37"/>
        <v>0</v>
      </c>
      <c r="CW21" s="1064">
        <f t="shared" si="61"/>
        <v>0</v>
      </c>
      <c r="FX21" s="701"/>
      <c r="FY21" s="701"/>
      <c r="FZ21" s="701"/>
      <c r="GA21" s="701"/>
      <c r="GB21" s="701"/>
      <c r="GC21" s="701"/>
      <c r="GD21" s="701"/>
      <c r="GE21" s="701"/>
      <c r="GF21" s="701"/>
      <c r="GG21" s="701"/>
      <c r="GH21" s="701"/>
      <c r="GI21" s="701"/>
      <c r="GJ21" s="701"/>
      <c r="GK21" s="701"/>
      <c r="GL21" s="701"/>
      <c r="GM21" s="701"/>
      <c r="GN21" s="701"/>
      <c r="GO21" s="701"/>
      <c r="GP21" s="701"/>
      <c r="GQ21" s="701"/>
      <c r="GR21" s="701"/>
      <c r="GS21" s="701"/>
      <c r="GT21" s="701"/>
      <c r="GU21" s="701"/>
      <c r="GV21" s="701"/>
      <c r="GW21" s="701"/>
      <c r="GX21" s="701"/>
      <c r="GY21" s="701"/>
      <c r="GZ21" s="701"/>
      <c r="HA21" s="701"/>
      <c r="HB21" s="701"/>
      <c r="HC21" s="701"/>
      <c r="HD21" s="701"/>
      <c r="HE21" s="701"/>
      <c r="HF21" s="701"/>
      <c r="HG21" s="701"/>
      <c r="HH21" s="701"/>
      <c r="HI21" s="701"/>
      <c r="HJ21" s="701"/>
      <c r="HK21" s="701"/>
      <c r="HL21" s="701"/>
      <c r="HM21" s="701"/>
      <c r="HN21" s="701"/>
      <c r="HO21" s="701"/>
      <c r="HP21" s="701"/>
      <c r="HQ21" s="701"/>
      <c r="HR21" s="701"/>
      <c r="HS21" s="701"/>
      <c r="HT21" s="701"/>
      <c r="HU21" s="701"/>
      <c r="HV21" s="701"/>
      <c r="HW21" s="701"/>
      <c r="HX21" s="701"/>
      <c r="HY21" s="701"/>
      <c r="HZ21" s="701"/>
      <c r="IA21" s="701"/>
    </row>
    <row r="22" spans="2:235" s="702" customFormat="1" ht="20.149999999999999" customHeight="1" x14ac:dyDescent="0.35">
      <c r="B22" s="398"/>
      <c r="C22" s="396"/>
      <c r="D22" s="1991"/>
      <c r="E22" s="1992"/>
      <c r="F22" s="97"/>
      <c r="G22" s="777"/>
      <c r="H22" s="97"/>
      <c r="I22" s="779"/>
      <c r="J22" s="97"/>
      <c r="K22" s="781"/>
      <c r="L22" s="32"/>
      <c r="M22" s="211"/>
      <c r="N22" s="397"/>
      <c r="O22" s="212"/>
      <c r="P22" s="32"/>
      <c r="Q22" s="810"/>
      <c r="R22" s="722"/>
      <c r="S22" s="180">
        <v>1</v>
      </c>
      <c r="T22" s="554">
        <f t="shared" si="0"/>
        <v>0</v>
      </c>
      <c r="U22" s="32">
        <v>2</v>
      </c>
      <c r="V22" s="371"/>
      <c r="W22" s="32"/>
      <c r="X22" s="371"/>
      <c r="Y22" s="32"/>
      <c r="Z22" s="371"/>
      <c r="AA22" s="180"/>
      <c r="AB22" s="280"/>
      <c r="AC22" s="1380">
        <f t="shared" si="62"/>
        <v>0</v>
      </c>
      <c r="AD22" s="906">
        <f t="shared" si="38"/>
        <v>0</v>
      </c>
      <c r="AE22" s="794">
        <f t="shared" si="39"/>
        <v>0</v>
      </c>
      <c r="AF22" s="282">
        <f>SUM(BW22)*(1+M$64+Summary!P$64)</f>
        <v>0</v>
      </c>
      <c r="AG22" s="632" t="e">
        <f t="shared" si="1"/>
        <v>#DIV/0!</v>
      </c>
      <c r="AH22" s="1758">
        <f t="shared" si="40"/>
        <v>0</v>
      </c>
      <c r="AI22" s="769"/>
      <c r="AO22" s="702">
        <f t="shared" si="2"/>
        <v>0</v>
      </c>
      <c r="AP22" s="702">
        <f t="shared" si="41"/>
        <v>0</v>
      </c>
      <c r="AQ22" s="702">
        <f t="shared" si="3"/>
        <v>0</v>
      </c>
      <c r="AR22" s="702">
        <f t="shared" si="4"/>
        <v>0</v>
      </c>
      <c r="AS22" s="702">
        <f t="shared" si="5"/>
        <v>0</v>
      </c>
      <c r="AT22" s="702">
        <f t="shared" si="6"/>
        <v>0</v>
      </c>
      <c r="AU22" s="702">
        <f t="shared" si="7"/>
        <v>0</v>
      </c>
      <c r="AV22" s="1063">
        <f t="shared" si="42"/>
        <v>0</v>
      </c>
      <c r="AW22" s="1063">
        <f t="shared" si="8"/>
        <v>0</v>
      </c>
      <c r="AX22" s="702">
        <f t="shared" si="43"/>
        <v>0</v>
      </c>
      <c r="AY22" s="702">
        <f t="shared" si="9"/>
        <v>0</v>
      </c>
      <c r="AZ22" s="702">
        <f t="shared" si="10"/>
        <v>0</v>
      </c>
      <c r="BA22" s="702">
        <f t="shared" si="11"/>
        <v>0</v>
      </c>
      <c r="BB22" s="702">
        <f t="shared" si="12"/>
        <v>0</v>
      </c>
      <c r="BC22" s="702">
        <f t="shared" si="13"/>
        <v>0</v>
      </c>
      <c r="BD22" s="1063">
        <f t="shared" si="44"/>
        <v>0</v>
      </c>
      <c r="BE22" s="1064">
        <f t="shared" si="14"/>
        <v>0</v>
      </c>
      <c r="BF22" s="1063">
        <f t="shared" si="15"/>
        <v>0</v>
      </c>
      <c r="BG22" s="1065">
        <f t="shared" si="16"/>
        <v>0</v>
      </c>
      <c r="BH22" s="702">
        <f t="shared" si="17"/>
        <v>0</v>
      </c>
      <c r="BI22" s="1063">
        <f t="shared" si="45"/>
        <v>0</v>
      </c>
      <c r="BJ22" s="1063">
        <f t="shared" si="18"/>
        <v>0</v>
      </c>
      <c r="BK22" s="1063">
        <f t="shared" si="19"/>
        <v>0</v>
      </c>
      <c r="BL22" s="1063">
        <f t="shared" si="20"/>
        <v>0</v>
      </c>
      <c r="BM22" s="1063">
        <f t="shared" si="21"/>
        <v>0</v>
      </c>
      <c r="BN22" s="1064">
        <f t="shared" si="46"/>
        <v>0</v>
      </c>
      <c r="BO22" s="1761">
        <f t="shared" si="47"/>
        <v>0</v>
      </c>
      <c r="BP22" s="1063">
        <f t="shared" si="48"/>
        <v>0</v>
      </c>
      <c r="BQ22" s="1064">
        <f t="shared" si="22"/>
        <v>0</v>
      </c>
      <c r="BR22" s="1063">
        <f t="shared" si="23"/>
        <v>0</v>
      </c>
      <c r="BS22" s="1063">
        <f t="shared" si="49"/>
        <v>0</v>
      </c>
      <c r="BT22" s="1064">
        <f t="shared" si="24"/>
        <v>0</v>
      </c>
      <c r="BU22" s="1064">
        <f t="shared" si="25"/>
        <v>0</v>
      </c>
      <c r="BV22" s="1064">
        <f t="shared" si="50"/>
        <v>0</v>
      </c>
      <c r="BW22" s="1066">
        <f t="shared" si="26"/>
        <v>0</v>
      </c>
      <c r="BX22" s="1063">
        <f>(BI22*Pricing!F$2+BJ22*Pricing!G$2+BK22*Pricing!H$2+BL22*Pricing!I$2+BM22*Pricing!J$2+BN22*Pricing!K$2)*IF(AC$63="N",(1+AE$63),1)</f>
        <v>0</v>
      </c>
      <c r="BY22" s="1063">
        <f t="shared" si="51"/>
        <v>0</v>
      </c>
      <c r="BZ22" s="1063">
        <f t="shared" si="52"/>
        <v>0</v>
      </c>
      <c r="CA22" s="1063">
        <f t="shared" si="53"/>
        <v>0</v>
      </c>
      <c r="CB22" s="1067">
        <f t="shared" si="27"/>
        <v>0</v>
      </c>
      <c r="CD22" s="702">
        <f t="shared" si="54"/>
        <v>0</v>
      </c>
      <c r="CE22" s="1063">
        <f t="shared" si="28"/>
        <v>0</v>
      </c>
      <c r="CF22" s="1063">
        <f t="shared" si="29"/>
        <v>0</v>
      </c>
      <c r="CG22" s="1063">
        <f t="shared" si="30"/>
        <v>0</v>
      </c>
      <c r="CH22" s="702">
        <f t="shared" si="31"/>
        <v>0</v>
      </c>
      <c r="CI22" s="1063">
        <f t="shared" si="32"/>
        <v>0</v>
      </c>
      <c r="CJ22" s="702">
        <f t="shared" si="33"/>
        <v>0</v>
      </c>
      <c r="CK22" s="1063">
        <f t="shared" si="34"/>
        <v>0</v>
      </c>
      <c r="CL22" s="704">
        <f t="shared" si="35"/>
        <v>0</v>
      </c>
      <c r="CM22" s="702">
        <f t="shared" si="36"/>
        <v>0</v>
      </c>
      <c r="CO22" s="1061">
        <f t="shared" si="55"/>
        <v>0</v>
      </c>
      <c r="CP22" s="702">
        <f t="shared" si="56"/>
        <v>0</v>
      </c>
      <c r="CQ22" s="702">
        <f t="shared" si="57"/>
        <v>0</v>
      </c>
      <c r="CR22" s="702">
        <f t="shared" si="63"/>
        <v>0</v>
      </c>
      <c r="CS22" s="702">
        <f t="shared" si="58"/>
        <v>0</v>
      </c>
      <c r="CT22" s="702">
        <f t="shared" si="59"/>
        <v>0</v>
      </c>
      <c r="CU22" s="702">
        <f t="shared" si="60"/>
        <v>0</v>
      </c>
      <c r="CV22" s="1068">
        <f t="shared" si="37"/>
        <v>0</v>
      </c>
      <c r="CW22" s="1064">
        <f t="shared" si="61"/>
        <v>0</v>
      </c>
      <c r="FX22" s="701"/>
      <c r="FY22" s="701"/>
      <c r="FZ22" s="701"/>
      <c r="GA22" s="701"/>
      <c r="GB22" s="701"/>
      <c r="GC22" s="701"/>
      <c r="GD22" s="701"/>
      <c r="GE22" s="701"/>
      <c r="GF22" s="701"/>
      <c r="GG22" s="701"/>
      <c r="GH22" s="701"/>
      <c r="GI22" s="701"/>
      <c r="GJ22" s="701"/>
      <c r="GK22" s="701"/>
      <c r="GL22" s="701"/>
      <c r="GM22" s="701"/>
      <c r="GN22" s="701"/>
      <c r="GO22" s="701"/>
      <c r="GP22" s="701"/>
      <c r="GQ22" s="701"/>
      <c r="GR22" s="701"/>
      <c r="GS22" s="701"/>
      <c r="GT22" s="701"/>
      <c r="GU22" s="701"/>
      <c r="GV22" s="701"/>
      <c r="GW22" s="701"/>
      <c r="GX22" s="701"/>
      <c r="GY22" s="701"/>
      <c r="GZ22" s="701"/>
      <c r="HA22" s="701"/>
      <c r="HB22" s="701"/>
      <c r="HC22" s="701"/>
      <c r="HD22" s="701"/>
      <c r="HE22" s="701"/>
      <c r="HF22" s="701"/>
      <c r="HG22" s="701"/>
      <c r="HH22" s="701"/>
      <c r="HI22" s="701"/>
      <c r="HJ22" s="701"/>
      <c r="HK22" s="701"/>
      <c r="HL22" s="701"/>
      <c r="HM22" s="701"/>
      <c r="HN22" s="701"/>
      <c r="HO22" s="701"/>
      <c r="HP22" s="701"/>
      <c r="HQ22" s="701"/>
      <c r="HR22" s="701"/>
      <c r="HS22" s="701"/>
      <c r="HT22" s="701"/>
      <c r="HU22" s="701"/>
      <c r="HV22" s="701"/>
      <c r="HW22" s="701"/>
      <c r="HX22" s="701"/>
      <c r="HY22" s="701"/>
      <c r="HZ22" s="701"/>
      <c r="IA22" s="701"/>
    </row>
    <row r="23" spans="2:235" s="702" customFormat="1" ht="20.149999999999999" customHeight="1" x14ac:dyDescent="0.35">
      <c r="B23" s="193"/>
      <c r="C23" s="393"/>
      <c r="D23" s="1985"/>
      <c r="E23" s="1986"/>
      <c r="F23" s="127"/>
      <c r="G23" s="777"/>
      <c r="H23" s="214"/>
      <c r="I23" s="779"/>
      <c r="J23" s="127"/>
      <c r="K23" s="781"/>
      <c r="L23" s="30"/>
      <c r="M23" s="121"/>
      <c r="N23" s="394"/>
      <c r="O23" s="205"/>
      <c r="P23" s="30"/>
      <c r="Q23" s="264"/>
      <c r="R23" s="266"/>
      <c r="S23" s="176">
        <v>1</v>
      </c>
      <c r="T23" s="555">
        <f t="shared" si="0"/>
        <v>0</v>
      </c>
      <c r="U23" s="31">
        <v>2</v>
      </c>
      <c r="V23" s="531"/>
      <c r="W23" s="31"/>
      <c r="X23" s="531"/>
      <c r="Y23" s="31"/>
      <c r="Z23" s="531"/>
      <c r="AA23" s="178"/>
      <c r="AB23" s="279"/>
      <c r="AC23" s="1380">
        <f t="shared" si="62"/>
        <v>0</v>
      </c>
      <c r="AD23" s="906">
        <f t="shared" si="38"/>
        <v>0</v>
      </c>
      <c r="AE23" s="794">
        <f t="shared" si="39"/>
        <v>0</v>
      </c>
      <c r="AF23" s="282">
        <f>SUM(BW23)*(1+M$64+Summary!P$64)</f>
        <v>0</v>
      </c>
      <c r="AG23" s="632" t="e">
        <f t="shared" si="1"/>
        <v>#DIV/0!</v>
      </c>
      <c r="AH23" s="1758">
        <f t="shared" si="40"/>
        <v>0</v>
      </c>
      <c r="AI23" s="769"/>
      <c r="AO23" s="702">
        <f t="shared" si="2"/>
        <v>0</v>
      </c>
      <c r="AP23" s="702">
        <f t="shared" si="41"/>
        <v>0</v>
      </c>
      <c r="AQ23" s="702">
        <f t="shared" si="3"/>
        <v>0</v>
      </c>
      <c r="AR23" s="702">
        <f t="shared" si="4"/>
        <v>0</v>
      </c>
      <c r="AS23" s="702">
        <f t="shared" si="5"/>
        <v>0</v>
      </c>
      <c r="AT23" s="702">
        <f t="shared" si="6"/>
        <v>0</v>
      </c>
      <c r="AU23" s="702">
        <f t="shared" si="7"/>
        <v>0</v>
      </c>
      <c r="AV23" s="1063">
        <f t="shared" si="42"/>
        <v>0</v>
      </c>
      <c r="AW23" s="1063">
        <f t="shared" si="8"/>
        <v>0</v>
      </c>
      <c r="AX23" s="702">
        <f t="shared" si="43"/>
        <v>0</v>
      </c>
      <c r="AY23" s="702">
        <f t="shared" si="9"/>
        <v>0</v>
      </c>
      <c r="AZ23" s="702">
        <f t="shared" si="10"/>
        <v>0</v>
      </c>
      <c r="BA23" s="702">
        <f t="shared" si="11"/>
        <v>0</v>
      </c>
      <c r="BB23" s="702">
        <f t="shared" si="12"/>
        <v>0</v>
      </c>
      <c r="BC23" s="702">
        <f t="shared" si="13"/>
        <v>0</v>
      </c>
      <c r="BD23" s="1063">
        <f t="shared" si="44"/>
        <v>0</v>
      </c>
      <c r="BE23" s="1064">
        <f t="shared" si="14"/>
        <v>0</v>
      </c>
      <c r="BF23" s="1063">
        <f t="shared" si="15"/>
        <v>0</v>
      </c>
      <c r="BG23" s="1065">
        <f t="shared" si="16"/>
        <v>0</v>
      </c>
      <c r="BH23" s="702">
        <f t="shared" si="17"/>
        <v>0</v>
      </c>
      <c r="BI23" s="1063">
        <f t="shared" si="45"/>
        <v>0</v>
      </c>
      <c r="BJ23" s="1063">
        <f t="shared" si="18"/>
        <v>0</v>
      </c>
      <c r="BK23" s="1063">
        <f t="shared" si="19"/>
        <v>0</v>
      </c>
      <c r="BL23" s="1063">
        <f t="shared" si="20"/>
        <v>0</v>
      </c>
      <c r="BM23" s="1063">
        <f t="shared" si="21"/>
        <v>0</v>
      </c>
      <c r="BN23" s="1064">
        <f t="shared" si="46"/>
        <v>0</v>
      </c>
      <c r="BO23" s="1761">
        <f t="shared" si="47"/>
        <v>0</v>
      </c>
      <c r="BP23" s="1063">
        <f t="shared" si="48"/>
        <v>0</v>
      </c>
      <c r="BQ23" s="1064">
        <f t="shared" si="22"/>
        <v>0</v>
      </c>
      <c r="BR23" s="1063">
        <f t="shared" si="23"/>
        <v>0</v>
      </c>
      <c r="BS23" s="1063">
        <f t="shared" si="49"/>
        <v>0</v>
      </c>
      <c r="BT23" s="1064">
        <f t="shared" si="24"/>
        <v>0</v>
      </c>
      <c r="BU23" s="1064">
        <f t="shared" si="25"/>
        <v>0</v>
      </c>
      <c r="BV23" s="1064">
        <f t="shared" si="50"/>
        <v>0</v>
      </c>
      <c r="BW23" s="1066">
        <f t="shared" si="26"/>
        <v>0</v>
      </c>
      <c r="BX23" s="1063">
        <f>(BI23*Pricing!F$2+BJ23*Pricing!G$2+BK23*Pricing!H$2+BL23*Pricing!I$2+BM23*Pricing!J$2+BN23*Pricing!K$2)*IF(AC$63="N",(1+AE$63),1)</f>
        <v>0</v>
      </c>
      <c r="BY23" s="1063">
        <f t="shared" si="51"/>
        <v>0</v>
      </c>
      <c r="BZ23" s="1063">
        <f t="shared" si="52"/>
        <v>0</v>
      </c>
      <c r="CA23" s="1063">
        <f t="shared" si="53"/>
        <v>0</v>
      </c>
      <c r="CB23" s="1067">
        <f t="shared" si="27"/>
        <v>0</v>
      </c>
      <c r="CD23" s="702">
        <f t="shared" si="54"/>
        <v>0</v>
      </c>
      <c r="CE23" s="1063">
        <f t="shared" si="28"/>
        <v>0</v>
      </c>
      <c r="CF23" s="1063">
        <f t="shared" si="29"/>
        <v>0</v>
      </c>
      <c r="CG23" s="1063">
        <f t="shared" si="30"/>
        <v>0</v>
      </c>
      <c r="CH23" s="702">
        <f t="shared" si="31"/>
        <v>0</v>
      </c>
      <c r="CI23" s="1063">
        <f t="shared" si="32"/>
        <v>0</v>
      </c>
      <c r="CJ23" s="702">
        <f t="shared" si="33"/>
        <v>0</v>
      </c>
      <c r="CK23" s="1063">
        <f t="shared" si="34"/>
        <v>0</v>
      </c>
      <c r="CL23" s="704">
        <f t="shared" si="35"/>
        <v>0</v>
      </c>
      <c r="CM23" s="702">
        <f t="shared" si="36"/>
        <v>0</v>
      </c>
      <c r="CO23" s="1061">
        <f t="shared" si="55"/>
        <v>0</v>
      </c>
      <c r="CP23" s="702">
        <f t="shared" si="56"/>
        <v>0</v>
      </c>
      <c r="CQ23" s="702">
        <f t="shared" si="57"/>
        <v>0</v>
      </c>
      <c r="CR23" s="702">
        <f t="shared" si="63"/>
        <v>0</v>
      </c>
      <c r="CS23" s="702">
        <f t="shared" si="58"/>
        <v>0</v>
      </c>
      <c r="CT23" s="702">
        <f t="shared" si="59"/>
        <v>0</v>
      </c>
      <c r="CU23" s="702">
        <f t="shared" si="60"/>
        <v>0</v>
      </c>
      <c r="CV23" s="1068">
        <f t="shared" si="37"/>
        <v>0</v>
      </c>
      <c r="CW23" s="1064">
        <f t="shared" si="61"/>
        <v>0</v>
      </c>
      <c r="FX23" s="701"/>
      <c r="FY23" s="701"/>
      <c r="FZ23" s="701"/>
      <c r="GA23" s="701"/>
      <c r="GB23" s="701"/>
      <c r="GC23" s="701"/>
      <c r="GD23" s="701"/>
      <c r="GE23" s="701"/>
      <c r="GF23" s="701"/>
      <c r="GG23" s="701"/>
      <c r="GH23" s="701"/>
      <c r="GI23" s="701"/>
      <c r="GJ23" s="701"/>
      <c r="GK23" s="701"/>
      <c r="GL23" s="701"/>
      <c r="GM23" s="701"/>
      <c r="GN23" s="701"/>
      <c r="GO23" s="701"/>
      <c r="GP23" s="701"/>
      <c r="GQ23" s="701"/>
      <c r="GR23" s="701"/>
      <c r="GS23" s="701"/>
      <c r="GT23" s="701"/>
      <c r="GU23" s="701"/>
      <c r="GV23" s="701"/>
      <c r="GW23" s="701"/>
      <c r="GX23" s="701"/>
      <c r="GY23" s="701"/>
      <c r="GZ23" s="701"/>
      <c r="HA23" s="701"/>
      <c r="HB23" s="701"/>
      <c r="HC23" s="701"/>
      <c r="HD23" s="701"/>
      <c r="HE23" s="701"/>
      <c r="HF23" s="701"/>
      <c r="HG23" s="701"/>
      <c r="HH23" s="701"/>
      <c r="HI23" s="701"/>
      <c r="HJ23" s="701"/>
      <c r="HK23" s="701"/>
      <c r="HL23" s="701"/>
      <c r="HM23" s="701"/>
      <c r="HN23" s="701"/>
      <c r="HO23" s="701"/>
      <c r="HP23" s="701"/>
      <c r="HQ23" s="701"/>
      <c r="HR23" s="701"/>
      <c r="HS23" s="701"/>
      <c r="HT23" s="701"/>
      <c r="HU23" s="701"/>
      <c r="HV23" s="701"/>
      <c r="HW23" s="701"/>
      <c r="HX23" s="701"/>
      <c r="HY23" s="701"/>
      <c r="HZ23" s="701"/>
      <c r="IA23" s="701"/>
    </row>
    <row r="24" spans="2:235" s="702" customFormat="1" ht="20.149999999999999" customHeight="1" x14ac:dyDescent="0.35">
      <c r="B24" s="398"/>
      <c r="C24" s="396"/>
      <c r="D24" s="1991"/>
      <c r="E24" s="1992"/>
      <c r="F24" s="97"/>
      <c r="G24" s="777"/>
      <c r="H24" s="97"/>
      <c r="I24" s="779"/>
      <c r="J24" s="97"/>
      <c r="K24" s="781"/>
      <c r="L24" s="32"/>
      <c r="M24" s="211"/>
      <c r="N24" s="397"/>
      <c r="O24" s="212"/>
      <c r="P24" s="32"/>
      <c r="Q24" s="810"/>
      <c r="R24" s="722"/>
      <c r="S24" s="180">
        <v>1</v>
      </c>
      <c r="T24" s="554">
        <f t="shared" si="0"/>
        <v>0</v>
      </c>
      <c r="U24" s="32">
        <v>2</v>
      </c>
      <c r="V24" s="371"/>
      <c r="W24" s="32"/>
      <c r="X24" s="371"/>
      <c r="Y24" s="32"/>
      <c r="Z24" s="371"/>
      <c r="AA24" s="180"/>
      <c r="AB24" s="280"/>
      <c r="AC24" s="1380">
        <f t="shared" si="62"/>
        <v>0</v>
      </c>
      <c r="AD24" s="906">
        <f t="shared" si="38"/>
        <v>0</v>
      </c>
      <c r="AE24" s="794">
        <f t="shared" si="39"/>
        <v>0</v>
      </c>
      <c r="AF24" s="282">
        <f>SUM(BW24)*(1+M$64+Summary!P$64)</f>
        <v>0</v>
      </c>
      <c r="AG24" s="632" t="e">
        <f t="shared" si="1"/>
        <v>#DIV/0!</v>
      </c>
      <c r="AH24" s="1758">
        <f t="shared" si="40"/>
        <v>0</v>
      </c>
      <c r="AI24" s="769"/>
      <c r="AO24" s="702">
        <f t="shared" si="2"/>
        <v>0</v>
      </c>
      <c r="AP24" s="702">
        <f t="shared" si="41"/>
        <v>0</v>
      </c>
      <c r="AQ24" s="702">
        <f t="shared" si="3"/>
        <v>0</v>
      </c>
      <c r="AR24" s="702">
        <f t="shared" si="4"/>
        <v>0</v>
      </c>
      <c r="AS24" s="702">
        <f t="shared" si="5"/>
        <v>0</v>
      </c>
      <c r="AT24" s="702">
        <f t="shared" si="6"/>
        <v>0</v>
      </c>
      <c r="AU24" s="702">
        <f t="shared" si="7"/>
        <v>0</v>
      </c>
      <c r="AV24" s="1063">
        <f t="shared" si="42"/>
        <v>0</v>
      </c>
      <c r="AW24" s="1063">
        <f t="shared" si="8"/>
        <v>0</v>
      </c>
      <c r="AX24" s="702">
        <f t="shared" si="43"/>
        <v>0</v>
      </c>
      <c r="AY24" s="702">
        <f t="shared" si="9"/>
        <v>0</v>
      </c>
      <c r="AZ24" s="702">
        <f t="shared" si="10"/>
        <v>0</v>
      </c>
      <c r="BA24" s="702">
        <f t="shared" si="11"/>
        <v>0</v>
      </c>
      <c r="BB24" s="702">
        <f t="shared" si="12"/>
        <v>0</v>
      </c>
      <c r="BC24" s="702">
        <f t="shared" si="13"/>
        <v>0</v>
      </c>
      <c r="BD24" s="1063">
        <f t="shared" si="44"/>
        <v>0</v>
      </c>
      <c r="BE24" s="1064">
        <f t="shared" si="14"/>
        <v>0</v>
      </c>
      <c r="BF24" s="1063">
        <f t="shared" si="15"/>
        <v>0</v>
      </c>
      <c r="BG24" s="1065">
        <f t="shared" si="16"/>
        <v>0</v>
      </c>
      <c r="BH24" s="702">
        <f t="shared" si="17"/>
        <v>0</v>
      </c>
      <c r="BI24" s="1063">
        <f t="shared" si="45"/>
        <v>0</v>
      </c>
      <c r="BJ24" s="1063">
        <f t="shared" si="18"/>
        <v>0</v>
      </c>
      <c r="BK24" s="1063">
        <f t="shared" si="19"/>
        <v>0</v>
      </c>
      <c r="BL24" s="1063">
        <f t="shared" si="20"/>
        <v>0</v>
      </c>
      <c r="BM24" s="1063">
        <f t="shared" si="21"/>
        <v>0</v>
      </c>
      <c r="BN24" s="1064">
        <f t="shared" si="46"/>
        <v>0</v>
      </c>
      <c r="BO24" s="1761">
        <f t="shared" si="47"/>
        <v>0</v>
      </c>
      <c r="BP24" s="1063">
        <f t="shared" si="48"/>
        <v>0</v>
      </c>
      <c r="BQ24" s="1064">
        <f t="shared" si="22"/>
        <v>0</v>
      </c>
      <c r="BR24" s="1063">
        <f t="shared" si="23"/>
        <v>0</v>
      </c>
      <c r="BS24" s="1063">
        <f t="shared" si="49"/>
        <v>0</v>
      </c>
      <c r="BT24" s="1064">
        <f t="shared" si="24"/>
        <v>0</v>
      </c>
      <c r="BU24" s="1064">
        <f t="shared" si="25"/>
        <v>0</v>
      </c>
      <c r="BV24" s="1064">
        <f t="shared" si="50"/>
        <v>0</v>
      </c>
      <c r="BW24" s="1066">
        <f t="shared" si="26"/>
        <v>0</v>
      </c>
      <c r="BX24" s="1063">
        <f>(BI24*Pricing!F$2+BJ24*Pricing!G$2+BK24*Pricing!H$2+BL24*Pricing!I$2+BM24*Pricing!J$2+BN24*Pricing!K$2)*IF(AC$63="N",(1+AE$63),1)</f>
        <v>0</v>
      </c>
      <c r="BY24" s="1063">
        <f t="shared" si="51"/>
        <v>0</v>
      </c>
      <c r="BZ24" s="1063">
        <f t="shared" si="52"/>
        <v>0</v>
      </c>
      <c r="CA24" s="1063">
        <f t="shared" si="53"/>
        <v>0</v>
      </c>
      <c r="CB24" s="1067">
        <f t="shared" si="27"/>
        <v>0</v>
      </c>
      <c r="CD24" s="702">
        <f t="shared" si="54"/>
        <v>0</v>
      </c>
      <c r="CE24" s="1063">
        <f t="shared" si="28"/>
        <v>0</v>
      </c>
      <c r="CF24" s="1063">
        <f t="shared" si="29"/>
        <v>0</v>
      </c>
      <c r="CG24" s="1063">
        <f t="shared" si="30"/>
        <v>0</v>
      </c>
      <c r="CH24" s="702">
        <f t="shared" si="31"/>
        <v>0</v>
      </c>
      <c r="CI24" s="1063">
        <f t="shared" si="32"/>
        <v>0</v>
      </c>
      <c r="CJ24" s="702">
        <f t="shared" si="33"/>
        <v>0</v>
      </c>
      <c r="CK24" s="1063">
        <f t="shared" si="34"/>
        <v>0</v>
      </c>
      <c r="CL24" s="704">
        <f t="shared" si="35"/>
        <v>0</v>
      </c>
      <c r="CM24" s="702">
        <f t="shared" si="36"/>
        <v>0</v>
      </c>
      <c r="CO24" s="1061">
        <f t="shared" si="55"/>
        <v>0</v>
      </c>
      <c r="CP24" s="702">
        <f t="shared" si="56"/>
        <v>0</v>
      </c>
      <c r="CQ24" s="702">
        <f t="shared" si="57"/>
        <v>0</v>
      </c>
      <c r="CR24" s="702">
        <f t="shared" si="63"/>
        <v>0</v>
      </c>
      <c r="CS24" s="702">
        <f t="shared" si="58"/>
        <v>0</v>
      </c>
      <c r="CT24" s="702">
        <f t="shared" si="59"/>
        <v>0</v>
      </c>
      <c r="CU24" s="702">
        <f t="shared" si="60"/>
        <v>0</v>
      </c>
      <c r="CV24" s="1068">
        <f t="shared" si="37"/>
        <v>0</v>
      </c>
      <c r="CW24" s="1064">
        <f t="shared" si="61"/>
        <v>0</v>
      </c>
      <c r="FX24" s="701"/>
      <c r="FY24" s="701"/>
      <c r="FZ24" s="701"/>
      <c r="GA24" s="701"/>
      <c r="GB24" s="701"/>
      <c r="GC24" s="701"/>
      <c r="GD24" s="701"/>
      <c r="GE24" s="701"/>
      <c r="GF24" s="701"/>
      <c r="GG24" s="701"/>
      <c r="GH24" s="701"/>
      <c r="GI24" s="701"/>
      <c r="GJ24" s="701"/>
      <c r="GK24" s="701"/>
      <c r="GL24" s="701"/>
      <c r="GM24" s="701"/>
      <c r="GN24" s="701"/>
      <c r="GO24" s="701"/>
      <c r="GP24" s="701"/>
      <c r="GQ24" s="701"/>
      <c r="GR24" s="701"/>
      <c r="GS24" s="701"/>
      <c r="GT24" s="701"/>
      <c r="GU24" s="701"/>
      <c r="GV24" s="701"/>
      <c r="GW24" s="701"/>
      <c r="GX24" s="701"/>
      <c r="GY24" s="701"/>
      <c r="GZ24" s="701"/>
      <c r="HA24" s="701"/>
      <c r="HB24" s="701"/>
      <c r="HC24" s="701"/>
      <c r="HD24" s="701"/>
      <c r="HE24" s="701"/>
      <c r="HF24" s="701"/>
      <c r="HG24" s="701"/>
      <c r="HH24" s="701"/>
      <c r="HI24" s="701"/>
      <c r="HJ24" s="701"/>
      <c r="HK24" s="701"/>
      <c r="HL24" s="701"/>
      <c r="HM24" s="701"/>
      <c r="HN24" s="701"/>
      <c r="HO24" s="701"/>
      <c r="HP24" s="701"/>
      <c r="HQ24" s="701"/>
      <c r="HR24" s="701"/>
      <c r="HS24" s="701"/>
      <c r="HT24" s="701"/>
      <c r="HU24" s="701"/>
      <c r="HV24" s="701"/>
      <c r="HW24" s="701"/>
      <c r="HX24" s="701"/>
      <c r="HY24" s="701"/>
      <c r="HZ24" s="701"/>
      <c r="IA24" s="701"/>
    </row>
    <row r="25" spans="2:235" s="702" customFormat="1" ht="20.149999999999999" customHeight="1" x14ac:dyDescent="0.35">
      <c r="B25" s="193"/>
      <c r="C25" s="393"/>
      <c r="D25" s="1985"/>
      <c r="E25" s="1986"/>
      <c r="F25" s="127"/>
      <c r="G25" s="777"/>
      <c r="H25" s="214"/>
      <c r="I25" s="779"/>
      <c r="J25" s="127"/>
      <c r="K25" s="781"/>
      <c r="L25" s="30"/>
      <c r="M25" s="121"/>
      <c r="N25" s="394"/>
      <c r="O25" s="205"/>
      <c r="P25" s="30"/>
      <c r="Q25" s="264"/>
      <c r="R25" s="266"/>
      <c r="S25" s="176">
        <v>1</v>
      </c>
      <c r="T25" s="555">
        <f t="shared" si="0"/>
        <v>0</v>
      </c>
      <c r="U25" s="31">
        <v>2</v>
      </c>
      <c r="V25" s="531"/>
      <c r="W25" s="31"/>
      <c r="X25" s="531"/>
      <c r="Y25" s="31"/>
      <c r="Z25" s="531"/>
      <c r="AA25" s="178"/>
      <c r="AB25" s="279"/>
      <c r="AC25" s="1380">
        <f t="shared" si="62"/>
        <v>0</v>
      </c>
      <c r="AD25" s="906">
        <f t="shared" si="38"/>
        <v>0</v>
      </c>
      <c r="AE25" s="794">
        <f t="shared" si="39"/>
        <v>0</v>
      </c>
      <c r="AF25" s="282">
        <f>SUM(BW25)*(1+M$64+Summary!P$64)</f>
        <v>0</v>
      </c>
      <c r="AG25" s="632" t="e">
        <f t="shared" si="1"/>
        <v>#DIV/0!</v>
      </c>
      <c r="AH25" s="1758">
        <f t="shared" si="40"/>
        <v>0</v>
      </c>
      <c r="AI25" s="769"/>
      <c r="AO25" s="702">
        <f t="shared" si="2"/>
        <v>0</v>
      </c>
      <c r="AP25" s="702">
        <f t="shared" si="41"/>
        <v>0</v>
      </c>
      <c r="AQ25" s="702">
        <f t="shared" si="3"/>
        <v>0</v>
      </c>
      <c r="AR25" s="702">
        <f t="shared" si="4"/>
        <v>0</v>
      </c>
      <c r="AS25" s="702">
        <f t="shared" si="5"/>
        <v>0</v>
      </c>
      <c r="AT25" s="702">
        <f t="shared" si="6"/>
        <v>0</v>
      </c>
      <c r="AU25" s="702">
        <f t="shared" si="7"/>
        <v>0</v>
      </c>
      <c r="AV25" s="1063">
        <f t="shared" si="42"/>
        <v>0</v>
      </c>
      <c r="AW25" s="1063">
        <f t="shared" si="8"/>
        <v>0</v>
      </c>
      <c r="AX25" s="702">
        <f t="shared" si="43"/>
        <v>0</v>
      </c>
      <c r="AY25" s="702">
        <f t="shared" si="9"/>
        <v>0</v>
      </c>
      <c r="AZ25" s="702">
        <f t="shared" si="10"/>
        <v>0</v>
      </c>
      <c r="BA25" s="702">
        <f t="shared" si="11"/>
        <v>0</v>
      </c>
      <c r="BB25" s="702">
        <f t="shared" si="12"/>
        <v>0</v>
      </c>
      <c r="BC25" s="702">
        <f t="shared" si="13"/>
        <v>0</v>
      </c>
      <c r="BD25" s="1063">
        <f t="shared" si="44"/>
        <v>0</v>
      </c>
      <c r="BE25" s="1064">
        <f t="shared" si="14"/>
        <v>0</v>
      </c>
      <c r="BF25" s="1063">
        <f t="shared" si="15"/>
        <v>0</v>
      </c>
      <c r="BG25" s="1065">
        <f t="shared" si="16"/>
        <v>0</v>
      </c>
      <c r="BH25" s="702">
        <f t="shared" si="17"/>
        <v>0</v>
      </c>
      <c r="BI25" s="1063">
        <f t="shared" si="45"/>
        <v>0</v>
      </c>
      <c r="BJ25" s="1063">
        <f t="shared" si="18"/>
        <v>0</v>
      </c>
      <c r="BK25" s="1063">
        <f t="shared" si="19"/>
        <v>0</v>
      </c>
      <c r="BL25" s="1063">
        <f t="shared" si="20"/>
        <v>0</v>
      </c>
      <c r="BM25" s="1063">
        <f t="shared" si="21"/>
        <v>0</v>
      </c>
      <c r="BN25" s="1064">
        <f t="shared" si="46"/>
        <v>0</v>
      </c>
      <c r="BO25" s="1761">
        <f t="shared" si="47"/>
        <v>0</v>
      </c>
      <c r="BP25" s="1063">
        <f t="shared" si="48"/>
        <v>0</v>
      </c>
      <c r="BQ25" s="1064">
        <f t="shared" si="22"/>
        <v>0</v>
      </c>
      <c r="BR25" s="1063">
        <f t="shared" si="23"/>
        <v>0</v>
      </c>
      <c r="BS25" s="1063">
        <f t="shared" si="49"/>
        <v>0</v>
      </c>
      <c r="BT25" s="1064">
        <f t="shared" si="24"/>
        <v>0</v>
      </c>
      <c r="BU25" s="1064">
        <f t="shared" si="25"/>
        <v>0</v>
      </c>
      <c r="BV25" s="1064">
        <f t="shared" si="50"/>
        <v>0</v>
      </c>
      <c r="BW25" s="1066">
        <f t="shared" si="26"/>
        <v>0</v>
      </c>
      <c r="BX25" s="1063">
        <f>(BI25*Pricing!F$2+BJ25*Pricing!G$2+BK25*Pricing!H$2+BL25*Pricing!I$2+BM25*Pricing!J$2+BN25*Pricing!K$2)*IF(AC$63="N",(1+AE$63),1)</f>
        <v>0</v>
      </c>
      <c r="BY25" s="1063">
        <f t="shared" si="51"/>
        <v>0</v>
      </c>
      <c r="BZ25" s="1063">
        <f t="shared" si="52"/>
        <v>0</v>
      </c>
      <c r="CA25" s="1063">
        <f t="shared" si="53"/>
        <v>0</v>
      </c>
      <c r="CB25" s="1067">
        <f t="shared" si="27"/>
        <v>0</v>
      </c>
      <c r="CD25" s="702">
        <f t="shared" si="54"/>
        <v>0</v>
      </c>
      <c r="CE25" s="1063">
        <f t="shared" si="28"/>
        <v>0</v>
      </c>
      <c r="CF25" s="1063">
        <f t="shared" si="29"/>
        <v>0</v>
      </c>
      <c r="CG25" s="1063">
        <f t="shared" si="30"/>
        <v>0</v>
      </c>
      <c r="CH25" s="702">
        <f t="shared" si="31"/>
        <v>0</v>
      </c>
      <c r="CI25" s="1063">
        <f t="shared" si="32"/>
        <v>0</v>
      </c>
      <c r="CJ25" s="702">
        <f t="shared" si="33"/>
        <v>0</v>
      </c>
      <c r="CK25" s="1063">
        <f t="shared" si="34"/>
        <v>0</v>
      </c>
      <c r="CL25" s="704">
        <f t="shared" si="35"/>
        <v>0</v>
      </c>
      <c r="CM25" s="702">
        <f t="shared" si="36"/>
        <v>0</v>
      </c>
      <c r="CO25" s="1061">
        <f t="shared" si="55"/>
        <v>0</v>
      </c>
      <c r="CP25" s="702">
        <f t="shared" si="56"/>
        <v>0</v>
      </c>
      <c r="CQ25" s="702">
        <f t="shared" si="57"/>
        <v>0</v>
      </c>
      <c r="CR25" s="702">
        <f t="shared" si="63"/>
        <v>0</v>
      </c>
      <c r="CS25" s="702">
        <f t="shared" si="58"/>
        <v>0</v>
      </c>
      <c r="CT25" s="702">
        <f t="shared" si="59"/>
        <v>0</v>
      </c>
      <c r="CU25" s="702">
        <f t="shared" si="60"/>
        <v>0</v>
      </c>
      <c r="CV25" s="1068">
        <f t="shared" si="37"/>
        <v>0</v>
      </c>
      <c r="CW25" s="1064">
        <f t="shared" si="61"/>
        <v>0</v>
      </c>
      <c r="FX25" s="701"/>
      <c r="FY25" s="701"/>
      <c r="FZ25" s="701"/>
      <c r="GA25" s="701"/>
      <c r="GB25" s="701"/>
      <c r="GC25" s="701"/>
      <c r="GD25" s="701"/>
      <c r="GE25" s="701"/>
      <c r="GF25" s="701"/>
      <c r="GG25" s="701"/>
      <c r="GH25" s="701"/>
      <c r="GI25" s="701"/>
      <c r="GJ25" s="701"/>
      <c r="GK25" s="701"/>
      <c r="GL25" s="701"/>
      <c r="GM25" s="701"/>
      <c r="GN25" s="701"/>
      <c r="GO25" s="701"/>
      <c r="GP25" s="701"/>
      <c r="GQ25" s="701"/>
      <c r="GR25" s="701"/>
      <c r="GS25" s="701"/>
      <c r="GT25" s="701"/>
      <c r="GU25" s="701"/>
      <c r="GV25" s="701"/>
      <c r="GW25" s="701"/>
      <c r="GX25" s="701"/>
      <c r="GY25" s="701"/>
      <c r="GZ25" s="701"/>
      <c r="HA25" s="701"/>
      <c r="HB25" s="701"/>
      <c r="HC25" s="701"/>
      <c r="HD25" s="701"/>
      <c r="HE25" s="701"/>
      <c r="HF25" s="701"/>
      <c r="HG25" s="701"/>
      <c r="HH25" s="701"/>
      <c r="HI25" s="701"/>
      <c r="HJ25" s="701"/>
      <c r="HK25" s="701"/>
      <c r="HL25" s="701"/>
      <c r="HM25" s="701"/>
      <c r="HN25" s="701"/>
      <c r="HO25" s="701"/>
      <c r="HP25" s="701"/>
      <c r="HQ25" s="701"/>
      <c r="HR25" s="701"/>
      <c r="HS25" s="701"/>
      <c r="HT25" s="701"/>
      <c r="HU25" s="701"/>
      <c r="HV25" s="701"/>
      <c r="HW25" s="701"/>
      <c r="HX25" s="701"/>
      <c r="HY25" s="701"/>
      <c r="HZ25" s="701"/>
      <c r="IA25" s="701"/>
    </row>
    <row r="26" spans="2:235" s="702" customFormat="1" ht="20.149999999999999" customHeight="1" x14ac:dyDescent="0.35">
      <c r="B26" s="398"/>
      <c r="C26" s="396"/>
      <c r="D26" s="1991"/>
      <c r="E26" s="1992"/>
      <c r="F26" s="97"/>
      <c r="G26" s="777"/>
      <c r="H26" s="97"/>
      <c r="I26" s="779"/>
      <c r="J26" s="97"/>
      <c r="K26" s="781"/>
      <c r="L26" s="32"/>
      <c r="M26" s="211"/>
      <c r="N26" s="397"/>
      <c r="O26" s="212"/>
      <c r="P26" s="32"/>
      <c r="Q26" s="810"/>
      <c r="R26" s="722"/>
      <c r="S26" s="180">
        <v>1</v>
      </c>
      <c r="T26" s="554">
        <f t="shared" si="0"/>
        <v>0</v>
      </c>
      <c r="U26" s="32">
        <v>2</v>
      </c>
      <c r="V26" s="371"/>
      <c r="W26" s="32"/>
      <c r="X26" s="371"/>
      <c r="Y26" s="32"/>
      <c r="Z26" s="371"/>
      <c r="AA26" s="180"/>
      <c r="AB26" s="280"/>
      <c r="AC26" s="1380">
        <f t="shared" si="62"/>
        <v>0</v>
      </c>
      <c r="AD26" s="906">
        <f t="shared" si="38"/>
        <v>0</v>
      </c>
      <c r="AE26" s="794">
        <f t="shared" si="39"/>
        <v>0</v>
      </c>
      <c r="AF26" s="282">
        <f>SUM(BW26)*(1+M$64+Summary!P$64)</f>
        <v>0</v>
      </c>
      <c r="AG26" s="632" t="e">
        <f t="shared" si="1"/>
        <v>#DIV/0!</v>
      </c>
      <c r="AH26" s="1758">
        <f t="shared" si="40"/>
        <v>0</v>
      </c>
      <c r="AI26" s="769"/>
      <c r="AO26" s="702">
        <f t="shared" si="2"/>
        <v>0</v>
      </c>
      <c r="AP26" s="702">
        <f t="shared" si="41"/>
        <v>0</v>
      </c>
      <c r="AQ26" s="702">
        <f t="shared" si="3"/>
        <v>0</v>
      </c>
      <c r="AR26" s="702">
        <f t="shared" si="4"/>
        <v>0</v>
      </c>
      <c r="AS26" s="702">
        <f t="shared" si="5"/>
        <v>0</v>
      </c>
      <c r="AT26" s="702">
        <f t="shared" si="6"/>
        <v>0</v>
      </c>
      <c r="AU26" s="702">
        <f t="shared" si="7"/>
        <v>0</v>
      </c>
      <c r="AV26" s="1063">
        <f t="shared" si="42"/>
        <v>0</v>
      </c>
      <c r="AW26" s="1063">
        <f t="shared" si="8"/>
        <v>0</v>
      </c>
      <c r="AX26" s="702">
        <f t="shared" si="43"/>
        <v>0</v>
      </c>
      <c r="AY26" s="702">
        <f t="shared" si="9"/>
        <v>0</v>
      </c>
      <c r="AZ26" s="702">
        <f t="shared" si="10"/>
        <v>0</v>
      </c>
      <c r="BA26" s="702">
        <f t="shared" si="11"/>
        <v>0</v>
      </c>
      <c r="BB26" s="702">
        <f t="shared" si="12"/>
        <v>0</v>
      </c>
      <c r="BC26" s="702">
        <f t="shared" si="13"/>
        <v>0</v>
      </c>
      <c r="BD26" s="1063">
        <f t="shared" si="44"/>
        <v>0</v>
      </c>
      <c r="BE26" s="1064">
        <f t="shared" si="14"/>
        <v>0</v>
      </c>
      <c r="BF26" s="1063">
        <f t="shared" si="15"/>
        <v>0</v>
      </c>
      <c r="BG26" s="1065">
        <f t="shared" si="16"/>
        <v>0</v>
      </c>
      <c r="BH26" s="702">
        <f t="shared" si="17"/>
        <v>0</v>
      </c>
      <c r="BI26" s="1063">
        <f t="shared" si="45"/>
        <v>0</v>
      </c>
      <c r="BJ26" s="1063">
        <f t="shared" si="18"/>
        <v>0</v>
      </c>
      <c r="BK26" s="1063">
        <f t="shared" si="19"/>
        <v>0</v>
      </c>
      <c r="BL26" s="1063">
        <f t="shared" si="20"/>
        <v>0</v>
      </c>
      <c r="BM26" s="1063">
        <f t="shared" si="21"/>
        <v>0</v>
      </c>
      <c r="BN26" s="1064">
        <f t="shared" si="46"/>
        <v>0</v>
      </c>
      <c r="BO26" s="1761">
        <f t="shared" si="47"/>
        <v>0</v>
      </c>
      <c r="BP26" s="1063">
        <f t="shared" si="48"/>
        <v>0</v>
      </c>
      <c r="BQ26" s="1064">
        <f t="shared" si="22"/>
        <v>0</v>
      </c>
      <c r="BR26" s="1063">
        <f t="shared" si="23"/>
        <v>0</v>
      </c>
      <c r="BS26" s="1063">
        <f t="shared" si="49"/>
        <v>0</v>
      </c>
      <c r="BT26" s="1064">
        <f t="shared" si="24"/>
        <v>0</v>
      </c>
      <c r="BU26" s="1064">
        <f t="shared" si="25"/>
        <v>0</v>
      </c>
      <c r="BV26" s="1064">
        <f t="shared" si="50"/>
        <v>0</v>
      </c>
      <c r="BW26" s="1066">
        <f t="shared" si="26"/>
        <v>0</v>
      </c>
      <c r="BX26" s="1063">
        <f>(BI26*Pricing!F$2+BJ26*Pricing!G$2+BK26*Pricing!H$2+BL26*Pricing!I$2+BM26*Pricing!J$2+BN26*Pricing!K$2)*IF(AC$63="N",(1+AE$63),1)</f>
        <v>0</v>
      </c>
      <c r="BY26" s="1063">
        <f t="shared" si="51"/>
        <v>0</v>
      </c>
      <c r="BZ26" s="1063">
        <f t="shared" si="52"/>
        <v>0</v>
      </c>
      <c r="CA26" s="1063">
        <f t="shared" si="53"/>
        <v>0</v>
      </c>
      <c r="CB26" s="1067">
        <f t="shared" si="27"/>
        <v>0</v>
      </c>
      <c r="CD26" s="702">
        <f t="shared" si="54"/>
        <v>0</v>
      </c>
      <c r="CE26" s="1063">
        <f t="shared" si="28"/>
        <v>0</v>
      </c>
      <c r="CF26" s="1063">
        <f t="shared" si="29"/>
        <v>0</v>
      </c>
      <c r="CG26" s="1063">
        <f t="shared" si="30"/>
        <v>0</v>
      </c>
      <c r="CH26" s="702">
        <f t="shared" si="31"/>
        <v>0</v>
      </c>
      <c r="CI26" s="1063">
        <f t="shared" si="32"/>
        <v>0</v>
      </c>
      <c r="CJ26" s="702">
        <f t="shared" si="33"/>
        <v>0</v>
      </c>
      <c r="CK26" s="1063">
        <f t="shared" si="34"/>
        <v>0</v>
      </c>
      <c r="CL26" s="704">
        <f t="shared" si="35"/>
        <v>0</v>
      </c>
      <c r="CM26" s="702">
        <f t="shared" si="36"/>
        <v>0</v>
      </c>
      <c r="CO26" s="1061">
        <f t="shared" si="55"/>
        <v>0</v>
      </c>
      <c r="CP26" s="702">
        <f t="shared" si="56"/>
        <v>0</v>
      </c>
      <c r="CQ26" s="702">
        <f t="shared" si="57"/>
        <v>0</v>
      </c>
      <c r="CR26" s="702">
        <f t="shared" si="63"/>
        <v>0</v>
      </c>
      <c r="CS26" s="702">
        <f t="shared" si="58"/>
        <v>0</v>
      </c>
      <c r="CT26" s="702">
        <f t="shared" si="59"/>
        <v>0</v>
      </c>
      <c r="CU26" s="702">
        <f t="shared" si="60"/>
        <v>0</v>
      </c>
      <c r="CV26" s="1068">
        <f t="shared" si="37"/>
        <v>0</v>
      </c>
      <c r="CW26" s="1064">
        <f t="shared" si="61"/>
        <v>0</v>
      </c>
      <c r="FX26" s="701"/>
      <c r="FY26" s="701"/>
      <c r="FZ26" s="701"/>
      <c r="GA26" s="701"/>
      <c r="GB26" s="701"/>
      <c r="GC26" s="701"/>
      <c r="GD26" s="701"/>
      <c r="GE26" s="701"/>
      <c r="GF26" s="701"/>
      <c r="GG26" s="701"/>
      <c r="GH26" s="701"/>
      <c r="GI26" s="701"/>
      <c r="GJ26" s="701"/>
      <c r="GK26" s="701"/>
      <c r="GL26" s="701"/>
      <c r="GM26" s="701"/>
      <c r="GN26" s="701"/>
      <c r="GO26" s="701"/>
      <c r="GP26" s="701"/>
      <c r="GQ26" s="701"/>
      <c r="GR26" s="701"/>
      <c r="GS26" s="701"/>
      <c r="GT26" s="701"/>
      <c r="GU26" s="701"/>
      <c r="GV26" s="701"/>
      <c r="GW26" s="701"/>
      <c r="GX26" s="701"/>
      <c r="GY26" s="701"/>
      <c r="GZ26" s="701"/>
      <c r="HA26" s="701"/>
      <c r="HB26" s="701"/>
      <c r="HC26" s="701"/>
      <c r="HD26" s="701"/>
      <c r="HE26" s="701"/>
      <c r="HF26" s="701"/>
      <c r="HG26" s="701"/>
      <c r="HH26" s="701"/>
      <c r="HI26" s="701"/>
      <c r="HJ26" s="701"/>
      <c r="HK26" s="701"/>
      <c r="HL26" s="701"/>
      <c r="HM26" s="701"/>
      <c r="HN26" s="701"/>
      <c r="HO26" s="701"/>
      <c r="HP26" s="701"/>
      <c r="HQ26" s="701"/>
      <c r="HR26" s="701"/>
      <c r="HS26" s="701"/>
      <c r="HT26" s="701"/>
      <c r="HU26" s="701"/>
      <c r="HV26" s="701"/>
      <c r="HW26" s="701"/>
      <c r="HX26" s="701"/>
      <c r="HY26" s="701"/>
      <c r="HZ26" s="701"/>
      <c r="IA26" s="701"/>
    </row>
    <row r="27" spans="2:235" s="702" customFormat="1" ht="20.149999999999999" customHeight="1" x14ac:dyDescent="0.35">
      <c r="B27" s="193"/>
      <c r="C27" s="393"/>
      <c r="D27" s="1985"/>
      <c r="E27" s="1986"/>
      <c r="F27" s="127"/>
      <c r="G27" s="777"/>
      <c r="H27" s="214"/>
      <c r="I27" s="779"/>
      <c r="J27" s="127"/>
      <c r="K27" s="781"/>
      <c r="L27" s="30"/>
      <c r="M27" s="121"/>
      <c r="N27" s="394"/>
      <c r="O27" s="205"/>
      <c r="P27" s="30"/>
      <c r="Q27" s="264"/>
      <c r="R27" s="266"/>
      <c r="S27" s="176">
        <v>1</v>
      </c>
      <c r="T27" s="555">
        <f t="shared" si="0"/>
        <v>0</v>
      </c>
      <c r="U27" s="31">
        <v>2</v>
      </c>
      <c r="V27" s="531"/>
      <c r="W27" s="31"/>
      <c r="X27" s="531"/>
      <c r="Y27" s="31"/>
      <c r="Z27" s="531"/>
      <c r="AA27" s="178"/>
      <c r="AB27" s="279"/>
      <c r="AC27" s="1380">
        <f t="shared" si="62"/>
        <v>0</v>
      </c>
      <c r="AD27" s="906">
        <f t="shared" si="38"/>
        <v>0</v>
      </c>
      <c r="AE27" s="794">
        <f t="shared" si="39"/>
        <v>0</v>
      </c>
      <c r="AF27" s="282">
        <f>SUM(BW27)*(1+M$64+Summary!P$64)</f>
        <v>0</v>
      </c>
      <c r="AG27" s="632" t="e">
        <f t="shared" si="1"/>
        <v>#DIV/0!</v>
      </c>
      <c r="AH27" s="1758">
        <f t="shared" si="40"/>
        <v>0</v>
      </c>
      <c r="AI27" s="769"/>
      <c r="AO27" s="702">
        <f t="shared" si="2"/>
        <v>0</v>
      </c>
      <c r="AP27" s="702">
        <f t="shared" si="41"/>
        <v>0</v>
      </c>
      <c r="AQ27" s="702">
        <f t="shared" si="3"/>
        <v>0</v>
      </c>
      <c r="AR27" s="702">
        <f t="shared" si="4"/>
        <v>0</v>
      </c>
      <c r="AS27" s="702">
        <f t="shared" si="5"/>
        <v>0</v>
      </c>
      <c r="AT27" s="702">
        <f t="shared" si="6"/>
        <v>0</v>
      </c>
      <c r="AU27" s="702">
        <f t="shared" si="7"/>
        <v>0</v>
      </c>
      <c r="AV27" s="1063">
        <f t="shared" si="42"/>
        <v>0</v>
      </c>
      <c r="AW27" s="1063">
        <f t="shared" si="8"/>
        <v>0</v>
      </c>
      <c r="AX27" s="702">
        <f t="shared" si="43"/>
        <v>0</v>
      </c>
      <c r="AY27" s="702">
        <f t="shared" si="9"/>
        <v>0</v>
      </c>
      <c r="AZ27" s="702">
        <f t="shared" si="10"/>
        <v>0</v>
      </c>
      <c r="BA27" s="702">
        <f t="shared" si="11"/>
        <v>0</v>
      </c>
      <c r="BB27" s="702">
        <f t="shared" si="12"/>
        <v>0</v>
      </c>
      <c r="BC27" s="702">
        <f t="shared" si="13"/>
        <v>0</v>
      </c>
      <c r="BD27" s="1063">
        <f t="shared" si="44"/>
        <v>0</v>
      </c>
      <c r="BE27" s="1064">
        <f t="shared" si="14"/>
        <v>0</v>
      </c>
      <c r="BF27" s="1063">
        <f t="shared" si="15"/>
        <v>0</v>
      </c>
      <c r="BG27" s="1065">
        <f t="shared" si="16"/>
        <v>0</v>
      </c>
      <c r="BH27" s="702">
        <f t="shared" si="17"/>
        <v>0</v>
      </c>
      <c r="BI27" s="1063">
        <f t="shared" si="45"/>
        <v>0</v>
      </c>
      <c r="BJ27" s="1063">
        <f t="shared" si="18"/>
        <v>0</v>
      </c>
      <c r="BK27" s="1063">
        <f t="shared" si="19"/>
        <v>0</v>
      </c>
      <c r="BL27" s="1063">
        <f t="shared" si="20"/>
        <v>0</v>
      </c>
      <c r="BM27" s="1063">
        <f t="shared" si="21"/>
        <v>0</v>
      </c>
      <c r="BN27" s="1064">
        <f t="shared" si="46"/>
        <v>0</v>
      </c>
      <c r="BO27" s="1761">
        <f t="shared" si="47"/>
        <v>0</v>
      </c>
      <c r="BP27" s="1063">
        <f t="shared" si="48"/>
        <v>0</v>
      </c>
      <c r="BQ27" s="1064">
        <f t="shared" si="22"/>
        <v>0</v>
      </c>
      <c r="BR27" s="1063">
        <f t="shared" si="23"/>
        <v>0</v>
      </c>
      <c r="BS27" s="1063">
        <f t="shared" si="49"/>
        <v>0</v>
      </c>
      <c r="BT27" s="1064">
        <f t="shared" si="24"/>
        <v>0</v>
      </c>
      <c r="BU27" s="1064">
        <f t="shared" si="25"/>
        <v>0</v>
      </c>
      <c r="BV27" s="1064">
        <f t="shared" si="50"/>
        <v>0</v>
      </c>
      <c r="BW27" s="1066">
        <f t="shared" si="26"/>
        <v>0</v>
      </c>
      <c r="BX27" s="1063">
        <f>(BI27*Pricing!F$2+BJ27*Pricing!G$2+BK27*Pricing!H$2+BL27*Pricing!I$2+BM27*Pricing!J$2+BN27*Pricing!K$2)*IF(AC$63="N",(1+AE$63),1)</f>
        <v>0</v>
      </c>
      <c r="BY27" s="1063">
        <f t="shared" si="51"/>
        <v>0</v>
      </c>
      <c r="BZ27" s="1063">
        <f t="shared" si="52"/>
        <v>0</v>
      </c>
      <c r="CA27" s="1063">
        <f t="shared" si="53"/>
        <v>0</v>
      </c>
      <c r="CB27" s="1067">
        <f t="shared" si="27"/>
        <v>0</v>
      </c>
      <c r="CD27" s="702">
        <f t="shared" si="54"/>
        <v>0</v>
      </c>
      <c r="CE27" s="1063">
        <f t="shared" si="28"/>
        <v>0</v>
      </c>
      <c r="CF27" s="1063">
        <f t="shared" si="29"/>
        <v>0</v>
      </c>
      <c r="CG27" s="1063">
        <f t="shared" si="30"/>
        <v>0</v>
      </c>
      <c r="CH27" s="702">
        <f t="shared" si="31"/>
        <v>0</v>
      </c>
      <c r="CI27" s="1063">
        <f t="shared" si="32"/>
        <v>0</v>
      </c>
      <c r="CJ27" s="702">
        <f t="shared" si="33"/>
        <v>0</v>
      </c>
      <c r="CK27" s="1063">
        <f t="shared" si="34"/>
        <v>0</v>
      </c>
      <c r="CL27" s="704">
        <f t="shared" si="35"/>
        <v>0</v>
      </c>
      <c r="CM27" s="702">
        <f t="shared" si="36"/>
        <v>0</v>
      </c>
      <c r="CO27" s="1061">
        <f t="shared" si="55"/>
        <v>0</v>
      </c>
      <c r="CP27" s="702">
        <f t="shared" si="56"/>
        <v>0</v>
      </c>
      <c r="CQ27" s="702">
        <f t="shared" si="57"/>
        <v>0</v>
      </c>
      <c r="CR27" s="702">
        <f t="shared" si="63"/>
        <v>0</v>
      </c>
      <c r="CS27" s="702">
        <f t="shared" si="58"/>
        <v>0</v>
      </c>
      <c r="CT27" s="702">
        <f t="shared" si="59"/>
        <v>0</v>
      </c>
      <c r="CU27" s="702">
        <f t="shared" si="60"/>
        <v>0</v>
      </c>
      <c r="CV27" s="1068">
        <f t="shared" si="37"/>
        <v>0</v>
      </c>
      <c r="CW27" s="1064">
        <f t="shared" si="61"/>
        <v>0</v>
      </c>
      <c r="FX27" s="701"/>
      <c r="FY27" s="701"/>
      <c r="FZ27" s="701"/>
      <c r="GA27" s="701"/>
      <c r="GB27" s="701"/>
      <c r="GC27" s="701"/>
      <c r="GD27" s="701"/>
      <c r="GE27" s="701"/>
      <c r="GF27" s="701"/>
      <c r="GG27" s="701"/>
      <c r="GH27" s="701"/>
      <c r="GI27" s="701"/>
      <c r="GJ27" s="701"/>
      <c r="GK27" s="701"/>
      <c r="GL27" s="701"/>
      <c r="GM27" s="701"/>
      <c r="GN27" s="701"/>
      <c r="GO27" s="701"/>
      <c r="GP27" s="701"/>
      <c r="GQ27" s="701"/>
      <c r="GR27" s="701"/>
      <c r="GS27" s="701"/>
      <c r="GT27" s="701"/>
      <c r="GU27" s="701"/>
      <c r="GV27" s="701"/>
      <c r="GW27" s="701"/>
      <c r="GX27" s="701"/>
      <c r="GY27" s="701"/>
      <c r="GZ27" s="701"/>
      <c r="HA27" s="701"/>
      <c r="HB27" s="701"/>
      <c r="HC27" s="701"/>
      <c r="HD27" s="701"/>
      <c r="HE27" s="701"/>
      <c r="HF27" s="701"/>
      <c r="HG27" s="701"/>
      <c r="HH27" s="701"/>
      <c r="HI27" s="701"/>
      <c r="HJ27" s="701"/>
      <c r="HK27" s="701"/>
      <c r="HL27" s="701"/>
      <c r="HM27" s="701"/>
      <c r="HN27" s="701"/>
      <c r="HO27" s="701"/>
      <c r="HP27" s="701"/>
      <c r="HQ27" s="701"/>
      <c r="HR27" s="701"/>
      <c r="HS27" s="701"/>
      <c r="HT27" s="701"/>
      <c r="HU27" s="701"/>
      <c r="HV27" s="701"/>
      <c r="HW27" s="701"/>
      <c r="HX27" s="701"/>
      <c r="HY27" s="701"/>
      <c r="HZ27" s="701"/>
      <c r="IA27" s="701"/>
    </row>
    <row r="28" spans="2:235" s="702" customFormat="1" ht="20.149999999999999" customHeight="1" x14ac:dyDescent="0.35">
      <c r="B28" s="398"/>
      <c r="C28" s="396"/>
      <c r="D28" s="1991"/>
      <c r="E28" s="1992"/>
      <c r="F28" s="97"/>
      <c r="G28" s="777"/>
      <c r="H28" s="97"/>
      <c r="I28" s="779"/>
      <c r="J28" s="97"/>
      <c r="K28" s="781"/>
      <c r="L28" s="32"/>
      <c r="M28" s="211"/>
      <c r="N28" s="397"/>
      <c r="O28" s="212"/>
      <c r="P28" s="32"/>
      <c r="Q28" s="810"/>
      <c r="R28" s="722"/>
      <c r="S28" s="180">
        <v>1</v>
      </c>
      <c r="T28" s="554">
        <f t="shared" si="0"/>
        <v>0</v>
      </c>
      <c r="U28" s="32">
        <v>2</v>
      </c>
      <c r="V28" s="371"/>
      <c r="W28" s="32"/>
      <c r="X28" s="371"/>
      <c r="Y28" s="32"/>
      <c r="Z28" s="371"/>
      <c r="AA28" s="180"/>
      <c r="AB28" s="280"/>
      <c r="AC28" s="1380">
        <f t="shared" si="62"/>
        <v>0</v>
      </c>
      <c r="AD28" s="906">
        <f t="shared" si="38"/>
        <v>0</v>
      </c>
      <c r="AE28" s="794">
        <f t="shared" si="39"/>
        <v>0</v>
      </c>
      <c r="AF28" s="282">
        <f>SUM(BW28)*(1+M$64+Summary!P$64)</f>
        <v>0</v>
      </c>
      <c r="AG28" s="632" t="e">
        <f t="shared" si="1"/>
        <v>#DIV/0!</v>
      </c>
      <c r="AH28" s="1758">
        <f t="shared" si="40"/>
        <v>0</v>
      </c>
      <c r="AI28" s="769"/>
      <c r="AO28" s="702">
        <f t="shared" si="2"/>
        <v>0</v>
      </c>
      <c r="AP28" s="702">
        <f t="shared" si="41"/>
        <v>0</v>
      </c>
      <c r="AQ28" s="702">
        <f t="shared" si="3"/>
        <v>0</v>
      </c>
      <c r="AR28" s="702">
        <f t="shared" si="4"/>
        <v>0</v>
      </c>
      <c r="AS28" s="702">
        <f t="shared" si="5"/>
        <v>0</v>
      </c>
      <c r="AT28" s="702">
        <f t="shared" si="6"/>
        <v>0</v>
      </c>
      <c r="AU28" s="702">
        <f t="shared" si="7"/>
        <v>0</v>
      </c>
      <c r="AV28" s="1063">
        <f t="shared" si="42"/>
        <v>0</v>
      </c>
      <c r="AW28" s="1063">
        <f t="shared" si="8"/>
        <v>0</v>
      </c>
      <c r="AX28" s="702">
        <f t="shared" si="43"/>
        <v>0</v>
      </c>
      <c r="AY28" s="702">
        <f t="shared" si="9"/>
        <v>0</v>
      </c>
      <c r="AZ28" s="702">
        <f t="shared" si="10"/>
        <v>0</v>
      </c>
      <c r="BA28" s="702">
        <f t="shared" si="11"/>
        <v>0</v>
      </c>
      <c r="BB28" s="702">
        <f t="shared" si="12"/>
        <v>0</v>
      </c>
      <c r="BC28" s="702">
        <f t="shared" si="13"/>
        <v>0</v>
      </c>
      <c r="BD28" s="1063">
        <f t="shared" si="44"/>
        <v>0</v>
      </c>
      <c r="BE28" s="1064">
        <f t="shared" si="14"/>
        <v>0</v>
      </c>
      <c r="BF28" s="1063">
        <f t="shared" si="15"/>
        <v>0</v>
      </c>
      <c r="BG28" s="1065">
        <f t="shared" si="16"/>
        <v>0</v>
      </c>
      <c r="BH28" s="702">
        <f t="shared" si="17"/>
        <v>0</v>
      </c>
      <c r="BI28" s="1063">
        <f t="shared" si="45"/>
        <v>0</v>
      </c>
      <c r="BJ28" s="1063">
        <f t="shared" si="18"/>
        <v>0</v>
      </c>
      <c r="BK28" s="1063">
        <f t="shared" si="19"/>
        <v>0</v>
      </c>
      <c r="BL28" s="1063">
        <f t="shared" si="20"/>
        <v>0</v>
      </c>
      <c r="BM28" s="1063">
        <f t="shared" si="21"/>
        <v>0</v>
      </c>
      <c r="BN28" s="1064">
        <f t="shared" si="46"/>
        <v>0</v>
      </c>
      <c r="BO28" s="1761">
        <f t="shared" si="47"/>
        <v>0</v>
      </c>
      <c r="BP28" s="1063">
        <f t="shared" si="48"/>
        <v>0</v>
      </c>
      <c r="BQ28" s="1064">
        <f t="shared" si="22"/>
        <v>0</v>
      </c>
      <c r="BR28" s="1063">
        <f t="shared" si="23"/>
        <v>0</v>
      </c>
      <c r="BS28" s="1063">
        <f t="shared" si="49"/>
        <v>0</v>
      </c>
      <c r="BT28" s="1064">
        <f t="shared" si="24"/>
        <v>0</v>
      </c>
      <c r="BU28" s="1064">
        <f t="shared" si="25"/>
        <v>0</v>
      </c>
      <c r="BV28" s="1064">
        <f t="shared" si="50"/>
        <v>0</v>
      </c>
      <c r="BW28" s="1066">
        <f t="shared" si="26"/>
        <v>0</v>
      </c>
      <c r="BX28" s="1063">
        <f>(BI28*Pricing!F$2+BJ28*Pricing!G$2+BK28*Pricing!H$2+BL28*Pricing!I$2+BM28*Pricing!J$2+BN28*Pricing!K$2)*IF(AC$63="N",(1+AE$63),1)</f>
        <v>0</v>
      </c>
      <c r="BY28" s="1063">
        <f t="shared" si="51"/>
        <v>0</v>
      </c>
      <c r="BZ28" s="1063">
        <f t="shared" si="52"/>
        <v>0</v>
      </c>
      <c r="CA28" s="1063">
        <f t="shared" si="53"/>
        <v>0</v>
      </c>
      <c r="CB28" s="1067">
        <f t="shared" si="27"/>
        <v>0</v>
      </c>
      <c r="CD28" s="702">
        <f t="shared" si="54"/>
        <v>0</v>
      </c>
      <c r="CE28" s="1063">
        <f t="shared" si="28"/>
        <v>0</v>
      </c>
      <c r="CF28" s="1063">
        <f t="shared" si="29"/>
        <v>0</v>
      </c>
      <c r="CG28" s="1063">
        <f t="shared" si="30"/>
        <v>0</v>
      </c>
      <c r="CH28" s="702">
        <f t="shared" si="31"/>
        <v>0</v>
      </c>
      <c r="CI28" s="1063">
        <f t="shared" si="32"/>
        <v>0</v>
      </c>
      <c r="CJ28" s="702">
        <f t="shared" si="33"/>
        <v>0</v>
      </c>
      <c r="CK28" s="1063">
        <f t="shared" si="34"/>
        <v>0</v>
      </c>
      <c r="CL28" s="704">
        <f t="shared" si="35"/>
        <v>0</v>
      </c>
      <c r="CM28" s="702">
        <f t="shared" si="36"/>
        <v>0</v>
      </c>
      <c r="CO28" s="1061">
        <f t="shared" si="55"/>
        <v>0</v>
      </c>
      <c r="CP28" s="702">
        <f t="shared" si="56"/>
        <v>0</v>
      </c>
      <c r="CQ28" s="702">
        <f t="shared" si="57"/>
        <v>0</v>
      </c>
      <c r="CR28" s="702">
        <f t="shared" si="63"/>
        <v>0</v>
      </c>
      <c r="CS28" s="702">
        <f t="shared" si="58"/>
        <v>0</v>
      </c>
      <c r="CT28" s="702">
        <f t="shared" si="59"/>
        <v>0</v>
      </c>
      <c r="CU28" s="702">
        <f t="shared" si="60"/>
        <v>0</v>
      </c>
      <c r="CV28" s="1068">
        <f t="shared" si="37"/>
        <v>0</v>
      </c>
      <c r="CW28" s="1064">
        <f t="shared" si="61"/>
        <v>0</v>
      </c>
      <c r="FX28" s="701"/>
      <c r="FY28" s="701"/>
      <c r="FZ28" s="701"/>
      <c r="GA28" s="701"/>
      <c r="GB28" s="701"/>
      <c r="GC28" s="701"/>
      <c r="GD28" s="701"/>
      <c r="GE28" s="701"/>
      <c r="GF28" s="701"/>
      <c r="GG28" s="701"/>
      <c r="GH28" s="701"/>
      <c r="GI28" s="701"/>
      <c r="GJ28" s="701"/>
      <c r="GK28" s="701"/>
      <c r="GL28" s="701"/>
      <c r="GM28" s="701"/>
      <c r="GN28" s="701"/>
      <c r="GO28" s="701"/>
      <c r="GP28" s="701"/>
      <c r="GQ28" s="701"/>
      <c r="GR28" s="701"/>
      <c r="GS28" s="701"/>
      <c r="GT28" s="701"/>
      <c r="GU28" s="701"/>
      <c r="GV28" s="701"/>
      <c r="GW28" s="701"/>
      <c r="GX28" s="701"/>
      <c r="GY28" s="701"/>
      <c r="GZ28" s="701"/>
      <c r="HA28" s="701"/>
      <c r="HB28" s="701"/>
      <c r="HC28" s="701"/>
      <c r="HD28" s="701"/>
      <c r="HE28" s="701"/>
      <c r="HF28" s="701"/>
      <c r="HG28" s="701"/>
      <c r="HH28" s="701"/>
      <c r="HI28" s="701"/>
      <c r="HJ28" s="701"/>
      <c r="HK28" s="701"/>
      <c r="HL28" s="701"/>
      <c r="HM28" s="701"/>
      <c r="HN28" s="701"/>
      <c r="HO28" s="701"/>
      <c r="HP28" s="701"/>
      <c r="HQ28" s="701"/>
      <c r="HR28" s="701"/>
      <c r="HS28" s="701"/>
      <c r="HT28" s="701"/>
      <c r="HU28" s="701"/>
      <c r="HV28" s="701"/>
      <c r="HW28" s="701"/>
      <c r="HX28" s="701"/>
      <c r="HY28" s="701"/>
      <c r="HZ28" s="701"/>
      <c r="IA28" s="701"/>
    </row>
    <row r="29" spans="2:235" s="702" customFormat="1" ht="19.5" customHeight="1" x14ac:dyDescent="0.35">
      <c r="B29" s="193"/>
      <c r="C29" s="393"/>
      <c r="D29" s="1985"/>
      <c r="E29" s="1986"/>
      <c r="F29" s="127"/>
      <c r="G29" s="777"/>
      <c r="H29" s="214"/>
      <c r="I29" s="779"/>
      <c r="J29" s="127"/>
      <c r="K29" s="781"/>
      <c r="L29" s="30"/>
      <c r="M29" s="121"/>
      <c r="N29" s="394"/>
      <c r="O29" s="205"/>
      <c r="P29" s="30"/>
      <c r="Q29" s="264"/>
      <c r="R29" s="266"/>
      <c r="S29" s="176">
        <v>1</v>
      </c>
      <c r="T29" s="555">
        <f t="shared" si="0"/>
        <v>0</v>
      </c>
      <c r="U29" s="31">
        <v>2</v>
      </c>
      <c r="V29" s="531"/>
      <c r="W29" s="31"/>
      <c r="X29" s="531"/>
      <c r="Y29" s="31"/>
      <c r="Z29" s="531"/>
      <c r="AA29" s="178"/>
      <c r="AB29" s="279"/>
      <c r="AC29" s="1380">
        <f t="shared" si="62"/>
        <v>0</v>
      </c>
      <c r="AD29" s="906">
        <f t="shared" si="38"/>
        <v>0</v>
      </c>
      <c r="AE29" s="794">
        <f t="shared" si="39"/>
        <v>0</v>
      </c>
      <c r="AF29" s="282">
        <f>SUM(BW29)*(1+M$64+Summary!P$64)</f>
        <v>0</v>
      </c>
      <c r="AG29" s="632" t="e">
        <f t="shared" si="1"/>
        <v>#DIV/0!</v>
      </c>
      <c r="AH29" s="1758">
        <f t="shared" si="40"/>
        <v>0</v>
      </c>
      <c r="AI29" s="769"/>
      <c r="AO29" s="702">
        <f t="shared" si="2"/>
        <v>0</v>
      </c>
      <c r="AP29" s="702">
        <f t="shared" si="41"/>
        <v>0</v>
      </c>
      <c r="AQ29" s="702">
        <f t="shared" si="3"/>
        <v>0</v>
      </c>
      <c r="AR29" s="702">
        <f t="shared" si="4"/>
        <v>0</v>
      </c>
      <c r="AS29" s="702">
        <f t="shared" si="5"/>
        <v>0</v>
      </c>
      <c r="AT29" s="702">
        <f t="shared" si="6"/>
        <v>0</v>
      </c>
      <c r="AU29" s="702">
        <f t="shared" si="7"/>
        <v>0</v>
      </c>
      <c r="AV29" s="1063">
        <f t="shared" si="42"/>
        <v>0</v>
      </c>
      <c r="AW29" s="1063">
        <f t="shared" si="8"/>
        <v>0</v>
      </c>
      <c r="AX29" s="702">
        <f t="shared" si="43"/>
        <v>0</v>
      </c>
      <c r="AY29" s="702">
        <f t="shared" si="9"/>
        <v>0</v>
      </c>
      <c r="AZ29" s="702">
        <f t="shared" si="10"/>
        <v>0</v>
      </c>
      <c r="BA29" s="702">
        <f t="shared" si="11"/>
        <v>0</v>
      </c>
      <c r="BB29" s="702">
        <f t="shared" si="12"/>
        <v>0</v>
      </c>
      <c r="BC29" s="702">
        <f t="shared" si="13"/>
        <v>0</v>
      </c>
      <c r="BD29" s="1063">
        <f t="shared" si="44"/>
        <v>0</v>
      </c>
      <c r="BE29" s="1064">
        <f t="shared" si="14"/>
        <v>0</v>
      </c>
      <c r="BF29" s="1063">
        <f t="shared" si="15"/>
        <v>0</v>
      </c>
      <c r="BG29" s="1065">
        <f t="shared" si="16"/>
        <v>0</v>
      </c>
      <c r="BH29" s="702">
        <f t="shared" si="17"/>
        <v>0</v>
      </c>
      <c r="BI29" s="1063">
        <f t="shared" si="45"/>
        <v>0</v>
      </c>
      <c r="BJ29" s="1063">
        <f t="shared" si="18"/>
        <v>0</v>
      </c>
      <c r="BK29" s="1063">
        <f t="shared" si="19"/>
        <v>0</v>
      </c>
      <c r="BL29" s="1063">
        <f t="shared" si="20"/>
        <v>0</v>
      </c>
      <c r="BM29" s="1063">
        <f t="shared" si="21"/>
        <v>0</v>
      </c>
      <c r="BN29" s="1064">
        <f t="shared" si="46"/>
        <v>0</v>
      </c>
      <c r="BO29" s="1761">
        <f t="shared" si="47"/>
        <v>0</v>
      </c>
      <c r="BP29" s="1063">
        <f t="shared" si="48"/>
        <v>0</v>
      </c>
      <c r="BQ29" s="1064">
        <f t="shared" si="22"/>
        <v>0</v>
      </c>
      <c r="BR29" s="1063">
        <f t="shared" si="23"/>
        <v>0</v>
      </c>
      <c r="BS29" s="1063">
        <f t="shared" si="49"/>
        <v>0</v>
      </c>
      <c r="BT29" s="1064">
        <f t="shared" si="24"/>
        <v>0</v>
      </c>
      <c r="BU29" s="1064">
        <f t="shared" si="25"/>
        <v>0</v>
      </c>
      <c r="BV29" s="1064">
        <f t="shared" si="50"/>
        <v>0</v>
      </c>
      <c r="BW29" s="1066">
        <f t="shared" si="26"/>
        <v>0</v>
      </c>
      <c r="BX29" s="1063">
        <f>(BI29*Pricing!F$2+BJ29*Pricing!G$2+BK29*Pricing!H$2+BL29*Pricing!I$2+BM29*Pricing!J$2+BN29*Pricing!K$2)*IF(AC$63="N",(1+AE$63),1)</f>
        <v>0</v>
      </c>
      <c r="BY29" s="1063">
        <f t="shared" si="51"/>
        <v>0</v>
      </c>
      <c r="BZ29" s="1063">
        <f t="shared" si="52"/>
        <v>0</v>
      </c>
      <c r="CA29" s="1063">
        <f t="shared" si="53"/>
        <v>0</v>
      </c>
      <c r="CB29" s="1067">
        <f t="shared" si="27"/>
        <v>0</v>
      </c>
      <c r="CD29" s="702">
        <f t="shared" si="54"/>
        <v>0</v>
      </c>
      <c r="CE29" s="1063">
        <f t="shared" si="28"/>
        <v>0</v>
      </c>
      <c r="CF29" s="1063">
        <f t="shared" si="29"/>
        <v>0</v>
      </c>
      <c r="CG29" s="1063">
        <f t="shared" si="30"/>
        <v>0</v>
      </c>
      <c r="CH29" s="702">
        <f t="shared" si="31"/>
        <v>0</v>
      </c>
      <c r="CI29" s="1063">
        <f t="shared" si="32"/>
        <v>0</v>
      </c>
      <c r="CJ29" s="702">
        <f t="shared" si="33"/>
        <v>0</v>
      </c>
      <c r="CK29" s="1063">
        <f t="shared" si="34"/>
        <v>0</v>
      </c>
      <c r="CL29" s="704">
        <f t="shared" si="35"/>
        <v>0</v>
      </c>
      <c r="CM29" s="702">
        <f t="shared" si="36"/>
        <v>0</v>
      </c>
      <c r="CO29" s="1061">
        <f t="shared" si="55"/>
        <v>0</v>
      </c>
      <c r="CP29" s="702">
        <f t="shared" si="56"/>
        <v>0</v>
      </c>
      <c r="CQ29" s="702">
        <f t="shared" si="57"/>
        <v>0</v>
      </c>
      <c r="CR29" s="702">
        <f t="shared" si="63"/>
        <v>0</v>
      </c>
      <c r="CS29" s="702">
        <f t="shared" si="58"/>
        <v>0</v>
      </c>
      <c r="CT29" s="702">
        <f t="shared" si="59"/>
        <v>0</v>
      </c>
      <c r="CU29" s="702">
        <f t="shared" si="60"/>
        <v>0</v>
      </c>
      <c r="CV29" s="1068">
        <f t="shared" si="37"/>
        <v>0</v>
      </c>
      <c r="CW29" s="1064">
        <f t="shared" si="61"/>
        <v>0</v>
      </c>
      <c r="FX29" s="701"/>
      <c r="FY29" s="701"/>
      <c r="FZ29" s="701"/>
      <c r="GA29" s="701"/>
      <c r="GB29" s="701"/>
      <c r="GC29" s="701"/>
      <c r="GD29" s="701"/>
      <c r="GE29" s="701"/>
      <c r="GF29" s="701"/>
      <c r="GG29" s="701"/>
      <c r="GH29" s="701"/>
      <c r="GI29" s="701"/>
      <c r="GJ29" s="701"/>
      <c r="GK29" s="701"/>
      <c r="GL29" s="701"/>
      <c r="GM29" s="701"/>
      <c r="GN29" s="701"/>
      <c r="GO29" s="701"/>
      <c r="GP29" s="701"/>
      <c r="GQ29" s="701"/>
      <c r="GR29" s="701"/>
      <c r="GS29" s="701"/>
      <c r="GT29" s="701"/>
      <c r="GU29" s="701"/>
      <c r="GV29" s="701"/>
      <c r="GW29" s="701"/>
      <c r="GX29" s="701"/>
      <c r="GY29" s="701"/>
      <c r="GZ29" s="701"/>
      <c r="HA29" s="701"/>
      <c r="HB29" s="701"/>
      <c r="HC29" s="701"/>
      <c r="HD29" s="701"/>
      <c r="HE29" s="701"/>
      <c r="HF29" s="701"/>
      <c r="HG29" s="701"/>
      <c r="HH29" s="701"/>
      <c r="HI29" s="701"/>
      <c r="HJ29" s="701"/>
      <c r="HK29" s="701"/>
      <c r="HL29" s="701"/>
      <c r="HM29" s="701"/>
      <c r="HN29" s="701"/>
      <c r="HO29" s="701"/>
      <c r="HP29" s="701"/>
      <c r="HQ29" s="701"/>
      <c r="HR29" s="701"/>
      <c r="HS29" s="701"/>
      <c r="HT29" s="701"/>
      <c r="HU29" s="701"/>
      <c r="HV29" s="701"/>
      <c r="HW29" s="701"/>
      <c r="HX29" s="701"/>
      <c r="HY29" s="701"/>
      <c r="HZ29" s="701"/>
      <c r="IA29" s="701"/>
    </row>
    <row r="30" spans="2:235" s="702" customFormat="1" ht="20.149999999999999" customHeight="1" x14ac:dyDescent="0.35">
      <c r="B30" s="398"/>
      <c r="C30" s="396"/>
      <c r="D30" s="1991"/>
      <c r="E30" s="1992"/>
      <c r="F30" s="97"/>
      <c r="G30" s="777"/>
      <c r="H30" s="97"/>
      <c r="I30" s="779"/>
      <c r="J30" s="97"/>
      <c r="K30" s="781"/>
      <c r="L30" s="32"/>
      <c r="M30" s="211"/>
      <c r="N30" s="397"/>
      <c r="O30" s="212"/>
      <c r="P30" s="32"/>
      <c r="Q30" s="810"/>
      <c r="R30" s="722"/>
      <c r="S30" s="180">
        <v>1</v>
      </c>
      <c r="T30" s="554">
        <f t="shared" si="0"/>
        <v>0</v>
      </c>
      <c r="U30" s="32">
        <v>2</v>
      </c>
      <c r="V30" s="371"/>
      <c r="W30" s="32"/>
      <c r="X30" s="371"/>
      <c r="Y30" s="32"/>
      <c r="Z30" s="371"/>
      <c r="AA30" s="180"/>
      <c r="AB30" s="280"/>
      <c r="AC30" s="1380">
        <f t="shared" si="62"/>
        <v>0</v>
      </c>
      <c r="AD30" s="906">
        <f t="shared" si="38"/>
        <v>0</v>
      </c>
      <c r="AE30" s="794">
        <f t="shared" si="39"/>
        <v>0</v>
      </c>
      <c r="AF30" s="282">
        <f>SUM(BW30)*(1+M$64+Summary!P$64)</f>
        <v>0</v>
      </c>
      <c r="AG30" s="632" t="e">
        <f t="shared" si="1"/>
        <v>#DIV/0!</v>
      </c>
      <c r="AH30" s="1758">
        <f t="shared" si="40"/>
        <v>0</v>
      </c>
      <c r="AI30" s="769"/>
      <c r="AO30" s="702">
        <f t="shared" si="2"/>
        <v>0</v>
      </c>
      <c r="AP30" s="702">
        <f t="shared" si="41"/>
        <v>0</v>
      </c>
      <c r="AQ30" s="702">
        <f t="shared" si="3"/>
        <v>0</v>
      </c>
      <c r="AR30" s="702">
        <f t="shared" si="4"/>
        <v>0</v>
      </c>
      <c r="AS30" s="702">
        <f t="shared" si="5"/>
        <v>0</v>
      </c>
      <c r="AT30" s="702">
        <f t="shared" si="6"/>
        <v>0</v>
      </c>
      <c r="AU30" s="702">
        <f t="shared" si="7"/>
        <v>0</v>
      </c>
      <c r="AV30" s="1063">
        <f t="shared" si="42"/>
        <v>0</v>
      </c>
      <c r="AW30" s="1063">
        <f t="shared" si="8"/>
        <v>0</v>
      </c>
      <c r="AX30" s="702">
        <f t="shared" si="43"/>
        <v>0</v>
      </c>
      <c r="AY30" s="702">
        <f t="shared" si="9"/>
        <v>0</v>
      </c>
      <c r="AZ30" s="702">
        <f t="shared" si="10"/>
        <v>0</v>
      </c>
      <c r="BA30" s="702">
        <f t="shared" si="11"/>
        <v>0</v>
      </c>
      <c r="BB30" s="702">
        <f t="shared" si="12"/>
        <v>0</v>
      </c>
      <c r="BC30" s="702">
        <f t="shared" si="13"/>
        <v>0</v>
      </c>
      <c r="BD30" s="1063">
        <f t="shared" si="44"/>
        <v>0</v>
      </c>
      <c r="BE30" s="1064">
        <f t="shared" si="14"/>
        <v>0</v>
      </c>
      <c r="BF30" s="1063">
        <f t="shared" si="15"/>
        <v>0</v>
      </c>
      <c r="BG30" s="1065">
        <f t="shared" si="16"/>
        <v>0</v>
      </c>
      <c r="BH30" s="702">
        <f t="shared" si="17"/>
        <v>0</v>
      </c>
      <c r="BI30" s="1063">
        <f t="shared" si="45"/>
        <v>0</v>
      </c>
      <c r="BJ30" s="1063">
        <f t="shared" si="18"/>
        <v>0</v>
      </c>
      <c r="BK30" s="1063">
        <f t="shared" si="19"/>
        <v>0</v>
      </c>
      <c r="BL30" s="1063">
        <f t="shared" si="20"/>
        <v>0</v>
      </c>
      <c r="BM30" s="1063">
        <f t="shared" si="21"/>
        <v>0</v>
      </c>
      <c r="BN30" s="1064">
        <f t="shared" si="46"/>
        <v>0</v>
      </c>
      <c r="BO30" s="1761">
        <f t="shared" si="47"/>
        <v>0</v>
      </c>
      <c r="BP30" s="1063">
        <f t="shared" si="48"/>
        <v>0</v>
      </c>
      <c r="BQ30" s="1064">
        <f t="shared" si="22"/>
        <v>0</v>
      </c>
      <c r="BR30" s="1063">
        <f t="shared" si="23"/>
        <v>0</v>
      </c>
      <c r="BS30" s="1063">
        <f t="shared" si="49"/>
        <v>0</v>
      </c>
      <c r="BT30" s="1064">
        <f t="shared" si="24"/>
        <v>0</v>
      </c>
      <c r="BU30" s="1064">
        <f t="shared" si="25"/>
        <v>0</v>
      </c>
      <c r="BV30" s="1064">
        <f t="shared" si="50"/>
        <v>0</v>
      </c>
      <c r="BW30" s="1066">
        <f t="shared" si="26"/>
        <v>0</v>
      </c>
      <c r="BX30" s="1063">
        <f>(BI30*Pricing!F$2+BJ30*Pricing!G$2+BK30*Pricing!H$2+BL30*Pricing!I$2+BM30*Pricing!J$2+BN30*Pricing!K$2)*IF(AC$63="N",(1+AE$63),1)</f>
        <v>0</v>
      </c>
      <c r="BY30" s="1063">
        <f t="shared" si="51"/>
        <v>0</v>
      </c>
      <c r="BZ30" s="1063">
        <f t="shared" si="52"/>
        <v>0</v>
      </c>
      <c r="CA30" s="1063">
        <f t="shared" si="53"/>
        <v>0</v>
      </c>
      <c r="CB30" s="1067">
        <f t="shared" si="27"/>
        <v>0</v>
      </c>
      <c r="CD30" s="702">
        <f t="shared" si="54"/>
        <v>0</v>
      </c>
      <c r="CE30" s="1063">
        <f t="shared" si="28"/>
        <v>0</v>
      </c>
      <c r="CF30" s="1063">
        <f t="shared" si="29"/>
        <v>0</v>
      </c>
      <c r="CG30" s="1063">
        <f t="shared" si="30"/>
        <v>0</v>
      </c>
      <c r="CH30" s="702">
        <f t="shared" si="31"/>
        <v>0</v>
      </c>
      <c r="CI30" s="1063">
        <f t="shared" si="32"/>
        <v>0</v>
      </c>
      <c r="CJ30" s="702">
        <f t="shared" si="33"/>
        <v>0</v>
      </c>
      <c r="CK30" s="1063">
        <f t="shared" si="34"/>
        <v>0</v>
      </c>
      <c r="CL30" s="704">
        <f t="shared" si="35"/>
        <v>0</v>
      </c>
      <c r="CM30" s="702">
        <f t="shared" si="36"/>
        <v>0</v>
      </c>
      <c r="CO30" s="1061">
        <f t="shared" si="55"/>
        <v>0</v>
      </c>
      <c r="CP30" s="702">
        <f t="shared" si="56"/>
        <v>0</v>
      </c>
      <c r="CQ30" s="702">
        <f t="shared" si="57"/>
        <v>0</v>
      </c>
      <c r="CR30" s="702">
        <f t="shared" si="63"/>
        <v>0</v>
      </c>
      <c r="CS30" s="702">
        <f t="shared" si="58"/>
        <v>0</v>
      </c>
      <c r="CT30" s="702">
        <f t="shared" si="59"/>
        <v>0</v>
      </c>
      <c r="CU30" s="702">
        <f t="shared" si="60"/>
        <v>0</v>
      </c>
      <c r="CV30" s="1068">
        <f t="shared" si="37"/>
        <v>0</v>
      </c>
      <c r="CW30" s="1064">
        <f t="shared" si="61"/>
        <v>0</v>
      </c>
      <c r="FX30" s="701"/>
      <c r="FY30" s="701"/>
      <c r="FZ30" s="701"/>
      <c r="GA30" s="701"/>
      <c r="GB30" s="701"/>
      <c r="GC30" s="701"/>
      <c r="GD30" s="701"/>
      <c r="GE30" s="701"/>
      <c r="GF30" s="701"/>
      <c r="GG30" s="701"/>
      <c r="GH30" s="701"/>
      <c r="GI30" s="701"/>
      <c r="GJ30" s="701"/>
      <c r="GK30" s="701"/>
      <c r="GL30" s="701"/>
      <c r="GM30" s="701"/>
      <c r="GN30" s="701"/>
      <c r="GO30" s="701"/>
      <c r="GP30" s="701"/>
      <c r="GQ30" s="701"/>
      <c r="GR30" s="701"/>
      <c r="GS30" s="701"/>
      <c r="GT30" s="701"/>
      <c r="GU30" s="701"/>
      <c r="GV30" s="701"/>
      <c r="GW30" s="701"/>
      <c r="GX30" s="701"/>
      <c r="GY30" s="701"/>
      <c r="GZ30" s="701"/>
      <c r="HA30" s="701"/>
      <c r="HB30" s="701"/>
      <c r="HC30" s="701"/>
      <c r="HD30" s="701"/>
      <c r="HE30" s="701"/>
      <c r="HF30" s="701"/>
      <c r="HG30" s="701"/>
      <c r="HH30" s="701"/>
      <c r="HI30" s="701"/>
      <c r="HJ30" s="701"/>
      <c r="HK30" s="701"/>
      <c r="HL30" s="701"/>
      <c r="HM30" s="701"/>
      <c r="HN30" s="701"/>
      <c r="HO30" s="701"/>
      <c r="HP30" s="701"/>
      <c r="HQ30" s="701"/>
      <c r="HR30" s="701"/>
      <c r="HS30" s="701"/>
      <c r="HT30" s="701"/>
      <c r="HU30" s="701"/>
      <c r="HV30" s="701"/>
      <c r="HW30" s="701"/>
      <c r="HX30" s="701"/>
      <c r="HY30" s="701"/>
      <c r="HZ30" s="701"/>
      <c r="IA30" s="701"/>
    </row>
    <row r="31" spans="2:235" s="702" customFormat="1" ht="20.149999999999999" customHeight="1" x14ac:dyDescent="0.35">
      <c r="B31" s="193"/>
      <c r="C31" s="393"/>
      <c r="D31" s="1985"/>
      <c r="E31" s="1986"/>
      <c r="F31" s="127"/>
      <c r="G31" s="777"/>
      <c r="H31" s="214"/>
      <c r="I31" s="779"/>
      <c r="J31" s="127"/>
      <c r="K31" s="781"/>
      <c r="L31" s="30"/>
      <c r="M31" s="121"/>
      <c r="N31" s="394"/>
      <c r="O31" s="205"/>
      <c r="P31" s="30"/>
      <c r="Q31" s="264"/>
      <c r="R31" s="266"/>
      <c r="S31" s="176">
        <v>1</v>
      </c>
      <c r="T31" s="555">
        <f t="shared" si="0"/>
        <v>0</v>
      </c>
      <c r="U31" s="31">
        <v>2</v>
      </c>
      <c r="V31" s="531"/>
      <c r="W31" s="31"/>
      <c r="X31" s="531"/>
      <c r="Y31" s="31"/>
      <c r="Z31" s="531"/>
      <c r="AA31" s="178"/>
      <c r="AB31" s="279"/>
      <c r="AC31" s="1380">
        <f t="shared" si="62"/>
        <v>0</v>
      </c>
      <c r="AD31" s="906">
        <f t="shared" si="38"/>
        <v>0</v>
      </c>
      <c r="AE31" s="794">
        <f t="shared" si="39"/>
        <v>0</v>
      </c>
      <c r="AF31" s="282">
        <f>SUM(BW31)*(1+M$64+Summary!P$64)</f>
        <v>0</v>
      </c>
      <c r="AG31" s="632" t="e">
        <f t="shared" si="1"/>
        <v>#DIV/0!</v>
      </c>
      <c r="AH31" s="1758">
        <f t="shared" si="40"/>
        <v>0</v>
      </c>
      <c r="AI31" s="769"/>
      <c r="AO31" s="702">
        <f t="shared" si="2"/>
        <v>0</v>
      </c>
      <c r="AP31" s="702">
        <f t="shared" si="41"/>
        <v>0</v>
      </c>
      <c r="AQ31" s="702">
        <f t="shared" si="3"/>
        <v>0</v>
      </c>
      <c r="AR31" s="702">
        <f t="shared" si="4"/>
        <v>0</v>
      </c>
      <c r="AS31" s="702">
        <f t="shared" si="5"/>
        <v>0</v>
      </c>
      <c r="AT31" s="702">
        <f t="shared" si="6"/>
        <v>0</v>
      </c>
      <c r="AU31" s="702">
        <f t="shared" si="7"/>
        <v>0</v>
      </c>
      <c r="AV31" s="1063">
        <f t="shared" si="42"/>
        <v>0</v>
      </c>
      <c r="AW31" s="1063">
        <f t="shared" si="8"/>
        <v>0</v>
      </c>
      <c r="AX31" s="702">
        <f t="shared" si="43"/>
        <v>0</v>
      </c>
      <c r="AY31" s="702">
        <f t="shared" si="9"/>
        <v>0</v>
      </c>
      <c r="AZ31" s="702">
        <f t="shared" si="10"/>
        <v>0</v>
      </c>
      <c r="BA31" s="702">
        <f t="shared" si="11"/>
        <v>0</v>
      </c>
      <c r="BB31" s="702">
        <f t="shared" si="12"/>
        <v>0</v>
      </c>
      <c r="BC31" s="702">
        <f t="shared" si="13"/>
        <v>0</v>
      </c>
      <c r="BD31" s="1063">
        <f t="shared" si="44"/>
        <v>0</v>
      </c>
      <c r="BE31" s="1064">
        <f t="shared" si="14"/>
        <v>0</v>
      </c>
      <c r="BF31" s="1063">
        <f t="shared" si="15"/>
        <v>0</v>
      </c>
      <c r="BG31" s="1065">
        <f t="shared" si="16"/>
        <v>0</v>
      </c>
      <c r="BH31" s="702">
        <f t="shared" si="17"/>
        <v>0</v>
      </c>
      <c r="BI31" s="1063">
        <f t="shared" si="45"/>
        <v>0</v>
      </c>
      <c r="BJ31" s="1063">
        <f t="shared" si="18"/>
        <v>0</v>
      </c>
      <c r="BK31" s="1063">
        <f t="shared" si="19"/>
        <v>0</v>
      </c>
      <c r="BL31" s="1063">
        <f t="shared" si="20"/>
        <v>0</v>
      </c>
      <c r="BM31" s="1063">
        <f t="shared" si="21"/>
        <v>0</v>
      </c>
      <c r="BN31" s="1064">
        <f t="shared" si="46"/>
        <v>0</v>
      </c>
      <c r="BO31" s="1761">
        <f t="shared" si="47"/>
        <v>0</v>
      </c>
      <c r="BP31" s="1063">
        <f t="shared" si="48"/>
        <v>0</v>
      </c>
      <c r="BQ31" s="1064">
        <f t="shared" si="22"/>
        <v>0</v>
      </c>
      <c r="BR31" s="1063">
        <f t="shared" si="23"/>
        <v>0</v>
      </c>
      <c r="BS31" s="1063">
        <f t="shared" si="49"/>
        <v>0</v>
      </c>
      <c r="BT31" s="1064">
        <f t="shared" si="24"/>
        <v>0</v>
      </c>
      <c r="BU31" s="1064">
        <f t="shared" si="25"/>
        <v>0</v>
      </c>
      <c r="BV31" s="1064">
        <f t="shared" si="50"/>
        <v>0</v>
      </c>
      <c r="BW31" s="1066">
        <f t="shared" si="26"/>
        <v>0</v>
      </c>
      <c r="BX31" s="1063">
        <f>(BI31*Pricing!F$2+BJ31*Pricing!G$2+BK31*Pricing!H$2+BL31*Pricing!I$2+BM31*Pricing!J$2+BN31*Pricing!K$2)*IF(AC$63="N",(1+AE$63),1)</f>
        <v>0</v>
      </c>
      <c r="BY31" s="1063">
        <f t="shared" si="51"/>
        <v>0</v>
      </c>
      <c r="BZ31" s="1063">
        <f t="shared" si="52"/>
        <v>0</v>
      </c>
      <c r="CA31" s="1063">
        <f t="shared" si="53"/>
        <v>0</v>
      </c>
      <c r="CB31" s="1067">
        <f t="shared" si="27"/>
        <v>0</v>
      </c>
      <c r="CD31" s="702">
        <f t="shared" si="54"/>
        <v>0</v>
      </c>
      <c r="CE31" s="1063">
        <f t="shared" si="28"/>
        <v>0</v>
      </c>
      <c r="CF31" s="1063">
        <f t="shared" si="29"/>
        <v>0</v>
      </c>
      <c r="CG31" s="1063">
        <f t="shared" si="30"/>
        <v>0</v>
      </c>
      <c r="CH31" s="702">
        <f t="shared" si="31"/>
        <v>0</v>
      </c>
      <c r="CI31" s="1063">
        <f t="shared" si="32"/>
        <v>0</v>
      </c>
      <c r="CJ31" s="702">
        <f t="shared" si="33"/>
        <v>0</v>
      </c>
      <c r="CK31" s="1063">
        <f t="shared" si="34"/>
        <v>0</v>
      </c>
      <c r="CL31" s="704">
        <f t="shared" si="35"/>
        <v>0</v>
      </c>
      <c r="CM31" s="702">
        <f t="shared" si="36"/>
        <v>0</v>
      </c>
      <c r="CO31" s="1061">
        <f t="shared" si="55"/>
        <v>0</v>
      </c>
      <c r="CP31" s="702">
        <f t="shared" si="56"/>
        <v>0</v>
      </c>
      <c r="CQ31" s="702">
        <f t="shared" si="57"/>
        <v>0</v>
      </c>
      <c r="CR31" s="702">
        <f t="shared" si="63"/>
        <v>0</v>
      </c>
      <c r="CS31" s="702">
        <f t="shared" si="58"/>
        <v>0</v>
      </c>
      <c r="CT31" s="702">
        <f t="shared" si="59"/>
        <v>0</v>
      </c>
      <c r="CU31" s="702">
        <f t="shared" si="60"/>
        <v>0</v>
      </c>
      <c r="CV31" s="1068">
        <f t="shared" si="37"/>
        <v>0</v>
      </c>
      <c r="CW31" s="1064">
        <f t="shared" si="61"/>
        <v>0</v>
      </c>
      <c r="FX31" s="701"/>
      <c r="FY31" s="701"/>
      <c r="FZ31" s="701"/>
      <c r="GA31" s="701"/>
      <c r="GB31" s="701"/>
      <c r="GC31" s="701"/>
      <c r="GD31" s="701"/>
      <c r="GE31" s="701"/>
      <c r="GF31" s="701"/>
      <c r="GG31" s="701"/>
      <c r="GH31" s="701"/>
      <c r="GI31" s="701"/>
      <c r="GJ31" s="701"/>
      <c r="GK31" s="701"/>
      <c r="GL31" s="701"/>
      <c r="GM31" s="701"/>
      <c r="GN31" s="701"/>
      <c r="GO31" s="701"/>
      <c r="GP31" s="701"/>
      <c r="GQ31" s="701"/>
      <c r="GR31" s="701"/>
      <c r="GS31" s="701"/>
      <c r="GT31" s="701"/>
      <c r="GU31" s="701"/>
      <c r="GV31" s="701"/>
      <c r="GW31" s="701"/>
      <c r="GX31" s="701"/>
      <c r="GY31" s="701"/>
      <c r="GZ31" s="701"/>
      <c r="HA31" s="701"/>
      <c r="HB31" s="701"/>
      <c r="HC31" s="701"/>
      <c r="HD31" s="701"/>
      <c r="HE31" s="701"/>
      <c r="HF31" s="701"/>
      <c r="HG31" s="701"/>
      <c r="HH31" s="701"/>
      <c r="HI31" s="701"/>
      <c r="HJ31" s="701"/>
      <c r="HK31" s="701"/>
      <c r="HL31" s="701"/>
      <c r="HM31" s="701"/>
      <c r="HN31" s="701"/>
      <c r="HO31" s="701"/>
      <c r="HP31" s="701"/>
      <c r="HQ31" s="701"/>
      <c r="HR31" s="701"/>
      <c r="HS31" s="701"/>
      <c r="HT31" s="701"/>
      <c r="HU31" s="701"/>
      <c r="HV31" s="701"/>
      <c r="HW31" s="701"/>
      <c r="HX31" s="701"/>
      <c r="HY31" s="701"/>
      <c r="HZ31" s="701"/>
      <c r="IA31" s="701"/>
    </row>
    <row r="32" spans="2:235" s="702" customFormat="1" ht="20.149999999999999" customHeight="1" x14ac:dyDescent="0.35">
      <c r="B32" s="398"/>
      <c r="C32" s="396"/>
      <c r="D32" s="1991"/>
      <c r="E32" s="1992"/>
      <c r="F32" s="97"/>
      <c r="G32" s="777"/>
      <c r="H32" s="97"/>
      <c r="I32" s="779"/>
      <c r="J32" s="97"/>
      <c r="K32" s="781"/>
      <c r="L32" s="32"/>
      <c r="M32" s="211"/>
      <c r="N32" s="397"/>
      <c r="O32" s="212"/>
      <c r="P32" s="32"/>
      <c r="Q32" s="810"/>
      <c r="R32" s="722"/>
      <c r="S32" s="180">
        <v>1</v>
      </c>
      <c r="T32" s="554">
        <f t="shared" si="0"/>
        <v>0</v>
      </c>
      <c r="U32" s="32">
        <v>2</v>
      </c>
      <c r="V32" s="371"/>
      <c r="W32" s="32"/>
      <c r="X32" s="371"/>
      <c r="Y32" s="32"/>
      <c r="Z32" s="371"/>
      <c r="AA32" s="180"/>
      <c r="AB32" s="280"/>
      <c r="AC32" s="1380">
        <f t="shared" si="62"/>
        <v>0</v>
      </c>
      <c r="AD32" s="906">
        <f t="shared" si="38"/>
        <v>0</v>
      </c>
      <c r="AE32" s="794">
        <f t="shared" si="39"/>
        <v>0</v>
      </c>
      <c r="AF32" s="282">
        <f>SUM(BW32)*(1+M$64+Summary!P$64)</f>
        <v>0</v>
      </c>
      <c r="AG32" s="632" t="e">
        <f t="shared" si="1"/>
        <v>#DIV/0!</v>
      </c>
      <c r="AH32" s="1758">
        <f t="shared" si="40"/>
        <v>0</v>
      </c>
      <c r="AI32" s="769"/>
      <c r="AO32" s="702">
        <f t="shared" si="2"/>
        <v>0</v>
      </c>
      <c r="AP32" s="702">
        <f t="shared" si="41"/>
        <v>0</v>
      </c>
      <c r="AQ32" s="702">
        <f t="shared" si="3"/>
        <v>0</v>
      </c>
      <c r="AR32" s="702">
        <f t="shared" si="4"/>
        <v>0</v>
      </c>
      <c r="AS32" s="702">
        <f t="shared" si="5"/>
        <v>0</v>
      </c>
      <c r="AT32" s="702">
        <f t="shared" si="6"/>
        <v>0</v>
      </c>
      <c r="AU32" s="702">
        <f t="shared" si="7"/>
        <v>0</v>
      </c>
      <c r="AV32" s="1063">
        <f t="shared" si="42"/>
        <v>0</v>
      </c>
      <c r="AW32" s="1063">
        <f t="shared" si="8"/>
        <v>0</v>
      </c>
      <c r="AX32" s="702">
        <f t="shared" si="43"/>
        <v>0</v>
      </c>
      <c r="AY32" s="702">
        <f t="shared" si="9"/>
        <v>0</v>
      </c>
      <c r="AZ32" s="702">
        <f t="shared" si="10"/>
        <v>0</v>
      </c>
      <c r="BA32" s="702">
        <f t="shared" si="11"/>
        <v>0</v>
      </c>
      <c r="BB32" s="702">
        <f t="shared" si="12"/>
        <v>0</v>
      </c>
      <c r="BC32" s="702">
        <f t="shared" si="13"/>
        <v>0</v>
      </c>
      <c r="BD32" s="1063">
        <f t="shared" si="44"/>
        <v>0</v>
      </c>
      <c r="BE32" s="1064">
        <f t="shared" si="14"/>
        <v>0</v>
      </c>
      <c r="BF32" s="1063">
        <f t="shared" si="15"/>
        <v>0</v>
      </c>
      <c r="BG32" s="1065">
        <f t="shared" si="16"/>
        <v>0</v>
      </c>
      <c r="BH32" s="702">
        <f t="shared" si="17"/>
        <v>0</v>
      </c>
      <c r="BI32" s="1063">
        <f t="shared" si="45"/>
        <v>0</v>
      </c>
      <c r="BJ32" s="1063">
        <f t="shared" si="18"/>
        <v>0</v>
      </c>
      <c r="BK32" s="1063">
        <f t="shared" si="19"/>
        <v>0</v>
      </c>
      <c r="BL32" s="1063">
        <f t="shared" si="20"/>
        <v>0</v>
      </c>
      <c r="BM32" s="1063">
        <f t="shared" si="21"/>
        <v>0</v>
      </c>
      <c r="BN32" s="1064">
        <f t="shared" si="46"/>
        <v>0</v>
      </c>
      <c r="BO32" s="1761">
        <f t="shared" si="47"/>
        <v>0</v>
      </c>
      <c r="BP32" s="1063">
        <f t="shared" si="48"/>
        <v>0</v>
      </c>
      <c r="BQ32" s="1064">
        <f t="shared" si="22"/>
        <v>0</v>
      </c>
      <c r="BR32" s="1063">
        <f t="shared" si="23"/>
        <v>0</v>
      </c>
      <c r="BS32" s="1063">
        <f t="shared" si="49"/>
        <v>0</v>
      </c>
      <c r="BT32" s="1064">
        <f t="shared" si="24"/>
        <v>0</v>
      </c>
      <c r="BU32" s="1064">
        <f t="shared" si="25"/>
        <v>0</v>
      </c>
      <c r="BV32" s="1064">
        <f t="shared" si="50"/>
        <v>0</v>
      </c>
      <c r="BW32" s="1066">
        <f t="shared" si="26"/>
        <v>0</v>
      </c>
      <c r="BX32" s="1063">
        <f>(BI32*Pricing!F$2+BJ32*Pricing!G$2+BK32*Pricing!H$2+BL32*Pricing!I$2+BM32*Pricing!J$2+BN32*Pricing!K$2)*IF(AC$63="N",(1+AE$63),1)</f>
        <v>0</v>
      </c>
      <c r="BY32" s="1063">
        <f t="shared" si="51"/>
        <v>0</v>
      </c>
      <c r="BZ32" s="1063">
        <f t="shared" si="52"/>
        <v>0</v>
      </c>
      <c r="CA32" s="1063">
        <f t="shared" si="53"/>
        <v>0</v>
      </c>
      <c r="CB32" s="1067">
        <f t="shared" si="27"/>
        <v>0</v>
      </c>
      <c r="CD32" s="702">
        <f t="shared" si="54"/>
        <v>0</v>
      </c>
      <c r="CE32" s="1063">
        <f t="shared" si="28"/>
        <v>0</v>
      </c>
      <c r="CF32" s="1063">
        <f t="shared" si="29"/>
        <v>0</v>
      </c>
      <c r="CG32" s="1063">
        <f t="shared" si="30"/>
        <v>0</v>
      </c>
      <c r="CH32" s="702">
        <f t="shared" si="31"/>
        <v>0</v>
      </c>
      <c r="CI32" s="1063">
        <f t="shared" si="32"/>
        <v>0</v>
      </c>
      <c r="CJ32" s="702">
        <f t="shared" si="33"/>
        <v>0</v>
      </c>
      <c r="CK32" s="1063">
        <f t="shared" si="34"/>
        <v>0</v>
      </c>
      <c r="CL32" s="704">
        <f t="shared" si="35"/>
        <v>0</v>
      </c>
      <c r="CM32" s="702">
        <f t="shared" si="36"/>
        <v>0</v>
      </c>
      <c r="CO32" s="1061">
        <f t="shared" si="55"/>
        <v>0</v>
      </c>
      <c r="CP32" s="702">
        <f t="shared" si="56"/>
        <v>0</v>
      </c>
      <c r="CQ32" s="702">
        <f t="shared" si="57"/>
        <v>0</v>
      </c>
      <c r="CR32" s="702">
        <f t="shared" si="63"/>
        <v>0</v>
      </c>
      <c r="CS32" s="702">
        <f t="shared" si="58"/>
        <v>0</v>
      </c>
      <c r="CT32" s="702">
        <f t="shared" si="59"/>
        <v>0</v>
      </c>
      <c r="CU32" s="702">
        <f t="shared" si="60"/>
        <v>0</v>
      </c>
      <c r="CV32" s="1068">
        <f t="shared" si="37"/>
        <v>0</v>
      </c>
      <c r="CW32" s="1064">
        <f t="shared" si="61"/>
        <v>0</v>
      </c>
      <c r="FX32" s="701"/>
      <c r="FY32" s="701"/>
      <c r="FZ32" s="701"/>
      <c r="GA32" s="701"/>
      <c r="GB32" s="701"/>
      <c r="GC32" s="701"/>
      <c r="GD32" s="701"/>
      <c r="GE32" s="701"/>
      <c r="GF32" s="701"/>
      <c r="GG32" s="701"/>
      <c r="GH32" s="701"/>
      <c r="GI32" s="701"/>
      <c r="GJ32" s="701"/>
      <c r="GK32" s="701"/>
      <c r="GL32" s="701"/>
      <c r="GM32" s="701"/>
      <c r="GN32" s="701"/>
      <c r="GO32" s="701"/>
      <c r="GP32" s="701"/>
      <c r="GQ32" s="701"/>
      <c r="GR32" s="701"/>
      <c r="GS32" s="701"/>
      <c r="GT32" s="701"/>
      <c r="GU32" s="701"/>
      <c r="GV32" s="701"/>
      <c r="GW32" s="701"/>
      <c r="GX32" s="701"/>
      <c r="GY32" s="701"/>
      <c r="GZ32" s="701"/>
      <c r="HA32" s="701"/>
      <c r="HB32" s="701"/>
      <c r="HC32" s="701"/>
      <c r="HD32" s="701"/>
      <c r="HE32" s="701"/>
      <c r="HF32" s="701"/>
      <c r="HG32" s="701"/>
      <c r="HH32" s="701"/>
      <c r="HI32" s="701"/>
      <c r="HJ32" s="701"/>
      <c r="HK32" s="701"/>
      <c r="HL32" s="701"/>
      <c r="HM32" s="701"/>
      <c r="HN32" s="701"/>
      <c r="HO32" s="701"/>
      <c r="HP32" s="701"/>
      <c r="HQ32" s="701"/>
      <c r="HR32" s="701"/>
      <c r="HS32" s="701"/>
      <c r="HT32" s="701"/>
      <c r="HU32" s="701"/>
      <c r="HV32" s="701"/>
      <c r="HW32" s="701"/>
      <c r="HX32" s="701"/>
      <c r="HY32" s="701"/>
      <c r="HZ32" s="701"/>
      <c r="IA32" s="701"/>
    </row>
    <row r="33" spans="2:235" s="702" customFormat="1" ht="20.149999999999999" customHeight="1" x14ac:dyDescent="0.35">
      <c r="B33" s="193"/>
      <c r="C33" s="393"/>
      <c r="D33" s="1985"/>
      <c r="E33" s="1986"/>
      <c r="F33" s="127"/>
      <c r="G33" s="777"/>
      <c r="H33" s="214"/>
      <c r="I33" s="779"/>
      <c r="J33" s="127"/>
      <c r="K33" s="781"/>
      <c r="L33" s="30"/>
      <c r="M33" s="121"/>
      <c r="N33" s="394"/>
      <c r="O33" s="205"/>
      <c r="P33" s="30"/>
      <c r="Q33" s="264"/>
      <c r="R33" s="266"/>
      <c r="S33" s="176">
        <v>1</v>
      </c>
      <c r="T33" s="555">
        <f t="shared" si="0"/>
        <v>0</v>
      </c>
      <c r="U33" s="31">
        <v>2</v>
      </c>
      <c r="V33" s="531"/>
      <c r="W33" s="30"/>
      <c r="X33" s="377"/>
      <c r="Y33" s="30"/>
      <c r="Z33" s="377"/>
      <c r="AA33" s="178"/>
      <c r="AB33" s="279"/>
      <c r="AC33" s="1380">
        <f t="shared" si="62"/>
        <v>0</v>
      </c>
      <c r="AD33" s="906">
        <f t="shared" si="38"/>
        <v>0</v>
      </c>
      <c r="AE33" s="794">
        <f t="shared" si="39"/>
        <v>0</v>
      </c>
      <c r="AF33" s="282">
        <f>SUM(BW33)*(1+M$64+Summary!P$64)</f>
        <v>0</v>
      </c>
      <c r="AG33" s="632" t="e">
        <f t="shared" si="1"/>
        <v>#DIV/0!</v>
      </c>
      <c r="AH33" s="1758">
        <f t="shared" si="40"/>
        <v>0</v>
      </c>
      <c r="AI33" s="769"/>
      <c r="AO33" s="702">
        <f t="shared" si="2"/>
        <v>0</v>
      </c>
      <c r="AP33" s="702">
        <f t="shared" si="41"/>
        <v>0</v>
      </c>
      <c r="AQ33" s="702">
        <f t="shared" si="3"/>
        <v>0</v>
      </c>
      <c r="AR33" s="702">
        <f t="shared" si="4"/>
        <v>0</v>
      </c>
      <c r="AS33" s="702">
        <f t="shared" si="5"/>
        <v>0</v>
      </c>
      <c r="AT33" s="702">
        <f t="shared" si="6"/>
        <v>0</v>
      </c>
      <c r="AU33" s="702">
        <f t="shared" si="7"/>
        <v>0</v>
      </c>
      <c r="AV33" s="1063">
        <f t="shared" si="42"/>
        <v>0</v>
      </c>
      <c r="AW33" s="1063">
        <f t="shared" si="8"/>
        <v>0</v>
      </c>
      <c r="AX33" s="702">
        <f t="shared" si="43"/>
        <v>0</v>
      </c>
      <c r="AY33" s="702">
        <f t="shared" si="9"/>
        <v>0</v>
      </c>
      <c r="AZ33" s="702">
        <f t="shared" si="10"/>
        <v>0</v>
      </c>
      <c r="BA33" s="702">
        <f t="shared" si="11"/>
        <v>0</v>
      </c>
      <c r="BB33" s="702">
        <f t="shared" si="12"/>
        <v>0</v>
      </c>
      <c r="BC33" s="702">
        <f t="shared" si="13"/>
        <v>0</v>
      </c>
      <c r="BD33" s="1063">
        <f t="shared" si="44"/>
        <v>0</v>
      </c>
      <c r="BE33" s="1064">
        <f t="shared" si="14"/>
        <v>0</v>
      </c>
      <c r="BF33" s="1063">
        <f t="shared" si="15"/>
        <v>0</v>
      </c>
      <c r="BG33" s="1065">
        <f t="shared" si="16"/>
        <v>0</v>
      </c>
      <c r="BH33" s="702">
        <f t="shared" si="17"/>
        <v>0</v>
      </c>
      <c r="BI33" s="1063">
        <f t="shared" si="45"/>
        <v>0</v>
      </c>
      <c r="BJ33" s="1063">
        <f t="shared" si="18"/>
        <v>0</v>
      </c>
      <c r="BK33" s="1063">
        <f t="shared" si="19"/>
        <v>0</v>
      </c>
      <c r="BL33" s="1063">
        <f t="shared" si="20"/>
        <v>0</v>
      </c>
      <c r="BM33" s="1063">
        <f t="shared" si="21"/>
        <v>0</v>
      </c>
      <c r="BN33" s="1064">
        <f t="shared" si="46"/>
        <v>0</v>
      </c>
      <c r="BO33" s="1761">
        <f t="shared" si="47"/>
        <v>0</v>
      </c>
      <c r="BP33" s="1063">
        <f t="shared" si="48"/>
        <v>0</v>
      </c>
      <c r="BQ33" s="1064">
        <f t="shared" si="22"/>
        <v>0</v>
      </c>
      <c r="BR33" s="1063">
        <f t="shared" si="23"/>
        <v>0</v>
      </c>
      <c r="BS33" s="1063">
        <f t="shared" si="49"/>
        <v>0</v>
      </c>
      <c r="BT33" s="1064">
        <f t="shared" si="24"/>
        <v>0</v>
      </c>
      <c r="BU33" s="1064">
        <f t="shared" si="25"/>
        <v>0</v>
      </c>
      <c r="BV33" s="1064">
        <f t="shared" si="50"/>
        <v>0</v>
      </c>
      <c r="BW33" s="1066">
        <f t="shared" si="26"/>
        <v>0</v>
      </c>
      <c r="BX33" s="1063">
        <f>(BI33*Pricing!F$2+BJ33*Pricing!G$2+BK33*Pricing!H$2+BL33*Pricing!I$2+BM33*Pricing!J$2+BN33*Pricing!K$2)*IF(AC$63="N",(1+AE$63),1)</f>
        <v>0</v>
      </c>
      <c r="BY33" s="1063">
        <f t="shared" si="51"/>
        <v>0</v>
      </c>
      <c r="BZ33" s="1063">
        <f t="shared" si="52"/>
        <v>0</v>
      </c>
      <c r="CA33" s="1063">
        <f t="shared" si="53"/>
        <v>0</v>
      </c>
      <c r="CB33" s="1067">
        <f t="shared" si="27"/>
        <v>0</v>
      </c>
      <c r="CD33" s="702">
        <f t="shared" si="54"/>
        <v>0</v>
      </c>
      <c r="CE33" s="1063">
        <f t="shared" si="28"/>
        <v>0</v>
      </c>
      <c r="CF33" s="1063">
        <f t="shared" si="29"/>
        <v>0</v>
      </c>
      <c r="CG33" s="1063">
        <f t="shared" si="30"/>
        <v>0</v>
      </c>
      <c r="CH33" s="702">
        <f t="shared" si="31"/>
        <v>0</v>
      </c>
      <c r="CI33" s="1063">
        <f t="shared" si="32"/>
        <v>0</v>
      </c>
      <c r="CJ33" s="702">
        <f t="shared" si="33"/>
        <v>0</v>
      </c>
      <c r="CK33" s="1063">
        <f t="shared" si="34"/>
        <v>0</v>
      </c>
      <c r="CL33" s="704">
        <f t="shared" si="35"/>
        <v>0</v>
      </c>
      <c r="CM33" s="702">
        <f t="shared" si="36"/>
        <v>0</v>
      </c>
      <c r="CO33" s="1061">
        <f t="shared" si="55"/>
        <v>0</v>
      </c>
      <c r="CP33" s="702">
        <f t="shared" si="56"/>
        <v>0</v>
      </c>
      <c r="CQ33" s="702">
        <f t="shared" si="57"/>
        <v>0</v>
      </c>
      <c r="CR33" s="702">
        <f t="shared" si="63"/>
        <v>0</v>
      </c>
      <c r="CS33" s="702">
        <f t="shared" si="58"/>
        <v>0</v>
      </c>
      <c r="CT33" s="702">
        <f t="shared" si="59"/>
        <v>0</v>
      </c>
      <c r="CU33" s="702">
        <f t="shared" si="60"/>
        <v>0</v>
      </c>
      <c r="CV33" s="1068">
        <f t="shared" si="37"/>
        <v>0</v>
      </c>
      <c r="CW33" s="1064">
        <f t="shared" si="61"/>
        <v>0</v>
      </c>
      <c r="FX33" s="701"/>
      <c r="FY33" s="701"/>
      <c r="FZ33" s="701"/>
      <c r="GA33" s="701"/>
      <c r="GB33" s="701"/>
      <c r="GC33" s="701"/>
      <c r="GD33" s="701"/>
      <c r="GE33" s="701"/>
      <c r="GF33" s="701"/>
      <c r="GG33" s="701"/>
      <c r="GH33" s="701"/>
      <c r="GI33" s="701"/>
      <c r="GJ33" s="701"/>
      <c r="GK33" s="701"/>
      <c r="GL33" s="701"/>
      <c r="GM33" s="701"/>
      <c r="GN33" s="701"/>
      <c r="GO33" s="701"/>
      <c r="GP33" s="701"/>
      <c r="GQ33" s="701"/>
      <c r="GR33" s="701"/>
      <c r="GS33" s="701"/>
      <c r="GT33" s="701"/>
      <c r="GU33" s="701"/>
      <c r="GV33" s="701"/>
      <c r="GW33" s="701"/>
      <c r="GX33" s="701"/>
      <c r="GY33" s="701"/>
      <c r="GZ33" s="701"/>
      <c r="HA33" s="701"/>
      <c r="HB33" s="701"/>
      <c r="HC33" s="701"/>
      <c r="HD33" s="701"/>
      <c r="HE33" s="701"/>
      <c r="HF33" s="701"/>
      <c r="HG33" s="701"/>
      <c r="HH33" s="701"/>
      <c r="HI33" s="701"/>
      <c r="HJ33" s="701"/>
      <c r="HK33" s="701"/>
      <c r="HL33" s="701"/>
      <c r="HM33" s="701"/>
      <c r="HN33" s="701"/>
      <c r="HO33" s="701"/>
      <c r="HP33" s="701"/>
      <c r="HQ33" s="701"/>
      <c r="HR33" s="701"/>
      <c r="HS33" s="701"/>
      <c r="HT33" s="701"/>
      <c r="HU33" s="701"/>
      <c r="HV33" s="701"/>
      <c r="HW33" s="701"/>
      <c r="HX33" s="701"/>
      <c r="HY33" s="701"/>
      <c r="HZ33" s="701"/>
      <c r="IA33" s="701"/>
    </row>
    <row r="34" spans="2:235" s="702" customFormat="1" ht="20.149999999999999" customHeight="1" x14ac:dyDescent="0.35">
      <c r="B34" s="398"/>
      <c r="C34" s="396"/>
      <c r="D34" s="1991"/>
      <c r="E34" s="1992"/>
      <c r="F34" s="97"/>
      <c r="G34" s="777"/>
      <c r="H34" s="97"/>
      <c r="I34" s="779"/>
      <c r="J34" s="97"/>
      <c r="K34" s="781"/>
      <c r="L34" s="32"/>
      <c r="M34" s="211"/>
      <c r="N34" s="397"/>
      <c r="O34" s="212"/>
      <c r="P34" s="32"/>
      <c r="Q34" s="810"/>
      <c r="R34" s="722"/>
      <c r="S34" s="180">
        <v>1</v>
      </c>
      <c r="T34" s="554">
        <f t="shared" si="0"/>
        <v>0</v>
      </c>
      <c r="U34" s="32">
        <v>2</v>
      </c>
      <c r="V34" s="371"/>
      <c r="W34" s="32"/>
      <c r="X34" s="371"/>
      <c r="Y34" s="32"/>
      <c r="Z34" s="371"/>
      <c r="AA34" s="180"/>
      <c r="AB34" s="280"/>
      <c r="AC34" s="1380">
        <f t="shared" si="62"/>
        <v>0</v>
      </c>
      <c r="AD34" s="906">
        <f t="shared" si="38"/>
        <v>0</v>
      </c>
      <c r="AE34" s="794">
        <f t="shared" si="39"/>
        <v>0</v>
      </c>
      <c r="AF34" s="282">
        <f>SUM(BW34)*(1+M$64+Summary!P$64)</f>
        <v>0</v>
      </c>
      <c r="AG34" s="632" t="e">
        <f t="shared" si="1"/>
        <v>#DIV/0!</v>
      </c>
      <c r="AH34" s="1758">
        <f t="shared" si="40"/>
        <v>0</v>
      </c>
      <c r="AI34" s="769"/>
      <c r="AO34" s="702">
        <f t="shared" si="2"/>
        <v>0</v>
      </c>
      <c r="AP34" s="702">
        <f t="shared" si="41"/>
        <v>0</v>
      </c>
      <c r="AQ34" s="702">
        <f t="shared" si="3"/>
        <v>0</v>
      </c>
      <c r="AR34" s="702">
        <f t="shared" si="4"/>
        <v>0</v>
      </c>
      <c r="AS34" s="702">
        <f t="shared" si="5"/>
        <v>0</v>
      </c>
      <c r="AT34" s="702">
        <f t="shared" si="6"/>
        <v>0</v>
      </c>
      <c r="AU34" s="702">
        <f t="shared" si="7"/>
        <v>0</v>
      </c>
      <c r="AV34" s="1063">
        <f t="shared" si="42"/>
        <v>0</v>
      </c>
      <c r="AW34" s="1063">
        <f t="shared" si="8"/>
        <v>0</v>
      </c>
      <c r="AX34" s="702">
        <f t="shared" si="43"/>
        <v>0</v>
      </c>
      <c r="AY34" s="702">
        <f t="shared" si="9"/>
        <v>0</v>
      </c>
      <c r="AZ34" s="702">
        <f t="shared" si="10"/>
        <v>0</v>
      </c>
      <c r="BA34" s="702">
        <f t="shared" si="11"/>
        <v>0</v>
      </c>
      <c r="BB34" s="702">
        <f t="shared" si="12"/>
        <v>0</v>
      </c>
      <c r="BC34" s="702">
        <f t="shared" si="13"/>
        <v>0</v>
      </c>
      <c r="BD34" s="1063">
        <f t="shared" si="44"/>
        <v>0</v>
      </c>
      <c r="BE34" s="1064">
        <f t="shared" si="14"/>
        <v>0</v>
      </c>
      <c r="BF34" s="1063">
        <f t="shared" si="15"/>
        <v>0</v>
      </c>
      <c r="BG34" s="1065">
        <f t="shared" si="16"/>
        <v>0</v>
      </c>
      <c r="BH34" s="702">
        <f t="shared" si="17"/>
        <v>0</v>
      </c>
      <c r="BI34" s="1063">
        <f t="shared" si="45"/>
        <v>0</v>
      </c>
      <c r="BJ34" s="1063">
        <f t="shared" si="18"/>
        <v>0</v>
      </c>
      <c r="BK34" s="1063">
        <f t="shared" si="19"/>
        <v>0</v>
      </c>
      <c r="BL34" s="1063">
        <f t="shared" si="20"/>
        <v>0</v>
      </c>
      <c r="BM34" s="1063">
        <f t="shared" si="21"/>
        <v>0</v>
      </c>
      <c r="BN34" s="1064">
        <f t="shared" si="46"/>
        <v>0</v>
      </c>
      <c r="BO34" s="1761">
        <f t="shared" si="47"/>
        <v>0</v>
      </c>
      <c r="BP34" s="1063">
        <f t="shared" si="48"/>
        <v>0</v>
      </c>
      <c r="BQ34" s="1064">
        <f t="shared" si="22"/>
        <v>0</v>
      </c>
      <c r="BR34" s="1063">
        <f t="shared" si="23"/>
        <v>0</v>
      </c>
      <c r="BS34" s="1063">
        <f t="shared" si="49"/>
        <v>0</v>
      </c>
      <c r="BT34" s="1064">
        <f t="shared" si="24"/>
        <v>0</v>
      </c>
      <c r="BU34" s="1064">
        <f t="shared" si="25"/>
        <v>0</v>
      </c>
      <c r="BV34" s="1064">
        <f t="shared" si="50"/>
        <v>0</v>
      </c>
      <c r="BW34" s="1066">
        <f t="shared" si="26"/>
        <v>0</v>
      </c>
      <c r="BX34" s="1063">
        <f>(BI34*Pricing!F$2+BJ34*Pricing!G$2+BK34*Pricing!H$2+BL34*Pricing!I$2+BM34*Pricing!J$2+BN34*Pricing!K$2)*IF(AC$63="N",(1+AE$63),1)</f>
        <v>0</v>
      </c>
      <c r="BY34" s="1063">
        <f t="shared" si="51"/>
        <v>0</v>
      </c>
      <c r="BZ34" s="1063">
        <f t="shared" si="52"/>
        <v>0</v>
      </c>
      <c r="CA34" s="1063">
        <f t="shared" si="53"/>
        <v>0</v>
      </c>
      <c r="CB34" s="1067">
        <f t="shared" si="27"/>
        <v>0</v>
      </c>
      <c r="CD34" s="702">
        <f t="shared" si="54"/>
        <v>0</v>
      </c>
      <c r="CE34" s="1063">
        <f t="shared" si="28"/>
        <v>0</v>
      </c>
      <c r="CF34" s="1063">
        <f t="shared" si="29"/>
        <v>0</v>
      </c>
      <c r="CG34" s="1063">
        <f t="shared" si="30"/>
        <v>0</v>
      </c>
      <c r="CH34" s="702">
        <f t="shared" si="31"/>
        <v>0</v>
      </c>
      <c r="CI34" s="1063">
        <f t="shared" si="32"/>
        <v>0</v>
      </c>
      <c r="CJ34" s="702">
        <f t="shared" si="33"/>
        <v>0</v>
      </c>
      <c r="CK34" s="1063">
        <f t="shared" si="34"/>
        <v>0</v>
      </c>
      <c r="CL34" s="704">
        <f t="shared" si="35"/>
        <v>0</v>
      </c>
      <c r="CM34" s="702">
        <f t="shared" si="36"/>
        <v>0</v>
      </c>
      <c r="CO34" s="1061">
        <f t="shared" si="55"/>
        <v>0</v>
      </c>
      <c r="CP34" s="702">
        <f t="shared" si="56"/>
        <v>0</v>
      </c>
      <c r="CQ34" s="702">
        <f t="shared" si="57"/>
        <v>0</v>
      </c>
      <c r="CR34" s="702">
        <f t="shared" si="63"/>
        <v>0</v>
      </c>
      <c r="CS34" s="702">
        <f t="shared" si="58"/>
        <v>0</v>
      </c>
      <c r="CT34" s="702">
        <f t="shared" si="59"/>
        <v>0</v>
      </c>
      <c r="CU34" s="702">
        <f t="shared" si="60"/>
        <v>0</v>
      </c>
      <c r="CV34" s="1068">
        <f t="shared" si="37"/>
        <v>0</v>
      </c>
      <c r="CW34" s="1064">
        <f t="shared" si="61"/>
        <v>0</v>
      </c>
      <c r="FX34" s="701"/>
      <c r="FY34" s="701"/>
      <c r="FZ34" s="701"/>
      <c r="GA34" s="701"/>
      <c r="GB34" s="701"/>
      <c r="GC34" s="701"/>
      <c r="GD34" s="701"/>
      <c r="GE34" s="701"/>
      <c r="GF34" s="701"/>
      <c r="GG34" s="701"/>
      <c r="GH34" s="701"/>
      <c r="GI34" s="701"/>
      <c r="GJ34" s="701"/>
      <c r="GK34" s="701"/>
      <c r="GL34" s="701"/>
      <c r="GM34" s="701"/>
      <c r="GN34" s="701"/>
      <c r="GO34" s="701"/>
      <c r="GP34" s="701"/>
      <c r="GQ34" s="701"/>
      <c r="GR34" s="701"/>
      <c r="GS34" s="701"/>
      <c r="GT34" s="701"/>
      <c r="GU34" s="701"/>
      <c r="GV34" s="701"/>
      <c r="GW34" s="701"/>
      <c r="GX34" s="701"/>
      <c r="GY34" s="701"/>
      <c r="GZ34" s="701"/>
      <c r="HA34" s="701"/>
      <c r="HB34" s="701"/>
      <c r="HC34" s="701"/>
      <c r="HD34" s="701"/>
      <c r="HE34" s="701"/>
      <c r="HF34" s="701"/>
      <c r="HG34" s="701"/>
      <c r="HH34" s="701"/>
      <c r="HI34" s="701"/>
      <c r="HJ34" s="701"/>
      <c r="HK34" s="701"/>
      <c r="HL34" s="701"/>
      <c r="HM34" s="701"/>
      <c r="HN34" s="701"/>
      <c r="HO34" s="701"/>
      <c r="HP34" s="701"/>
      <c r="HQ34" s="701"/>
      <c r="HR34" s="701"/>
      <c r="HS34" s="701"/>
      <c r="HT34" s="701"/>
      <c r="HU34" s="701"/>
      <c r="HV34" s="701"/>
      <c r="HW34" s="701"/>
      <c r="HX34" s="701"/>
      <c r="HY34" s="701"/>
      <c r="HZ34" s="701"/>
      <c r="IA34" s="701"/>
    </row>
    <row r="35" spans="2:235" s="702" customFormat="1" ht="20.149999999999999" customHeight="1" x14ac:dyDescent="0.35">
      <c r="B35" s="193"/>
      <c r="C35" s="393"/>
      <c r="D35" s="1985"/>
      <c r="E35" s="1986"/>
      <c r="F35" s="127"/>
      <c r="G35" s="777"/>
      <c r="H35" s="214"/>
      <c r="I35" s="779"/>
      <c r="J35" s="127"/>
      <c r="K35" s="781"/>
      <c r="L35" s="30"/>
      <c r="M35" s="121"/>
      <c r="N35" s="394"/>
      <c r="O35" s="205"/>
      <c r="P35" s="30"/>
      <c r="Q35" s="264"/>
      <c r="R35" s="266"/>
      <c r="S35" s="176">
        <v>1</v>
      </c>
      <c r="T35" s="555">
        <f t="shared" si="0"/>
        <v>0</v>
      </c>
      <c r="U35" s="31">
        <v>2</v>
      </c>
      <c r="V35" s="531"/>
      <c r="W35" s="30"/>
      <c r="X35" s="377"/>
      <c r="Y35" s="30"/>
      <c r="Z35" s="377"/>
      <c r="AA35" s="178"/>
      <c r="AB35" s="279"/>
      <c r="AC35" s="1380">
        <f t="shared" si="62"/>
        <v>0</v>
      </c>
      <c r="AD35" s="906">
        <f t="shared" si="38"/>
        <v>0</v>
      </c>
      <c r="AE35" s="794">
        <f t="shared" si="39"/>
        <v>0</v>
      </c>
      <c r="AF35" s="282">
        <f>SUM(BW35)*(1+M$64+Summary!P$64)</f>
        <v>0</v>
      </c>
      <c r="AG35" s="632" t="e">
        <f t="shared" si="1"/>
        <v>#DIV/0!</v>
      </c>
      <c r="AH35" s="1758">
        <f t="shared" si="40"/>
        <v>0</v>
      </c>
      <c r="AI35" s="769"/>
      <c r="AO35" s="702">
        <f t="shared" si="2"/>
        <v>0</v>
      </c>
      <c r="AP35" s="702">
        <f t="shared" si="41"/>
        <v>0</v>
      </c>
      <c r="AQ35" s="702">
        <f t="shared" si="3"/>
        <v>0</v>
      </c>
      <c r="AR35" s="702">
        <f t="shared" si="4"/>
        <v>0</v>
      </c>
      <c r="AS35" s="702">
        <f t="shared" si="5"/>
        <v>0</v>
      </c>
      <c r="AT35" s="702">
        <f t="shared" si="6"/>
        <v>0</v>
      </c>
      <c r="AU35" s="702">
        <f t="shared" si="7"/>
        <v>0</v>
      </c>
      <c r="AV35" s="1063">
        <f t="shared" si="42"/>
        <v>0</v>
      </c>
      <c r="AW35" s="1063">
        <f t="shared" si="8"/>
        <v>0</v>
      </c>
      <c r="AX35" s="702">
        <f t="shared" si="43"/>
        <v>0</v>
      </c>
      <c r="AY35" s="702">
        <f t="shared" si="9"/>
        <v>0</v>
      </c>
      <c r="AZ35" s="702">
        <f t="shared" si="10"/>
        <v>0</v>
      </c>
      <c r="BA35" s="702">
        <f t="shared" si="11"/>
        <v>0</v>
      </c>
      <c r="BB35" s="702">
        <f t="shared" si="12"/>
        <v>0</v>
      </c>
      <c r="BC35" s="702">
        <f t="shared" si="13"/>
        <v>0</v>
      </c>
      <c r="BD35" s="1063">
        <f t="shared" si="44"/>
        <v>0</v>
      </c>
      <c r="BE35" s="1064">
        <f t="shared" si="14"/>
        <v>0</v>
      </c>
      <c r="BF35" s="1063">
        <f t="shared" si="15"/>
        <v>0</v>
      </c>
      <c r="BG35" s="1065">
        <f t="shared" si="16"/>
        <v>0</v>
      </c>
      <c r="BH35" s="702">
        <f t="shared" si="17"/>
        <v>0</v>
      </c>
      <c r="BI35" s="1063">
        <f t="shared" si="45"/>
        <v>0</v>
      </c>
      <c r="BJ35" s="1063">
        <f t="shared" si="18"/>
        <v>0</v>
      </c>
      <c r="BK35" s="1063">
        <f t="shared" si="19"/>
        <v>0</v>
      </c>
      <c r="BL35" s="1063">
        <f t="shared" si="20"/>
        <v>0</v>
      </c>
      <c r="BM35" s="1063">
        <f t="shared" si="21"/>
        <v>0</v>
      </c>
      <c r="BN35" s="1064">
        <f t="shared" si="46"/>
        <v>0</v>
      </c>
      <c r="BO35" s="1761">
        <f t="shared" si="47"/>
        <v>0</v>
      </c>
      <c r="BP35" s="1063">
        <f t="shared" si="48"/>
        <v>0</v>
      </c>
      <c r="BQ35" s="1064">
        <f t="shared" si="22"/>
        <v>0</v>
      </c>
      <c r="BR35" s="1063">
        <f t="shared" si="23"/>
        <v>0</v>
      </c>
      <c r="BS35" s="1063">
        <f t="shared" si="49"/>
        <v>0</v>
      </c>
      <c r="BT35" s="1064">
        <f t="shared" si="24"/>
        <v>0</v>
      </c>
      <c r="BU35" s="1064">
        <f t="shared" si="25"/>
        <v>0</v>
      </c>
      <c r="BV35" s="1064">
        <f t="shared" si="50"/>
        <v>0</v>
      </c>
      <c r="BW35" s="1066">
        <f t="shared" si="26"/>
        <v>0</v>
      </c>
      <c r="BX35" s="1063">
        <f>(BI35*Pricing!F$2+BJ35*Pricing!G$2+BK35*Pricing!H$2+BL35*Pricing!I$2+BM35*Pricing!J$2+BN35*Pricing!K$2)*IF(AC$63="N",(1+AE$63),1)</f>
        <v>0</v>
      </c>
      <c r="BY35" s="1063">
        <f t="shared" si="51"/>
        <v>0</v>
      </c>
      <c r="BZ35" s="1063">
        <f t="shared" si="52"/>
        <v>0</v>
      </c>
      <c r="CA35" s="1063">
        <f t="shared" si="53"/>
        <v>0</v>
      </c>
      <c r="CB35" s="1067">
        <f t="shared" si="27"/>
        <v>0</v>
      </c>
      <c r="CD35" s="702">
        <f t="shared" si="54"/>
        <v>0</v>
      </c>
      <c r="CE35" s="1063">
        <f t="shared" si="28"/>
        <v>0</v>
      </c>
      <c r="CF35" s="1063">
        <f t="shared" si="29"/>
        <v>0</v>
      </c>
      <c r="CG35" s="1063">
        <f t="shared" si="30"/>
        <v>0</v>
      </c>
      <c r="CH35" s="702">
        <f t="shared" si="31"/>
        <v>0</v>
      </c>
      <c r="CI35" s="1063">
        <f t="shared" si="32"/>
        <v>0</v>
      </c>
      <c r="CJ35" s="702">
        <f t="shared" si="33"/>
        <v>0</v>
      </c>
      <c r="CK35" s="1063">
        <f t="shared" si="34"/>
        <v>0</v>
      </c>
      <c r="CL35" s="704">
        <f t="shared" si="35"/>
        <v>0</v>
      </c>
      <c r="CM35" s="702">
        <f t="shared" si="36"/>
        <v>0</v>
      </c>
      <c r="CO35" s="1061">
        <f t="shared" si="55"/>
        <v>0</v>
      </c>
      <c r="CP35" s="702">
        <f t="shared" si="56"/>
        <v>0</v>
      </c>
      <c r="CQ35" s="702">
        <f t="shared" si="57"/>
        <v>0</v>
      </c>
      <c r="CR35" s="702">
        <f t="shared" si="63"/>
        <v>0</v>
      </c>
      <c r="CS35" s="702">
        <f t="shared" si="58"/>
        <v>0</v>
      </c>
      <c r="CT35" s="702">
        <f t="shared" si="59"/>
        <v>0</v>
      </c>
      <c r="CU35" s="702">
        <f t="shared" si="60"/>
        <v>0</v>
      </c>
      <c r="CV35" s="1068">
        <f t="shared" si="37"/>
        <v>0</v>
      </c>
      <c r="CW35" s="1064">
        <f t="shared" si="61"/>
        <v>0</v>
      </c>
      <c r="FX35" s="701"/>
      <c r="FY35" s="701"/>
      <c r="FZ35" s="701"/>
      <c r="GA35" s="701"/>
      <c r="GB35" s="701"/>
      <c r="GC35" s="701"/>
      <c r="GD35" s="701"/>
      <c r="GE35" s="701"/>
      <c r="GF35" s="701"/>
      <c r="GG35" s="701"/>
      <c r="GH35" s="701"/>
      <c r="GI35" s="701"/>
      <c r="GJ35" s="701"/>
      <c r="GK35" s="701"/>
      <c r="GL35" s="701"/>
      <c r="GM35" s="701"/>
      <c r="GN35" s="701"/>
      <c r="GO35" s="701"/>
      <c r="GP35" s="701"/>
      <c r="GQ35" s="701"/>
      <c r="GR35" s="701"/>
      <c r="GS35" s="701"/>
      <c r="GT35" s="701"/>
      <c r="GU35" s="701"/>
      <c r="GV35" s="701"/>
      <c r="GW35" s="701"/>
      <c r="GX35" s="701"/>
      <c r="GY35" s="701"/>
      <c r="GZ35" s="701"/>
      <c r="HA35" s="701"/>
      <c r="HB35" s="701"/>
      <c r="HC35" s="701"/>
      <c r="HD35" s="701"/>
      <c r="HE35" s="701"/>
      <c r="HF35" s="701"/>
      <c r="HG35" s="701"/>
      <c r="HH35" s="701"/>
      <c r="HI35" s="701"/>
      <c r="HJ35" s="701"/>
      <c r="HK35" s="701"/>
      <c r="HL35" s="701"/>
      <c r="HM35" s="701"/>
      <c r="HN35" s="701"/>
      <c r="HO35" s="701"/>
      <c r="HP35" s="701"/>
      <c r="HQ35" s="701"/>
      <c r="HR35" s="701"/>
      <c r="HS35" s="701"/>
      <c r="HT35" s="701"/>
      <c r="HU35" s="701"/>
      <c r="HV35" s="701"/>
      <c r="HW35" s="701"/>
      <c r="HX35" s="701"/>
      <c r="HY35" s="701"/>
      <c r="HZ35" s="701"/>
      <c r="IA35" s="701"/>
    </row>
    <row r="36" spans="2:235" s="702" customFormat="1" ht="20.149999999999999" customHeight="1" x14ac:dyDescent="0.35">
      <c r="B36" s="395"/>
      <c r="C36" s="396"/>
      <c r="D36" s="1991"/>
      <c r="E36" s="1992"/>
      <c r="F36" s="97"/>
      <c r="G36" s="777"/>
      <c r="H36" s="97"/>
      <c r="I36" s="779"/>
      <c r="J36" s="97"/>
      <c r="K36" s="781"/>
      <c r="L36" s="32"/>
      <c r="M36" s="211"/>
      <c r="N36" s="397"/>
      <c r="O36" s="212"/>
      <c r="P36" s="32"/>
      <c r="Q36" s="810"/>
      <c r="R36" s="722"/>
      <c r="S36" s="180">
        <v>1</v>
      </c>
      <c r="T36" s="554">
        <f t="shared" si="0"/>
        <v>0</v>
      </c>
      <c r="U36" s="32">
        <v>2</v>
      </c>
      <c r="V36" s="371"/>
      <c r="W36" s="32"/>
      <c r="X36" s="371"/>
      <c r="Y36" s="32"/>
      <c r="Z36" s="371"/>
      <c r="AA36" s="180"/>
      <c r="AB36" s="280"/>
      <c r="AC36" s="1380">
        <f t="shared" si="62"/>
        <v>0</v>
      </c>
      <c r="AD36" s="906">
        <f t="shared" si="38"/>
        <v>0</v>
      </c>
      <c r="AE36" s="794">
        <f t="shared" si="39"/>
        <v>0</v>
      </c>
      <c r="AF36" s="282">
        <f>SUM(BW36)*(1+M$64+Summary!P$64)</f>
        <v>0</v>
      </c>
      <c r="AG36" s="632" t="e">
        <f t="shared" si="1"/>
        <v>#DIV/0!</v>
      </c>
      <c r="AH36" s="1758">
        <f t="shared" si="40"/>
        <v>0</v>
      </c>
      <c r="AI36" s="769"/>
      <c r="AO36" s="702">
        <f t="shared" si="2"/>
        <v>0</v>
      </c>
      <c r="AP36" s="702">
        <f t="shared" si="41"/>
        <v>0</v>
      </c>
      <c r="AQ36" s="702">
        <f t="shared" si="3"/>
        <v>0</v>
      </c>
      <c r="AR36" s="702">
        <f t="shared" si="4"/>
        <v>0</v>
      </c>
      <c r="AS36" s="702">
        <f t="shared" si="5"/>
        <v>0</v>
      </c>
      <c r="AT36" s="702">
        <f t="shared" si="6"/>
        <v>0</v>
      </c>
      <c r="AU36" s="702">
        <f t="shared" si="7"/>
        <v>0</v>
      </c>
      <c r="AV36" s="1063">
        <f t="shared" si="42"/>
        <v>0</v>
      </c>
      <c r="AW36" s="1063">
        <f t="shared" si="8"/>
        <v>0</v>
      </c>
      <c r="AX36" s="702">
        <f t="shared" si="43"/>
        <v>0</v>
      </c>
      <c r="AY36" s="702">
        <f t="shared" si="9"/>
        <v>0</v>
      </c>
      <c r="AZ36" s="702">
        <f t="shared" si="10"/>
        <v>0</v>
      </c>
      <c r="BA36" s="702">
        <f t="shared" si="11"/>
        <v>0</v>
      </c>
      <c r="BB36" s="702">
        <f t="shared" si="12"/>
        <v>0</v>
      </c>
      <c r="BC36" s="702">
        <f t="shared" si="13"/>
        <v>0</v>
      </c>
      <c r="BD36" s="1063">
        <f t="shared" si="44"/>
        <v>0</v>
      </c>
      <c r="BE36" s="1064">
        <f t="shared" si="14"/>
        <v>0</v>
      </c>
      <c r="BF36" s="1063">
        <f t="shared" si="15"/>
        <v>0</v>
      </c>
      <c r="BG36" s="1065">
        <f t="shared" si="16"/>
        <v>0</v>
      </c>
      <c r="BH36" s="702">
        <f t="shared" si="17"/>
        <v>0</v>
      </c>
      <c r="BI36" s="1063">
        <f t="shared" si="45"/>
        <v>0</v>
      </c>
      <c r="BJ36" s="1063">
        <f t="shared" si="18"/>
        <v>0</v>
      </c>
      <c r="BK36" s="1063">
        <f t="shared" si="19"/>
        <v>0</v>
      </c>
      <c r="BL36" s="1063">
        <f t="shared" si="20"/>
        <v>0</v>
      </c>
      <c r="BM36" s="1063">
        <f t="shared" si="21"/>
        <v>0</v>
      </c>
      <c r="BN36" s="1064">
        <f t="shared" si="46"/>
        <v>0</v>
      </c>
      <c r="BO36" s="1761">
        <f t="shared" si="47"/>
        <v>0</v>
      </c>
      <c r="BP36" s="1063">
        <f t="shared" si="48"/>
        <v>0</v>
      </c>
      <c r="BQ36" s="1064">
        <f t="shared" si="22"/>
        <v>0</v>
      </c>
      <c r="BR36" s="1063">
        <f t="shared" si="23"/>
        <v>0</v>
      </c>
      <c r="BS36" s="1063">
        <f t="shared" si="49"/>
        <v>0</v>
      </c>
      <c r="BT36" s="1064">
        <f t="shared" si="24"/>
        <v>0</v>
      </c>
      <c r="BU36" s="1064">
        <f t="shared" si="25"/>
        <v>0</v>
      </c>
      <c r="BV36" s="1064">
        <f t="shared" si="50"/>
        <v>0</v>
      </c>
      <c r="BW36" s="1066">
        <f t="shared" si="26"/>
        <v>0</v>
      </c>
      <c r="BX36" s="1063">
        <f>(BI36*Pricing!F$2+BJ36*Pricing!G$2+BK36*Pricing!H$2+BL36*Pricing!I$2+BM36*Pricing!J$2+BN36*Pricing!K$2)*IF(AC$63="N",(1+AE$63),1)</f>
        <v>0</v>
      </c>
      <c r="BY36" s="1063">
        <f t="shared" si="51"/>
        <v>0</v>
      </c>
      <c r="BZ36" s="1063">
        <f t="shared" si="52"/>
        <v>0</v>
      </c>
      <c r="CA36" s="1063">
        <f t="shared" si="53"/>
        <v>0</v>
      </c>
      <c r="CB36" s="1067">
        <f t="shared" si="27"/>
        <v>0</v>
      </c>
      <c r="CD36" s="702">
        <f t="shared" si="54"/>
        <v>0</v>
      </c>
      <c r="CE36" s="1063">
        <f t="shared" si="28"/>
        <v>0</v>
      </c>
      <c r="CF36" s="1063">
        <f t="shared" si="29"/>
        <v>0</v>
      </c>
      <c r="CG36" s="1063">
        <f t="shared" si="30"/>
        <v>0</v>
      </c>
      <c r="CH36" s="702">
        <f t="shared" si="31"/>
        <v>0</v>
      </c>
      <c r="CI36" s="1063">
        <f t="shared" si="32"/>
        <v>0</v>
      </c>
      <c r="CJ36" s="702">
        <f t="shared" si="33"/>
        <v>0</v>
      </c>
      <c r="CK36" s="1063">
        <f t="shared" si="34"/>
        <v>0</v>
      </c>
      <c r="CL36" s="704">
        <f t="shared" si="35"/>
        <v>0</v>
      </c>
      <c r="CM36" s="702">
        <f t="shared" si="36"/>
        <v>0</v>
      </c>
      <c r="CO36" s="1061">
        <f t="shared" si="55"/>
        <v>0</v>
      </c>
      <c r="CP36" s="702">
        <f t="shared" si="56"/>
        <v>0</v>
      </c>
      <c r="CQ36" s="702">
        <f t="shared" si="57"/>
        <v>0</v>
      </c>
      <c r="CR36" s="702">
        <f t="shared" si="63"/>
        <v>0</v>
      </c>
      <c r="CS36" s="702">
        <f t="shared" si="58"/>
        <v>0</v>
      </c>
      <c r="CT36" s="702">
        <f t="shared" si="59"/>
        <v>0</v>
      </c>
      <c r="CU36" s="702">
        <f t="shared" si="60"/>
        <v>0</v>
      </c>
      <c r="CV36" s="1068">
        <f t="shared" si="37"/>
        <v>0</v>
      </c>
      <c r="CW36" s="1064">
        <f t="shared" si="61"/>
        <v>0</v>
      </c>
      <c r="FX36" s="701"/>
      <c r="FY36" s="701"/>
      <c r="FZ36" s="701"/>
      <c r="GA36" s="701"/>
      <c r="GB36" s="701"/>
      <c r="GC36" s="701"/>
      <c r="GD36" s="701"/>
      <c r="GE36" s="701"/>
      <c r="GF36" s="701"/>
      <c r="GG36" s="701"/>
      <c r="GH36" s="701"/>
      <c r="GI36" s="701"/>
      <c r="GJ36" s="701"/>
      <c r="GK36" s="701"/>
      <c r="GL36" s="701"/>
      <c r="GM36" s="701"/>
      <c r="GN36" s="701"/>
      <c r="GO36" s="701"/>
      <c r="GP36" s="701"/>
      <c r="GQ36" s="701"/>
      <c r="GR36" s="701"/>
      <c r="GS36" s="701"/>
      <c r="GT36" s="701"/>
      <c r="GU36" s="701"/>
      <c r="GV36" s="701"/>
      <c r="GW36" s="701"/>
      <c r="GX36" s="701"/>
      <c r="GY36" s="701"/>
      <c r="GZ36" s="701"/>
      <c r="HA36" s="701"/>
      <c r="HB36" s="701"/>
      <c r="HC36" s="701"/>
      <c r="HD36" s="701"/>
      <c r="HE36" s="701"/>
      <c r="HF36" s="701"/>
      <c r="HG36" s="701"/>
      <c r="HH36" s="701"/>
      <c r="HI36" s="701"/>
      <c r="HJ36" s="701"/>
      <c r="HK36" s="701"/>
      <c r="HL36" s="701"/>
      <c r="HM36" s="701"/>
      <c r="HN36" s="701"/>
      <c r="HO36" s="701"/>
      <c r="HP36" s="701"/>
      <c r="HQ36" s="701"/>
      <c r="HR36" s="701"/>
      <c r="HS36" s="701"/>
      <c r="HT36" s="701"/>
      <c r="HU36" s="701"/>
      <c r="HV36" s="701"/>
      <c r="HW36" s="701"/>
      <c r="HX36" s="701"/>
      <c r="HY36" s="701"/>
      <c r="HZ36" s="701"/>
      <c r="IA36" s="701"/>
    </row>
    <row r="37" spans="2:235" s="702" customFormat="1" ht="20.149999999999999" customHeight="1" x14ac:dyDescent="0.35">
      <c r="B37" s="193"/>
      <c r="C37" s="396"/>
      <c r="D37" s="1985"/>
      <c r="E37" s="1986"/>
      <c r="F37" s="127"/>
      <c r="G37" s="777"/>
      <c r="H37" s="214"/>
      <c r="I37" s="779"/>
      <c r="J37" s="127"/>
      <c r="K37" s="781"/>
      <c r="L37" s="30"/>
      <c r="M37" s="121"/>
      <c r="N37" s="394"/>
      <c r="O37" s="205"/>
      <c r="P37" s="30"/>
      <c r="Q37" s="264"/>
      <c r="R37" s="266"/>
      <c r="S37" s="176">
        <v>1</v>
      </c>
      <c r="T37" s="555">
        <f t="shared" si="0"/>
        <v>0</v>
      </c>
      <c r="U37" s="31">
        <v>2</v>
      </c>
      <c r="V37" s="531"/>
      <c r="W37" s="31"/>
      <c r="X37" s="372"/>
      <c r="Y37" s="31"/>
      <c r="Z37" s="372"/>
      <c r="AA37" s="178"/>
      <c r="AB37" s="279"/>
      <c r="AC37" s="1380">
        <f t="shared" si="62"/>
        <v>0</v>
      </c>
      <c r="AD37" s="906">
        <f t="shared" si="38"/>
        <v>0</v>
      </c>
      <c r="AE37" s="794">
        <f t="shared" si="39"/>
        <v>0</v>
      </c>
      <c r="AF37" s="282">
        <f>SUM(BW37)*(1+M$64+Summary!P$64)</f>
        <v>0</v>
      </c>
      <c r="AG37" s="632" t="e">
        <f t="shared" si="1"/>
        <v>#DIV/0!</v>
      </c>
      <c r="AH37" s="1758">
        <f t="shared" si="40"/>
        <v>0</v>
      </c>
      <c r="AI37" s="769"/>
      <c r="AO37" s="702">
        <f t="shared" si="2"/>
        <v>0</v>
      </c>
      <c r="AP37" s="702">
        <f t="shared" si="41"/>
        <v>0</v>
      </c>
      <c r="AQ37" s="702">
        <f t="shared" si="3"/>
        <v>0</v>
      </c>
      <c r="AR37" s="702">
        <f t="shared" si="4"/>
        <v>0</v>
      </c>
      <c r="AS37" s="702">
        <f t="shared" si="5"/>
        <v>0</v>
      </c>
      <c r="AT37" s="702">
        <f t="shared" si="6"/>
        <v>0</v>
      </c>
      <c r="AU37" s="702">
        <f t="shared" si="7"/>
        <v>0</v>
      </c>
      <c r="AV37" s="1063">
        <f t="shared" si="42"/>
        <v>0</v>
      </c>
      <c r="AW37" s="1063">
        <f t="shared" si="8"/>
        <v>0</v>
      </c>
      <c r="AX37" s="702">
        <f t="shared" si="43"/>
        <v>0</v>
      </c>
      <c r="AY37" s="702">
        <f t="shared" si="9"/>
        <v>0</v>
      </c>
      <c r="AZ37" s="702">
        <f t="shared" si="10"/>
        <v>0</v>
      </c>
      <c r="BA37" s="702">
        <f t="shared" si="11"/>
        <v>0</v>
      </c>
      <c r="BB37" s="702">
        <f t="shared" si="12"/>
        <v>0</v>
      </c>
      <c r="BC37" s="702">
        <f t="shared" si="13"/>
        <v>0</v>
      </c>
      <c r="BD37" s="1063">
        <f t="shared" si="44"/>
        <v>0</v>
      </c>
      <c r="BE37" s="1064">
        <f t="shared" si="14"/>
        <v>0</v>
      </c>
      <c r="BF37" s="1063">
        <f t="shared" si="15"/>
        <v>0</v>
      </c>
      <c r="BG37" s="1065">
        <f t="shared" si="16"/>
        <v>0</v>
      </c>
      <c r="BH37" s="702">
        <f t="shared" si="17"/>
        <v>0</v>
      </c>
      <c r="BI37" s="1063">
        <f t="shared" si="45"/>
        <v>0</v>
      </c>
      <c r="BJ37" s="1063">
        <f t="shared" si="18"/>
        <v>0</v>
      </c>
      <c r="BK37" s="1063">
        <f t="shared" si="19"/>
        <v>0</v>
      </c>
      <c r="BL37" s="1063">
        <f t="shared" si="20"/>
        <v>0</v>
      </c>
      <c r="BM37" s="1063">
        <f t="shared" si="21"/>
        <v>0</v>
      </c>
      <c r="BN37" s="1064">
        <f t="shared" si="46"/>
        <v>0</v>
      </c>
      <c r="BO37" s="1761">
        <f t="shared" si="47"/>
        <v>0</v>
      </c>
      <c r="BP37" s="1063">
        <f t="shared" si="48"/>
        <v>0</v>
      </c>
      <c r="BQ37" s="1064">
        <f t="shared" si="22"/>
        <v>0</v>
      </c>
      <c r="BR37" s="1063">
        <f t="shared" si="23"/>
        <v>0</v>
      </c>
      <c r="BS37" s="1063">
        <f t="shared" si="49"/>
        <v>0</v>
      </c>
      <c r="BT37" s="1064">
        <f t="shared" si="24"/>
        <v>0</v>
      </c>
      <c r="BU37" s="1064">
        <f t="shared" si="25"/>
        <v>0</v>
      </c>
      <c r="BV37" s="1064">
        <f t="shared" si="50"/>
        <v>0</v>
      </c>
      <c r="BW37" s="1066">
        <f t="shared" si="26"/>
        <v>0</v>
      </c>
      <c r="BX37" s="1063">
        <f>(BI37*Pricing!F$2+BJ37*Pricing!G$2+BK37*Pricing!H$2+BL37*Pricing!I$2+BM37*Pricing!J$2+BN37*Pricing!K$2)*IF(AC$63="N",(1+AE$63),1)</f>
        <v>0</v>
      </c>
      <c r="BY37" s="1063">
        <f t="shared" si="51"/>
        <v>0</v>
      </c>
      <c r="BZ37" s="1063">
        <f t="shared" si="52"/>
        <v>0</v>
      </c>
      <c r="CA37" s="1063">
        <f t="shared" si="53"/>
        <v>0</v>
      </c>
      <c r="CB37" s="1067">
        <f t="shared" si="27"/>
        <v>0</v>
      </c>
      <c r="CD37" s="702">
        <f t="shared" si="54"/>
        <v>0</v>
      </c>
      <c r="CE37" s="1063">
        <f t="shared" si="28"/>
        <v>0</v>
      </c>
      <c r="CF37" s="1063">
        <f t="shared" si="29"/>
        <v>0</v>
      </c>
      <c r="CG37" s="1063">
        <f t="shared" si="30"/>
        <v>0</v>
      </c>
      <c r="CH37" s="702">
        <f t="shared" si="31"/>
        <v>0</v>
      </c>
      <c r="CI37" s="1063">
        <f t="shared" si="32"/>
        <v>0</v>
      </c>
      <c r="CJ37" s="702">
        <f t="shared" si="33"/>
        <v>0</v>
      </c>
      <c r="CK37" s="1063">
        <f t="shared" si="34"/>
        <v>0</v>
      </c>
      <c r="CL37" s="704">
        <f t="shared" si="35"/>
        <v>0</v>
      </c>
      <c r="CM37" s="702">
        <f t="shared" si="36"/>
        <v>0</v>
      </c>
      <c r="CO37" s="1061">
        <f t="shared" si="55"/>
        <v>0</v>
      </c>
      <c r="CP37" s="702">
        <f t="shared" si="56"/>
        <v>0</v>
      </c>
      <c r="CQ37" s="702">
        <f t="shared" si="57"/>
        <v>0</v>
      </c>
      <c r="CR37" s="702">
        <f t="shared" si="63"/>
        <v>0</v>
      </c>
      <c r="CS37" s="702">
        <f t="shared" si="58"/>
        <v>0</v>
      </c>
      <c r="CT37" s="702">
        <f t="shared" si="59"/>
        <v>0</v>
      </c>
      <c r="CU37" s="702">
        <f t="shared" si="60"/>
        <v>0</v>
      </c>
      <c r="CV37" s="1068">
        <f t="shared" si="37"/>
        <v>0</v>
      </c>
      <c r="CW37" s="1064">
        <f t="shared" si="61"/>
        <v>0</v>
      </c>
      <c r="FX37" s="701"/>
      <c r="FY37" s="701"/>
      <c r="FZ37" s="701"/>
      <c r="GA37" s="701"/>
      <c r="GB37" s="701"/>
      <c r="GC37" s="701"/>
      <c r="GD37" s="701"/>
      <c r="GE37" s="701"/>
      <c r="GF37" s="701"/>
      <c r="GG37" s="701"/>
      <c r="GH37" s="701"/>
      <c r="GI37" s="701"/>
      <c r="GJ37" s="701"/>
      <c r="GK37" s="701"/>
      <c r="GL37" s="701"/>
      <c r="GM37" s="701"/>
      <c r="GN37" s="701"/>
      <c r="GO37" s="701"/>
      <c r="GP37" s="701"/>
      <c r="GQ37" s="701"/>
      <c r="GR37" s="701"/>
      <c r="GS37" s="701"/>
      <c r="GT37" s="701"/>
      <c r="GU37" s="701"/>
      <c r="GV37" s="701"/>
      <c r="GW37" s="701"/>
      <c r="GX37" s="701"/>
      <c r="GY37" s="701"/>
      <c r="GZ37" s="701"/>
      <c r="HA37" s="701"/>
      <c r="HB37" s="701"/>
      <c r="HC37" s="701"/>
      <c r="HD37" s="701"/>
      <c r="HE37" s="701"/>
      <c r="HF37" s="701"/>
      <c r="HG37" s="701"/>
      <c r="HH37" s="701"/>
      <c r="HI37" s="701"/>
      <c r="HJ37" s="701"/>
      <c r="HK37" s="701"/>
      <c r="HL37" s="701"/>
      <c r="HM37" s="701"/>
      <c r="HN37" s="701"/>
      <c r="HO37" s="701"/>
      <c r="HP37" s="701"/>
      <c r="HQ37" s="701"/>
      <c r="HR37" s="701"/>
      <c r="HS37" s="701"/>
      <c r="HT37" s="701"/>
      <c r="HU37" s="701"/>
      <c r="HV37" s="701"/>
      <c r="HW37" s="701"/>
      <c r="HX37" s="701"/>
      <c r="HY37" s="701"/>
      <c r="HZ37" s="701"/>
      <c r="IA37" s="701"/>
    </row>
    <row r="38" spans="2:235" s="702" customFormat="1" ht="20.149999999999999" customHeight="1" x14ac:dyDescent="0.35">
      <c r="B38" s="395"/>
      <c r="C38" s="396"/>
      <c r="D38" s="1991"/>
      <c r="E38" s="1992"/>
      <c r="F38" s="97"/>
      <c r="G38" s="777"/>
      <c r="H38" s="97"/>
      <c r="I38" s="779"/>
      <c r="J38" s="97"/>
      <c r="K38" s="781"/>
      <c r="L38" s="32"/>
      <c r="M38" s="211"/>
      <c r="N38" s="397"/>
      <c r="O38" s="212"/>
      <c r="P38" s="32"/>
      <c r="Q38" s="810"/>
      <c r="R38" s="722"/>
      <c r="S38" s="180">
        <v>1</v>
      </c>
      <c r="T38" s="554">
        <f t="shared" si="0"/>
        <v>0</v>
      </c>
      <c r="U38" s="32">
        <v>2</v>
      </c>
      <c r="V38" s="371"/>
      <c r="W38" s="32"/>
      <c r="X38" s="371"/>
      <c r="Y38" s="32"/>
      <c r="Z38" s="371"/>
      <c r="AA38" s="180"/>
      <c r="AB38" s="280"/>
      <c r="AC38" s="1380">
        <f t="shared" si="62"/>
        <v>0</v>
      </c>
      <c r="AD38" s="906">
        <f t="shared" si="38"/>
        <v>0</v>
      </c>
      <c r="AE38" s="794">
        <f t="shared" si="39"/>
        <v>0</v>
      </c>
      <c r="AF38" s="282">
        <f>SUM(BW38)*(1+M$64+Summary!P$64)</f>
        <v>0</v>
      </c>
      <c r="AG38" s="632" t="e">
        <f t="shared" si="1"/>
        <v>#DIV/0!</v>
      </c>
      <c r="AH38" s="1758">
        <f t="shared" si="40"/>
        <v>0</v>
      </c>
      <c r="AI38" s="769"/>
      <c r="AO38" s="702">
        <f t="shared" si="2"/>
        <v>0</v>
      </c>
      <c r="AP38" s="702">
        <f t="shared" si="41"/>
        <v>0</v>
      </c>
      <c r="AQ38" s="702">
        <f t="shared" si="3"/>
        <v>0</v>
      </c>
      <c r="AR38" s="702">
        <f t="shared" si="4"/>
        <v>0</v>
      </c>
      <c r="AS38" s="702">
        <f t="shared" si="5"/>
        <v>0</v>
      </c>
      <c r="AT38" s="702">
        <f t="shared" si="6"/>
        <v>0</v>
      </c>
      <c r="AU38" s="702">
        <f t="shared" si="7"/>
        <v>0</v>
      </c>
      <c r="AV38" s="1063">
        <f t="shared" si="42"/>
        <v>0</v>
      </c>
      <c r="AW38" s="1063">
        <f t="shared" si="8"/>
        <v>0</v>
      </c>
      <c r="AX38" s="702">
        <f t="shared" si="43"/>
        <v>0</v>
      </c>
      <c r="AY38" s="702">
        <f t="shared" si="9"/>
        <v>0</v>
      </c>
      <c r="AZ38" s="702">
        <f t="shared" si="10"/>
        <v>0</v>
      </c>
      <c r="BA38" s="702">
        <f t="shared" si="11"/>
        <v>0</v>
      </c>
      <c r="BB38" s="702">
        <f t="shared" si="12"/>
        <v>0</v>
      </c>
      <c r="BC38" s="702">
        <f t="shared" si="13"/>
        <v>0</v>
      </c>
      <c r="BD38" s="1063">
        <f t="shared" si="44"/>
        <v>0</v>
      </c>
      <c r="BE38" s="1064">
        <f t="shared" si="14"/>
        <v>0</v>
      </c>
      <c r="BF38" s="1063">
        <f t="shared" si="15"/>
        <v>0</v>
      </c>
      <c r="BG38" s="1065">
        <f t="shared" si="16"/>
        <v>0</v>
      </c>
      <c r="BH38" s="702">
        <f t="shared" si="17"/>
        <v>0</v>
      </c>
      <c r="BI38" s="1063">
        <f t="shared" si="45"/>
        <v>0</v>
      </c>
      <c r="BJ38" s="1063">
        <f t="shared" si="18"/>
        <v>0</v>
      </c>
      <c r="BK38" s="1063">
        <f t="shared" si="19"/>
        <v>0</v>
      </c>
      <c r="BL38" s="1063">
        <f t="shared" si="20"/>
        <v>0</v>
      </c>
      <c r="BM38" s="1063">
        <f t="shared" si="21"/>
        <v>0</v>
      </c>
      <c r="BN38" s="1064">
        <f t="shared" si="46"/>
        <v>0</v>
      </c>
      <c r="BO38" s="1761">
        <f t="shared" si="47"/>
        <v>0</v>
      </c>
      <c r="BP38" s="1063">
        <f t="shared" si="48"/>
        <v>0</v>
      </c>
      <c r="BQ38" s="1064">
        <f t="shared" si="22"/>
        <v>0</v>
      </c>
      <c r="BR38" s="1063">
        <f t="shared" si="23"/>
        <v>0</v>
      </c>
      <c r="BS38" s="1063">
        <f t="shared" si="49"/>
        <v>0</v>
      </c>
      <c r="BT38" s="1064">
        <f t="shared" si="24"/>
        <v>0</v>
      </c>
      <c r="BU38" s="1064">
        <f t="shared" si="25"/>
        <v>0</v>
      </c>
      <c r="BV38" s="1064">
        <f t="shared" si="50"/>
        <v>0</v>
      </c>
      <c r="BW38" s="1066">
        <f t="shared" si="26"/>
        <v>0</v>
      </c>
      <c r="BX38" s="1063">
        <f>(BI38*Pricing!F$2+BJ38*Pricing!G$2+BK38*Pricing!H$2+BL38*Pricing!I$2+BM38*Pricing!J$2+BN38*Pricing!K$2)*IF(AC$63="N",(1+AE$63),1)</f>
        <v>0</v>
      </c>
      <c r="BY38" s="1063">
        <f t="shared" si="51"/>
        <v>0</v>
      </c>
      <c r="BZ38" s="1063">
        <f t="shared" si="52"/>
        <v>0</v>
      </c>
      <c r="CA38" s="1063">
        <f t="shared" si="53"/>
        <v>0</v>
      </c>
      <c r="CB38" s="1067">
        <f t="shared" si="27"/>
        <v>0</v>
      </c>
      <c r="CD38" s="702">
        <f t="shared" si="54"/>
        <v>0</v>
      </c>
      <c r="CE38" s="1063">
        <f t="shared" si="28"/>
        <v>0</v>
      </c>
      <c r="CF38" s="1063">
        <f t="shared" si="29"/>
        <v>0</v>
      </c>
      <c r="CG38" s="1063">
        <f t="shared" si="30"/>
        <v>0</v>
      </c>
      <c r="CH38" s="702">
        <f t="shared" si="31"/>
        <v>0</v>
      </c>
      <c r="CI38" s="1063">
        <f t="shared" si="32"/>
        <v>0</v>
      </c>
      <c r="CJ38" s="702">
        <f t="shared" si="33"/>
        <v>0</v>
      </c>
      <c r="CK38" s="1063">
        <f t="shared" si="34"/>
        <v>0</v>
      </c>
      <c r="CL38" s="704">
        <f t="shared" si="35"/>
        <v>0</v>
      </c>
      <c r="CM38" s="702">
        <f t="shared" si="36"/>
        <v>0</v>
      </c>
      <c r="CO38" s="1061">
        <f t="shared" si="55"/>
        <v>0</v>
      </c>
      <c r="CP38" s="702">
        <f t="shared" si="56"/>
        <v>0</v>
      </c>
      <c r="CQ38" s="702">
        <f t="shared" si="57"/>
        <v>0</v>
      </c>
      <c r="CR38" s="702">
        <f t="shared" si="63"/>
        <v>0</v>
      </c>
      <c r="CS38" s="702">
        <f t="shared" si="58"/>
        <v>0</v>
      </c>
      <c r="CT38" s="702">
        <f t="shared" si="59"/>
        <v>0</v>
      </c>
      <c r="CU38" s="702">
        <f t="shared" si="60"/>
        <v>0</v>
      </c>
      <c r="CV38" s="1068">
        <f t="shared" si="37"/>
        <v>0</v>
      </c>
      <c r="CW38" s="1064">
        <f t="shared" si="61"/>
        <v>0</v>
      </c>
      <c r="FX38" s="701"/>
      <c r="FY38" s="701"/>
      <c r="FZ38" s="701"/>
      <c r="GA38" s="701"/>
      <c r="GB38" s="701"/>
      <c r="GC38" s="701"/>
      <c r="GD38" s="701"/>
      <c r="GE38" s="701"/>
      <c r="GF38" s="701"/>
      <c r="GG38" s="701"/>
      <c r="GH38" s="701"/>
      <c r="GI38" s="701"/>
      <c r="GJ38" s="701"/>
      <c r="GK38" s="701"/>
      <c r="GL38" s="701"/>
      <c r="GM38" s="701"/>
      <c r="GN38" s="701"/>
      <c r="GO38" s="701"/>
      <c r="GP38" s="701"/>
      <c r="GQ38" s="701"/>
      <c r="GR38" s="701"/>
      <c r="GS38" s="701"/>
      <c r="GT38" s="701"/>
      <c r="GU38" s="701"/>
      <c r="GV38" s="701"/>
      <c r="GW38" s="701"/>
      <c r="GX38" s="701"/>
      <c r="GY38" s="701"/>
      <c r="GZ38" s="701"/>
      <c r="HA38" s="701"/>
      <c r="HB38" s="701"/>
      <c r="HC38" s="701"/>
      <c r="HD38" s="701"/>
      <c r="HE38" s="701"/>
      <c r="HF38" s="701"/>
      <c r="HG38" s="701"/>
      <c r="HH38" s="701"/>
      <c r="HI38" s="701"/>
      <c r="HJ38" s="701"/>
      <c r="HK38" s="701"/>
      <c r="HL38" s="701"/>
      <c r="HM38" s="701"/>
      <c r="HN38" s="701"/>
      <c r="HO38" s="701"/>
      <c r="HP38" s="701"/>
      <c r="HQ38" s="701"/>
      <c r="HR38" s="701"/>
      <c r="HS38" s="701"/>
      <c r="HT38" s="701"/>
      <c r="HU38" s="701"/>
      <c r="HV38" s="701"/>
      <c r="HW38" s="701"/>
      <c r="HX38" s="701"/>
      <c r="HY38" s="701"/>
      <c r="HZ38" s="701"/>
      <c r="IA38" s="701"/>
    </row>
    <row r="39" spans="2:235" s="702" customFormat="1" ht="20.149999999999999" customHeight="1" x14ac:dyDescent="0.35">
      <c r="B39" s="193"/>
      <c r="C39" s="393"/>
      <c r="D39" s="1985"/>
      <c r="E39" s="1986"/>
      <c r="F39" s="127"/>
      <c r="G39" s="777"/>
      <c r="H39" s="214"/>
      <c r="I39" s="779"/>
      <c r="J39" s="127"/>
      <c r="K39" s="781"/>
      <c r="L39" s="30"/>
      <c r="M39" s="121"/>
      <c r="N39" s="394"/>
      <c r="O39" s="205"/>
      <c r="P39" s="30"/>
      <c r="Q39" s="264"/>
      <c r="R39" s="266"/>
      <c r="S39" s="176">
        <v>1</v>
      </c>
      <c r="T39" s="555">
        <f t="shared" si="0"/>
        <v>0</v>
      </c>
      <c r="U39" s="31">
        <v>2</v>
      </c>
      <c r="V39" s="531"/>
      <c r="W39" s="31"/>
      <c r="X39" s="531"/>
      <c r="Y39" s="31"/>
      <c r="Z39" s="531"/>
      <c r="AA39" s="178"/>
      <c r="AB39" s="279"/>
      <c r="AC39" s="1380">
        <f t="shared" ref="AC39:AC46" si="64">IF(BG39=0,0,SUM(BD39:BE39)/BG39)</f>
        <v>0</v>
      </c>
      <c r="AD39" s="906">
        <f t="shared" si="38"/>
        <v>0</v>
      </c>
      <c r="AE39" s="794">
        <f t="shared" si="39"/>
        <v>0</v>
      </c>
      <c r="AF39" s="282">
        <f>SUM(BW39)*(1+M$64+Summary!P$64)</f>
        <v>0</v>
      </c>
      <c r="AG39" s="632" t="e">
        <f t="shared" si="1"/>
        <v>#DIV/0!</v>
      </c>
      <c r="AH39" s="1758">
        <f t="shared" si="40"/>
        <v>0</v>
      </c>
      <c r="AI39" s="769"/>
      <c r="AO39" s="702">
        <f t="shared" si="2"/>
        <v>0</v>
      </c>
      <c r="AP39" s="702">
        <f t="shared" si="41"/>
        <v>0</v>
      </c>
      <c r="AQ39" s="702">
        <f t="shared" si="3"/>
        <v>0</v>
      </c>
      <c r="AR39" s="702">
        <f t="shared" si="4"/>
        <v>0</v>
      </c>
      <c r="AS39" s="702">
        <f t="shared" si="5"/>
        <v>0</v>
      </c>
      <c r="AT39" s="702">
        <f t="shared" si="6"/>
        <v>0</v>
      </c>
      <c r="AU39" s="702">
        <f t="shared" si="7"/>
        <v>0</v>
      </c>
      <c r="AV39" s="1063">
        <f t="shared" si="42"/>
        <v>0</v>
      </c>
      <c r="AW39" s="1063">
        <f t="shared" si="8"/>
        <v>0</v>
      </c>
      <c r="AX39" s="702">
        <f t="shared" si="43"/>
        <v>0</v>
      </c>
      <c r="AY39" s="702">
        <f t="shared" si="9"/>
        <v>0</v>
      </c>
      <c r="AZ39" s="702">
        <f t="shared" si="10"/>
        <v>0</v>
      </c>
      <c r="BA39" s="702">
        <f t="shared" si="11"/>
        <v>0</v>
      </c>
      <c r="BB39" s="702">
        <f t="shared" si="12"/>
        <v>0</v>
      </c>
      <c r="BC39" s="702">
        <f t="shared" si="13"/>
        <v>0</v>
      </c>
      <c r="BD39" s="1063">
        <f t="shared" si="44"/>
        <v>0</v>
      </c>
      <c r="BE39" s="1064">
        <f t="shared" si="14"/>
        <v>0</v>
      </c>
      <c r="BF39" s="1063">
        <f t="shared" si="15"/>
        <v>0</v>
      </c>
      <c r="BG39" s="1065">
        <f t="shared" si="16"/>
        <v>0</v>
      </c>
      <c r="BH39" s="702">
        <f t="shared" si="17"/>
        <v>0</v>
      </c>
      <c r="BI39" s="1063">
        <f t="shared" si="45"/>
        <v>0</v>
      </c>
      <c r="BJ39" s="1063">
        <f t="shared" si="18"/>
        <v>0</v>
      </c>
      <c r="BK39" s="1063">
        <f t="shared" si="19"/>
        <v>0</v>
      </c>
      <c r="BL39" s="1063">
        <f t="shared" si="20"/>
        <v>0</v>
      </c>
      <c r="BM39" s="1063">
        <f t="shared" si="21"/>
        <v>0</v>
      </c>
      <c r="BN39" s="1064">
        <f t="shared" si="46"/>
        <v>0</v>
      </c>
      <c r="BO39" s="1761">
        <f t="shared" si="47"/>
        <v>0</v>
      </c>
      <c r="BP39" s="1063">
        <f t="shared" si="48"/>
        <v>0</v>
      </c>
      <c r="BQ39" s="1064">
        <f t="shared" si="22"/>
        <v>0</v>
      </c>
      <c r="BR39" s="1063">
        <f t="shared" si="23"/>
        <v>0</v>
      </c>
      <c r="BS39" s="1063">
        <f t="shared" si="49"/>
        <v>0</v>
      </c>
      <c r="BT39" s="1064">
        <f t="shared" si="24"/>
        <v>0</v>
      </c>
      <c r="BU39" s="1064">
        <f t="shared" si="25"/>
        <v>0</v>
      </c>
      <c r="BV39" s="1064">
        <f t="shared" si="50"/>
        <v>0</v>
      </c>
      <c r="BW39" s="1066">
        <f t="shared" si="26"/>
        <v>0</v>
      </c>
      <c r="BX39" s="1063">
        <f>(BI39*Pricing!F$2+BJ39*Pricing!G$2+BK39*Pricing!H$2+BL39*Pricing!I$2+BM39*Pricing!J$2+BN39*Pricing!K$2)*IF(AC$63="N",(1+AE$63),1)</f>
        <v>0</v>
      </c>
      <c r="BY39" s="1063">
        <f t="shared" si="51"/>
        <v>0</v>
      </c>
      <c r="BZ39" s="1063">
        <f t="shared" si="52"/>
        <v>0</v>
      </c>
      <c r="CA39" s="1063">
        <f t="shared" si="53"/>
        <v>0</v>
      </c>
      <c r="CB39" s="1067">
        <f t="shared" si="27"/>
        <v>0</v>
      </c>
      <c r="CD39" s="702">
        <f t="shared" si="54"/>
        <v>0</v>
      </c>
      <c r="CE39" s="1063">
        <f t="shared" si="28"/>
        <v>0</v>
      </c>
      <c r="CF39" s="1063">
        <f t="shared" si="29"/>
        <v>0</v>
      </c>
      <c r="CG39" s="1063">
        <f t="shared" si="30"/>
        <v>0</v>
      </c>
      <c r="CH39" s="702">
        <f t="shared" si="31"/>
        <v>0</v>
      </c>
      <c r="CI39" s="1063">
        <f t="shared" si="32"/>
        <v>0</v>
      </c>
      <c r="CJ39" s="702">
        <f t="shared" si="33"/>
        <v>0</v>
      </c>
      <c r="CK39" s="1063">
        <f t="shared" si="34"/>
        <v>0</v>
      </c>
      <c r="CL39" s="704">
        <f t="shared" si="35"/>
        <v>0</v>
      </c>
      <c r="CM39" s="702">
        <f t="shared" si="36"/>
        <v>0</v>
      </c>
      <c r="CO39" s="1061">
        <f t="shared" si="55"/>
        <v>0</v>
      </c>
      <c r="CP39" s="702">
        <f t="shared" si="56"/>
        <v>0</v>
      </c>
      <c r="CQ39" s="702">
        <f t="shared" si="57"/>
        <v>0</v>
      </c>
      <c r="CR39" s="702">
        <f t="shared" si="63"/>
        <v>0</v>
      </c>
      <c r="CS39" s="702">
        <f t="shared" si="58"/>
        <v>0</v>
      </c>
      <c r="CT39" s="702">
        <f t="shared" si="59"/>
        <v>0</v>
      </c>
      <c r="CU39" s="702">
        <f t="shared" si="60"/>
        <v>0</v>
      </c>
      <c r="CV39" s="1068">
        <f t="shared" si="37"/>
        <v>0</v>
      </c>
      <c r="CW39" s="1064">
        <f t="shared" si="61"/>
        <v>0</v>
      </c>
      <c r="FX39" s="701"/>
      <c r="FY39" s="701"/>
      <c r="FZ39" s="701"/>
      <c r="GA39" s="701"/>
      <c r="GB39" s="701"/>
      <c r="GC39" s="701"/>
      <c r="GD39" s="701"/>
      <c r="GE39" s="701"/>
      <c r="GF39" s="701"/>
      <c r="GG39" s="701"/>
      <c r="GH39" s="701"/>
      <c r="GI39" s="701"/>
      <c r="GJ39" s="701"/>
      <c r="GK39" s="701"/>
      <c r="GL39" s="701"/>
      <c r="GM39" s="701"/>
      <c r="GN39" s="701"/>
      <c r="GO39" s="701"/>
      <c r="GP39" s="701"/>
      <c r="GQ39" s="701"/>
      <c r="GR39" s="701"/>
      <c r="GS39" s="701"/>
      <c r="GT39" s="701"/>
      <c r="GU39" s="701"/>
      <c r="GV39" s="701"/>
      <c r="GW39" s="701"/>
      <c r="GX39" s="701"/>
      <c r="GY39" s="701"/>
      <c r="GZ39" s="701"/>
      <c r="HA39" s="701"/>
      <c r="HB39" s="701"/>
      <c r="HC39" s="701"/>
      <c r="HD39" s="701"/>
      <c r="HE39" s="701"/>
      <c r="HF39" s="701"/>
      <c r="HG39" s="701"/>
      <c r="HH39" s="701"/>
      <c r="HI39" s="701"/>
      <c r="HJ39" s="701"/>
      <c r="HK39" s="701"/>
      <c r="HL39" s="701"/>
      <c r="HM39" s="701"/>
      <c r="HN39" s="701"/>
      <c r="HO39" s="701"/>
      <c r="HP39" s="701"/>
      <c r="HQ39" s="701"/>
      <c r="HR39" s="701"/>
      <c r="HS39" s="701"/>
      <c r="HT39" s="701"/>
      <c r="HU39" s="701"/>
      <c r="HV39" s="701"/>
      <c r="HW39" s="701"/>
      <c r="HX39" s="701"/>
      <c r="HY39" s="701"/>
      <c r="HZ39" s="701"/>
      <c r="IA39" s="701"/>
    </row>
    <row r="40" spans="2:235" s="702" customFormat="1" ht="20.149999999999999" customHeight="1" x14ac:dyDescent="0.35">
      <c r="B40" s="398"/>
      <c r="C40" s="396"/>
      <c r="D40" s="1991"/>
      <c r="E40" s="1992"/>
      <c r="F40" s="97"/>
      <c r="G40" s="777"/>
      <c r="H40" s="97"/>
      <c r="I40" s="779"/>
      <c r="J40" s="97"/>
      <c r="K40" s="781"/>
      <c r="L40" s="32"/>
      <c r="M40" s="211"/>
      <c r="N40" s="397"/>
      <c r="O40" s="212"/>
      <c r="P40" s="32"/>
      <c r="Q40" s="810"/>
      <c r="R40" s="722"/>
      <c r="S40" s="180">
        <v>1</v>
      </c>
      <c r="T40" s="554">
        <f t="shared" si="0"/>
        <v>0</v>
      </c>
      <c r="U40" s="32">
        <v>2</v>
      </c>
      <c r="V40" s="371"/>
      <c r="W40" s="32"/>
      <c r="X40" s="371"/>
      <c r="Y40" s="32"/>
      <c r="Z40" s="371"/>
      <c r="AA40" s="180"/>
      <c r="AB40" s="280"/>
      <c r="AC40" s="1380">
        <f t="shared" si="64"/>
        <v>0</v>
      </c>
      <c r="AD40" s="906">
        <f t="shared" si="38"/>
        <v>0</v>
      </c>
      <c r="AE40" s="794">
        <f t="shared" si="39"/>
        <v>0</v>
      </c>
      <c r="AF40" s="282">
        <f>SUM(BW40)*(1+M$64+Summary!P$64)</f>
        <v>0</v>
      </c>
      <c r="AG40" s="632" t="e">
        <f t="shared" si="1"/>
        <v>#DIV/0!</v>
      </c>
      <c r="AH40" s="1758">
        <f t="shared" si="40"/>
        <v>0</v>
      </c>
      <c r="AI40" s="769"/>
      <c r="AO40" s="702">
        <f t="shared" si="2"/>
        <v>0</v>
      </c>
      <c r="AP40" s="702">
        <f t="shared" si="41"/>
        <v>0</v>
      </c>
      <c r="AQ40" s="702">
        <f t="shared" si="3"/>
        <v>0</v>
      </c>
      <c r="AR40" s="702">
        <f t="shared" si="4"/>
        <v>0</v>
      </c>
      <c r="AS40" s="702">
        <f t="shared" si="5"/>
        <v>0</v>
      </c>
      <c r="AT40" s="702">
        <f t="shared" si="6"/>
        <v>0</v>
      </c>
      <c r="AU40" s="702">
        <f t="shared" si="7"/>
        <v>0</v>
      </c>
      <c r="AV40" s="1063">
        <f t="shared" si="42"/>
        <v>0</v>
      </c>
      <c r="AW40" s="1063">
        <f t="shared" si="8"/>
        <v>0</v>
      </c>
      <c r="AX40" s="702">
        <f t="shared" si="43"/>
        <v>0</v>
      </c>
      <c r="AY40" s="702">
        <f t="shared" si="9"/>
        <v>0</v>
      </c>
      <c r="AZ40" s="702">
        <f t="shared" si="10"/>
        <v>0</v>
      </c>
      <c r="BA40" s="702">
        <f t="shared" si="11"/>
        <v>0</v>
      </c>
      <c r="BB40" s="702">
        <f t="shared" si="12"/>
        <v>0</v>
      </c>
      <c r="BC40" s="702">
        <f t="shared" si="13"/>
        <v>0</v>
      </c>
      <c r="BD40" s="1063">
        <f t="shared" si="44"/>
        <v>0</v>
      </c>
      <c r="BE40" s="1064">
        <f t="shared" si="14"/>
        <v>0</v>
      </c>
      <c r="BF40" s="1063">
        <f t="shared" si="15"/>
        <v>0</v>
      </c>
      <c r="BG40" s="1065">
        <f t="shared" si="16"/>
        <v>0</v>
      </c>
      <c r="BH40" s="702">
        <f t="shared" si="17"/>
        <v>0</v>
      </c>
      <c r="BI40" s="1063">
        <f t="shared" si="45"/>
        <v>0</v>
      </c>
      <c r="BJ40" s="1063">
        <f t="shared" si="18"/>
        <v>0</v>
      </c>
      <c r="BK40" s="1063">
        <f t="shared" si="19"/>
        <v>0</v>
      </c>
      <c r="BL40" s="1063">
        <f t="shared" si="20"/>
        <v>0</v>
      </c>
      <c r="BM40" s="1063">
        <f t="shared" si="21"/>
        <v>0</v>
      </c>
      <c r="BN40" s="1064">
        <f t="shared" si="46"/>
        <v>0</v>
      </c>
      <c r="BO40" s="1761">
        <f t="shared" si="47"/>
        <v>0</v>
      </c>
      <c r="BP40" s="1063">
        <f t="shared" si="48"/>
        <v>0</v>
      </c>
      <c r="BQ40" s="1064">
        <f t="shared" si="22"/>
        <v>0</v>
      </c>
      <c r="BR40" s="1063">
        <f t="shared" si="23"/>
        <v>0</v>
      </c>
      <c r="BS40" s="1063">
        <f t="shared" si="49"/>
        <v>0</v>
      </c>
      <c r="BT40" s="1064">
        <f t="shared" si="24"/>
        <v>0</v>
      </c>
      <c r="BU40" s="1064">
        <f t="shared" si="25"/>
        <v>0</v>
      </c>
      <c r="BV40" s="1064">
        <f t="shared" si="50"/>
        <v>0</v>
      </c>
      <c r="BW40" s="1066">
        <f t="shared" si="26"/>
        <v>0</v>
      </c>
      <c r="BX40" s="1063">
        <f>(BI40*Pricing!F$2+BJ40*Pricing!G$2+BK40*Pricing!H$2+BL40*Pricing!I$2+BM40*Pricing!J$2+BN40*Pricing!K$2)*IF(AC$63="N",(1+AE$63),1)</f>
        <v>0</v>
      </c>
      <c r="BY40" s="1063">
        <f t="shared" si="51"/>
        <v>0</v>
      </c>
      <c r="BZ40" s="1063">
        <f t="shared" si="52"/>
        <v>0</v>
      </c>
      <c r="CA40" s="1063">
        <f t="shared" si="53"/>
        <v>0</v>
      </c>
      <c r="CB40" s="1067">
        <f t="shared" si="27"/>
        <v>0</v>
      </c>
      <c r="CD40" s="702">
        <f t="shared" si="54"/>
        <v>0</v>
      </c>
      <c r="CE40" s="1063">
        <f t="shared" si="28"/>
        <v>0</v>
      </c>
      <c r="CF40" s="1063">
        <f t="shared" si="29"/>
        <v>0</v>
      </c>
      <c r="CG40" s="1063">
        <f t="shared" si="30"/>
        <v>0</v>
      </c>
      <c r="CH40" s="702">
        <f t="shared" si="31"/>
        <v>0</v>
      </c>
      <c r="CI40" s="1063">
        <f t="shared" si="32"/>
        <v>0</v>
      </c>
      <c r="CJ40" s="702">
        <f t="shared" si="33"/>
        <v>0</v>
      </c>
      <c r="CK40" s="1063">
        <f t="shared" si="34"/>
        <v>0</v>
      </c>
      <c r="CL40" s="704">
        <f t="shared" si="35"/>
        <v>0</v>
      </c>
      <c r="CM40" s="702">
        <f t="shared" si="36"/>
        <v>0</v>
      </c>
      <c r="CO40" s="1061">
        <f t="shared" si="55"/>
        <v>0</v>
      </c>
      <c r="CP40" s="702">
        <f t="shared" si="56"/>
        <v>0</v>
      </c>
      <c r="CQ40" s="702">
        <f t="shared" si="57"/>
        <v>0</v>
      </c>
      <c r="CR40" s="702">
        <f t="shared" si="63"/>
        <v>0</v>
      </c>
      <c r="CS40" s="702">
        <f t="shared" si="58"/>
        <v>0</v>
      </c>
      <c r="CT40" s="702">
        <f t="shared" si="59"/>
        <v>0</v>
      </c>
      <c r="CU40" s="702">
        <f t="shared" si="60"/>
        <v>0</v>
      </c>
      <c r="CV40" s="1068">
        <f t="shared" si="37"/>
        <v>0</v>
      </c>
      <c r="CW40" s="1064">
        <f t="shared" si="61"/>
        <v>0</v>
      </c>
      <c r="FX40" s="701"/>
      <c r="FY40" s="701"/>
      <c r="FZ40" s="701"/>
      <c r="GA40" s="701"/>
      <c r="GB40" s="701"/>
      <c r="GC40" s="701"/>
      <c r="GD40" s="701"/>
      <c r="GE40" s="701"/>
      <c r="GF40" s="701"/>
      <c r="GG40" s="701"/>
      <c r="GH40" s="701"/>
      <c r="GI40" s="701"/>
      <c r="GJ40" s="701"/>
      <c r="GK40" s="701"/>
      <c r="GL40" s="701"/>
      <c r="GM40" s="701"/>
      <c r="GN40" s="701"/>
      <c r="GO40" s="701"/>
      <c r="GP40" s="701"/>
      <c r="GQ40" s="701"/>
      <c r="GR40" s="701"/>
      <c r="GS40" s="701"/>
      <c r="GT40" s="701"/>
      <c r="GU40" s="701"/>
      <c r="GV40" s="701"/>
      <c r="GW40" s="701"/>
      <c r="GX40" s="701"/>
      <c r="GY40" s="701"/>
      <c r="GZ40" s="701"/>
      <c r="HA40" s="701"/>
      <c r="HB40" s="701"/>
      <c r="HC40" s="701"/>
      <c r="HD40" s="701"/>
      <c r="HE40" s="701"/>
      <c r="HF40" s="701"/>
      <c r="HG40" s="701"/>
      <c r="HH40" s="701"/>
      <c r="HI40" s="701"/>
      <c r="HJ40" s="701"/>
      <c r="HK40" s="701"/>
      <c r="HL40" s="701"/>
      <c r="HM40" s="701"/>
      <c r="HN40" s="701"/>
      <c r="HO40" s="701"/>
      <c r="HP40" s="701"/>
      <c r="HQ40" s="701"/>
      <c r="HR40" s="701"/>
      <c r="HS40" s="701"/>
      <c r="HT40" s="701"/>
      <c r="HU40" s="701"/>
      <c r="HV40" s="701"/>
      <c r="HW40" s="701"/>
      <c r="HX40" s="701"/>
      <c r="HY40" s="701"/>
      <c r="HZ40" s="701"/>
      <c r="IA40" s="701"/>
    </row>
    <row r="41" spans="2:235" s="702" customFormat="1" ht="20.149999999999999" customHeight="1" x14ac:dyDescent="0.35">
      <c r="B41" s="193"/>
      <c r="C41" s="393"/>
      <c r="D41" s="1985"/>
      <c r="E41" s="1986"/>
      <c r="F41" s="127"/>
      <c r="G41" s="777"/>
      <c r="H41" s="214"/>
      <c r="I41" s="779"/>
      <c r="J41" s="127"/>
      <c r="K41" s="781"/>
      <c r="L41" s="30"/>
      <c r="M41" s="121"/>
      <c r="N41" s="394"/>
      <c r="O41" s="205"/>
      <c r="P41" s="30"/>
      <c r="Q41" s="264"/>
      <c r="R41" s="266"/>
      <c r="S41" s="176">
        <v>1</v>
      </c>
      <c r="T41" s="555">
        <f t="shared" si="0"/>
        <v>0</v>
      </c>
      <c r="U41" s="31">
        <v>2</v>
      </c>
      <c r="V41" s="531"/>
      <c r="W41" s="30"/>
      <c r="X41" s="377"/>
      <c r="Y41" s="30"/>
      <c r="Z41" s="377"/>
      <c r="AA41" s="178"/>
      <c r="AB41" s="279"/>
      <c r="AC41" s="1380">
        <f t="shared" si="64"/>
        <v>0</v>
      </c>
      <c r="AD41" s="906">
        <f t="shared" si="38"/>
        <v>0</v>
      </c>
      <c r="AE41" s="794">
        <f t="shared" si="39"/>
        <v>0</v>
      </c>
      <c r="AF41" s="282">
        <f>SUM(BW41)*(1+M$64+Summary!P$64)</f>
        <v>0</v>
      </c>
      <c r="AG41" s="632" t="e">
        <f t="shared" si="1"/>
        <v>#DIV/0!</v>
      </c>
      <c r="AH41" s="1758">
        <f t="shared" si="40"/>
        <v>0</v>
      </c>
      <c r="AI41" s="769"/>
      <c r="AO41" s="702">
        <f t="shared" si="2"/>
        <v>0</v>
      </c>
      <c r="AP41" s="702">
        <f t="shared" si="41"/>
        <v>0</v>
      </c>
      <c r="AQ41" s="702">
        <f t="shared" si="3"/>
        <v>0</v>
      </c>
      <c r="AR41" s="702">
        <f t="shared" si="4"/>
        <v>0</v>
      </c>
      <c r="AS41" s="702">
        <f t="shared" si="5"/>
        <v>0</v>
      </c>
      <c r="AT41" s="702">
        <f t="shared" si="6"/>
        <v>0</v>
      </c>
      <c r="AU41" s="702">
        <f t="shared" si="7"/>
        <v>0</v>
      </c>
      <c r="AV41" s="1063">
        <f t="shared" si="42"/>
        <v>0</v>
      </c>
      <c r="AW41" s="1063">
        <f t="shared" si="8"/>
        <v>0</v>
      </c>
      <c r="AX41" s="702">
        <f t="shared" si="43"/>
        <v>0</v>
      </c>
      <c r="AY41" s="702">
        <f t="shared" si="9"/>
        <v>0</v>
      </c>
      <c r="AZ41" s="702">
        <f t="shared" si="10"/>
        <v>0</v>
      </c>
      <c r="BA41" s="702">
        <f t="shared" si="11"/>
        <v>0</v>
      </c>
      <c r="BB41" s="702">
        <f t="shared" si="12"/>
        <v>0</v>
      </c>
      <c r="BC41" s="702">
        <f t="shared" si="13"/>
        <v>0</v>
      </c>
      <c r="BD41" s="1063">
        <f t="shared" si="44"/>
        <v>0</v>
      </c>
      <c r="BE41" s="1064">
        <f t="shared" si="14"/>
        <v>0</v>
      </c>
      <c r="BF41" s="1063">
        <f t="shared" si="15"/>
        <v>0</v>
      </c>
      <c r="BG41" s="1065">
        <f t="shared" si="16"/>
        <v>0</v>
      </c>
      <c r="BH41" s="702">
        <f t="shared" si="17"/>
        <v>0</v>
      </c>
      <c r="BI41" s="1063">
        <f t="shared" si="45"/>
        <v>0</v>
      </c>
      <c r="BJ41" s="1063">
        <f t="shared" si="18"/>
        <v>0</v>
      </c>
      <c r="BK41" s="1063">
        <f t="shared" si="19"/>
        <v>0</v>
      </c>
      <c r="BL41" s="1063">
        <f t="shared" si="20"/>
        <v>0</v>
      </c>
      <c r="BM41" s="1063">
        <f t="shared" si="21"/>
        <v>0</v>
      </c>
      <c r="BN41" s="1064">
        <f t="shared" si="46"/>
        <v>0</v>
      </c>
      <c r="BO41" s="1761">
        <f t="shared" si="47"/>
        <v>0</v>
      </c>
      <c r="BP41" s="1063">
        <f t="shared" si="48"/>
        <v>0</v>
      </c>
      <c r="BQ41" s="1064">
        <f t="shared" si="22"/>
        <v>0</v>
      </c>
      <c r="BR41" s="1063">
        <f t="shared" si="23"/>
        <v>0</v>
      </c>
      <c r="BS41" s="1063">
        <f t="shared" si="49"/>
        <v>0</v>
      </c>
      <c r="BT41" s="1064">
        <f t="shared" si="24"/>
        <v>0</v>
      </c>
      <c r="BU41" s="1064">
        <f t="shared" si="25"/>
        <v>0</v>
      </c>
      <c r="BV41" s="1064">
        <f t="shared" si="50"/>
        <v>0</v>
      </c>
      <c r="BW41" s="1066">
        <f t="shared" si="26"/>
        <v>0</v>
      </c>
      <c r="BX41" s="1063">
        <f>(BI41*Pricing!F$2+BJ41*Pricing!G$2+BK41*Pricing!H$2+BL41*Pricing!I$2+BM41*Pricing!J$2+BN41*Pricing!K$2)*IF(AC$63="N",(1+AE$63),1)</f>
        <v>0</v>
      </c>
      <c r="BY41" s="1063">
        <f t="shared" si="51"/>
        <v>0</v>
      </c>
      <c r="BZ41" s="1063">
        <f t="shared" si="52"/>
        <v>0</v>
      </c>
      <c r="CA41" s="1063">
        <f t="shared" si="53"/>
        <v>0</v>
      </c>
      <c r="CB41" s="1067">
        <f t="shared" si="27"/>
        <v>0</v>
      </c>
      <c r="CD41" s="702">
        <f t="shared" si="54"/>
        <v>0</v>
      </c>
      <c r="CE41" s="1063">
        <f t="shared" si="28"/>
        <v>0</v>
      </c>
      <c r="CF41" s="1063">
        <f t="shared" si="29"/>
        <v>0</v>
      </c>
      <c r="CG41" s="1063">
        <f t="shared" si="30"/>
        <v>0</v>
      </c>
      <c r="CH41" s="702">
        <f t="shared" si="31"/>
        <v>0</v>
      </c>
      <c r="CI41" s="1063">
        <f t="shared" si="32"/>
        <v>0</v>
      </c>
      <c r="CJ41" s="702">
        <f t="shared" si="33"/>
        <v>0</v>
      </c>
      <c r="CK41" s="1063">
        <f t="shared" si="34"/>
        <v>0</v>
      </c>
      <c r="CL41" s="704">
        <f t="shared" si="35"/>
        <v>0</v>
      </c>
      <c r="CM41" s="702">
        <f t="shared" si="36"/>
        <v>0</v>
      </c>
      <c r="CO41" s="1061">
        <f t="shared" si="55"/>
        <v>0</v>
      </c>
      <c r="CP41" s="702">
        <f t="shared" si="56"/>
        <v>0</v>
      </c>
      <c r="CQ41" s="702">
        <f t="shared" si="57"/>
        <v>0</v>
      </c>
      <c r="CR41" s="702">
        <f t="shared" si="63"/>
        <v>0</v>
      </c>
      <c r="CS41" s="702">
        <f t="shared" si="58"/>
        <v>0</v>
      </c>
      <c r="CT41" s="702">
        <f t="shared" si="59"/>
        <v>0</v>
      </c>
      <c r="CU41" s="702">
        <f t="shared" si="60"/>
        <v>0</v>
      </c>
      <c r="CV41" s="1068">
        <f t="shared" si="37"/>
        <v>0</v>
      </c>
      <c r="CW41" s="1064">
        <f t="shared" si="61"/>
        <v>0</v>
      </c>
      <c r="FX41" s="701"/>
      <c r="FY41" s="701"/>
      <c r="FZ41" s="701"/>
      <c r="GA41" s="701"/>
      <c r="GB41" s="701"/>
      <c r="GC41" s="701"/>
      <c r="GD41" s="701"/>
      <c r="GE41" s="701"/>
      <c r="GF41" s="701"/>
      <c r="GG41" s="701"/>
      <c r="GH41" s="701"/>
      <c r="GI41" s="701"/>
      <c r="GJ41" s="701"/>
      <c r="GK41" s="701"/>
      <c r="GL41" s="701"/>
      <c r="GM41" s="701"/>
      <c r="GN41" s="701"/>
      <c r="GO41" s="701"/>
      <c r="GP41" s="701"/>
      <c r="GQ41" s="701"/>
      <c r="GR41" s="701"/>
      <c r="GS41" s="701"/>
      <c r="GT41" s="701"/>
      <c r="GU41" s="701"/>
      <c r="GV41" s="701"/>
      <c r="GW41" s="701"/>
      <c r="GX41" s="701"/>
      <c r="GY41" s="701"/>
      <c r="GZ41" s="701"/>
      <c r="HA41" s="701"/>
      <c r="HB41" s="701"/>
      <c r="HC41" s="701"/>
      <c r="HD41" s="701"/>
      <c r="HE41" s="701"/>
      <c r="HF41" s="701"/>
      <c r="HG41" s="701"/>
      <c r="HH41" s="701"/>
      <c r="HI41" s="701"/>
      <c r="HJ41" s="701"/>
      <c r="HK41" s="701"/>
      <c r="HL41" s="701"/>
      <c r="HM41" s="701"/>
      <c r="HN41" s="701"/>
      <c r="HO41" s="701"/>
      <c r="HP41" s="701"/>
      <c r="HQ41" s="701"/>
      <c r="HR41" s="701"/>
      <c r="HS41" s="701"/>
      <c r="HT41" s="701"/>
      <c r="HU41" s="701"/>
      <c r="HV41" s="701"/>
      <c r="HW41" s="701"/>
      <c r="HX41" s="701"/>
      <c r="HY41" s="701"/>
      <c r="HZ41" s="701"/>
      <c r="IA41" s="701"/>
    </row>
    <row r="42" spans="2:235" s="702" customFormat="1" ht="20.149999999999999" customHeight="1" x14ac:dyDescent="0.35">
      <c r="B42" s="398"/>
      <c r="C42" s="396"/>
      <c r="D42" s="1991"/>
      <c r="E42" s="1992"/>
      <c r="F42" s="97"/>
      <c r="G42" s="777"/>
      <c r="H42" s="97"/>
      <c r="I42" s="779"/>
      <c r="J42" s="97"/>
      <c r="K42" s="781"/>
      <c r="L42" s="32"/>
      <c r="M42" s="211"/>
      <c r="N42" s="397"/>
      <c r="O42" s="212"/>
      <c r="P42" s="32"/>
      <c r="Q42" s="810"/>
      <c r="R42" s="722"/>
      <c r="S42" s="180">
        <v>1</v>
      </c>
      <c r="T42" s="554">
        <f t="shared" si="0"/>
        <v>0</v>
      </c>
      <c r="U42" s="32">
        <v>2</v>
      </c>
      <c r="V42" s="371"/>
      <c r="W42" s="32"/>
      <c r="X42" s="371"/>
      <c r="Y42" s="32"/>
      <c r="Z42" s="371"/>
      <c r="AA42" s="180"/>
      <c r="AB42" s="280"/>
      <c r="AC42" s="1380">
        <f t="shared" si="64"/>
        <v>0</v>
      </c>
      <c r="AD42" s="906">
        <f t="shared" si="38"/>
        <v>0</v>
      </c>
      <c r="AE42" s="794">
        <f t="shared" si="39"/>
        <v>0</v>
      </c>
      <c r="AF42" s="282">
        <f>SUM(BW42)*(1+M$64+Summary!P$64)</f>
        <v>0</v>
      </c>
      <c r="AG42" s="632" t="e">
        <f t="shared" si="1"/>
        <v>#DIV/0!</v>
      </c>
      <c r="AH42" s="1758">
        <f t="shared" si="40"/>
        <v>0</v>
      </c>
      <c r="AI42" s="769"/>
      <c r="AO42" s="702">
        <f t="shared" si="2"/>
        <v>0</v>
      </c>
      <c r="AP42" s="702">
        <f t="shared" si="41"/>
        <v>0</v>
      </c>
      <c r="AQ42" s="702">
        <f t="shared" si="3"/>
        <v>0</v>
      </c>
      <c r="AR42" s="702">
        <f t="shared" si="4"/>
        <v>0</v>
      </c>
      <c r="AS42" s="702">
        <f t="shared" si="5"/>
        <v>0</v>
      </c>
      <c r="AT42" s="702">
        <f t="shared" si="6"/>
        <v>0</v>
      </c>
      <c r="AU42" s="702">
        <f t="shared" si="7"/>
        <v>0</v>
      </c>
      <c r="AV42" s="1063">
        <f t="shared" si="42"/>
        <v>0</v>
      </c>
      <c r="AW42" s="1063">
        <f t="shared" si="8"/>
        <v>0</v>
      </c>
      <c r="AX42" s="702">
        <f t="shared" si="43"/>
        <v>0</v>
      </c>
      <c r="AY42" s="702">
        <f t="shared" si="9"/>
        <v>0</v>
      </c>
      <c r="AZ42" s="702">
        <f t="shared" si="10"/>
        <v>0</v>
      </c>
      <c r="BA42" s="702">
        <f t="shared" si="11"/>
        <v>0</v>
      </c>
      <c r="BB42" s="702">
        <f t="shared" si="12"/>
        <v>0</v>
      </c>
      <c r="BC42" s="702">
        <f t="shared" si="13"/>
        <v>0</v>
      </c>
      <c r="BD42" s="1063">
        <f t="shared" si="44"/>
        <v>0</v>
      </c>
      <c r="BE42" s="1064">
        <f t="shared" si="14"/>
        <v>0</v>
      </c>
      <c r="BF42" s="1063">
        <f t="shared" si="15"/>
        <v>0</v>
      </c>
      <c r="BG42" s="1065">
        <f t="shared" si="16"/>
        <v>0</v>
      </c>
      <c r="BH42" s="702">
        <f t="shared" si="17"/>
        <v>0</v>
      </c>
      <c r="BI42" s="1063">
        <f t="shared" si="45"/>
        <v>0</v>
      </c>
      <c r="BJ42" s="1063">
        <f t="shared" si="18"/>
        <v>0</v>
      </c>
      <c r="BK42" s="1063">
        <f t="shared" si="19"/>
        <v>0</v>
      </c>
      <c r="BL42" s="1063">
        <f t="shared" si="20"/>
        <v>0</v>
      </c>
      <c r="BM42" s="1063">
        <f t="shared" si="21"/>
        <v>0</v>
      </c>
      <c r="BN42" s="1064">
        <f t="shared" si="46"/>
        <v>0</v>
      </c>
      <c r="BO42" s="1761">
        <f t="shared" si="47"/>
        <v>0</v>
      </c>
      <c r="BP42" s="1063">
        <f t="shared" si="48"/>
        <v>0</v>
      </c>
      <c r="BQ42" s="1064">
        <f t="shared" si="22"/>
        <v>0</v>
      </c>
      <c r="BR42" s="1063">
        <f t="shared" si="23"/>
        <v>0</v>
      </c>
      <c r="BS42" s="1063">
        <f t="shared" si="49"/>
        <v>0</v>
      </c>
      <c r="BT42" s="1064">
        <f t="shared" si="24"/>
        <v>0</v>
      </c>
      <c r="BU42" s="1064">
        <f t="shared" si="25"/>
        <v>0</v>
      </c>
      <c r="BV42" s="1064">
        <f t="shared" si="50"/>
        <v>0</v>
      </c>
      <c r="BW42" s="1066">
        <f t="shared" si="26"/>
        <v>0</v>
      </c>
      <c r="BX42" s="1063">
        <f>(BI42*Pricing!F$2+BJ42*Pricing!G$2+BK42*Pricing!H$2+BL42*Pricing!I$2+BM42*Pricing!J$2+BN42*Pricing!K$2)*IF(AC$63="N",(1+AE$63),1)</f>
        <v>0</v>
      </c>
      <c r="BY42" s="1063">
        <f t="shared" si="51"/>
        <v>0</v>
      </c>
      <c r="BZ42" s="1063">
        <f t="shared" si="52"/>
        <v>0</v>
      </c>
      <c r="CA42" s="1063">
        <f t="shared" si="53"/>
        <v>0</v>
      </c>
      <c r="CB42" s="1067">
        <f t="shared" si="27"/>
        <v>0</v>
      </c>
      <c r="CD42" s="702">
        <f t="shared" si="54"/>
        <v>0</v>
      </c>
      <c r="CE42" s="1063">
        <f t="shared" si="28"/>
        <v>0</v>
      </c>
      <c r="CF42" s="1063">
        <f t="shared" si="29"/>
        <v>0</v>
      </c>
      <c r="CG42" s="1063">
        <f t="shared" si="30"/>
        <v>0</v>
      </c>
      <c r="CH42" s="702">
        <f t="shared" si="31"/>
        <v>0</v>
      </c>
      <c r="CI42" s="1063">
        <f t="shared" si="32"/>
        <v>0</v>
      </c>
      <c r="CJ42" s="702">
        <f t="shared" si="33"/>
        <v>0</v>
      </c>
      <c r="CK42" s="1063">
        <f t="shared" si="34"/>
        <v>0</v>
      </c>
      <c r="CL42" s="704">
        <f t="shared" si="35"/>
        <v>0</v>
      </c>
      <c r="CM42" s="702">
        <f t="shared" si="36"/>
        <v>0</v>
      </c>
      <c r="CO42" s="1061">
        <f t="shared" si="55"/>
        <v>0</v>
      </c>
      <c r="CP42" s="702">
        <f t="shared" si="56"/>
        <v>0</v>
      </c>
      <c r="CQ42" s="702">
        <f t="shared" si="57"/>
        <v>0</v>
      </c>
      <c r="CR42" s="702">
        <f t="shared" si="63"/>
        <v>0</v>
      </c>
      <c r="CS42" s="702">
        <f t="shared" si="58"/>
        <v>0</v>
      </c>
      <c r="CT42" s="702">
        <f t="shared" si="59"/>
        <v>0</v>
      </c>
      <c r="CU42" s="702">
        <f t="shared" si="60"/>
        <v>0</v>
      </c>
      <c r="CV42" s="1068">
        <f t="shared" si="37"/>
        <v>0</v>
      </c>
      <c r="CW42" s="1064">
        <f t="shared" si="61"/>
        <v>0</v>
      </c>
      <c r="FX42" s="701"/>
      <c r="FY42" s="701"/>
      <c r="FZ42" s="701"/>
      <c r="GA42" s="701"/>
      <c r="GB42" s="701"/>
      <c r="GC42" s="701"/>
      <c r="GD42" s="701"/>
      <c r="GE42" s="701"/>
      <c r="GF42" s="701"/>
      <c r="GG42" s="701"/>
      <c r="GH42" s="701"/>
      <c r="GI42" s="701"/>
      <c r="GJ42" s="701"/>
      <c r="GK42" s="701"/>
      <c r="GL42" s="701"/>
      <c r="GM42" s="701"/>
      <c r="GN42" s="701"/>
      <c r="GO42" s="701"/>
      <c r="GP42" s="701"/>
      <c r="GQ42" s="701"/>
      <c r="GR42" s="701"/>
      <c r="GS42" s="701"/>
      <c r="GT42" s="701"/>
      <c r="GU42" s="701"/>
      <c r="GV42" s="701"/>
      <c r="GW42" s="701"/>
      <c r="GX42" s="701"/>
      <c r="GY42" s="701"/>
      <c r="GZ42" s="701"/>
      <c r="HA42" s="701"/>
      <c r="HB42" s="701"/>
      <c r="HC42" s="701"/>
      <c r="HD42" s="701"/>
      <c r="HE42" s="701"/>
      <c r="HF42" s="701"/>
      <c r="HG42" s="701"/>
      <c r="HH42" s="701"/>
      <c r="HI42" s="701"/>
      <c r="HJ42" s="701"/>
      <c r="HK42" s="701"/>
      <c r="HL42" s="701"/>
      <c r="HM42" s="701"/>
      <c r="HN42" s="701"/>
      <c r="HO42" s="701"/>
      <c r="HP42" s="701"/>
      <c r="HQ42" s="701"/>
      <c r="HR42" s="701"/>
      <c r="HS42" s="701"/>
      <c r="HT42" s="701"/>
      <c r="HU42" s="701"/>
      <c r="HV42" s="701"/>
      <c r="HW42" s="701"/>
      <c r="HX42" s="701"/>
      <c r="HY42" s="701"/>
      <c r="HZ42" s="701"/>
      <c r="IA42" s="701"/>
    </row>
    <row r="43" spans="2:235" s="702" customFormat="1" ht="20.149999999999999" customHeight="1" x14ac:dyDescent="0.35">
      <c r="B43" s="193"/>
      <c r="C43" s="393"/>
      <c r="D43" s="1985"/>
      <c r="E43" s="1986"/>
      <c r="F43" s="127"/>
      <c r="G43" s="777"/>
      <c r="H43" s="214"/>
      <c r="I43" s="779"/>
      <c r="J43" s="127"/>
      <c r="K43" s="781"/>
      <c r="L43" s="30"/>
      <c r="M43" s="121"/>
      <c r="N43" s="394"/>
      <c r="O43" s="205"/>
      <c r="P43" s="30"/>
      <c r="Q43" s="264"/>
      <c r="R43" s="266"/>
      <c r="S43" s="176">
        <v>1</v>
      </c>
      <c r="T43" s="555">
        <f t="shared" si="0"/>
        <v>0</v>
      </c>
      <c r="U43" s="31">
        <v>2</v>
      </c>
      <c r="V43" s="531"/>
      <c r="W43" s="30"/>
      <c r="X43" s="377"/>
      <c r="Y43" s="30"/>
      <c r="Z43" s="377"/>
      <c r="AA43" s="178"/>
      <c r="AB43" s="279"/>
      <c r="AC43" s="1380">
        <f t="shared" si="64"/>
        <v>0</v>
      </c>
      <c r="AD43" s="906">
        <f t="shared" si="38"/>
        <v>0</v>
      </c>
      <c r="AE43" s="794">
        <f t="shared" si="39"/>
        <v>0</v>
      </c>
      <c r="AF43" s="282">
        <f>SUM(BW43)*(1+M$64+Summary!P$64)</f>
        <v>0</v>
      </c>
      <c r="AG43" s="632" t="e">
        <f t="shared" si="1"/>
        <v>#DIV/0!</v>
      </c>
      <c r="AH43" s="1758">
        <f t="shared" si="40"/>
        <v>0</v>
      </c>
      <c r="AI43" s="769"/>
      <c r="AO43" s="702">
        <f t="shared" si="2"/>
        <v>0</v>
      </c>
      <c r="AP43" s="702">
        <f t="shared" si="41"/>
        <v>0</v>
      </c>
      <c r="AQ43" s="702">
        <f t="shared" si="3"/>
        <v>0</v>
      </c>
      <c r="AR43" s="702">
        <f t="shared" si="4"/>
        <v>0</v>
      </c>
      <c r="AS43" s="702">
        <f t="shared" si="5"/>
        <v>0</v>
      </c>
      <c r="AT43" s="702">
        <f t="shared" si="6"/>
        <v>0</v>
      </c>
      <c r="AU43" s="702">
        <f t="shared" si="7"/>
        <v>0</v>
      </c>
      <c r="AV43" s="1063">
        <f t="shared" si="42"/>
        <v>0</v>
      </c>
      <c r="AW43" s="1063">
        <f t="shared" si="8"/>
        <v>0</v>
      </c>
      <c r="AX43" s="702">
        <f t="shared" si="43"/>
        <v>0</v>
      </c>
      <c r="AY43" s="702">
        <f t="shared" si="9"/>
        <v>0</v>
      </c>
      <c r="AZ43" s="702">
        <f t="shared" si="10"/>
        <v>0</v>
      </c>
      <c r="BA43" s="702">
        <f t="shared" si="11"/>
        <v>0</v>
      </c>
      <c r="BB43" s="702">
        <f t="shared" si="12"/>
        <v>0</v>
      </c>
      <c r="BC43" s="702">
        <f t="shared" si="13"/>
        <v>0</v>
      </c>
      <c r="BD43" s="1063">
        <f t="shared" si="44"/>
        <v>0</v>
      </c>
      <c r="BE43" s="1064">
        <f t="shared" si="14"/>
        <v>0</v>
      </c>
      <c r="BF43" s="1063">
        <f t="shared" si="15"/>
        <v>0</v>
      </c>
      <c r="BG43" s="1065">
        <f t="shared" si="16"/>
        <v>0</v>
      </c>
      <c r="BH43" s="702">
        <f t="shared" si="17"/>
        <v>0</v>
      </c>
      <c r="BI43" s="1063">
        <f t="shared" si="45"/>
        <v>0</v>
      </c>
      <c r="BJ43" s="1063">
        <f t="shared" si="18"/>
        <v>0</v>
      </c>
      <c r="BK43" s="1063">
        <f t="shared" si="19"/>
        <v>0</v>
      </c>
      <c r="BL43" s="1063">
        <f t="shared" si="20"/>
        <v>0</v>
      </c>
      <c r="BM43" s="1063">
        <f t="shared" si="21"/>
        <v>0</v>
      </c>
      <c r="BN43" s="1064">
        <f t="shared" si="46"/>
        <v>0</v>
      </c>
      <c r="BO43" s="1761">
        <f t="shared" si="47"/>
        <v>0</v>
      </c>
      <c r="BP43" s="1063">
        <f t="shared" si="48"/>
        <v>0</v>
      </c>
      <c r="BQ43" s="1064">
        <f t="shared" si="22"/>
        <v>0</v>
      </c>
      <c r="BR43" s="1063">
        <f t="shared" si="23"/>
        <v>0</v>
      </c>
      <c r="BS43" s="1063">
        <f t="shared" si="49"/>
        <v>0</v>
      </c>
      <c r="BT43" s="1064">
        <f t="shared" si="24"/>
        <v>0</v>
      </c>
      <c r="BU43" s="1064">
        <f t="shared" si="25"/>
        <v>0</v>
      </c>
      <c r="BV43" s="1064">
        <f t="shared" si="50"/>
        <v>0</v>
      </c>
      <c r="BW43" s="1066">
        <f t="shared" si="26"/>
        <v>0</v>
      </c>
      <c r="BX43" s="1063">
        <f>(BI43*Pricing!F$2+BJ43*Pricing!G$2+BK43*Pricing!H$2+BL43*Pricing!I$2+BM43*Pricing!J$2+BN43*Pricing!K$2)*IF(AC$63="N",(1+AE$63),1)</f>
        <v>0</v>
      </c>
      <c r="BY43" s="1063">
        <f t="shared" si="51"/>
        <v>0</v>
      </c>
      <c r="BZ43" s="1063">
        <f t="shared" si="52"/>
        <v>0</v>
      </c>
      <c r="CA43" s="1063">
        <f t="shared" si="53"/>
        <v>0</v>
      </c>
      <c r="CB43" s="1067">
        <f t="shared" si="27"/>
        <v>0</v>
      </c>
      <c r="CD43" s="702">
        <f t="shared" si="54"/>
        <v>0</v>
      </c>
      <c r="CE43" s="1063">
        <f t="shared" si="28"/>
        <v>0</v>
      </c>
      <c r="CF43" s="1063">
        <f t="shared" si="29"/>
        <v>0</v>
      </c>
      <c r="CG43" s="1063">
        <f t="shared" si="30"/>
        <v>0</v>
      </c>
      <c r="CH43" s="702">
        <f t="shared" si="31"/>
        <v>0</v>
      </c>
      <c r="CI43" s="1063">
        <f t="shared" si="32"/>
        <v>0</v>
      </c>
      <c r="CJ43" s="702">
        <f t="shared" si="33"/>
        <v>0</v>
      </c>
      <c r="CK43" s="1063">
        <f t="shared" si="34"/>
        <v>0</v>
      </c>
      <c r="CL43" s="704">
        <f t="shared" si="35"/>
        <v>0</v>
      </c>
      <c r="CM43" s="702">
        <f t="shared" si="36"/>
        <v>0</v>
      </c>
      <c r="CO43" s="1061">
        <f t="shared" si="55"/>
        <v>0</v>
      </c>
      <c r="CP43" s="702">
        <f t="shared" si="56"/>
        <v>0</v>
      </c>
      <c r="CQ43" s="702">
        <f t="shared" si="57"/>
        <v>0</v>
      </c>
      <c r="CR43" s="702">
        <f t="shared" si="63"/>
        <v>0</v>
      </c>
      <c r="CS43" s="702">
        <f t="shared" si="58"/>
        <v>0</v>
      </c>
      <c r="CT43" s="702">
        <f t="shared" si="59"/>
        <v>0</v>
      </c>
      <c r="CU43" s="702">
        <f t="shared" si="60"/>
        <v>0</v>
      </c>
      <c r="CV43" s="1068">
        <f t="shared" si="37"/>
        <v>0</v>
      </c>
      <c r="CW43" s="1064">
        <f t="shared" si="61"/>
        <v>0</v>
      </c>
      <c r="FX43" s="701"/>
      <c r="FY43" s="701"/>
      <c r="FZ43" s="701"/>
      <c r="GA43" s="701"/>
      <c r="GB43" s="701"/>
      <c r="GC43" s="701"/>
      <c r="GD43" s="701"/>
      <c r="GE43" s="701"/>
      <c r="GF43" s="701"/>
      <c r="GG43" s="701"/>
      <c r="GH43" s="701"/>
      <c r="GI43" s="701"/>
      <c r="GJ43" s="701"/>
      <c r="GK43" s="701"/>
      <c r="GL43" s="701"/>
      <c r="GM43" s="701"/>
      <c r="GN43" s="701"/>
      <c r="GO43" s="701"/>
      <c r="GP43" s="701"/>
      <c r="GQ43" s="701"/>
      <c r="GR43" s="701"/>
      <c r="GS43" s="701"/>
      <c r="GT43" s="701"/>
      <c r="GU43" s="701"/>
      <c r="GV43" s="701"/>
      <c r="GW43" s="701"/>
      <c r="GX43" s="701"/>
      <c r="GY43" s="701"/>
      <c r="GZ43" s="701"/>
      <c r="HA43" s="701"/>
      <c r="HB43" s="701"/>
      <c r="HC43" s="701"/>
      <c r="HD43" s="701"/>
      <c r="HE43" s="701"/>
      <c r="HF43" s="701"/>
      <c r="HG43" s="701"/>
      <c r="HH43" s="701"/>
      <c r="HI43" s="701"/>
      <c r="HJ43" s="701"/>
      <c r="HK43" s="701"/>
      <c r="HL43" s="701"/>
      <c r="HM43" s="701"/>
      <c r="HN43" s="701"/>
      <c r="HO43" s="701"/>
      <c r="HP43" s="701"/>
      <c r="HQ43" s="701"/>
      <c r="HR43" s="701"/>
      <c r="HS43" s="701"/>
      <c r="HT43" s="701"/>
      <c r="HU43" s="701"/>
      <c r="HV43" s="701"/>
      <c r="HW43" s="701"/>
      <c r="HX43" s="701"/>
      <c r="HY43" s="701"/>
      <c r="HZ43" s="701"/>
      <c r="IA43" s="701"/>
    </row>
    <row r="44" spans="2:235" s="702" customFormat="1" ht="20.149999999999999" customHeight="1" x14ac:dyDescent="0.35">
      <c r="B44" s="395"/>
      <c r="C44" s="396"/>
      <c r="D44" s="1991"/>
      <c r="E44" s="1992"/>
      <c r="F44" s="97"/>
      <c r="G44" s="777"/>
      <c r="H44" s="97"/>
      <c r="I44" s="779"/>
      <c r="J44" s="97"/>
      <c r="K44" s="781"/>
      <c r="L44" s="32"/>
      <c r="M44" s="211"/>
      <c r="N44" s="397"/>
      <c r="O44" s="212"/>
      <c r="P44" s="32"/>
      <c r="Q44" s="810"/>
      <c r="R44" s="722"/>
      <c r="S44" s="180">
        <v>1</v>
      </c>
      <c r="T44" s="554">
        <f t="shared" si="0"/>
        <v>0</v>
      </c>
      <c r="U44" s="32">
        <v>2</v>
      </c>
      <c r="V44" s="371"/>
      <c r="W44" s="32"/>
      <c r="X44" s="371"/>
      <c r="Y44" s="32"/>
      <c r="Z44" s="371"/>
      <c r="AA44" s="180"/>
      <c r="AB44" s="280"/>
      <c r="AC44" s="1380">
        <f t="shared" si="64"/>
        <v>0</v>
      </c>
      <c r="AD44" s="906">
        <f t="shared" si="38"/>
        <v>0</v>
      </c>
      <c r="AE44" s="794">
        <f t="shared" si="39"/>
        <v>0</v>
      </c>
      <c r="AF44" s="282">
        <f>SUM(BW44)*(1+M$64+Summary!P$64)</f>
        <v>0</v>
      </c>
      <c r="AG44" s="632" t="e">
        <f t="shared" si="1"/>
        <v>#DIV/0!</v>
      </c>
      <c r="AH44" s="1758">
        <f t="shared" si="40"/>
        <v>0</v>
      </c>
      <c r="AI44" s="769"/>
      <c r="AO44" s="702">
        <f t="shared" si="2"/>
        <v>0</v>
      </c>
      <c r="AP44" s="702">
        <f t="shared" si="41"/>
        <v>0</v>
      </c>
      <c r="AQ44" s="702">
        <f t="shared" si="3"/>
        <v>0</v>
      </c>
      <c r="AR44" s="702">
        <f t="shared" si="4"/>
        <v>0</v>
      </c>
      <c r="AS44" s="702">
        <f t="shared" si="5"/>
        <v>0</v>
      </c>
      <c r="AT44" s="702">
        <f t="shared" si="6"/>
        <v>0</v>
      </c>
      <c r="AU44" s="702">
        <f t="shared" si="7"/>
        <v>0</v>
      </c>
      <c r="AV44" s="1063">
        <f t="shared" si="42"/>
        <v>0</v>
      </c>
      <c r="AW44" s="1063">
        <f t="shared" si="8"/>
        <v>0</v>
      </c>
      <c r="AX44" s="702">
        <f t="shared" si="43"/>
        <v>0</v>
      </c>
      <c r="AY44" s="702">
        <f t="shared" si="9"/>
        <v>0</v>
      </c>
      <c r="AZ44" s="702">
        <f t="shared" si="10"/>
        <v>0</v>
      </c>
      <c r="BA44" s="702">
        <f t="shared" si="11"/>
        <v>0</v>
      </c>
      <c r="BB44" s="702">
        <f t="shared" si="12"/>
        <v>0</v>
      </c>
      <c r="BC44" s="702">
        <f t="shared" si="13"/>
        <v>0</v>
      </c>
      <c r="BD44" s="1063">
        <f t="shared" si="44"/>
        <v>0</v>
      </c>
      <c r="BE44" s="1064">
        <f t="shared" si="14"/>
        <v>0</v>
      </c>
      <c r="BF44" s="1063">
        <f t="shared" si="15"/>
        <v>0</v>
      </c>
      <c r="BG44" s="1065">
        <f t="shared" si="16"/>
        <v>0</v>
      </c>
      <c r="BH44" s="702">
        <f t="shared" si="17"/>
        <v>0</v>
      </c>
      <c r="BI44" s="1063">
        <f t="shared" si="45"/>
        <v>0</v>
      </c>
      <c r="BJ44" s="1063">
        <f t="shared" si="18"/>
        <v>0</v>
      </c>
      <c r="BK44" s="1063">
        <f t="shared" si="19"/>
        <v>0</v>
      </c>
      <c r="BL44" s="1063">
        <f t="shared" si="20"/>
        <v>0</v>
      </c>
      <c r="BM44" s="1063">
        <f t="shared" si="21"/>
        <v>0</v>
      </c>
      <c r="BN44" s="1064">
        <f t="shared" si="46"/>
        <v>0</v>
      </c>
      <c r="BO44" s="1761">
        <f t="shared" si="47"/>
        <v>0</v>
      </c>
      <c r="BP44" s="1063">
        <f t="shared" si="48"/>
        <v>0</v>
      </c>
      <c r="BQ44" s="1064">
        <f t="shared" si="22"/>
        <v>0</v>
      </c>
      <c r="BR44" s="1063">
        <f t="shared" si="23"/>
        <v>0</v>
      </c>
      <c r="BS44" s="1063">
        <f t="shared" si="49"/>
        <v>0</v>
      </c>
      <c r="BT44" s="1064">
        <f t="shared" si="24"/>
        <v>0</v>
      </c>
      <c r="BU44" s="1064">
        <f t="shared" si="25"/>
        <v>0</v>
      </c>
      <c r="BV44" s="1064">
        <f t="shared" si="50"/>
        <v>0</v>
      </c>
      <c r="BW44" s="1066">
        <f t="shared" si="26"/>
        <v>0</v>
      </c>
      <c r="BX44" s="1063">
        <f>(BI44*Pricing!F$2+BJ44*Pricing!G$2+BK44*Pricing!H$2+BL44*Pricing!I$2+BM44*Pricing!J$2+BN44*Pricing!K$2)*IF(AC$63="N",(1+AE$63),1)</f>
        <v>0</v>
      </c>
      <c r="BY44" s="1063">
        <f t="shared" si="51"/>
        <v>0</v>
      </c>
      <c r="BZ44" s="1063">
        <f t="shared" si="52"/>
        <v>0</v>
      </c>
      <c r="CA44" s="1063">
        <f t="shared" si="53"/>
        <v>0</v>
      </c>
      <c r="CB44" s="1067">
        <f t="shared" si="27"/>
        <v>0</v>
      </c>
      <c r="CD44" s="702">
        <f t="shared" si="54"/>
        <v>0</v>
      </c>
      <c r="CE44" s="1063">
        <f t="shared" si="28"/>
        <v>0</v>
      </c>
      <c r="CF44" s="1063">
        <f t="shared" si="29"/>
        <v>0</v>
      </c>
      <c r="CG44" s="1063">
        <f t="shared" si="30"/>
        <v>0</v>
      </c>
      <c r="CH44" s="702">
        <f t="shared" si="31"/>
        <v>0</v>
      </c>
      <c r="CI44" s="1063">
        <f t="shared" si="32"/>
        <v>0</v>
      </c>
      <c r="CJ44" s="702">
        <f t="shared" si="33"/>
        <v>0</v>
      </c>
      <c r="CK44" s="1063">
        <f t="shared" si="34"/>
        <v>0</v>
      </c>
      <c r="CL44" s="704">
        <f t="shared" si="35"/>
        <v>0</v>
      </c>
      <c r="CM44" s="702">
        <f t="shared" si="36"/>
        <v>0</v>
      </c>
      <c r="CO44" s="1061">
        <f t="shared" si="55"/>
        <v>0</v>
      </c>
      <c r="CP44" s="702">
        <f t="shared" si="56"/>
        <v>0</v>
      </c>
      <c r="CQ44" s="702">
        <f t="shared" si="57"/>
        <v>0</v>
      </c>
      <c r="CR44" s="702">
        <f t="shared" si="63"/>
        <v>0</v>
      </c>
      <c r="CS44" s="702">
        <f t="shared" si="58"/>
        <v>0</v>
      </c>
      <c r="CT44" s="702">
        <f t="shared" si="59"/>
        <v>0</v>
      </c>
      <c r="CU44" s="702">
        <f t="shared" si="60"/>
        <v>0</v>
      </c>
      <c r="CV44" s="1068">
        <f t="shared" si="37"/>
        <v>0</v>
      </c>
      <c r="CW44" s="1064">
        <f t="shared" si="61"/>
        <v>0</v>
      </c>
      <c r="FX44" s="701"/>
      <c r="FY44" s="701"/>
      <c r="FZ44" s="701"/>
      <c r="GA44" s="701"/>
      <c r="GB44" s="701"/>
      <c r="GC44" s="701"/>
      <c r="GD44" s="701"/>
      <c r="GE44" s="701"/>
      <c r="GF44" s="701"/>
      <c r="GG44" s="701"/>
      <c r="GH44" s="701"/>
      <c r="GI44" s="701"/>
      <c r="GJ44" s="701"/>
      <c r="GK44" s="701"/>
      <c r="GL44" s="701"/>
      <c r="GM44" s="701"/>
      <c r="GN44" s="701"/>
      <c r="GO44" s="701"/>
      <c r="GP44" s="701"/>
      <c r="GQ44" s="701"/>
      <c r="GR44" s="701"/>
      <c r="GS44" s="701"/>
      <c r="GT44" s="701"/>
      <c r="GU44" s="701"/>
      <c r="GV44" s="701"/>
      <c r="GW44" s="701"/>
      <c r="GX44" s="701"/>
      <c r="GY44" s="701"/>
      <c r="GZ44" s="701"/>
      <c r="HA44" s="701"/>
      <c r="HB44" s="701"/>
      <c r="HC44" s="701"/>
      <c r="HD44" s="701"/>
      <c r="HE44" s="701"/>
      <c r="HF44" s="701"/>
      <c r="HG44" s="701"/>
      <c r="HH44" s="701"/>
      <c r="HI44" s="701"/>
      <c r="HJ44" s="701"/>
      <c r="HK44" s="701"/>
      <c r="HL44" s="701"/>
      <c r="HM44" s="701"/>
      <c r="HN44" s="701"/>
      <c r="HO44" s="701"/>
      <c r="HP44" s="701"/>
      <c r="HQ44" s="701"/>
      <c r="HR44" s="701"/>
      <c r="HS44" s="701"/>
      <c r="HT44" s="701"/>
      <c r="HU44" s="701"/>
      <c r="HV44" s="701"/>
      <c r="HW44" s="701"/>
      <c r="HX44" s="701"/>
      <c r="HY44" s="701"/>
      <c r="HZ44" s="701"/>
      <c r="IA44" s="701"/>
    </row>
    <row r="45" spans="2:235" s="702" customFormat="1" ht="20.149999999999999" customHeight="1" x14ac:dyDescent="0.35">
      <c r="B45" s="193"/>
      <c r="C45" s="396"/>
      <c r="D45" s="1985"/>
      <c r="E45" s="1986"/>
      <c r="F45" s="214"/>
      <c r="G45" s="777"/>
      <c r="H45" s="31"/>
      <c r="I45" s="777"/>
      <c r="J45" s="284"/>
      <c r="K45" s="781"/>
      <c r="L45" s="31"/>
      <c r="M45" s="206"/>
      <c r="N45" s="394"/>
      <c r="O45" s="207"/>
      <c r="P45" s="206"/>
      <c r="Q45" s="31"/>
      <c r="R45" s="723"/>
      <c r="S45" s="176">
        <v>1</v>
      </c>
      <c r="T45" s="555">
        <f t="shared" si="0"/>
        <v>0</v>
      </c>
      <c r="U45" s="31">
        <v>2</v>
      </c>
      <c r="V45" s="372"/>
      <c r="W45" s="31"/>
      <c r="X45" s="372"/>
      <c r="Y45" s="31"/>
      <c r="Z45" s="372"/>
      <c r="AA45" s="178"/>
      <c r="AB45" s="279"/>
      <c r="AC45" s="1380">
        <f t="shared" si="64"/>
        <v>0</v>
      </c>
      <c r="AD45" s="906">
        <f t="shared" si="38"/>
        <v>0</v>
      </c>
      <c r="AE45" s="794">
        <f t="shared" si="39"/>
        <v>0</v>
      </c>
      <c r="AF45" s="282">
        <f>SUM(BW45)*(1+M$64+Summary!P$64)</f>
        <v>0</v>
      </c>
      <c r="AG45" s="632" t="e">
        <f t="shared" si="1"/>
        <v>#DIV/0!</v>
      </c>
      <c r="AH45" s="1758">
        <f t="shared" si="40"/>
        <v>0</v>
      </c>
      <c r="AI45" s="769"/>
      <c r="AO45" s="702">
        <f t="shared" si="2"/>
        <v>0</v>
      </c>
      <c r="AP45" s="702">
        <f t="shared" si="41"/>
        <v>0</v>
      </c>
      <c r="AQ45" s="702">
        <f t="shared" si="3"/>
        <v>0</v>
      </c>
      <c r="AR45" s="702">
        <f t="shared" si="4"/>
        <v>0</v>
      </c>
      <c r="AS45" s="702">
        <f t="shared" si="5"/>
        <v>0</v>
      </c>
      <c r="AT45" s="702">
        <f t="shared" si="6"/>
        <v>0</v>
      </c>
      <c r="AU45" s="702">
        <f t="shared" si="7"/>
        <v>0</v>
      </c>
      <c r="AV45" s="1063">
        <f t="shared" si="42"/>
        <v>0</v>
      </c>
      <c r="AW45" s="1063">
        <f t="shared" si="8"/>
        <v>0</v>
      </c>
      <c r="AX45" s="702">
        <f t="shared" si="43"/>
        <v>0</v>
      </c>
      <c r="AY45" s="702">
        <f t="shared" si="9"/>
        <v>0</v>
      </c>
      <c r="AZ45" s="702">
        <f t="shared" si="10"/>
        <v>0</v>
      </c>
      <c r="BA45" s="702">
        <f t="shared" si="11"/>
        <v>0</v>
      </c>
      <c r="BB45" s="702">
        <f t="shared" si="12"/>
        <v>0</v>
      </c>
      <c r="BC45" s="702">
        <f t="shared" si="13"/>
        <v>0</v>
      </c>
      <c r="BD45" s="1063">
        <f t="shared" si="44"/>
        <v>0</v>
      </c>
      <c r="BE45" s="1064">
        <f t="shared" si="14"/>
        <v>0</v>
      </c>
      <c r="BF45" s="1063">
        <f t="shared" si="15"/>
        <v>0</v>
      </c>
      <c r="BG45" s="1065">
        <f t="shared" si="16"/>
        <v>0</v>
      </c>
      <c r="BH45" s="702">
        <f t="shared" si="17"/>
        <v>0</v>
      </c>
      <c r="BI45" s="1063">
        <f t="shared" si="45"/>
        <v>0</v>
      </c>
      <c r="BJ45" s="1063">
        <f t="shared" si="18"/>
        <v>0</v>
      </c>
      <c r="BK45" s="1063">
        <f t="shared" si="19"/>
        <v>0</v>
      </c>
      <c r="BL45" s="1063">
        <f t="shared" si="20"/>
        <v>0</v>
      </c>
      <c r="BM45" s="1063">
        <f t="shared" si="21"/>
        <v>0</v>
      </c>
      <c r="BN45" s="1064">
        <f t="shared" si="46"/>
        <v>0</v>
      </c>
      <c r="BO45" s="1761">
        <f t="shared" si="47"/>
        <v>0</v>
      </c>
      <c r="BP45" s="1063">
        <f t="shared" si="48"/>
        <v>0</v>
      </c>
      <c r="BQ45" s="1064">
        <f t="shared" si="22"/>
        <v>0</v>
      </c>
      <c r="BR45" s="1063">
        <f t="shared" si="23"/>
        <v>0</v>
      </c>
      <c r="BS45" s="1063">
        <f t="shared" si="49"/>
        <v>0</v>
      </c>
      <c r="BT45" s="1064">
        <f t="shared" si="24"/>
        <v>0</v>
      </c>
      <c r="BU45" s="1064">
        <f t="shared" si="25"/>
        <v>0</v>
      </c>
      <c r="BV45" s="1064">
        <f t="shared" si="50"/>
        <v>0</v>
      </c>
      <c r="BW45" s="1066">
        <f t="shared" si="26"/>
        <v>0</v>
      </c>
      <c r="BX45" s="1063">
        <f>(BI45*Pricing!F$2+BJ45*Pricing!G$2+BK45*Pricing!H$2+BL45*Pricing!I$2+BM45*Pricing!J$2+BN45*Pricing!K$2)*IF(AC$63="N",(1+AE$63),1)</f>
        <v>0</v>
      </c>
      <c r="BY45" s="1063">
        <f t="shared" si="51"/>
        <v>0</v>
      </c>
      <c r="BZ45" s="1063">
        <f t="shared" si="52"/>
        <v>0</v>
      </c>
      <c r="CA45" s="1063">
        <f t="shared" si="53"/>
        <v>0</v>
      </c>
      <c r="CB45" s="1067">
        <f t="shared" si="27"/>
        <v>0</v>
      </c>
      <c r="CD45" s="702">
        <f t="shared" si="54"/>
        <v>0</v>
      </c>
      <c r="CE45" s="1063">
        <f t="shared" si="28"/>
        <v>0</v>
      </c>
      <c r="CF45" s="1063">
        <f t="shared" si="29"/>
        <v>0</v>
      </c>
      <c r="CG45" s="1063">
        <f t="shared" si="30"/>
        <v>0</v>
      </c>
      <c r="CH45" s="702">
        <f t="shared" si="31"/>
        <v>0</v>
      </c>
      <c r="CI45" s="1063">
        <f t="shared" si="32"/>
        <v>0</v>
      </c>
      <c r="CJ45" s="702">
        <f t="shared" si="33"/>
        <v>0</v>
      </c>
      <c r="CK45" s="1063">
        <f t="shared" si="34"/>
        <v>0</v>
      </c>
      <c r="CL45" s="704">
        <f t="shared" si="35"/>
        <v>0</v>
      </c>
      <c r="CM45" s="702">
        <f t="shared" si="36"/>
        <v>0</v>
      </c>
      <c r="CO45" s="1061">
        <f t="shared" si="55"/>
        <v>0</v>
      </c>
      <c r="CP45" s="702">
        <f t="shared" si="56"/>
        <v>0</v>
      </c>
      <c r="CQ45" s="702">
        <f t="shared" si="57"/>
        <v>0</v>
      </c>
      <c r="CR45" s="702">
        <f t="shared" si="63"/>
        <v>0</v>
      </c>
      <c r="CS45" s="702">
        <f t="shared" si="58"/>
        <v>0</v>
      </c>
      <c r="CT45" s="702">
        <f t="shared" si="59"/>
        <v>0</v>
      </c>
      <c r="CU45" s="702">
        <f t="shared" si="60"/>
        <v>0</v>
      </c>
      <c r="CV45" s="1068">
        <f t="shared" si="37"/>
        <v>0</v>
      </c>
      <c r="CW45" s="1064">
        <f t="shared" si="61"/>
        <v>0</v>
      </c>
      <c r="FX45" s="701"/>
      <c r="FY45" s="701"/>
      <c r="FZ45" s="701"/>
      <c r="GA45" s="701"/>
      <c r="GB45" s="701"/>
      <c r="GC45" s="701"/>
      <c r="GD45" s="701"/>
      <c r="GE45" s="701"/>
      <c r="GF45" s="701"/>
      <c r="GG45" s="701"/>
      <c r="GH45" s="701"/>
      <c r="GI45" s="701"/>
      <c r="GJ45" s="701"/>
      <c r="GK45" s="701"/>
      <c r="GL45" s="701"/>
      <c r="GM45" s="701"/>
      <c r="GN45" s="701"/>
      <c r="GO45" s="701"/>
      <c r="GP45" s="701"/>
      <c r="GQ45" s="701"/>
      <c r="GR45" s="701"/>
      <c r="GS45" s="701"/>
      <c r="GT45" s="701"/>
      <c r="GU45" s="701"/>
      <c r="GV45" s="701"/>
      <c r="GW45" s="701"/>
      <c r="GX45" s="701"/>
      <c r="GY45" s="701"/>
      <c r="GZ45" s="701"/>
      <c r="HA45" s="701"/>
      <c r="HB45" s="701"/>
      <c r="HC45" s="701"/>
      <c r="HD45" s="701"/>
      <c r="HE45" s="701"/>
      <c r="HF45" s="701"/>
      <c r="HG45" s="701"/>
      <c r="HH45" s="701"/>
      <c r="HI45" s="701"/>
      <c r="HJ45" s="701"/>
      <c r="HK45" s="701"/>
      <c r="HL45" s="701"/>
      <c r="HM45" s="701"/>
      <c r="HN45" s="701"/>
      <c r="HO45" s="701"/>
      <c r="HP45" s="701"/>
      <c r="HQ45" s="701"/>
      <c r="HR45" s="701"/>
      <c r="HS45" s="701"/>
      <c r="HT45" s="701"/>
      <c r="HU45" s="701"/>
      <c r="HV45" s="701"/>
      <c r="HW45" s="701"/>
      <c r="HX45" s="701"/>
      <c r="HY45" s="701"/>
      <c r="HZ45" s="701"/>
      <c r="IA45" s="701"/>
    </row>
    <row r="46" spans="2:235" s="702" customFormat="1" ht="20.149999999999999" customHeight="1" x14ac:dyDescent="0.35">
      <c r="B46" s="395"/>
      <c r="C46" s="396"/>
      <c r="D46" s="1991"/>
      <c r="E46" s="1992"/>
      <c r="F46" s="97"/>
      <c r="G46" s="777"/>
      <c r="H46" s="32"/>
      <c r="I46" s="779"/>
      <c r="J46" s="283"/>
      <c r="K46" s="781"/>
      <c r="L46" s="32"/>
      <c r="M46" s="211"/>
      <c r="N46" s="397"/>
      <c r="O46" s="212"/>
      <c r="P46" s="211"/>
      <c r="Q46" s="32"/>
      <c r="R46" s="722"/>
      <c r="S46" s="180">
        <v>1</v>
      </c>
      <c r="T46" s="554">
        <f t="shared" si="0"/>
        <v>0</v>
      </c>
      <c r="U46" s="32">
        <v>2</v>
      </c>
      <c r="V46" s="371"/>
      <c r="W46" s="32"/>
      <c r="X46" s="371"/>
      <c r="Y46" s="32"/>
      <c r="Z46" s="371"/>
      <c r="AA46" s="180"/>
      <c r="AB46" s="280"/>
      <c r="AC46" s="1380">
        <f t="shared" si="64"/>
        <v>0</v>
      </c>
      <c r="AD46" s="906">
        <f t="shared" si="38"/>
        <v>0</v>
      </c>
      <c r="AE46" s="794">
        <f t="shared" si="39"/>
        <v>0</v>
      </c>
      <c r="AF46" s="282">
        <f>SUM(BW46)*(1+M$64+Summary!P$64)</f>
        <v>0</v>
      </c>
      <c r="AG46" s="632" t="e">
        <f t="shared" si="1"/>
        <v>#DIV/0!</v>
      </c>
      <c r="AH46" s="1758">
        <f t="shared" si="40"/>
        <v>0</v>
      </c>
      <c r="AI46" s="769"/>
      <c r="AO46" s="702">
        <f t="shared" si="2"/>
        <v>0</v>
      </c>
      <c r="AP46" s="702">
        <f t="shared" si="41"/>
        <v>0</v>
      </c>
      <c r="AQ46" s="702">
        <f t="shared" si="3"/>
        <v>0</v>
      </c>
      <c r="AR46" s="702">
        <f t="shared" si="4"/>
        <v>0</v>
      </c>
      <c r="AS46" s="702">
        <f t="shared" si="5"/>
        <v>0</v>
      </c>
      <c r="AT46" s="702">
        <f t="shared" si="6"/>
        <v>0</v>
      </c>
      <c r="AU46" s="702">
        <f t="shared" si="7"/>
        <v>0</v>
      </c>
      <c r="AV46" s="1063">
        <f t="shared" si="42"/>
        <v>0</v>
      </c>
      <c r="AW46" s="1063">
        <f t="shared" si="8"/>
        <v>0</v>
      </c>
      <c r="AX46" s="702">
        <f t="shared" si="43"/>
        <v>0</v>
      </c>
      <c r="AY46" s="702">
        <f t="shared" si="9"/>
        <v>0</v>
      </c>
      <c r="AZ46" s="702">
        <f t="shared" si="10"/>
        <v>0</v>
      </c>
      <c r="BA46" s="702">
        <f t="shared" si="11"/>
        <v>0</v>
      </c>
      <c r="BB46" s="702">
        <f t="shared" si="12"/>
        <v>0</v>
      </c>
      <c r="BC46" s="702">
        <f t="shared" si="13"/>
        <v>0</v>
      </c>
      <c r="BD46" s="1063">
        <f t="shared" si="44"/>
        <v>0</v>
      </c>
      <c r="BE46" s="1064">
        <f t="shared" si="14"/>
        <v>0</v>
      </c>
      <c r="BF46" s="1063">
        <f t="shared" si="15"/>
        <v>0</v>
      </c>
      <c r="BG46" s="1065">
        <f t="shared" si="16"/>
        <v>0</v>
      </c>
      <c r="BH46" s="702">
        <f t="shared" si="17"/>
        <v>0</v>
      </c>
      <c r="BI46" s="1063">
        <f t="shared" si="45"/>
        <v>0</v>
      </c>
      <c r="BJ46" s="1063">
        <f t="shared" si="18"/>
        <v>0</v>
      </c>
      <c r="BK46" s="1063">
        <f t="shared" si="19"/>
        <v>0</v>
      </c>
      <c r="BL46" s="1063">
        <f t="shared" si="20"/>
        <v>0</v>
      </c>
      <c r="BM46" s="1063">
        <f t="shared" si="21"/>
        <v>0</v>
      </c>
      <c r="BN46" s="1064">
        <f t="shared" si="46"/>
        <v>0</v>
      </c>
      <c r="BO46" s="1761">
        <f t="shared" si="47"/>
        <v>0</v>
      </c>
      <c r="BP46" s="1063">
        <f t="shared" si="48"/>
        <v>0</v>
      </c>
      <c r="BQ46" s="1064">
        <f t="shared" si="22"/>
        <v>0</v>
      </c>
      <c r="BR46" s="1063">
        <f t="shared" si="23"/>
        <v>0</v>
      </c>
      <c r="BS46" s="1063">
        <f t="shared" si="49"/>
        <v>0</v>
      </c>
      <c r="BT46" s="1064">
        <f t="shared" si="24"/>
        <v>0</v>
      </c>
      <c r="BU46" s="1064">
        <f t="shared" si="25"/>
        <v>0</v>
      </c>
      <c r="BV46" s="1064">
        <f t="shared" si="50"/>
        <v>0</v>
      </c>
      <c r="BW46" s="1066">
        <f t="shared" si="26"/>
        <v>0</v>
      </c>
      <c r="BX46" s="1063">
        <f>(BI46*Pricing!F$2+BJ46*Pricing!G$2+BK46*Pricing!H$2+BL46*Pricing!I$2+BM46*Pricing!J$2+BN46*Pricing!K$2)*IF(AC$63="N",(1+AE$63),1)</f>
        <v>0</v>
      </c>
      <c r="BY46" s="1063">
        <f t="shared" si="51"/>
        <v>0</v>
      </c>
      <c r="BZ46" s="1063">
        <f t="shared" si="52"/>
        <v>0</v>
      </c>
      <c r="CA46" s="1063">
        <f t="shared" si="53"/>
        <v>0</v>
      </c>
      <c r="CB46" s="1067">
        <f t="shared" si="27"/>
        <v>0</v>
      </c>
      <c r="CD46" s="702">
        <f t="shared" si="54"/>
        <v>0</v>
      </c>
      <c r="CE46" s="1063">
        <f t="shared" si="28"/>
        <v>0</v>
      </c>
      <c r="CF46" s="1063">
        <f t="shared" si="29"/>
        <v>0</v>
      </c>
      <c r="CG46" s="1063">
        <f t="shared" si="30"/>
        <v>0</v>
      </c>
      <c r="CH46" s="702">
        <f t="shared" si="31"/>
        <v>0</v>
      </c>
      <c r="CI46" s="1063">
        <f t="shared" si="32"/>
        <v>0</v>
      </c>
      <c r="CJ46" s="702">
        <f t="shared" si="33"/>
        <v>0</v>
      </c>
      <c r="CK46" s="1063">
        <f t="shared" si="34"/>
        <v>0</v>
      </c>
      <c r="CL46" s="704">
        <f t="shared" si="35"/>
        <v>0</v>
      </c>
      <c r="CM46" s="702">
        <f t="shared" si="36"/>
        <v>0</v>
      </c>
      <c r="CO46" s="1061">
        <f t="shared" si="55"/>
        <v>0</v>
      </c>
      <c r="CP46" s="702">
        <f t="shared" si="56"/>
        <v>0</v>
      </c>
      <c r="CQ46" s="702">
        <f t="shared" si="57"/>
        <v>0</v>
      </c>
      <c r="CR46" s="702">
        <f t="shared" si="63"/>
        <v>0</v>
      </c>
      <c r="CS46" s="702">
        <f t="shared" si="58"/>
        <v>0</v>
      </c>
      <c r="CT46" s="702">
        <f t="shared" si="59"/>
        <v>0</v>
      </c>
      <c r="CU46" s="702">
        <f t="shared" si="60"/>
        <v>0</v>
      </c>
      <c r="CV46" s="1068">
        <f t="shared" si="37"/>
        <v>0</v>
      </c>
      <c r="CW46" s="1064">
        <f t="shared" si="61"/>
        <v>0</v>
      </c>
      <c r="FX46" s="701"/>
      <c r="FY46" s="701"/>
      <c r="FZ46" s="701"/>
      <c r="GA46" s="701"/>
      <c r="GB46" s="701"/>
      <c r="GC46" s="701"/>
      <c r="GD46" s="701"/>
      <c r="GE46" s="701"/>
      <c r="GF46" s="701"/>
      <c r="GG46" s="701"/>
      <c r="GH46" s="701"/>
      <c r="GI46" s="701"/>
      <c r="GJ46" s="701"/>
      <c r="GK46" s="701"/>
      <c r="GL46" s="701"/>
      <c r="GM46" s="701"/>
      <c r="GN46" s="701"/>
      <c r="GO46" s="701"/>
      <c r="GP46" s="701"/>
      <c r="GQ46" s="701"/>
      <c r="GR46" s="701"/>
      <c r="GS46" s="701"/>
      <c r="GT46" s="701"/>
      <c r="GU46" s="701"/>
      <c r="GV46" s="701"/>
      <c r="GW46" s="701"/>
      <c r="GX46" s="701"/>
      <c r="GY46" s="701"/>
      <c r="GZ46" s="701"/>
      <c r="HA46" s="701"/>
      <c r="HB46" s="701"/>
      <c r="HC46" s="701"/>
      <c r="HD46" s="701"/>
      <c r="HE46" s="701"/>
      <c r="HF46" s="701"/>
      <c r="HG46" s="701"/>
      <c r="HH46" s="701"/>
      <c r="HI46" s="701"/>
      <c r="HJ46" s="701"/>
      <c r="HK46" s="701"/>
      <c r="HL46" s="701"/>
      <c r="HM46" s="701"/>
      <c r="HN46" s="701"/>
      <c r="HO46" s="701"/>
      <c r="HP46" s="701"/>
      <c r="HQ46" s="701"/>
      <c r="HR46" s="701"/>
      <c r="HS46" s="701"/>
      <c r="HT46" s="701"/>
      <c r="HU46" s="701"/>
      <c r="HV46" s="701"/>
      <c r="HW46" s="701"/>
      <c r="HX46" s="701"/>
      <c r="HY46" s="701"/>
      <c r="HZ46" s="701"/>
      <c r="IA46" s="701"/>
    </row>
    <row r="47" spans="2:235" s="702" customFormat="1" ht="20.149999999999999" customHeight="1" x14ac:dyDescent="0.35">
      <c r="B47" s="603"/>
      <c r="C47" s="396"/>
      <c r="D47" s="2001"/>
      <c r="E47" s="2002"/>
      <c r="F47" s="127"/>
      <c r="G47" s="777"/>
      <c r="H47" s="30"/>
      <c r="I47" s="777"/>
      <c r="J47" s="284"/>
      <c r="K47" s="781"/>
      <c r="L47" s="30"/>
      <c r="M47" s="121"/>
      <c r="N47" s="394"/>
      <c r="O47" s="207"/>
      <c r="P47" s="206"/>
      <c r="Q47" s="31"/>
      <c r="R47" s="723"/>
      <c r="S47" s="176">
        <v>1</v>
      </c>
      <c r="T47" s="555">
        <f t="shared" si="0"/>
        <v>0</v>
      </c>
      <c r="U47" s="30">
        <v>2</v>
      </c>
      <c r="V47" s="370"/>
      <c r="W47" s="30"/>
      <c r="X47" s="370"/>
      <c r="Y47" s="30"/>
      <c r="Z47" s="370"/>
      <c r="AA47" s="176"/>
      <c r="AB47" s="278"/>
      <c r="AC47" s="1380">
        <f t="shared" si="62"/>
        <v>0</v>
      </c>
      <c r="AD47" s="906">
        <f t="shared" si="38"/>
        <v>0</v>
      </c>
      <c r="AE47" s="794">
        <f t="shared" si="39"/>
        <v>0</v>
      </c>
      <c r="AF47" s="282">
        <f>SUM(BW47)*(1+M$64+Summary!P$64)</f>
        <v>0</v>
      </c>
      <c r="AG47" s="632" t="e">
        <f t="shared" si="1"/>
        <v>#DIV/0!</v>
      </c>
      <c r="AH47" s="1758">
        <f t="shared" si="40"/>
        <v>0</v>
      </c>
      <c r="AI47" s="769"/>
      <c r="AO47" s="702">
        <f t="shared" si="2"/>
        <v>0</v>
      </c>
      <c r="AP47" s="702">
        <f t="shared" si="41"/>
        <v>0</v>
      </c>
      <c r="AQ47" s="702">
        <f t="shared" si="3"/>
        <v>0</v>
      </c>
      <c r="AR47" s="702">
        <f t="shared" si="4"/>
        <v>0</v>
      </c>
      <c r="AS47" s="702">
        <f t="shared" si="5"/>
        <v>0</v>
      </c>
      <c r="AT47" s="702">
        <f t="shared" si="6"/>
        <v>0</v>
      </c>
      <c r="AU47" s="702">
        <f t="shared" si="7"/>
        <v>0</v>
      </c>
      <c r="AV47" s="1063">
        <f t="shared" si="42"/>
        <v>0</v>
      </c>
      <c r="AW47" s="1063">
        <f t="shared" si="8"/>
        <v>0</v>
      </c>
      <c r="AX47" s="702">
        <f t="shared" si="43"/>
        <v>0</v>
      </c>
      <c r="AY47" s="702">
        <f t="shared" si="9"/>
        <v>0</v>
      </c>
      <c r="AZ47" s="702">
        <f t="shared" si="10"/>
        <v>0</v>
      </c>
      <c r="BA47" s="702">
        <f t="shared" si="11"/>
        <v>0</v>
      </c>
      <c r="BB47" s="702">
        <f t="shared" si="12"/>
        <v>0</v>
      </c>
      <c r="BC47" s="702">
        <f t="shared" si="13"/>
        <v>0</v>
      </c>
      <c r="BD47" s="1063">
        <f t="shared" si="44"/>
        <v>0</v>
      </c>
      <c r="BE47" s="1064">
        <f t="shared" si="14"/>
        <v>0</v>
      </c>
      <c r="BF47" s="1063">
        <f t="shared" si="15"/>
        <v>0</v>
      </c>
      <c r="BG47" s="1065">
        <f t="shared" si="16"/>
        <v>0</v>
      </c>
      <c r="BH47" s="702">
        <f t="shared" si="17"/>
        <v>0</v>
      </c>
      <c r="BI47" s="1063">
        <f t="shared" si="45"/>
        <v>0</v>
      </c>
      <c r="BJ47" s="1063">
        <f t="shared" si="18"/>
        <v>0</v>
      </c>
      <c r="BK47" s="1063">
        <f t="shared" si="19"/>
        <v>0</v>
      </c>
      <c r="BL47" s="1063">
        <f t="shared" si="20"/>
        <v>0</v>
      </c>
      <c r="BM47" s="1063">
        <f t="shared" si="21"/>
        <v>0</v>
      </c>
      <c r="BN47" s="1064">
        <f t="shared" si="46"/>
        <v>0</v>
      </c>
      <c r="BO47" s="1761">
        <f t="shared" si="47"/>
        <v>0</v>
      </c>
      <c r="BP47" s="1063">
        <f t="shared" si="48"/>
        <v>0</v>
      </c>
      <c r="BQ47" s="1064">
        <f t="shared" si="22"/>
        <v>0</v>
      </c>
      <c r="BR47" s="1063">
        <f t="shared" si="23"/>
        <v>0</v>
      </c>
      <c r="BS47" s="1063">
        <f t="shared" si="49"/>
        <v>0</v>
      </c>
      <c r="BT47" s="1064">
        <f t="shared" si="24"/>
        <v>0</v>
      </c>
      <c r="BU47" s="1064">
        <f t="shared" si="25"/>
        <v>0</v>
      </c>
      <c r="BV47" s="1064">
        <f t="shared" si="50"/>
        <v>0</v>
      </c>
      <c r="BW47" s="1066">
        <f t="shared" si="26"/>
        <v>0</v>
      </c>
      <c r="BX47" s="1063">
        <f>(BI47*Pricing!F$2+BJ47*Pricing!G$2+BK47*Pricing!H$2+BL47*Pricing!I$2+BM47*Pricing!J$2+BN47*Pricing!K$2)*IF(AC$63="N",(1+AE$63),1)</f>
        <v>0</v>
      </c>
      <c r="BY47" s="1063">
        <f t="shared" si="51"/>
        <v>0</v>
      </c>
      <c r="BZ47" s="1063">
        <f t="shared" si="52"/>
        <v>0</v>
      </c>
      <c r="CA47" s="1063">
        <f t="shared" si="53"/>
        <v>0</v>
      </c>
      <c r="CB47" s="1067">
        <f t="shared" si="27"/>
        <v>0</v>
      </c>
      <c r="CD47" s="702">
        <f t="shared" si="54"/>
        <v>0</v>
      </c>
      <c r="CE47" s="1063">
        <f t="shared" si="28"/>
        <v>0</v>
      </c>
      <c r="CF47" s="1063">
        <f t="shared" si="29"/>
        <v>0</v>
      </c>
      <c r="CG47" s="1063">
        <f t="shared" si="30"/>
        <v>0</v>
      </c>
      <c r="CH47" s="702">
        <f t="shared" si="31"/>
        <v>0</v>
      </c>
      <c r="CI47" s="1063">
        <f t="shared" si="32"/>
        <v>0</v>
      </c>
      <c r="CJ47" s="702">
        <f t="shared" si="33"/>
        <v>0</v>
      </c>
      <c r="CK47" s="1063">
        <f t="shared" si="34"/>
        <v>0</v>
      </c>
      <c r="CL47" s="704">
        <f t="shared" si="35"/>
        <v>0</v>
      </c>
      <c r="CM47" s="702">
        <f t="shared" si="36"/>
        <v>0</v>
      </c>
      <c r="CO47" s="1061">
        <f t="shared" si="55"/>
        <v>0</v>
      </c>
      <c r="CP47" s="702">
        <f t="shared" si="56"/>
        <v>0</v>
      </c>
      <c r="CQ47" s="702">
        <f t="shared" si="57"/>
        <v>0</v>
      </c>
      <c r="CR47" s="702">
        <f t="shared" si="63"/>
        <v>0</v>
      </c>
      <c r="CS47" s="702">
        <f t="shared" si="58"/>
        <v>0</v>
      </c>
      <c r="CT47" s="702">
        <f t="shared" si="59"/>
        <v>0</v>
      </c>
      <c r="CU47" s="702">
        <f t="shared" si="60"/>
        <v>0</v>
      </c>
      <c r="CV47" s="1068">
        <f t="shared" si="37"/>
        <v>0</v>
      </c>
      <c r="CW47" s="1064">
        <f t="shared" si="61"/>
        <v>0</v>
      </c>
      <c r="FX47" s="701"/>
      <c r="FY47" s="701"/>
      <c r="FZ47" s="701"/>
      <c r="GA47" s="701"/>
      <c r="GB47" s="701"/>
      <c r="GC47" s="701"/>
      <c r="GD47" s="701"/>
      <c r="GE47" s="701"/>
      <c r="GF47" s="701"/>
      <c r="GG47" s="701"/>
      <c r="GH47" s="701"/>
      <c r="GI47" s="701"/>
      <c r="GJ47" s="701"/>
      <c r="GK47" s="701"/>
      <c r="GL47" s="701"/>
      <c r="GM47" s="701"/>
      <c r="GN47" s="701"/>
      <c r="GO47" s="701"/>
      <c r="GP47" s="701"/>
      <c r="GQ47" s="701"/>
      <c r="GR47" s="701"/>
      <c r="GS47" s="701"/>
      <c r="GT47" s="701"/>
      <c r="GU47" s="701"/>
      <c r="GV47" s="701"/>
      <c r="GW47" s="701"/>
      <c r="GX47" s="701"/>
      <c r="GY47" s="701"/>
      <c r="GZ47" s="701"/>
      <c r="HA47" s="701"/>
      <c r="HB47" s="701"/>
      <c r="HC47" s="701"/>
      <c r="HD47" s="701"/>
      <c r="HE47" s="701"/>
      <c r="HF47" s="701"/>
      <c r="HG47" s="701"/>
      <c r="HH47" s="701"/>
      <c r="HI47" s="701"/>
      <c r="HJ47" s="701"/>
      <c r="HK47" s="701"/>
      <c r="HL47" s="701"/>
      <c r="HM47" s="701"/>
      <c r="HN47" s="701"/>
      <c r="HO47" s="701"/>
      <c r="HP47" s="701"/>
      <c r="HQ47" s="701"/>
      <c r="HR47" s="701"/>
      <c r="HS47" s="701"/>
      <c r="HT47" s="701"/>
      <c r="HU47" s="701"/>
      <c r="HV47" s="701"/>
      <c r="HW47" s="701"/>
      <c r="HX47" s="701"/>
      <c r="HY47" s="701"/>
      <c r="HZ47" s="701"/>
      <c r="IA47" s="701"/>
    </row>
    <row r="48" spans="2:235" s="702" customFormat="1" ht="20.149999999999999" customHeight="1" thickBot="1" x14ac:dyDescent="0.4">
      <c r="B48" s="1753"/>
      <c r="C48" s="399"/>
      <c r="D48" s="1993"/>
      <c r="E48" s="1994"/>
      <c r="F48" s="129"/>
      <c r="G48" s="778"/>
      <c r="H48" s="33"/>
      <c r="I48" s="780"/>
      <c r="J48" s="285"/>
      <c r="K48" s="782"/>
      <c r="L48" s="33"/>
      <c r="M48" s="128"/>
      <c r="N48" s="400"/>
      <c r="O48" s="221"/>
      <c r="P48" s="128"/>
      <c r="Q48" s="33"/>
      <c r="R48" s="724"/>
      <c r="S48" s="182">
        <v>1</v>
      </c>
      <c r="T48" s="624">
        <f t="shared" si="0"/>
        <v>0</v>
      </c>
      <c r="U48" s="33">
        <v>2</v>
      </c>
      <c r="V48" s="373"/>
      <c r="W48" s="33"/>
      <c r="X48" s="373"/>
      <c r="Y48" s="33"/>
      <c r="Z48" s="373"/>
      <c r="AA48" s="182"/>
      <c r="AB48" s="281"/>
      <c r="AC48" s="1447">
        <f>IF(BG48=0,0,SUM(BD48:BE48)/BG48)</f>
        <v>0</v>
      </c>
      <c r="AD48" s="1383">
        <f t="shared" si="38"/>
        <v>0</v>
      </c>
      <c r="AE48" s="795">
        <f t="shared" si="39"/>
        <v>0</v>
      </c>
      <c r="AF48" s="512">
        <f>SUM(BW48)*(1+M$64+Summary!P$64)</f>
        <v>0</v>
      </c>
      <c r="AG48" s="633" t="e">
        <f t="shared" si="1"/>
        <v>#DIV/0!</v>
      </c>
      <c r="AH48" s="1759">
        <f t="shared" si="40"/>
        <v>0</v>
      </c>
      <c r="AI48" s="769"/>
      <c r="AO48" s="702">
        <f t="shared" si="2"/>
        <v>0</v>
      </c>
      <c r="AP48" s="702">
        <f t="shared" si="41"/>
        <v>0</v>
      </c>
      <c r="AQ48" s="702">
        <f t="shared" si="3"/>
        <v>0</v>
      </c>
      <c r="AR48" s="702">
        <f t="shared" si="4"/>
        <v>0</v>
      </c>
      <c r="AS48" s="702">
        <f t="shared" si="5"/>
        <v>0</v>
      </c>
      <c r="AT48" s="702">
        <f t="shared" si="6"/>
        <v>0</v>
      </c>
      <c r="AU48" s="702">
        <f t="shared" si="7"/>
        <v>0</v>
      </c>
      <c r="AV48" s="1063">
        <f t="shared" si="42"/>
        <v>0</v>
      </c>
      <c r="AW48" s="1063">
        <f t="shared" si="8"/>
        <v>0</v>
      </c>
      <c r="AX48" s="702">
        <f t="shared" si="43"/>
        <v>0</v>
      </c>
      <c r="AY48" s="702">
        <f t="shared" si="9"/>
        <v>0</v>
      </c>
      <c r="AZ48" s="702">
        <f t="shared" si="10"/>
        <v>0</v>
      </c>
      <c r="BA48" s="702">
        <f t="shared" si="11"/>
        <v>0</v>
      </c>
      <c r="BB48" s="702">
        <f t="shared" si="12"/>
        <v>0</v>
      </c>
      <c r="BC48" s="702">
        <f t="shared" si="13"/>
        <v>0</v>
      </c>
      <c r="BD48" s="1063">
        <f t="shared" si="44"/>
        <v>0</v>
      </c>
      <c r="BE48" s="1064">
        <f t="shared" si="14"/>
        <v>0</v>
      </c>
      <c r="BF48" s="1063">
        <f t="shared" si="15"/>
        <v>0</v>
      </c>
      <c r="BG48" s="1065">
        <f t="shared" si="16"/>
        <v>0</v>
      </c>
      <c r="BH48" s="702">
        <f t="shared" si="17"/>
        <v>0</v>
      </c>
      <c r="BI48" s="1063">
        <f t="shared" si="45"/>
        <v>0</v>
      </c>
      <c r="BJ48" s="1063">
        <f t="shared" si="18"/>
        <v>0</v>
      </c>
      <c r="BK48" s="1063">
        <f t="shared" si="19"/>
        <v>0</v>
      </c>
      <c r="BL48" s="1063">
        <f t="shared" si="20"/>
        <v>0</v>
      </c>
      <c r="BM48" s="1063">
        <f t="shared" si="21"/>
        <v>0</v>
      </c>
      <c r="BN48" s="1064">
        <f t="shared" si="46"/>
        <v>0</v>
      </c>
      <c r="BO48" s="1761">
        <f t="shared" si="47"/>
        <v>0</v>
      </c>
      <c r="BP48" s="1063">
        <f t="shared" si="48"/>
        <v>0</v>
      </c>
      <c r="BQ48" s="1064">
        <f t="shared" si="22"/>
        <v>0</v>
      </c>
      <c r="BR48" s="1063">
        <f t="shared" si="23"/>
        <v>0</v>
      </c>
      <c r="BS48" s="1063">
        <f t="shared" si="49"/>
        <v>0</v>
      </c>
      <c r="BT48" s="1064">
        <f t="shared" si="24"/>
        <v>0</v>
      </c>
      <c r="BU48" s="1064">
        <f t="shared" si="25"/>
        <v>0</v>
      </c>
      <c r="BV48" s="1064">
        <f t="shared" si="50"/>
        <v>0</v>
      </c>
      <c r="BW48" s="1066">
        <f t="shared" si="26"/>
        <v>0</v>
      </c>
      <c r="BX48" s="1063">
        <f>(BI48*Pricing!F$2+BJ48*Pricing!G$2+BK48*Pricing!H$2+BL48*Pricing!I$2+BM48*Pricing!J$2+BN48*Pricing!K$2)*IF(AC$63="N",(1+AE$63),1)</f>
        <v>0</v>
      </c>
      <c r="BY48" s="1063">
        <f t="shared" si="51"/>
        <v>0</v>
      </c>
      <c r="BZ48" s="1063">
        <f t="shared" si="52"/>
        <v>0</v>
      </c>
      <c r="CA48" s="1063">
        <f t="shared" si="53"/>
        <v>0</v>
      </c>
      <c r="CB48" s="1067">
        <f t="shared" si="27"/>
        <v>0</v>
      </c>
      <c r="CD48" s="702">
        <f t="shared" si="54"/>
        <v>0</v>
      </c>
      <c r="CE48" s="1063">
        <f t="shared" si="28"/>
        <v>0</v>
      </c>
      <c r="CF48" s="1063">
        <f t="shared" si="29"/>
        <v>0</v>
      </c>
      <c r="CG48" s="1063">
        <f t="shared" si="30"/>
        <v>0</v>
      </c>
      <c r="CH48" s="702">
        <f t="shared" si="31"/>
        <v>0</v>
      </c>
      <c r="CI48" s="1063">
        <f t="shared" si="32"/>
        <v>0</v>
      </c>
      <c r="CJ48" s="702">
        <f t="shared" si="33"/>
        <v>0</v>
      </c>
      <c r="CK48" s="1063">
        <f t="shared" si="34"/>
        <v>0</v>
      </c>
      <c r="CL48" s="704">
        <f t="shared" si="35"/>
        <v>0</v>
      </c>
      <c r="CM48" s="702">
        <f t="shared" si="36"/>
        <v>0</v>
      </c>
      <c r="CO48" s="1061">
        <f t="shared" si="55"/>
        <v>0</v>
      </c>
      <c r="CP48" s="702">
        <f t="shared" si="56"/>
        <v>0</v>
      </c>
      <c r="CQ48" s="702">
        <f t="shared" si="57"/>
        <v>0</v>
      </c>
      <c r="CR48" s="702">
        <f t="shared" si="63"/>
        <v>0</v>
      </c>
      <c r="CS48" s="702">
        <f t="shared" si="58"/>
        <v>0</v>
      </c>
      <c r="CT48" s="702">
        <f t="shared" si="59"/>
        <v>0</v>
      </c>
      <c r="CU48" s="702">
        <f t="shared" si="60"/>
        <v>0</v>
      </c>
      <c r="CV48" s="1068">
        <f t="shared" si="37"/>
        <v>0</v>
      </c>
      <c r="CW48" s="1064">
        <f t="shared" si="61"/>
        <v>0</v>
      </c>
      <c r="FX48" s="701"/>
      <c r="FY48" s="701"/>
      <c r="FZ48" s="701"/>
      <c r="GA48" s="701"/>
      <c r="GB48" s="701"/>
      <c r="GC48" s="701"/>
      <c r="GD48" s="701"/>
      <c r="GE48" s="701"/>
      <c r="GF48" s="701"/>
      <c r="GG48" s="701"/>
      <c r="GH48" s="701"/>
      <c r="GI48" s="701"/>
      <c r="GJ48" s="701"/>
      <c r="GK48" s="701"/>
      <c r="GL48" s="701"/>
      <c r="GM48" s="701"/>
      <c r="GN48" s="701"/>
      <c r="GO48" s="701"/>
      <c r="GP48" s="701"/>
      <c r="GQ48" s="701"/>
      <c r="GR48" s="701"/>
      <c r="GS48" s="701"/>
      <c r="GT48" s="701"/>
      <c r="GU48" s="701"/>
      <c r="GV48" s="701"/>
      <c r="GW48" s="701"/>
      <c r="GX48" s="701"/>
      <c r="GY48" s="701"/>
      <c r="GZ48" s="701"/>
      <c r="HA48" s="701"/>
      <c r="HB48" s="701"/>
      <c r="HC48" s="701"/>
      <c r="HD48" s="701"/>
      <c r="HE48" s="701"/>
      <c r="HF48" s="701"/>
      <c r="HG48" s="701"/>
      <c r="HH48" s="701"/>
      <c r="HI48" s="701"/>
      <c r="HJ48" s="701"/>
      <c r="HK48" s="701"/>
      <c r="HL48" s="701"/>
      <c r="HM48" s="701"/>
      <c r="HN48" s="701"/>
      <c r="HO48" s="701"/>
      <c r="HP48" s="701"/>
      <c r="HQ48" s="701"/>
      <c r="HR48" s="701"/>
      <c r="HS48" s="701"/>
      <c r="HT48" s="701"/>
      <c r="HU48" s="701"/>
      <c r="HV48" s="701"/>
      <c r="HW48" s="701"/>
      <c r="HX48" s="701"/>
      <c r="HY48" s="701"/>
      <c r="HZ48" s="701"/>
      <c r="IA48" s="701"/>
    </row>
    <row r="49" spans="2:238" s="702" customFormat="1" ht="34.5" customHeight="1" thickBot="1" x14ac:dyDescent="0.4">
      <c r="B49" s="42"/>
      <c r="C49" s="363" t="s">
        <v>724</v>
      </c>
      <c r="D49" s="1983">
        <f>SUM(BT49)</f>
        <v>0</v>
      </c>
      <c r="E49" s="1984"/>
      <c r="F49" s="42"/>
      <c r="G49" s="57">
        <f>SUM(G11:G48)</f>
        <v>0</v>
      </c>
      <c r="H49" s="298"/>
      <c r="I49" s="298"/>
      <c r="J49" s="298"/>
      <c r="K49" s="541">
        <f>SUM(K11:K48)</f>
        <v>0</v>
      </c>
      <c r="L49" s="298"/>
      <c r="M49" s="298"/>
      <c r="N49" s="298"/>
      <c r="O49" s="298"/>
      <c r="P49" s="298"/>
      <c r="Q49" s="298"/>
      <c r="R49" s="298"/>
      <c r="S49" s="306"/>
      <c r="T49" s="376"/>
      <c r="U49" s="298"/>
      <c r="V49" s="299"/>
      <c r="W49" s="298"/>
      <c r="X49" s="299"/>
      <c r="Y49" s="298"/>
      <c r="Z49" s="299"/>
      <c r="AA49" s="1921" t="s">
        <v>729</v>
      </c>
      <c r="AB49" s="1922"/>
      <c r="AC49" s="304"/>
      <c r="AD49" s="299"/>
      <c r="AE49" s="299"/>
      <c r="AF49" s="1756">
        <f>AG49-AH49</f>
        <v>0</v>
      </c>
      <c r="AG49" s="1755">
        <f>E64</f>
        <v>0</v>
      </c>
      <c r="AH49" s="1754">
        <f>SUM(AH11:AH48)</f>
        <v>0</v>
      </c>
      <c r="AI49" s="769"/>
      <c r="AV49" s="702">
        <f>SUM(AV11:AV48)</f>
        <v>0</v>
      </c>
      <c r="BB49" s="702">
        <f>SUM(BB11:BB48)</f>
        <v>0</v>
      </c>
      <c r="BC49" s="702">
        <f>SUM(BC11:BC48)</f>
        <v>0</v>
      </c>
      <c r="BD49" s="1064">
        <f>SUM(BD11:BD48)</f>
        <v>0</v>
      </c>
      <c r="BE49" s="1063">
        <f>SUM(BE11:BE48)</f>
        <v>0</v>
      </c>
      <c r="BF49" s="702">
        <f>SUM(BF11:BF48)</f>
        <v>0</v>
      </c>
      <c r="BG49" s="1065">
        <f>SUM(BG11:BG48)/2</f>
        <v>0</v>
      </c>
      <c r="BH49" s="1065">
        <f>SUM(BH11:BH48)</f>
        <v>0</v>
      </c>
      <c r="BI49" s="1069">
        <f>SUM(BI11:BI48)</f>
        <v>0</v>
      </c>
      <c r="BJ49" s="1069">
        <f t="shared" ref="BJ49:BU49" si="65">SUM(BJ11:BJ48)</f>
        <v>0</v>
      </c>
      <c r="BK49" s="1069">
        <f t="shared" si="65"/>
        <v>0</v>
      </c>
      <c r="BL49" s="1069">
        <f t="shared" si="65"/>
        <v>0</v>
      </c>
      <c r="BM49" s="1069">
        <f t="shared" si="65"/>
        <v>0</v>
      </c>
      <c r="BN49" s="1069">
        <f t="shared" si="65"/>
        <v>0</v>
      </c>
      <c r="BO49" s="1761">
        <f t="shared" si="65"/>
        <v>0</v>
      </c>
      <c r="BP49" s="1069">
        <f t="shared" si="65"/>
        <v>0</v>
      </c>
      <c r="BQ49" s="1069">
        <f t="shared" si="65"/>
        <v>0</v>
      </c>
      <c r="BR49" s="1069">
        <f>SUM(BR11:BS48)</f>
        <v>0</v>
      </c>
      <c r="BS49" s="1069"/>
      <c r="BT49" s="1069">
        <f t="shared" si="65"/>
        <v>0</v>
      </c>
      <c r="BU49" s="1069">
        <f t="shared" si="65"/>
        <v>0</v>
      </c>
      <c r="BV49" s="1064">
        <f>SUM(BV11:BV48)</f>
        <v>0</v>
      </c>
      <c r="BW49" s="1069"/>
      <c r="BX49" s="1069">
        <f t="shared" ref="BX49:CN49" si="66">SUM(BX11:BX48)</f>
        <v>0</v>
      </c>
      <c r="BY49" s="1069">
        <f t="shared" si="66"/>
        <v>0</v>
      </c>
      <c r="BZ49" s="1069">
        <f t="shared" si="66"/>
        <v>0</v>
      </c>
      <c r="CA49" s="1069">
        <f t="shared" si="66"/>
        <v>0</v>
      </c>
      <c r="CB49" s="1069">
        <f t="shared" si="66"/>
        <v>0</v>
      </c>
      <c r="CC49" s="1069">
        <f t="shared" si="66"/>
        <v>0</v>
      </c>
      <c r="CD49" s="1069">
        <f t="shared" si="66"/>
        <v>0</v>
      </c>
      <c r="CE49" s="1069">
        <f t="shared" si="66"/>
        <v>0</v>
      </c>
      <c r="CF49" s="1069">
        <f t="shared" si="66"/>
        <v>0</v>
      </c>
      <c r="CG49" s="1069">
        <f t="shared" si="66"/>
        <v>0</v>
      </c>
      <c r="CH49" s="1069">
        <f t="shared" si="66"/>
        <v>0</v>
      </c>
      <c r="CI49" s="1069">
        <f t="shared" si="66"/>
        <v>0</v>
      </c>
      <c r="CJ49" s="1069">
        <f t="shared" si="66"/>
        <v>0</v>
      </c>
      <c r="CK49" s="1069">
        <f t="shared" si="66"/>
        <v>0</v>
      </c>
      <c r="CL49" s="1069">
        <f t="shared" si="66"/>
        <v>0</v>
      </c>
      <c r="CM49" s="1069">
        <f t="shared" si="66"/>
        <v>0</v>
      </c>
      <c r="CN49" s="1069">
        <f t="shared" si="66"/>
        <v>0</v>
      </c>
      <c r="CO49" s="1752">
        <f>SUM(CO11:CO48)</f>
        <v>0</v>
      </c>
      <c r="CP49" s="1752">
        <f t="shared" ref="CP49:CV49" si="67">SUM(CP11:CP48)</f>
        <v>0</v>
      </c>
      <c r="CQ49" s="1752">
        <f t="shared" si="67"/>
        <v>0</v>
      </c>
      <c r="CR49" s="1752">
        <f t="shared" si="67"/>
        <v>0</v>
      </c>
      <c r="CS49" s="1752">
        <f t="shared" si="67"/>
        <v>0</v>
      </c>
      <c r="CT49" s="1752">
        <f t="shared" si="67"/>
        <v>0</v>
      </c>
      <c r="CU49" s="1752">
        <f t="shared" si="67"/>
        <v>0</v>
      </c>
      <c r="CV49" s="1752">
        <f t="shared" si="67"/>
        <v>0</v>
      </c>
      <c r="CW49" s="1064">
        <f>SUM(CW11:CW48)</f>
        <v>0</v>
      </c>
      <c r="FZ49" s="769"/>
      <c r="GA49" s="769"/>
      <c r="GB49" s="769"/>
      <c r="GC49" s="769"/>
      <c r="GD49" s="769"/>
      <c r="GE49" s="769"/>
      <c r="GF49" s="769"/>
      <c r="GG49" s="769"/>
      <c r="GH49" s="769"/>
      <c r="GI49" s="769"/>
      <c r="GJ49" s="769"/>
      <c r="GK49" s="769"/>
      <c r="GL49" s="769"/>
      <c r="GM49" s="769"/>
      <c r="GN49" s="769"/>
      <c r="GO49" s="769"/>
      <c r="GP49" s="769"/>
      <c r="GQ49" s="769"/>
      <c r="GR49" s="769"/>
      <c r="GS49" s="769"/>
      <c r="GT49" s="769"/>
      <c r="GU49" s="769"/>
      <c r="GV49" s="769"/>
      <c r="GW49" s="769"/>
      <c r="GX49" s="769"/>
      <c r="GY49" s="769"/>
      <c r="GZ49" s="769"/>
      <c r="HA49" s="769"/>
      <c r="HB49" s="769"/>
      <c r="HC49" s="769"/>
      <c r="HD49" s="769"/>
      <c r="HE49" s="769"/>
      <c r="HF49" s="769"/>
      <c r="HG49" s="769"/>
      <c r="HH49" s="769"/>
      <c r="HI49" s="769"/>
      <c r="HJ49" s="769"/>
      <c r="HK49" s="769"/>
      <c r="HL49" s="769"/>
      <c r="HM49" s="769"/>
      <c r="HN49" s="769"/>
      <c r="HO49" s="769"/>
      <c r="HP49" s="769"/>
      <c r="HQ49" s="769"/>
      <c r="HR49" s="769"/>
      <c r="HS49" s="769"/>
      <c r="HT49" s="769"/>
      <c r="HU49" s="769"/>
      <c r="HV49" s="769"/>
      <c r="HW49" s="769"/>
      <c r="HX49" s="769"/>
      <c r="HY49" s="769"/>
      <c r="HZ49" s="769"/>
      <c r="IA49" s="769"/>
      <c r="IB49" s="769"/>
      <c r="IC49" s="769"/>
    </row>
    <row r="50" spans="2:238" s="702" customFormat="1" ht="29.25" customHeight="1" thickBot="1" x14ac:dyDescent="0.4">
      <c r="B50" s="2116" t="s">
        <v>495</v>
      </c>
      <c r="C50" s="1173" t="s">
        <v>65</v>
      </c>
      <c r="D50" s="1174"/>
      <c r="E50" s="1931" t="s">
        <v>289</v>
      </c>
      <c r="F50" s="1982"/>
      <c r="G50" s="1931" t="s">
        <v>579</v>
      </c>
      <c r="H50" s="1982"/>
      <c r="I50" s="1931" t="s">
        <v>318</v>
      </c>
      <c r="J50" s="1982"/>
      <c r="K50" s="1931" t="s">
        <v>319</v>
      </c>
      <c r="L50" s="1982"/>
      <c r="M50" s="1931" t="s">
        <v>324</v>
      </c>
      <c r="N50" s="1917"/>
      <c r="O50" s="1918"/>
      <c r="P50" s="1914" t="s">
        <v>296</v>
      </c>
      <c r="Q50" s="1912"/>
      <c r="R50" s="1912"/>
      <c r="S50" s="1919"/>
      <c r="T50" s="1912" t="s">
        <v>64</v>
      </c>
      <c r="U50" s="1912"/>
      <c r="V50" s="1912"/>
      <c r="W50" s="1912"/>
      <c r="X50" s="1912"/>
      <c r="Y50" s="1919"/>
      <c r="Z50" s="298"/>
      <c r="AA50" s="1923">
        <f>IF(I83=0,0,I83/SUM(L71:L73))</f>
        <v>0</v>
      </c>
      <c r="AB50" s="1924"/>
      <c r="AC50" s="298"/>
      <c r="AD50" s="298"/>
      <c r="AE50" s="299"/>
      <c r="AF50" s="299"/>
      <c r="AG50" s="769"/>
      <c r="AH50" s="769"/>
      <c r="AI50" s="769"/>
      <c r="BW50" s="704">
        <f>SUM(BX50:CK50)</f>
        <v>0</v>
      </c>
      <c r="BX50" s="704">
        <f>SUM(O71:O73)</f>
        <v>0</v>
      </c>
      <c r="BY50" s="704">
        <f>O74</f>
        <v>0</v>
      </c>
      <c r="BZ50" s="704">
        <f>(O90-O87)+(L90-L87)</f>
        <v>0</v>
      </c>
      <c r="CA50" s="704">
        <f>P90-P87</f>
        <v>0</v>
      </c>
      <c r="CE50" s="704">
        <f>M93</f>
        <v>0</v>
      </c>
      <c r="CF50" s="704">
        <f>SUM(AF72:AF99)</f>
        <v>0</v>
      </c>
      <c r="CG50" s="704">
        <f>SUM(O98:P103)</f>
        <v>0</v>
      </c>
      <c r="CH50" s="704">
        <f>SUM(O105:P111)</f>
        <v>0</v>
      </c>
      <c r="CI50" s="704">
        <f>SUM(AF100:AF111)</f>
        <v>0</v>
      </c>
      <c r="CJ50" s="704">
        <f>O76</f>
        <v>0</v>
      </c>
      <c r="CM50" s="704">
        <f>O77</f>
        <v>0</v>
      </c>
      <c r="CO50" s="2109">
        <f>CW49</f>
        <v>0</v>
      </c>
      <c r="CP50" s="2110"/>
      <c r="CQ50" s="2110"/>
      <c r="CR50" s="2110"/>
      <c r="CS50" s="2110"/>
      <c r="CT50" s="2110"/>
      <c r="CU50" s="2110"/>
      <c r="CV50" s="2111"/>
      <c r="GA50" s="769"/>
      <c r="GB50" s="769"/>
      <c r="GC50" s="769"/>
      <c r="GD50" s="769"/>
      <c r="GE50" s="769"/>
      <c r="GF50" s="769"/>
      <c r="GG50" s="769"/>
      <c r="GH50" s="769"/>
      <c r="GI50" s="769"/>
      <c r="GJ50" s="769"/>
      <c r="GK50" s="769"/>
      <c r="GL50" s="769"/>
      <c r="GM50" s="769"/>
      <c r="GN50" s="769"/>
      <c r="GO50" s="769"/>
      <c r="GP50" s="769"/>
      <c r="GQ50" s="769"/>
      <c r="GR50" s="769"/>
      <c r="GS50" s="769"/>
      <c r="GT50" s="769"/>
      <c r="GU50" s="769"/>
      <c r="GV50" s="769"/>
      <c r="GW50" s="769"/>
      <c r="GX50" s="769"/>
      <c r="GY50" s="769"/>
      <c r="GZ50" s="769"/>
      <c r="HA50" s="769"/>
      <c r="HB50" s="769"/>
      <c r="HC50" s="769"/>
      <c r="HD50" s="769"/>
      <c r="HE50" s="769"/>
      <c r="HF50" s="769"/>
      <c r="HG50" s="769"/>
      <c r="HH50" s="769"/>
      <c r="HI50" s="769"/>
      <c r="HJ50" s="769"/>
      <c r="HK50" s="769"/>
      <c r="HL50" s="769"/>
      <c r="HM50" s="769"/>
      <c r="HN50" s="769"/>
      <c r="HO50" s="769"/>
      <c r="HP50" s="769"/>
      <c r="HQ50" s="769"/>
      <c r="HR50" s="769"/>
      <c r="HS50" s="769"/>
      <c r="HT50" s="769"/>
      <c r="HU50" s="769"/>
      <c r="HV50" s="769"/>
      <c r="HW50" s="769"/>
      <c r="HX50" s="769"/>
      <c r="HY50" s="769"/>
      <c r="HZ50" s="769"/>
      <c r="IA50" s="769"/>
      <c r="IB50" s="769"/>
      <c r="IC50" s="769"/>
      <c r="ID50" s="769"/>
    </row>
    <row r="51" spans="2:238" s="702" customFormat="1" ht="42.75" customHeight="1" thickBot="1" x14ac:dyDescent="0.4">
      <c r="B51" s="2117"/>
      <c r="C51" s="1175" t="s">
        <v>62</v>
      </c>
      <c r="D51" s="1176" t="s">
        <v>63</v>
      </c>
      <c r="E51" s="1175" t="s">
        <v>320</v>
      </c>
      <c r="F51" s="1176" t="s">
        <v>28</v>
      </c>
      <c r="G51" s="1175" t="s">
        <v>320</v>
      </c>
      <c r="H51" s="1176" t="s">
        <v>28</v>
      </c>
      <c r="I51" s="1175" t="s">
        <v>320</v>
      </c>
      <c r="J51" s="1176" t="s">
        <v>28</v>
      </c>
      <c r="K51" s="1175" t="s">
        <v>28</v>
      </c>
      <c r="L51" s="1177" t="s">
        <v>29</v>
      </c>
      <c r="M51" s="1175" t="s">
        <v>28</v>
      </c>
      <c r="N51" s="1178" t="s">
        <v>665</v>
      </c>
      <c r="O51" s="1179" t="s">
        <v>812</v>
      </c>
      <c r="P51" s="1915"/>
      <c r="Q51" s="1913"/>
      <c r="R51" s="1913"/>
      <c r="S51" s="1920"/>
      <c r="T51" s="1913"/>
      <c r="U51" s="1913"/>
      <c r="V51" s="1913"/>
      <c r="W51" s="1913"/>
      <c r="X51" s="1913"/>
      <c r="Y51" s="1920"/>
      <c r="Z51" s="298"/>
      <c r="AA51" s="1925" t="s">
        <v>601</v>
      </c>
      <c r="AB51" s="1926"/>
      <c r="AC51" s="500" t="s">
        <v>42</v>
      </c>
      <c r="AD51" s="501" t="s">
        <v>28</v>
      </c>
      <c r="AE51" s="502" t="s">
        <v>320</v>
      </c>
      <c r="AF51" s="503" t="s">
        <v>705</v>
      </c>
      <c r="AG51" s="769"/>
      <c r="AH51" s="769"/>
      <c r="AI51" s="769"/>
      <c r="AM51" s="702" t="s">
        <v>905</v>
      </c>
      <c r="BY51" s="1063">
        <f>BY49-BY50</f>
        <v>0</v>
      </c>
      <c r="GA51" s="769"/>
      <c r="GB51" s="769"/>
      <c r="GC51" s="769"/>
      <c r="GD51" s="769"/>
      <c r="GE51" s="769"/>
      <c r="GF51" s="769"/>
      <c r="GG51" s="769"/>
      <c r="GH51" s="769"/>
      <c r="GI51" s="769"/>
      <c r="GJ51" s="769"/>
      <c r="GK51" s="769"/>
      <c r="GL51" s="769"/>
      <c r="GM51" s="769"/>
      <c r="GN51" s="769"/>
      <c r="GO51" s="769"/>
      <c r="GP51" s="769"/>
      <c r="GQ51" s="769"/>
      <c r="GR51" s="769"/>
      <c r="GS51" s="769"/>
      <c r="GT51" s="769"/>
      <c r="GU51" s="769"/>
      <c r="GV51" s="769"/>
      <c r="GW51" s="769"/>
      <c r="GX51" s="769"/>
      <c r="GY51" s="769"/>
      <c r="GZ51" s="769"/>
      <c r="HA51" s="769"/>
      <c r="HB51" s="769"/>
      <c r="HC51" s="769"/>
      <c r="HD51" s="769"/>
      <c r="HE51" s="769"/>
      <c r="HF51" s="769"/>
      <c r="HG51" s="769"/>
      <c r="HH51" s="769"/>
      <c r="HI51" s="769"/>
      <c r="HJ51" s="769"/>
      <c r="HK51" s="769"/>
      <c r="HL51" s="769"/>
      <c r="HM51" s="769"/>
      <c r="HN51" s="769"/>
      <c r="HO51" s="769"/>
      <c r="HP51" s="769"/>
      <c r="HQ51" s="769"/>
      <c r="HR51" s="769"/>
      <c r="HS51" s="769"/>
      <c r="HT51" s="769"/>
      <c r="HU51" s="769"/>
      <c r="HV51" s="769"/>
      <c r="HW51" s="769"/>
      <c r="HX51" s="769"/>
      <c r="HY51" s="769"/>
      <c r="HZ51" s="769"/>
      <c r="IA51" s="769"/>
      <c r="IB51" s="769"/>
      <c r="IC51" s="769"/>
      <c r="ID51" s="769"/>
    </row>
    <row r="52" spans="2:238" s="702" customFormat="1" ht="20.149999999999999" customHeight="1" x14ac:dyDescent="0.35">
      <c r="B52" s="786">
        <v>1</v>
      </c>
      <c r="C52" s="264">
        <v>12</v>
      </c>
      <c r="D52" s="121">
        <v>30</v>
      </c>
      <c r="E52" s="30">
        <v>2</v>
      </c>
      <c r="F52" s="610">
        <v>5</v>
      </c>
      <c r="G52" s="30">
        <v>2</v>
      </c>
      <c r="H52" s="121">
        <v>5</v>
      </c>
      <c r="I52" s="30"/>
      <c r="J52" s="121"/>
      <c r="K52" s="30">
        <v>3</v>
      </c>
      <c r="L52" s="121">
        <v>16</v>
      </c>
      <c r="M52" s="264"/>
      <c r="N52" s="265"/>
      <c r="O52" s="266"/>
      <c r="P52" s="1856">
        <f t="shared" ref="P52:P61" si="68">IF(C52=0,0,(E52*F52/16*F52/16*10.680159)+((G52*H52/16*H52/16*10.680159)+(I52*2*J52/16*J52/16*10.680159)+IF(L52=0,0,((K52/16*K52/16)*3.145*0.2836*((((C52*2))+(D52*2))*12/L52))))+(M52/16*M52/16*10.680159*(12/IF(N52=0,1,N52))*O52))*(1+K$74)</f>
        <v>6.7621454742187499</v>
      </c>
      <c r="Q52" s="1856"/>
      <c r="R52" s="1856"/>
      <c r="S52" s="1857"/>
      <c r="T52" s="1868">
        <f t="shared" ref="T52:T61" si="69">(C52/12*D52/324)*(1+K$71)</f>
        <v>0.1</v>
      </c>
      <c r="U52" s="1856"/>
      <c r="V52" s="1856"/>
      <c r="W52" s="1856"/>
      <c r="X52" s="1856"/>
      <c r="Y52" s="1869"/>
      <c r="Z52" s="298"/>
      <c r="AA52" s="1875">
        <f>IF(I83=0,0,L74/I83)</f>
        <v>0</v>
      </c>
      <c r="AB52" s="1876"/>
      <c r="AC52" s="504">
        <v>20</v>
      </c>
      <c r="AD52" s="498">
        <v>3</v>
      </c>
      <c r="AE52" s="499">
        <v>1</v>
      </c>
      <c r="AF52" s="507">
        <f t="shared" ref="AF52:AF60" si="70">AC52*(AD52*AD52*0.04180884375)*AE52</f>
        <v>7.5255918749999999</v>
      </c>
      <c r="AG52" s="769"/>
      <c r="AH52" s="769"/>
      <c r="AI52" s="769"/>
      <c r="AM52" s="702">
        <f>D52*2/12</f>
        <v>5</v>
      </c>
      <c r="GA52" s="769"/>
      <c r="GB52" s="769"/>
      <c r="GC52" s="769"/>
      <c r="GD52" s="769"/>
      <c r="GE52" s="769"/>
      <c r="GF52" s="769"/>
      <c r="GG52" s="769"/>
      <c r="GH52" s="769"/>
      <c r="GI52" s="769"/>
      <c r="GJ52" s="769"/>
      <c r="GK52" s="769"/>
      <c r="GL52" s="769"/>
      <c r="GM52" s="769"/>
      <c r="GN52" s="769"/>
      <c r="GO52" s="769"/>
      <c r="GP52" s="769"/>
      <c r="GQ52" s="769"/>
      <c r="GR52" s="769"/>
      <c r="GS52" s="769"/>
      <c r="GT52" s="769"/>
      <c r="GU52" s="769"/>
      <c r="GV52" s="769"/>
      <c r="GW52" s="769"/>
      <c r="GX52" s="769"/>
      <c r="GY52" s="769"/>
      <c r="GZ52" s="769"/>
      <c r="HA52" s="769"/>
      <c r="HB52" s="769"/>
      <c r="HC52" s="769"/>
      <c r="HD52" s="769"/>
      <c r="HE52" s="769"/>
      <c r="HF52" s="769"/>
      <c r="HG52" s="769"/>
      <c r="HH52" s="769"/>
      <c r="HI52" s="769"/>
      <c r="HJ52" s="769"/>
      <c r="HK52" s="769"/>
      <c r="HL52" s="769"/>
      <c r="HM52" s="769"/>
      <c r="HN52" s="769"/>
      <c r="HO52" s="769"/>
      <c r="HP52" s="769"/>
      <c r="HQ52" s="769"/>
      <c r="HR52" s="769"/>
      <c r="HS52" s="769"/>
      <c r="HT52" s="769"/>
      <c r="HU52" s="769"/>
      <c r="HV52" s="769"/>
      <c r="HW52" s="769"/>
      <c r="HX52" s="769"/>
      <c r="HY52" s="769"/>
      <c r="HZ52" s="769"/>
      <c r="IA52" s="769"/>
      <c r="IB52" s="769"/>
      <c r="IC52" s="769"/>
      <c r="ID52" s="769"/>
    </row>
    <row r="53" spans="2:238" s="702" customFormat="1" ht="20.149999999999999" customHeight="1" thickBot="1" x14ac:dyDescent="0.4">
      <c r="B53" s="787">
        <v>2</v>
      </c>
      <c r="C53" s="264">
        <v>12</v>
      </c>
      <c r="D53" s="121">
        <v>30</v>
      </c>
      <c r="E53" s="30">
        <v>2</v>
      </c>
      <c r="F53" s="610">
        <v>5</v>
      </c>
      <c r="G53" s="30"/>
      <c r="H53" s="121"/>
      <c r="I53" s="30"/>
      <c r="J53" s="121"/>
      <c r="K53" s="30">
        <v>3</v>
      </c>
      <c r="L53" s="121">
        <v>24</v>
      </c>
      <c r="M53" s="264"/>
      <c r="N53" s="265"/>
      <c r="O53" s="266"/>
      <c r="P53" s="1856">
        <f t="shared" si="68"/>
        <v>3.74324184609375</v>
      </c>
      <c r="Q53" s="1856"/>
      <c r="R53" s="1856"/>
      <c r="S53" s="1857"/>
      <c r="T53" s="1868">
        <f t="shared" si="69"/>
        <v>0.1</v>
      </c>
      <c r="U53" s="1856"/>
      <c r="V53" s="1856"/>
      <c r="W53" s="1856"/>
      <c r="X53" s="1856"/>
      <c r="Y53" s="1869"/>
      <c r="Z53" s="298"/>
      <c r="AA53" s="1877"/>
      <c r="AB53" s="1878"/>
      <c r="AC53" s="504">
        <v>20</v>
      </c>
      <c r="AD53" s="498">
        <v>4</v>
      </c>
      <c r="AE53" s="499">
        <v>1</v>
      </c>
      <c r="AF53" s="507">
        <f t="shared" si="70"/>
        <v>13.378829999999999</v>
      </c>
      <c r="AG53" s="769"/>
      <c r="AH53" s="769"/>
      <c r="AI53" s="769"/>
      <c r="AM53" s="702">
        <f t="shared" ref="AM53:AM60" si="71">D53*2/12</f>
        <v>5</v>
      </c>
      <c r="GA53" s="769"/>
      <c r="GB53" s="769"/>
      <c r="GC53" s="769"/>
      <c r="GD53" s="769"/>
      <c r="GE53" s="769"/>
      <c r="GF53" s="769"/>
      <c r="GG53" s="769"/>
      <c r="GH53" s="769"/>
      <c r="GI53" s="769"/>
      <c r="GJ53" s="769"/>
      <c r="GK53" s="769"/>
      <c r="GL53" s="769"/>
      <c r="GM53" s="769"/>
      <c r="GN53" s="769"/>
      <c r="GO53" s="769"/>
      <c r="GP53" s="769"/>
      <c r="GQ53" s="769"/>
      <c r="GR53" s="769"/>
      <c r="GS53" s="769"/>
      <c r="GT53" s="769"/>
      <c r="GU53" s="769"/>
      <c r="GV53" s="769"/>
      <c r="GW53" s="769"/>
      <c r="GX53" s="769"/>
      <c r="GY53" s="769"/>
      <c r="GZ53" s="769"/>
      <c r="HA53" s="769"/>
      <c r="HB53" s="769"/>
      <c r="HC53" s="769"/>
      <c r="HD53" s="769"/>
      <c r="HE53" s="769"/>
      <c r="HF53" s="769"/>
      <c r="HG53" s="769"/>
      <c r="HH53" s="769"/>
      <c r="HI53" s="769"/>
      <c r="HJ53" s="769"/>
      <c r="HK53" s="769"/>
      <c r="HL53" s="769"/>
      <c r="HM53" s="769"/>
      <c r="HN53" s="769"/>
      <c r="HO53" s="769"/>
      <c r="HP53" s="769"/>
      <c r="HQ53" s="769"/>
      <c r="HR53" s="769"/>
      <c r="HS53" s="769"/>
      <c r="HT53" s="769"/>
      <c r="HU53" s="769"/>
      <c r="HV53" s="769"/>
      <c r="HW53" s="769"/>
      <c r="HX53" s="769"/>
      <c r="HY53" s="769"/>
      <c r="HZ53" s="769"/>
      <c r="IA53" s="769"/>
      <c r="IB53" s="769"/>
      <c r="IC53" s="769"/>
      <c r="ID53" s="769"/>
    </row>
    <row r="54" spans="2:238" s="702" customFormat="1" ht="20.149999999999999" customHeight="1" x14ac:dyDescent="0.35">
      <c r="B54" s="786">
        <v>3</v>
      </c>
      <c r="C54" s="264">
        <v>12</v>
      </c>
      <c r="D54" s="121">
        <v>30</v>
      </c>
      <c r="E54" s="30">
        <v>2</v>
      </c>
      <c r="F54" s="121">
        <v>5</v>
      </c>
      <c r="G54" s="30">
        <v>2</v>
      </c>
      <c r="H54" s="121">
        <v>5</v>
      </c>
      <c r="I54" s="30"/>
      <c r="J54" s="121"/>
      <c r="K54" s="30">
        <v>3</v>
      </c>
      <c r="L54" s="121">
        <v>16</v>
      </c>
      <c r="M54" s="264"/>
      <c r="N54" s="30"/>
      <c r="O54" s="266"/>
      <c r="P54" s="1856">
        <f t="shared" si="68"/>
        <v>6.7621454742187499</v>
      </c>
      <c r="Q54" s="1856"/>
      <c r="R54" s="1856"/>
      <c r="S54" s="1857"/>
      <c r="T54" s="1868">
        <f t="shared" si="69"/>
        <v>0.1</v>
      </c>
      <c r="U54" s="1856"/>
      <c r="V54" s="1856"/>
      <c r="W54" s="1856"/>
      <c r="X54" s="1856"/>
      <c r="Y54" s="1869"/>
      <c r="Z54" s="298"/>
      <c r="AA54" s="789" t="s">
        <v>710</v>
      </c>
      <c r="AB54" s="788"/>
      <c r="AC54" s="504">
        <v>20</v>
      </c>
      <c r="AD54" s="498">
        <v>5</v>
      </c>
      <c r="AE54" s="499">
        <v>1</v>
      </c>
      <c r="AF54" s="507">
        <f t="shared" si="70"/>
        <v>20.904421874999997</v>
      </c>
      <c r="AG54" s="769"/>
      <c r="AH54" s="769"/>
      <c r="AI54" s="769"/>
      <c r="AM54" s="702">
        <f t="shared" si="71"/>
        <v>5</v>
      </c>
      <c r="GA54" s="769"/>
      <c r="GB54" s="769"/>
      <c r="GC54" s="769"/>
      <c r="GD54" s="769"/>
      <c r="GE54" s="769"/>
      <c r="GF54" s="769"/>
      <c r="GG54" s="769"/>
      <c r="GH54" s="769"/>
      <c r="GI54" s="769"/>
      <c r="GJ54" s="769"/>
      <c r="GK54" s="769"/>
      <c r="GL54" s="769"/>
      <c r="GM54" s="769"/>
      <c r="GN54" s="769"/>
      <c r="GO54" s="769"/>
      <c r="GP54" s="769"/>
      <c r="GQ54" s="769"/>
      <c r="GR54" s="769"/>
      <c r="GS54" s="769"/>
      <c r="GT54" s="769"/>
      <c r="GU54" s="769"/>
      <c r="GV54" s="769"/>
      <c r="GW54" s="769"/>
      <c r="GX54" s="769"/>
      <c r="GY54" s="769"/>
      <c r="GZ54" s="769"/>
      <c r="HA54" s="769"/>
      <c r="HB54" s="769"/>
      <c r="HC54" s="769"/>
      <c r="HD54" s="769"/>
      <c r="HE54" s="769"/>
      <c r="HF54" s="769"/>
      <c r="HG54" s="769"/>
      <c r="HH54" s="769"/>
      <c r="HI54" s="769"/>
      <c r="HJ54" s="769"/>
      <c r="HK54" s="769"/>
      <c r="HL54" s="769"/>
      <c r="HM54" s="769"/>
      <c r="HN54" s="769"/>
      <c r="HO54" s="769"/>
      <c r="HP54" s="769"/>
      <c r="HQ54" s="769"/>
      <c r="HR54" s="769"/>
      <c r="HS54" s="769"/>
      <c r="HT54" s="769"/>
      <c r="HU54" s="769"/>
      <c r="HV54" s="769"/>
      <c r="HW54" s="769"/>
      <c r="HX54" s="769"/>
      <c r="HY54" s="769"/>
      <c r="HZ54" s="769"/>
      <c r="IA54" s="769"/>
      <c r="IB54" s="769"/>
      <c r="IC54" s="769"/>
      <c r="ID54" s="769"/>
    </row>
    <row r="55" spans="2:238" s="702" customFormat="1" ht="20.149999999999999" customHeight="1" x14ac:dyDescent="0.35">
      <c r="B55" s="786">
        <v>4</v>
      </c>
      <c r="C55" s="264">
        <v>36</v>
      </c>
      <c r="D55" s="121">
        <v>12</v>
      </c>
      <c r="E55" s="30">
        <v>2</v>
      </c>
      <c r="F55" s="121">
        <v>5</v>
      </c>
      <c r="G55" s="30"/>
      <c r="H55" s="121"/>
      <c r="I55" s="30"/>
      <c r="J55" s="121"/>
      <c r="K55" s="30">
        <v>3</v>
      </c>
      <c r="L55" s="121">
        <v>24</v>
      </c>
      <c r="M55" s="264"/>
      <c r="N55" s="265"/>
      <c r="O55" s="266"/>
      <c r="P55" s="1856">
        <f t="shared" si="68"/>
        <v>3.95019562265625</v>
      </c>
      <c r="Q55" s="1856"/>
      <c r="R55" s="1856"/>
      <c r="S55" s="1857"/>
      <c r="T55" s="1868">
        <f t="shared" si="69"/>
        <v>0.12</v>
      </c>
      <c r="U55" s="1856"/>
      <c r="V55" s="1856"/>
      <c r="W55" s="1856"/>
      <c r="X55" s="1856"/>
      <c r="Y55" s="1869"/>
      <c r="Z55" s="298"/>
      <c r="AA55" s="1938">
        <f>Summary!L13</f>
        <v>0</v>
      </c>
      <c r="AB55" s="1939"/>
      <c r="AC55" s="504">
        <v>20</v>
      </c>
      <c r="AD55" s="498">
        <v>6</v>
      </c>
      <c r="AE55" s="499">
        <v>1</v>
      </c>
      <c r="AF55" s="507">
        <f t="shared" si="70"/>
        <v>30.1023675</v>
      </c>
      <c r="AG55" s="769"/>
      <c r="AH55" s="769"/>
      <c r="AI55" s="769"/>
      <c r="AM55" s="702">
        <f t="shared" si="71"/>
        <v>2</v>
      </c>
      <c r="GA55" s="769"/>
      <c r="GB55" s="769"/>
      <c r="GC55" s="769"/>
      <c r="GD55" s="769"/>
      <c r="GE55" s="769"/>
      <c r="GF55" s="769"/>
      <c r="GG55" s="769"/>
      <c r="GH55" s="769"/>
      <c r="GI55" s="769"/>
      <c r="GJ55" s="769"/>
      <c r="GK55" s="769"/>
      <c r="GL55" s="769"/>
      <c r="GM55" s="769"/>
      <c r="GN55" s="769"/>
      <c r="GO55" s="769"/>
      <c r="GP55" s="769"/>
      <c r="GQ55" s="769"/>
      <c r="GR55" s="769"/>
      <c r="GS55" s="769"/>
      <c r="GT55" s="769"/>
      <c r="GU55" s="769"/>
      <c r="GV55" s="769"/>
      <c r="GW55" s="769"/>
      <c r="GX55" s="769"/>
      <c r="GY55" s="769"/>
      <c r="GZ55" s="769"/>
      <c r="HA55" s="769"/>
      <c r="HB55" s="769"/>
      <c r="HC55" s="769"/>
      <c r="HD55" s="769"/>
      <c r="HE55" s="769"/>
      <c r="HF55" s="769"/>
      <c r="HG55" s="769"/>
      <c r="HH55" s="769"/>
      <c r="HI55" s="769"/>
      <c r="HJ55" s="769"/>
      <c r="HK55" s="769"/>
      <c r="HL55" s="769"/>
      <c r="HM55" s="769"/>
      <c r="HN55" s="769"/>
      <c r="HO55" s="769"/>
      <c r="HP55" s="769"/>
      <c r="HQ55" s="769"/>
      <c r="HR55" s="769"/>
      <c r="HS55" s="769"/>
      <c r="HT55" s="769"/>
      <c r="HU55" s="769"/>
      <c r="HV55" s="769"/>
      <c r="HW55" s="769"/>
      <c r="HX55" s="769"/>
      <c r="HY55" s="769"/>
      <c r="HZ55" s="769"/>
      <c r="IA55" s="769"/>
      <c r="IB55" s="769"/>
      <c r="IC55" s="769"/>
      <c r="ID55" s="769"/>
    </row>
    <row r="56" spans="2:238" s="702" customFormat="1" ht="20.149999999999999" customHeight="1" x14ac:dyDescent="0.35">
      <c r="B56" s="786">
        <v>5</v>
      </c>
      <c r="C56" s="264">
        <v>12</v>
      </c>
      <c r="D56" s="121">
        <v>30</v>
      </c>
      <c r="E56" s="30">
        <v>2</v>
      </c>
      <c r="F56" s="610">
        <v>5</v>
      </c>
      <c r="G56" s="30">
        <v>2</v>
      </c>
      <c r="H56" s="121">
        <v>5</v>
      </c>
      <c r="I56" s="30"/>
      <c r="J56" s="121"/>
      <c r="K56" s="30">
        <v>3</v>
      </c>
      <c r="L56" s="121">
        <v>16</v>
      </c>
      <c r="M56" s="264"/>
      <c r="N56" s="265"/>
      <c r="O56" s="266"/>
      <c r="P56" s="1856">
        <f t="shared" si="68"/>
        <v>6.7621454742187499</v>
      </c>
      <c r="Q56" s="1856"/>
      <c r="R56" s="1856"/>
      <c r="S56" s="1857"/>
      <c r="T56" s="1868">
        <f t="shared" si="69"/>
        <v>0.1</v>
      </c>
      <c r="U56" s="1856"/>
      <c r="V56" s="1856"/>
      <c r="W56" s="1856"/>
      <c r="X56" s="1856"/>
      <c r="Y56" s="1869"/>
      <c r="Z56" s="298"/>
      <c r="AA56" s="1940"/>
      <c r="AB56" s="1941"/>
      <c r="AC56" s="504">
        <v>20</v>
      </c>
      <c r="AD56" s="498">
        <v>7</v>
      </c>
      <c r="AE56" s="499">
        <v>1</v>
      </c>
      <c r="AF56" s="507">
        <f t="shared" si="70"/>
        <v>40.972666874999994</v>
      </c>
      <c r="AG56" s="769"/>
      <c r="AH56" s="769"/>
      <c r="AI56" s="769"/>
      <c r="AM56" s="702">
        <f t="shared" si="71"/>
        <v>5</v>
      </c>
      <c r="GA56" s="769"/>
      <c r="GB56" s="769"/>
      <c r="GC56" s="769"/>
      <c r="GD56" s="769"/>
      <c r="GE56" s="769"/>
      <c r="GF56" s="769"/>
      <c r="GG56" s="769"/>
      <c r="GH56" s="769"/>
      <c r="GI56" s="769"/>
      <c r="GJ56" s="769"/>
      <c r="GK56" s="769"/>
      <c r="GL56" s="769"/>
      <c r="GM56" s="769"/>
      <c r="GN56" s="769"/>
      <c r="GO56" s="769"/>
      <c r="GP56" s="769"/>
      <c r="GQ56" s="769"/>
      <c r="GR56" s="769"/>
      <c r="GS56" s="769"/>
      <c r="GT56" s="769"/>
      <c r="GU56" s="769"/>
      <c r="GV56" s="769"/>
      <c r="GW56" s="769"/>
      <c r="GX56" s="769"/>
      <c r="GY56" s="769"/>
      <c r="GZ56" s="769"/>
      <c r="HA56" s="769"/>
      <c r="HB56" s="769"/>
      <c r="HC56" s="769"/>
      <c r="HD56" s="769"/>
      <c r="HE56" s="769"/>
      <c r="HF56" s="769"/>
      <c r="HG56" s="769"/>
      <c r="HH56" s="769"/>
      <c r="HI56" s="769"/>
      <c r="HJ56" s="769"/>
      <c r="HK56" s="769"/>
      <c r="HL56" s="769"/>
      <c r="HM56" s="769"/>
      <c r="HN56" s="769"/>
      <c r="HO56" s="769"/>
      <c r="HP56" s="769"/>
      <c r="HQ56" s="769"/>
      <c r="HR56" s="769"/>
      <c r="HS56" s="769"/>
      <c r="HT56" s="769"/>
      <c r="HU56" s="769"/>
      <c r="HV56" s="769"/>
      <c r="HW56" s="769"/>
      <c r="HX56" s="769"/>
      <c r="HY56" s="769"/>
      <c r="HZ56" s="769"/>
      <c r="IA56" s="769"/>
      <c r="IB56" s="769"/>
      <c r="IC56" s="769"/>
      <c r="ID56" s="769"/>
    </row>
    <row r="57" spans="2:238" s="702" customFormat="1" ht="20.149999999999999" customHeight="1" thickBot="1" x14ac:dyDescent="0.4">
      <c r="B57" s="786">
        <v>6</v>
      </c>
      <c r="C57" s="264">
        <v>12</v>
      </c>
      <c r="D57" s="121">
        <v>30</v>
      </c>
      <c r="E57" s="30">
        <v>2</v>
      </c>
      <c r="F57" s="610">
        <v>5</v>
      </c>
      <c r="G57" s="30">
        <v>2</v>
      </c>
      <c r="H57" s="121">
        <v>5</v>
      </c>
      <c r="I57" s="30"/>
      <c r="J57" s="121"/>
      <c r="K57" s="30">
        <v>3</v>
      </c>
      <c r="L57" s="121">
        <v>16</v>
      </c>
      <c r="M57" s="264"/>
      <c r="N57" s="265"/>
      <c r="O57" s="266"/>
      <c r="P57" s="1856">
        <f t="shared" si="68"/>
        <v>6.7621454742187499</v>
      </c>
      <c r="Q57" s="1856"/>
      <c r="R57" s="1856"/>
      <c r="S57" s="1857"/>
      <c r="T57" s="1868">
        <f t="shared" si="69"/>
        <v>0.1</v>
      </c>
      <c r="U57" s="1856"/>
      <c r="V57" s="1856"/>
      <c r="W57" s="1856"/>
      <c r="X57" s="1856"/>
      <c r="Y57" s="1869"/>
      <c r="Z57" s="298"/>
      <c r="AA57" s="1942"/>
      <c r="AB57" s="1943"/>
      <c r="AC57" s="504">
        <v>20</v>
      </c>
      <c r="AD57" s="498">
        <v>8</v>
      </c>
      <c r="AE57" s="499">
        <v>1</v>
      </c>
      <c r="AF57" s="507">
        <f t="shared" si="70"/>
        <v>53.515319999999996</v>
      </c>
      <c r="AG57" s="769"/>
      <c r="AH57" s="769"/>
      <c r="AI57" s="769"/>
      <c r="AM57" s="702">
        <f t="shared" si="71"/>
        <v>5</v>
      </c>
      <c r="GA57" s="769"/>
      <c r="GB57" s="769"/>
      <c r="GC57" s="769"/>
      <c r="GD57" s="769"/>
      <c r="GE57" s="769"/>
      <c r="GF57" s="769"/>
      <c r="GG57" s="769"/>
      <c r="GH57" s="769"/>
      <c r="GI57" s="769"/>
      <c r="GJ57" s="769"/>
      <c r="GK57" s="769"/>
      <c r="GL57" s="769"/>
      <c r="GM57" s="769"/>
      <c r="GN57" s="769"/>
      <c r="GO57" s="769"/>
      <c r="GP57" s="769"/>
      <c r="GQ57" s="769"/>
      <c r="GR57" s="769"/>
      <c r="GS57" s="769"/>
      <c r="GT57" s="769"/>
      <c r="GU57" s="769"/>
      <c r="GV57" s="769"/>
      <c r="GW57" s="769"/>
      <c r="GX57" s="769"/>
      <c r="GY57" s="769"/>
      <c r="GZ57" s="769"/>
      <c r="HA57" s="769"/>
      <c r="HB57" s="769"/>
      <c r="HC57" s="769"/>
      <c r="HD57" s="769"/>
      <c r="HE57" s="769"/>
      <c r="HF57" s="769"/>
      <c r="HG57" s="769"/>
      <c r="HH57" s="769"/>
      <c r="HI57" s="769"/>
      <c r="HJ57" s="769"/>
      <c r="HK57" s="769"/>
      <c r="HL57" s="769"/>
      <c r="HM57" s="769"/>
      <c r="HN57" s="769"/>
      <c r="HO57" s="769"/>
      <c r="HP57" s="769"/>
      <c r="HQ57" s="769"/>
      <c r="HR57" s="769"/>
      <c r="HS57" s="769"/>
      <c r="HT57" s="769"/>
      <c r="HU57" s="769"/>
      <c r="HV57" s="769"/>
      <c r="HW57" s="769"/>
      <c r="HX57" s="769"/>
      <c r="HY57" s="769"/>
      <c r="HZ57" s="769"/>
      <c r="IA57" s="769"/>
      <c r="IB57" s="769"/>
      <c r="IC57" s="769"/>
      <c r="ID57" s="769"/>
    </row>
    <row r="58" spans="2:238" s="702" customFormat="1" ht="20.149999999999999" customHeight="1" x14ac:dyDescent="0.35">
      <c r="B58" s="786">
        <v>7</v>
      </c>
      <c r="C58" s="264">
        <v>12</v>
      </c>
      <c r="D58" s="121">
        <v>18</v>
      </c>
      <c r="E58" s="30">
        <v>2</v>
      </c>
      <c r="F58" s="610">
        <v>5</v>
      </c>
      <c r="G58" s="30"/>
      <c r="H58" s="121"/>
      <c r="I58" s="30"/>
      <c r="J58" s="121"/>
      <c r="K58" s="30">
        <v>3</v>
      </c>
      <c r="L58" s="121">
        <v>16</v>
      </c>
      <c r="M58" s="264"/>
      <c r="N58" s="265"/>
      <c r="O58" s="266"/>
      <c r="P58" s="1856">
        <f t="shared" si="68"/>
        <v>3.8467187343749996</v>
      </c>
      <c r="Q58" s="1856"/>
      <c r="R58" s="1856"/>
      <c r="S58" s="1857"/>
      <c r="T58" s="1868">
        <f t="shared" si="69"/>
        <v>0.06</v>
      </c>
      <c r="U58" s="1856"/>
      <c r="V58" s="1856"/>
      <c r="W58" s="1856"/>
      <c r="X58" s="1856"/>
      <c r="Y58" s="1869"/>
      <c r="Z58" s="298"/>
      <c r="AA58" s="1903"/>
      <c r="AB58" s="1904"/>
      <c r="AC58" s="504">
        <v>20</v>
      </c>
      <c r="AD58" s="498">
        <v>9</v>
      </c>
      <c r="AE58" s="499">
        <v>1</v>
      </c>
      <c r="AF58" s="507">
        <f t="shared" si="70"/>
        <v>67.730326875000003</v>
      </c>
      <c r="AG58" s="769"/>
      <c r="AH58" s="769"/>
      <c r="AI58" s="769"/>
      <c r="AM58" s="702">
        <f t="shared" si="71"/>
        <v>3</v>
      </c>
      <c r="GA58" s="769"/>
      <c r="GB58" s="769"/>
      <c r="GC58" s="769"/>
      <c r="GD58" s="769"/>
      <c r="GE58" s="769"/>
      <c r="GF58" s="769"/>
      <c r="GG58" s="769"/>
      <c r="GH58" s="769"/>
      <c r="GI58" s="769"/>
      <c r="GJ58" s="769"/>
      <c r="GK58" s="769"/>
      <c r="GL58" s="769"/>
      <c r="GM58" s="769"/>
      <c r="GN58" s="769"/>
      <c r="GO58" s="769"/>
      <c r="GP58" s="769"/>
      <c r="GQ58" s="769"/>
      <c r="GR58" s="769"/>
      <c r="GS58" s="769"/>
      <c r="GT58" s="769"/>
      <c r="GU58" s="769"/>
      <c r="GV58" s="769"/>
      <c r="GW58" s="769"/>
      <c r="GX58" s="769"/>
      <c r="GY58" s="769"/>
      <c r="GZ58" s="769"/>
      <c r="HA58" s="769"/>
      <c r="HB58" s="769"/>
      <c r="HC58" s="769"/>
      <c r="HD58" s="769"/>
      <c r="HE58" s="769"/>
      <c r="HF58" s="769"/>
      <c r="HG58" s="769"/>
      <c r="HH58" s="769"/>
      <c r="HI58" s="769"/>
      <c r="HJ58" s="769"/>
      <c r="HK58" s="769"/>
      <c r="HL58" s="769"/>
      <c r="HM58" s="769"/>
      <c r="HN58" s="769"/>
      <c r="HO58" s="769"/>
      <c r="HP58" s="769"/>
      <c r="HQ58" s="769"/>
      <c r="HR58" s="769"/>
      <c r="HS58" s="769"/>
      <c r="HT58" s="769"/>
      <c r="HU58" s="769"/>
      <c r="HV58" s="769"/>
      <c r="HW58" s="769"/>
      <c r="HX58" s="769"/>
      <c r="HY58" s="769"/>
      <c r="HZ58" s="769"/>
      <c r="IA58" s="769"/>
      <c r="IB58" s="769"/>
      <c r="IC58" s="769"/>
      <c r="ID58" s="769"/>
    </row>
    <row r="59" spans="2:238" s="702" customFormat="1" ht="20.149999999999999" customHeight="1" thickBot="1" x14ac:dyDescent="0.4">
      <c r="B59" s="786">
        <v>8</v>
      </c>
      <c r="C59" s="264">
        <v>12</v>
      </c>
      <c r="D59" s="121">
        <v>30</v>
      </c>
      <c r="E59" s="30">
        <v>2</v>
      </c>
      <c r="F59" s="610">
        <v>5</v>
      </c>
      <c r="G59" s="30">
        <v>2</v>
      </c>
      <c r="H59" s="121">
        <v>5</v>
      </c>
      <c r="I59" s="30"/>
      <c r="J59" s="121"/>
      <c r="K59" s="30">
        <v>3</v>
      </c>
      <c r="L59" s="121">
        <v>16</v>
      </c>
      <c r="M59" s="264"/>
      <c r="N59" s="265"/>
      <c r="O59" s="266"/>
      <c r="P59" s="1856">
        <f t="shared" si="68"/>
        <v>6.7621454742187499</v>
      </c>
      <c r="Q59" s="1856"/>
      <c r="R59" s="1856"/>
      <c r="S59" s="1857"/>
      <c r="T59" s="1868">
        <f t="shared" si="69"/>
        <v>0.1</v>
      </c>
      <c r="U59" s="1856"/>
      <c r="V59" s="1856"/>
      <c r="W59" s="1856"/>
      <c r="X59" s="1856"/>
      <c r="Y59" s="1869"/>
      <c r="Z59" s="298"/>
      <c r="AA59" s="1905"/>
      <c r="AB59" s="1906"/>
      <c r="AC59" s="504">
        <v>20</v>
      </c>
      <c r="AD59" s="498">
        <v>10</v>
      </c>
      <c r="AE59" s="499">
        <v>1</v>
      </c>
      <c r="AF59" s="507">
        <f t="shared" si="70"/>
        <v>83.617687499999988</v>
      </c>
      <c r="AG59" s="769"/>
      <c r="AH59" s="769"/>
      <c r="AI59" s="769"/>
      <c r="AM59" s="702">
        <f t="shared" si="71"/>
        <v>5</v>
      </c>
      <c r="GA59" s="769"/>
      <c r="GB59" s="769"/>
      <c r="GC59" s="769"/>
      <c r="GD59" s="769"/>
      <c r="GE59" s="769"/>
      <c r="GF59" s="769"/>
      <c r="GG59" s="769"/>
      <c r="GH59" s="769"/>
      <c r="GI59" s="769"/>
      <c r="GJ59" s="769"/>
      <c r="GK59" s="769"/>
      <c r="GL59" s="769"/>
      <c r="GM59" s="769"/>
      <c r="GN59" s="769"/>
      <c r="GO59" s="769"/>
      <c r="GP59" s="769"/>
      <c r="GQ59" s="769"/>
      <c r="GR59" s="769"/>
      <c r="GS59" s="769"/>
      <c r="GT59" s="769"/>
      <c r="GU59" s="769"/>
      <c r="GV59" s="769"/>
      <c r="GW59" s="769"/>
      <c r="GX59" s="769"/>
      <c r="GY59" s="769"/>
      <c r="GZ59" s="769"/>
      <c r="HA59" s="769"/>
      <c r="HB59" s="769"/>
      <c r="HC59" s="769"/>
      <c r="HD59" s="769"/>
      <c r="HE59" s="769"/>
      <c r="HF59" s="769"/>
      <c r="HG59" s="769"/>
      <c r="HH59" s="769"/>
      <c r="HI59" s="769"/>
      <c r="HJ59" s="769"/>
      <c r="HK59" s="769"/>
      <c r="HL59" s="769"/>
      <c r="HM59" s="769"/>
      <c r="HN59" s="769"/>
      <c r="HO59" s="769"/>
      <c r="HP59" s="769"/>
      <c r="HQ59" s="769"/>
      <c r="HR59" s="769"/>
      <c r="HS59" s="769"/>
      <c r="HT59" s="769"/>
      <c r="HU59" s="769"/>
      <c r="HV59" s="769"/>
      <c r="HW59" s="769"/>
      <c r="HX59" s="769"/>
      <c r="HY59" s="769"/>
      <c r="HZ59" s="769"/>
      <c r="IA59" s="769"/>
      <c r="IB59" s="769"/>
      <c r="IC59" s="769"/>
      <c r="ID59" s="769"/>
    </row>
    <row r="60" spans="2:238" s="702" customFormat="1" ht="20.149999999999999" customHeight="1" thickBot="1" x14ac:dyDescent="0.4">
      <c r="B60" s="786">
        <v>9</v>
      </c>
      <c r="C60" s="264">
        <v>12</v>
      </c>
      <c r="D60" s="121">
        <v>30</v>
      </c>
      <c r="E60" s="30">
        <v>2</v>
      </c>
      <c r="F60" s="610">
        <v>5</v>
      </c>
      <c r="G60" s="30">
        <v>2</v>
      </c>
      <c r="H60" s="121">
        <v>5</v>
      </c>
      <c r="I60" s="30"/>
      <c r="J60" s="121"/>
      <c r="K60" s="30">
        <v>3</v>
      </c>
      <c r="L60" s="121">
        <v>16</v>
      </c>
      <c r="M60" s="264"/>
      <c r="N60" s="265"/>
      <c r="O60" s="266"/>
      <c r="P60" s="1856">
        <f t="shared" si="68"/>
        <v>6.7621454742187499</v>
      </c>
      <c r="Q60" s="1856"/>
      <c r="R60" s="1856"/>
      <c r="S60" s="1857"/>
      <c r="T60" s="1868">
        <f t="shared" si="69"/>
        <v>0.1</v>
      </c>
      <c r="U60" s="1856"/>
      <c r="V60" s="1856"/>
      <c r="W60" s="1856"/>
      <c r="X60" s="1856"/>
      <c r="Y60" s="1869"/>
      <c r="Z60" s="298"/>
      <c r="AA60" s="676"/>
      <c r="AB60" s="676"/>
      <c r="AC60" s="505">
        <v>20</v>
      </c>
      <c r="AD60" s="682">
        <v>11</v>
      </c>
      <c r="AE60" s="506">
        <v>1</v>
      </c>
      <c r="AF60" s="508">
        <f t="shared" si="70"/>
        <v>101.17740187499999</v>
      </c>
      <c r="AG60" s="769"/>
      <c r="AH60" s="769"/>
      <c r="AI60" s="769"/>
      <c r="AM60" s="702">
        <f t="shared" si="71"/>
        <v>5</v>
      </c>
      <c r="GA60" s="769"/>
      <c r="GB60" s="769"/>
      <c r="GC60" s="769"/>
      <c r="GD60" s="769"/>
      <c r="GE60" s="769"/>
      <c r="GF60" s="769"/>
      <c r="GG60" s="769"/>
      <c r="GH60" s="769"/>
      <c r="GI60" s="769"/>
      <c r="GJ60" s="769"/>
      <c r="GK60" s="769"/>
      <c r="GL60" s="769"/>
      <c r="GM60" s="769"/>
      <c r="GN60" s="769"/>
      <c r="GO60" s="769"/>
      <c r="GP60" s="769"/>
      <c r="GQ60" s="769"/>
      <c r="GR60" s="769"/>
      <c r="GS60" s="769"/>
      <c r="GT60" s="769"/>
      <c r="GU60" s="769"/>
      <c r="GV60" s="769"/>
      <c r="GW60" s="769"/>
      <c r="GX60" s="769"/>
      <c r="GY60" s="769"/>
      <c r="GZ60" s="769"/>
      <c r="HA60" s="769"/>
      <c r="HB60" s="769"/>
      <c r="HC60" s="769"/>
      <c r="HD60" s="769"/>
      <c r="HE60" s="769"/>
      <c r="HF60" s="769"/>
      <c r="HG60" s="769"/>
      <c r="HH60" s="769"/>
      <c r="HI60" s="769"/>
      <c r="HJ60" s="769"/>
      <c r="HK60" s="769"/>
      <c r="HL60" s="769"/>
      <c r="HM60" s="769"/>
      <c r="HN60" s="769"/>
      <c r="HO60" s="769"/>
      <c r="HP60" s="769"/>
      <c r="HQ60" s="769"/>
      <c r="HR60" s="769"/>
      <c r="HS60" s="769"/>
      <c r="HT60" s="769"/>
      <c r="HU60" s="769"/>
      <c r="HV60" s="769"/>
      <c r="HW60" s="769"/>
      <c r="HX60" s="769"/>
      <c r="HY60" s="769"/>
      <c r="HZ60" s="769"/>
      <c r="IA60" s="769"/>
      <c r="IB60" s="769"/>
      <c r="IC60" s="769"/>
      <c r="ID60" s="769"/>
    </row>
    <row r="61" spans="2:238" s="702" customFormat="1" ht="20.149999999999999" customHeight="1" thickBot="1" x14ac:dyDescent="0.4">
      <c r="B61" s="786">
        <v>10</v>
      </c>
      <c r="C61" s="264">
        <v>6</v>
      </c>
      <c r="D61" s="121">
        <v>3</v>
      </c>
      <c r="E61" s="30">
        <v>1</v>
      </c>
      <c r="F61" s="121">
        <v>3</v>
      </c>
      <c r="G61" s="30"/>
      <c r="H61" s="121"/>
      <c r="I61" s="30"/>
      <c r="J61" s="121"/>
      <c r="K61" s="30"/>
      <c r="L61" s="121"/>
      <c r="M61" s="264"/>
      <c r="N61" s="30"/>
      <c r="O61" s="266"/>
      <c r="P61" s="1856">
        <f t="shared" si="68"/>
        <v>0.41302177382812505</v>
      </c>
      <c r="Q61" s="1856"/>
      <c r="R61" s="1856"/>
      <c r="S61" s="1857"/>
      <c r="T61" s="1868">
        <f t="shared" si="69"/>
        <v>5.0000000000000001E-3</v>
      </c>
      <c r="U61" s="1856"/>
      <c r="V61" s="1856"/>
      <c r="W61" s="1856"/>
      <c r="X61" s="1856"/>
      <c r="Y61" s="1869"/>
      <c r="Z61" s="298"/>
      <c r="AA61" s="342"/>
      <c r="AB61" s="1902">
        <f>SUM(BX49:CM49)</f>
        <v>0</v>
      </c>
      <c r="AC61" s="1902"/>
      <c r="AD61" s="343">
        <f>AC64-AB61</f>
        <v>0</v>
      </c>
      <c r="AE61" s="299"/>
      <c r="AF61" s="299"/>
      <c r="AG61" s="769"/>
      <c r="AH61" s="769"/>
      <c r="AI61" s="769"/>
      <c r="AM61" s="702">
        <f>D61*2/12</f>
        <v>0.5</v>
      </c>
      <c r="GA61" s="769"/>
      <c r="GB61" s="769"/>
      <c r="GC61" s="769"/>
      <c r="GD61" s="769"/>
      <c r="GE61" s="769"/>
      <c r="GF61" s="769"/>
      <c r="GG61" s="769"/>
      <c r="GH61" s="769"/>
      <c r="GI61" s="769"/>
      <c r="GJ61" s="769"/>
      <c r="GK61" s="769"/>
      <c r="GL61" s="769"/>
      <c r="GM61" s="769"/>
      <c r="GN61" s="769"/>
      <c r="GO61" s="769"/>
      <c r="GP61" s="769"/>
      <c r="GQ61" s="769"/>
      <c r="GR61" s="769"/>
      <c r="GS61" s="769"/>
      <c r="GT61" s="769"/>
      <c r="GU61" s="769"/>
      <c r="GV61" s="769"/>
      <c r="GW61" s="769"/>
      <c r="GX61" s="769"/>
      <c r="GY61" s="769"/>
      <c r="GZ61" s="769"/>
      <c r="HA61" s="769"/>
      <c r="HB61" s="769"/>
      <c r="HC61" s="769"/>
      <c r="HD61" s="769"/>
      <c r="HE61" s="769"/>
      <c r="HF61" s="769"/>
      <c r="HG61" s="769"/>
      <c r="HH61" s="769"/>
      <c r="HI61" s="769"/>
      <c r="HJ61" s="769"/>
      <c r="HK61" s="769"/>
      <c r="HL61" s="769"/>
      <c r="HM61" s="769"/>
      <c r="HN61" s="769"/>
      <c r="HO61" s="769"/>
      <c r="HP61" s="769"/>
      <c r="HQ61" s="769"/>
      <c r="HR61" s="769"/>
      <c r="HS61" s="769"/>
      <c r="HT61" s="769"/>
      <c r="HU61" s="769"/>
      <c r="HV61" s="769"/>
      <c r="HW61" s="769"/>
      <c r="HX61" s="769"/>
      <c r="HY61" s="769"/>
      <c r="HZ61" s="769"/>
      <c r="IA61" s="769"/>
      <c r="IB61" s="769"/>
      <c r="IC61" s="769"/>
      <c r="ID61" s="769"/>
    </row>
    <row r="62" spans="2:238" s="702" customFormat="1" ht="20.149999999999999" customHeight="1" thickBot="1" x14ac:dyDescent="0.4">
      <c r="B62" s="898"/>
      <c r="C62" s="899"/>
      <c r="D62" s="899"/>
      <c r="E62" s="899"/>
      <c r="F62" s="899"/>
      <c r="G62" s="899"/>
      <c r="H62" s="899"/>
      <c r="I62" s="899"/>
      <c r="J62" s="899"/>
      <c r="K62" s="899"/>
      <c r="L62" s="900"/>
      <c r="M62" s="899"/>
      <c r="N62" s="899"/>
      <c r="O62" s="899"/>
      <c r="P62" s="899"/>
      <c r="Q62" s="899"/>
      <c r="R62" s="899"/>
      <c r="S62" s="1170"/>
      <c r="T62" s="1170"/>
      <c r="U62" s="899"/>
      <c r="V62" s="899"/>
      <c r="W62" s="899"/>
      <c r="X62" s="899"/>
      <c r="Y62" s="899"/>
      <c r="Z62" s="899"/>
      <c r="AA62" s="899"/>
      <c r="AB62" s="899"/>
      <c r="AC62" s="899"/>
      <c r="AD62" s="899"/>
      <c r="AE62" s="899"/>
      <c r="AF62" s="1171"/>
      <c r="AG62" s="769"/>
      <c r="AH62" s="769"/>
      <c r="AI62" s="769"/>
      <c r="GA62" s="769"/>
      <c r="GB62" s="769"/>
      <c r="GC62" s="769"/>
      <c r="GD62" s="769"/>
      <c r="GE62" s="769"/>
      <c r="GF62" s="769"/>
      <c r="GG62" s="769"/>
      <c r="GH62" s="769"/>
      <c r="GI62" s="769"/>
      <c r="GJ62" s="769"/>
      <c r="GK62" s="769"/>
      <c r="GL62" s="769"/>
      <c r="GM62" s="769"/>
      <c r="GN62" s="769"/>
      <c r="GO62" s="769"/>
      <c r="GP62" s="769"/>
      <c r="GQ62" s="769"/>
      <c r="GR62" s="769"/>
      <c r="GS62" s="769"/>
      <c r="GT62" s="769"/>
      <c r="GU62" s="769"/>
      <c r="GV62" s="769"/>
      <c r="GW62" s="769"/>
      <c r="GX62" s="769"/>
      <c r="GY62" s="769"/>
      <c r="GZ62" s="769"/>
      <c r="HA62" s="769"/>
      <c r="HB62" s="769"/>
      <c r="HC62" s="769"/>
      <c r="HD62" s="769"/>
      <c r="HE62" s="769"/>
      <c r="HF62" s="769"/>
      <c r="HG62" s="769"/>
      <c r="HH62" s="769"/>
      <c r="HI62" s="769"/>
      <c r="HJ62" s="769"/>
      <c r="HK62" s="769"/>
      <c r="HL62" s="769"/>
      <c r="HM62" s="769"/>
      <c r="HN62" s="769"/>
      <c r="HO62" s="769"/>
      <c r="HP62" s="769"/>
      <c r="HQ62" s="769"/>
      <c r="HR62" s="769"/>
      <c r="HS62" s="769"/>
      <c r="HT62" s="769"/>
      <c r="HU62" s="769"/>
      <c r="HV62" s="769"/>
      <c r="HW62" s="769"/>
      <c r="HX62" s="769"/>
      <c r="HY62" s="769"/>
      <c r="HZ62" s="769"/>
      <c r="IA62" s="769"/>
      <c r="IB62" s="769"/>
      <c r="IC62" s="769"/>
      <c r="ID62" s="769"/>
    </row>
    <row r="63" spans="2:238" s="702" customFormat="1" ht="18" customHeight="1" x14ac:dyDescent="0.35">
      <c r="B63" s="1987" t="s">
        <v>185</v>
      </c>
      <c r="C63" s="2041"/>
      <c r="D63" s="1988"/>
      <c r="E63" s="1987" t="s">
        <v>140</v>
      </c>
      <c r="F63" s="1988"/>
      <c r="G63" s="1987" t="s">
        <v>178</v>
      </c>
      <c r="H63" s="2041"/>
      <c r="I63" s="1988"/>
      <c r="J63" s="1935" t="s">
        <v>184</v>
      </c>
      <c r="K63" s="1936"/>
      <c r="L63" s="1937"/>
      <c r="M63" s="2044" t="s">
        <v>179</v>
      </c>
      <c r="N63" s="2045"/>
      <c r="O63" s="132"/>
      <c r="P63" s="133"/>
      <c r="Q63" s="1086"/>
      <c r="R63" s="1086"/>
      <c r="S63" s="1116"/>
      <c r="T63" s="1116"/>
      <c r="U63" s="897"/>
      <c r="V63" s="897"/>
      <c r="W63" s="897"/>
      <c r="X63" s="897"/>
      <c r="Y63" s="897"/>
      <c r="Z63" s="43" t="s">
        <v>34</v>
      </c>
      <c r="AA63" s="42"/>
      <c r="AB63" s="42" t="s">
        <v>758</v>
      </c>
      <c r="AC63" s="803" t="str">
        <f>Summary!P65</f>
        <v>n</v>
      </c>
      <c r="AD63" s="73" t="s">
        <v>298</v>
      </c>
      <c r="AE63" s="804">
        <f>Summary!R65</f>
        <v>8.2500000000000004E-2</v>
      </c>
      <c r="AF63" s="1113"/>
      <c r="AG63" s="769"/>
      <c r="AH63" s="769"/>
      <c r="AI63" s="769"/>
      <c r="GA63" s="769"/>
      <c r="GB63" s="769"/>
      <c r="GC63" s="769"/>
      <c r="GD63" s="769"/>
      <c r="GE63" s="769"/>
      <c r="GF63" s="769"/>
      <c r="GG63" s="769"/>
      <c r="GH63" s="769"/>
      <c r="GI63" s="769"/>
      <c r="GJ63" s="769"/>
      <c r="GK63" s="769"/>
      <c r="GL63" s="769"/>
      <c r="GM63" s="769"/>
      <c r="GN63" s="769"/>
      <c r="GO63" s="769"/>
      <c r="GP63" s="769"/>
      <c r="GQ63" s="769"/>
      <c r="GR63" s="769"/>
      <c r="GS63" s="769"/>
      <c r="GT63" s="769"/>
      <c r="GU63" s="769"/>
      <c r="GV63" s="769"/>
      <c r="GW63" s="769"/>
      <c r="GX63" s="769"/>
      <c r="GY63" s="769"/>
      <c r="GZ63" s="769"/>
      <c r="HA63" s="769"/>
      <c r="HB63" s="769"/>
      <c r="HC63" s="769"/>
      <c r="HD63" s="769"/>
      <c r="HE63" s="769"/>
      <c r="HF63" s="769"/>
      <c r="HG63" s="769"/>
      <c r="HH63" s="769"/>
      <c r="HI63" s="769"/>
      <c r="HJ63" s="769"/>
      <c r="HK63" s="769"/>
      <c r="HL63" s="769"/>
      <c r="HM63" s="769"/>
      <c r="HN63" s="769"/>
      <c r="HO63" s="769"/>
      <c r="HP63" s="769"/>
      <c r="HQ63" s="769"/>
      <c r="HR63" s="769"/>
      <c r="HS63" s="769"/>
      <c r="HT63" s="769"/>
      <c r="HU63" s="769"/>
      <c r="HV63" s="769"/>
      <c r="HW63" s="769"/>
      <c r="HX63" s="769"/>
      <c r="HY63" s="769"/>
      <c r="HZ63" s="769"/>
      <c r="IA63" s="769"/>
      <c r="IB63" s="769"/>
      <c r="IC63" s="769"/>
      <c r="ID63" s="769"/>
    </row>
    <row r="64" spans="2:238" s="702" customFormat="1" ht="18" customHeight="1" thickBot="1" x14ac:dyDescent="0.4">
      <c r="B64" s="11" t="s">
        <v>180</v>
      </c>
      <c r="C64" s="1999">
        <f>IF(I83=0,0,E64/I83)</f>
        <v>0</v>
      </c>
      <c r="D64" s="2000"/>
      <c r="E64" s="2003">
        <f>AC64*(1+M64+Summary!P64)</f>
        <v>0</v>
      </c>
      <c r="F64" s="2004"/>
      <c r="G64" s="15">
        <f>IF(H64=0,0,H64/E64)</f>
        <v>0</v>
      </c>
      <c r="H64" s="2042">
        <f>E64-AC64</f>
        <v>0</v>
      </c>
      <c r="I64" s="2043"/>
      <c r="J64" s="2064">
        <f>IF(D49=0,0,AC64/D49)</f>
        <v>0</v>
      </c>
      <c r="K64" s="2065"/>
      <c r="L64" s="2066"/>
      <c r="M64" s="1879">
        <f>Summary!P63</f>
        <v>0.18</v>
      </c>
      <c r="N64" s="1880"/>
      <c r="O64" s="1880"/>
      <c r="P64" s="1881"/>
      <c r="Q64" s="1169"/>
      <c r="R64" s="1169"/>
      <c r="S64" s="1116"/>
      <c r="T64" s="1116"/>
      <c r="U64" s="897"/>
      <c r="V64" s="937"/>
      <c r="W64" s="897"/>
      <c r="X64" s="937"/>
      <c r="Y64" s="897"/>
      <c r="Z64" s="86" t="s">
        <v>50</v>
      </c>
      <c r="AA64" s="42"/>
      <c r="AB64" s="42"/>
      <c r="AC64" s="1932">
        <f>SUM(O71:P81)+SUM(L83:P89)+SUM(O92:P96)+SUM(O98:P103)+SUM(O105:P111)+AF112</f>
        <v>0</v>
      </c>
      <c r="AD64" s="1932"/>
      <c r="AE64" s="42"/>
      <c r="AF64" s="1113"/>
      <c r="AG64" s="769"/>
      <c r="AH64" s="769"/>
      <c r="AI64" s="769"/>
      <c r="GA64" s="769"/>
      <c r="GB64" s="769"/>
      <c r="GC64" s="769"/>
      <c r="GD64" s="769"/>
      <c r="GE64" s="769"/>
      <c r="GF64" s="769"/>
      <c r="GG64" s="769"/>
      <c r="GH64" s="769"/>
      <c r="GI64" s="769"/>
      <c r="GJ64" s="769"/>
      <c r="GK64" s="769"/>
      <c r="GL64" s="769"/>
      <c r="GM64" s="769"/>
      <c r="GN64" s="769"/>
      <c r="GO64" s="769"/>
      <c r="GP64" s="769"/>
      <c r="GQ64" s="769"/>
      <c r="GR64" s="769"/>
      <c r="GS64" s="769"/>
      <c r="GT64" s="769"/>
      <c r="GU64" s="769"/>
      <c r="GV64" s="769"/>
      <c r="GW64" s="769"/>
      <c r="GX64" s="769"/>
      <c r="GY64" s="769"/>
      <c r="GZ64" s="769"/>
      <c r="HA64" s="769"/>
      <c r="HB64" s="769"/>
      <c r="HC64" s="769"/>
      <c r="HD64" s="769"/>
      <c r="HE64" s="769"/>
      <c r="HF64" s="769"/>
      <c r="HG64" s="769"/>
      <c r="HH64" s="769"/>
      <c r="HI64" s="769"/>
      <c r="HJ64" s="769"/>
      <c r="HK64" s="769"/>
      <c r="HL64" s="769"/>
      <c r="HM64" s="769"/>
      <c r="HN64" s="769"/>
      <c r="HO64" s="769"/>
      <c r="HP64" s="769"/>
      <c r="HQ64" s="769"/>
      <c r="HR64" s="769"/>
      <c r="HS64" s="769"/>
      <c r="HT64" s="769"/>
      <c r="HU64" s="769"/>
      <c r="HV64" s="769"/>
      <c r="HW64" s="769"/>
      <c r="HX64" s="769"/>
      <c r="HY64" s="769"/>
      <c r="HZ64" s="769"/>
      <c r="IA64" s="769"/>
      <c r="IB64" s="769"/>
      <c r="IC64" s="769"/>
      <c r="ID64" s="769"/>
    </row>
    <row r="65" spans="2:238" s="702" customFormat="1" ht="18" customHeight="1" thickBot="1" x14ac:dyDescent="0.4">
      <c r="B65" s="877"/>
      <c r="C65" s="879"/>
      <c r="D65" s="897"/>
      <c r="E65" s="1989">
        <f>SUM(E66:F68)</f>
        <v>0</v>
      </c>
      <c r="F65" s="1990"/>
      <c r="G65" s="897"/>
      <c r="H65" s="1172"/>
      <c r="I65" s="891" t="s">
        <v>891</v>
      </c>
      <c r="J65" s="892"/>
      <c r="K65" s="2036"/>
      <c r="L65" s="2037"/>
      <c r="M65" s="893"/>
      <c r="N65" s="1899">
        <f>IF(K65&gt;0,(K65-E64)/(1+M64),0)</f>
        <v>0</v>
      </c>
      <c r="O65" s="1900"/>
      <c r="P65" s="897"/>
      <c r="Q65" s="897"/>
      <c r="R65" s="897"/>
      <c r="S65" s="1116"/>
      <c r="T65" s="1116"/>
      <c r="U65" s="902"/>
      <c r="V65" s="937"/>
      <c r="W65" s="902"/>
      <c r="X65" s="937"/>
      <c r="Y65" s="902"/>
      <c r="Z65" s="937"/>
      <c r="AA65" s="897"/>
      <c r="AB65" s="897"/>
      <c r="AC65" s="1901">
        <f>AO139</f>
        <v>0</v>
      </c>
      <c r="AD65" s="1901"/>
      <c r="AE65" s="897"/>
      <c r="AF65" s="1113"/>
      <c r="AG65" s="769"/>
      <c r="AH65" s="769"/>
      <c r="AI65" s="769"/>
      <c r="GA65" s="769"/>
      <c r="GB65" s="769"/>
      <c r="GC65" s="769"/>
      <c r="GD65" s="769"/>
      <c r="GE65" s="769"/>
      <c r="GF65" s="769"/>
      <c r="GG65" s="769"/>
      <c r="GH65" s="769"/>
      <c r="GI65" s="769"/>
      <c r="GJ65" s="769"/>
      <c r="GK65" s="769"/>
      <c r="GL65" s="769"/>
      <c r="GM65" s="769"/>
      <c r="GN65" s="769"/>
      <c r="GO65" s="769"/>
      <c r="GP65" s="769"/>
      <c r="GQ65" s="769"/>
      <c r="GR65" s="769"/>
      <c r="GS65" s="769"/>
      <c r="GT65" s="769"/>
      <c r="GU65" s="769"/>
      <c r="GV65" s="769"/>
      <c r="GW65" s="769"/>
      <c r="GX65" s="769"/>
      <c r="GY65" s="769"/>
      <c r="GZ65" s="769"/>
      <c r="HA65" s="769"/>
      <c r="HB65" s="769"/>
      <c r="HC65" s="769"/>
      <c r="HD65" s="769"/>
      <c r="HE65" s="769"/>
      <c r="HF65" s="769"/>
      <c r="HG65" s="769"/>
      <c r="HH65" s="769"/>
      <c r="HI65" s="769"/>
      <c r="HJ65" s="769"/>
      <c r="HK65" s="769"/>
      <c r="HL65" s="769"/>
      <c r="HM65" s="769"/>
      <c r="HN65" s="769"/>
      <c r="HO65" s="769"/>
      <c r="HP65" s="769"/>
      <c r="HQ65" s="769"/>
      <c r="HR65" s="769"/>
      <c r="HS65" s="769"/>
      <c r="HT65" s="769"/>
      <c r="HU65" s="769"/>
      <c r="HV65" s="769"/>
      <c r="HW65" s="769"/>
      <c r="HX65" s="769"/>
      <c r="HY65" s="769"/>
      <c r="HZ65" s="769"/>
      <c r="IA65" s="769"/>
      <c r="IB65" s="769"/>
      <c r="IC65" s="769"/>
      <c r="ID65" s="769"/>
    </row>
    <row r="66" spans="2:238" s="702" customFormat="1" ht="22" customHeight="1" x14ac:dyDescent="0.35">
      <c r="B66" s="77" t="s">
        <v>607</v>
      </c>
      <c r="C66" s="738"/>
      <c r="D66" s="739"/>
      <c r="E66" s="1995"/>
      <c r="F66" s="1996"/>
      <c r="G66" s="739"/>
      <c r="H66" s="739"/>
      <c r="I66" s="739"/>
      <c r="J66" s="739"/>
      <c r="K66" s="739"/>
      <c r="L66" s="739"/>
      <c r="M66" s="739"/>
      <c r="N66" s="739"/>
      <c r="O66" s="739"/>
      <c r="P66" s="740"/>
      <c r="Q66" s="622"/>
      <c r="R66" s="622"/>
      <c r="S66" s="298"/>
      <c r="T66" s="298"/>
      <c r="U66" s="297"/>
      <c r="V66" s="321"/>
      <c r="W66" s="297"/>
      <c r="X66" s="321"/>
      <c r="Y66" s="297"/>
      <c r="Z66" s="321"/>
      <c r="AA66" s="298"/>
      <c r="AB66" s="298"/>
      <c r="AC66" s="341"/>
      <c r="AD66" s="341"/>
      <c r="AE66" s="298"/>
      <c r="AF66" s="310"/>
      <c r="AG66" s="769"/>
    </row>
    <row r="67" spans="2:238" s="702" customFormat="1" ht="22" customHeight="1" x14ac:dyDescent="0.35">
      <c r="B67" s="313"/>
      <c r="C67" s="741"/>
      <c r="D67" s="739"/>
      <c r="E67" s="1995"/>
      <c r="F67" s="1996"/>
      <c r="G67" s="739"/>
      <c r="H67" s="739"/>
      <c r="I67" s="739"/>
      <c r="J67" s="739"/>
      <c r="K67" s="739"/>
      <c r="L67" s="739"/>
      <c r="M67" s="739"/>
      <c r="N67" s="739"/>
      <c r="O67" s="739"/>
      <c r="P67" s="740"/>
      <c r="Q67" s="622"/>
      <c r="R67" s="622"/>
      <c r="S67" s="298"/>
      <c r="T67" s="298"/>
      <c r="U67" s="297"/>
      <c r="V67" s="321"/>
      <c r="W67" s="297"/>
      <c r="X67" s="321"/>
      <c r="Y67" s="297"/>
      <c r="Z67" s="321"/>
      <c r="AA67" s="298"/>
      <c r="AB67" s="298"/>
      <c r="AC67" s="341"/>
      <c r="AD67" s="341"/>
      <c r="AE67" s="298"/>
      <c r="AF67" s="310"/>
      <c r="AG67" s="769"/>
    </row>
    <row r="68" spans="2:238" s="702" customFormat="1" ht="22" customHeight="1" x14ac:dyDescent="0.35">
      <c r="B68" s="313"/>
      <c r="C68" s="741"/>
      <c r="D68" s="739"/>
      <c r="E68" s="1995"/>
      <c r="F68" s="1996"/>
      <c r="G68" s="739"/>
      <c r="H68" s="739"/>
      <c r="I68" s="739"/>
      <c r="J68" s="739"/>
      <c r="K68" s="739"/>
      <c r="L68" s="739"/>
      <c r="M68" s="739"/>
      <c r="N68" s="739"/>
      <c r="O68" s="739"/>
      <c r="P68" s="740"/>
      <c r="Q68" s="622"/>
      <c r="R68" s="622"/>
      <c r="S68" s="298"/>
      <c r="T68" s="298"/>
      <c r="U68" s="297"/>
      <c r="V68" s="321"/>
      <c r="W68" s="297"/>
      <c r="X68" s="321"/>
      <c r="Y68" s="297"/>
      <c r="Z68" s="321"/>
      <c r="AA68" s="298"/>
      <c r="AB68" s="298"/>
      <c r="AC68" s="341"/>
      <c r="AD68" s="341"/>
      <c r="AE68" s="298"/>
      <c r="AF68" s="310"/>
      <c r="AG68" s="769"/>
    </row>
    <row r="69" spans="2:238" s="702" customFormat="1" ht="22" customHeight="1" thickBot="1" x14ac:dyDescent="0.4">
      <c r="B69" s="313"/>
      <c r="C69" s="742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43"/>
      <c r="Q69" s="622"/>
      <c r="R69" s="622"/>
      <c r="S69" s="689"/>
      <c r="T69" s="298"/>
      <c r="U69" s="620"/>
      <c r="V69" s="621"/>
      <c r="W69" s="620"/>
      <c r="X69" s="621"/>
      <c r="Y69" s="297"/>
      <c r="Z69" s="321"/>
      <c r="AA69" s="298"/>
      <c r="AB69" s="298"/>
      <c r="AC69" s="341"/>
      <c r="AD69" s="341"/>
      <c r="AE69" s="298"/>
      <c r="AF69" s="310"/>
    </row>
    <row r="70" spans="2:238" s="702" customFormat="1" ht="31.5" customHeight="1" thickBot="1" x14ac:dyDescent="0.4">
      <c r="B70" s="730" t="s">
        <v>226</v>
      </c>
      <c r="C70" s="1997" t="s">
        <v>167</v>
      </c>
      <c r="D70" s="1997"/>
      <c r="E70" s="1997"/>
      <c r="F70" s="1997"/>
      <c r="G70" s="1997"/>
      <c r="H70" s="1997"/>
      <c r="I70" s="1997"/>
      <c r="J70" s="1997"/>
      <c r="K70" s="1997"/>
      <c r="L70" s="1997"/>
      <c r="M70" s="1997"/>
      <c r="N70" s="1997"/>
      <c r="O70" s="1997"/>
      <c r="P70" s="1998"/>
      <c r="Q70" s="690"/>
      <c r="R70" s="685"/>
      <c r="S70" s="299"/>
      <c r="T70" s="299"/>
      <c r="U70" s="1910"/>
      <c r="V70" s="1910"/>
      <c r="W70" s="1910"/>
      <c r="X70" s="1910"/>
      <c r="Y70" s="2056" t="s">
        <v>196</v>
      </c>
      <c r="Z70" s="2057"/>
      <c r="AA70" s="673" t="s">
        <v>52</v>
      </c>
      <c r="AB70" s="72"/>
      <c r="AC70" s="674" t="s">
        <v>7</v>
      </c>
      <c r="AD70" s="72"/>
      <c r="AE70" s="675"/>
      <c r="AF70" s="677"/>
      <c r="AH70" s="769"/>
      <c r="AI70" s="769"/>
      <c r="GA70" s="769"/>
      <c r="GB70" s="769"/>
      <c r="GC70" s="769"/>
      <c r="GD70" s="769"/>
      <c r="GE70" s="769"/>
      <c r="GF70" s="769"/>
      <c r="GG70" s="769"/>
      <c r="GH70" s="769"/>
      <c r="GI70" s="769"/>
      <c r="GJ70" s="769"/>
      <c r="GK70" s="769"/>
      <c r="GL70" s="769"/>
      <c r="GM70" s="769"/>
      <c r="GN70" s="769"/>
      <c r="GO70" s="769"/>
      <c r="GP70" s="769"/>
      <c r="GQ70" s="769"/>
      <c r="GR70" s="769"/>
      <c r="GS70" s="769"/>
      <c r="GT70" s="769"/>
      <c r="GU70" s="769"/>
      <c r="GV70" s="769"/>
      <c r="GW70" s="769"/>
      <c r="GX70" s="769"/>
      <c r="GY70" s="769"/>
      <c r="GZ70" s="769"/>
      <c r="HA70" s="769"/>
      <c r="HB70" s="769"/>
      <c r="HC70" s="769"/>
      <c r="HD70" s="769"/>
      <c r="HE70" s="769"/>
      <c r="HF70" s="769"/>
      <c r="HG70" s="769"/>
      <c r="HH70" s="769"/>
      <c r="HI70" s="769"/>
      <c r="HJ70" s="769"/>
      <c r="HK70" s="769"/>
      <c r="HL70" s="769"/>
      <c r="HM70" s="769"/>
      <c r="HN70" s="769"/>
      <c r="HO70" s="769"/>
      <c r="HP70" s="769"/>
      <c r="HQ70" s="769"/>
      <c r="HR70" s="769"/>
      <c r="HS70" s="769"/>
      <c r="HT70" s="769"/>
      <c r="HU70" s="769"/>
      <c r="HV70" s="769"/>
      <c r="HW70" s="769"/>
      <c r="HX70" s="769"/>
      <c r="HY70" s="769"/>
      <c r="HZ70" s="769"/>
      <c r="IA70" s="769"/>
      <c r="IB70" s="769"/>
      <c r="IC70" s="769"/>
      <c r="ID70" s="769"/>
    </row>
    <row r="71" spans="2:238" s="702" customFormat="1" ht="22" customHeight="1" thickTop="1" x14ac:dyDescent="0.35">
      <c r="B71" s="744">
        <v>1</v>
      </c>
      <c r="C71" s="190" t="str">
        <f>IF(B71=1,Pricing!F$1,IF(B71=2,Pricing!G$1,IF(B71=3,Pricing!H$1,IF(B71=4,Pricing!I$1,IF(B71=5,Pricing!J$1,IF(B71=6,Pricing!K$1,0))))))</f>
        <v>3000 PSI W/ ASH PIERS, SOG</v>
      </c>
      <c r="D71" s="190"/>
      <c r="E71" s="190"/>
      <c r="F71" s="190"/>
      <c r="G71" s="761">
        <f>IF(B71=1,Pricing!F$2,IF(B71=2,Pricing!G$2,IF(B71=3,Pricing!H$2,IF(B71=4,Pricing!I$2,IF(B71=5,Pricing!J$2,IF(B71=6,Pricing!K$2,0))))))</f>
        <v>147</v>
      </c>
      <c r="H71" s="191" t="s">
        <v>168</v>
      </c>
      <c r="I71" s="2030" t="s">
        <v>323</v>
      </c>
      <c r="J71" s="2031"/>
      <c r="K71" s="2038">
        <v>0.08</v>
      </c>
      <c r="L71" s="2062">
        <f>IF(B71=1,BI$49,IF(B71=2,BJ$49,IF(B71=3,BK$49,IF(B71=4,BL$49,IF(B71=5,BM$49,IF(B71=6,BN$49))))))</f>
        <v>0</v>
      </c>
      <c r="M71" s="2063"/>
      <c r="N71" s="192" t="s">
        <v>102</v>
      </c>
      <c r="O71" s="2046">
        <f>L71*G71*(IF(AC$63="N",1+AE$63,1))</f>
        <v>0</v>
      </c>
      <c r="P71" s="2047"/>
      <c r="Q71" s="691"/>
      <c r="R71" s="686"/>
      <c r="S71" s="2055"/>
      <c r="T71" s="299"/>
      <c r="U71" s="622"/>
      <c r="V71" s="623"/>
      <c r="W71" s="622"/>
      <c r="X71" s="623"/>
      <c r="Y71" s="193"/>
      <c r="Z71" s="194"/>
      <c r="AA71" s="106" t="s">
        <v>466</v>
      </c>
      <c r="AB71"/>
      <c r="AC71" s="805">
        <v>0.5</v>
      </c>
      <c r="AD71" s="195" t="s">
        <v>593</v>
      </c>
      <c r="AE71" s="1057">
        <f>IF(I83=0,0,AF112/I83)</f>
        <v>0</v>
      </c>
      <c r="AF71" s="678"/>
      <c r="AH71" s="769"/>
      <c r="AI71" s="769"/>
      <c r="GA71" s="769"/>
      <c r="GB71" s="769"/>
      <c r="GC71" s="769"/>
      <c r="GD71" s="769"/>
      <c r="GE71" s="769"/>
      <c r="GF71" s="769"/>
      <c r="GG71" s="769"/>
      <c r="GH71" s="769"/>
      <c r="GI71" s="769"/>
      <c r="GJ71" s="769"/>
      <c r="GK71" s="769"/>
      <c r="GL71" s="769"/>
      <c r="GM71" s="769"/>
      <c r="GN71" s="769"/>
      <c r="GO71" s="769"/>
      <c r="GP71" s="769"/>
      <c r="GQ71" s="769"/>
      <c r="GR71" s="769"/>
      <c r="GS71" s="769"/>
      <c r="GT71" s="769"/>
      <c r="GU71" s="769"/>
      <c r="GV71" s="769"/>
      <c r="GW71" s="769"/>
      <c r="GX71" s="769"/>
      <c r="GY71" s="769"/>
      <c r="GZ71" s="769"/>
      <c r="HA71" s="769"/>
      <c r="HB71" s="769"/>
      <c r="HC71" s="769"/>
      <c r="HD71" s="769"/>
      <c r="HE71" s="769"/>
      <c r="HF71" s="769"/>
      <c r="HG71" s="769"/>
      <c r="HH71" s="769"/>
      <c r="HI71" s="769"/>
      <c r="HJ71" s="769"/>
      <c r="HK71" s="769"/>
      <c r="HL71" s="769"/>
      <c r="HM71" s="769"/>
      <c r="HN71" s="769"/>
      <c r="HO71" s="769"/>
      <c r="HP71" s="769"/>
      <c r="HQ71" s="769"/>
      <c r="HR71" s="769"/>
      <c r="HS71" s="769"/>
      <c r="HT71" s="769"/>
      <c r="HU71" s="769"/>
      <c r="HV71" s="769"/>
      <c r="HW71" s="769"/>
      <c r="HX71" s="769"/>
      <c r="HY71" s="769"/>
      <c r="HZ71" s="769"/>
      <c r="IA71" s="769"/>
      <c r="IB71" s="769"/>
      <c r="IC71" s="769"/>
      <c r="ID71" s="769"/>
    </row>
    <row r="72" spans="2:238" s="702" customFormat="1" ht="22" customHeight="1" x14ac:dyDescent="0.35">
      <c r="B72" s="745">
        <v>2</v>
      </c>
      <c r="C72" s="42" t="str">
        <f>IF(B72=1,Pricing!F$1,IF(B72=2,Pricing!G$1,IF(B72=3,Pricing!H$1,IF(B72=4,Pricing!I$1,IF(B72=5,Pricing!J$1,IF(B72=6,Pricing!K$1,0))))))</f>
        <v>3500 Psi</v>
      </c>
      <c r="D72" s="42"/>
      <c r="E72" s="42"/>
      <c r="F72" s="42"/>
      <c r="G72" s="762">
        <f>IF(B72=1,Pricing!F$2,IF(B72=2,Pricing!G$2,IF(B72=3,Pricing!H$2,IF(B72=4,Pricing!I$2,IF(B72=5,Pricing!J$2,IF(B72=6,Pricing!K$2,0))))))</f>
        <v>152</v>
      </c>
      <c r="H72" s="88" t="s">
        <v>168</v>
      </c>
      <c r="I72" s="2032"/>
      <c r="J72" s="2033"/>
      <c r="K72" s="2039"/>
      <c r="L72" s="1908">
        <f>IF(B72=1,BI$49,IF(B72=2,BJ$49,IF(B72=3,BK$49,IF(B72=4,BL$49,IF(B72=5,BM$49,IF(B72=6,BN$49))))))</f>
        <v>0</v>
      </c>
      <c r="M72" s="1909"/>
      <c r="N72" s="58" t="s">
        <v>102</v>
      </c>
      <c r="O72" s="1887">
        <f>L72*G72*(IF(AC$63="N",1+AE$63,1))</f>
        <v>0</v>
      </c>
      <c r="P72" s="1888"/>
      <c r="Q72" s="691"/>
      <c r="R72" s="686"/>
      <c r="S72" s="2055"/>
      <c r="T72" s="769"/>
      <c r="U72" s="622"/>
      <c r="V72" s="622"/>
      <c r="W72" s="622"/>
      <c r="X72" s="622"/>
      <c r="Y72" s="193" t="s">
        <v>203</v>
      </c>
      <c r="Z72" s="106"/>
      <c r="AA72"/>
      <c r="AB72" s="194">
        <f>AB73*0.85</f>
        <v>0</v>
      </c>
      <c r="AC72" s="106" t="s">
        <v>42</v>
      </c>
      <c r="AD72" s="195">
        <f>Pricing!N3</f>
        <v>0.5625</v>
      </c>
      <c r="AE72" s="401" t="s">
        <v>787</v>
      </c>
      <c r="AF72" s="679">
        <f>IF(AC$63="Y",AB72*AD72,AB72*AD72*(1+AE$63))</f>
        <v>0</v>
      </c>
      <c r="AH72" s="769"/>
      <c r="AI72" s="769"/>
      <c r="GA72" s="769"/>
      <c r="GB72" s="769"/>
      <c r="GC72" s="769"/>
      <c r="GD72" s="769"/>
      <c r="GE72" s="769"/>
      <c r="GF72" s="769"/>
      <c r="GG72" s="769"/>
      <c r="GH72" s="769"/>
      <c r="GI72" s="769"/>
      <c r="GJ72" s="769"/>
      <c r="GK72" s="769"/>
      <c r="GL72" s="769"/>
      <c r="GM72" s="769"/>
      <c r="GN72" s="769"/>
      <c r="GO72" s="769"/>
      <c r="GP72" s="769"/>
      <c r="GQ72" s="769"/>
      <c r="GR72" s="769"/>
      <c r="GS72" s="769"/>
      <c r="GT72" s="769"/>
      <c r="GU72" s="769"/>
      <c r="GV72" s="769"/>
      <c r="GW72" s="769"/>
      <c r="GX72" s="769"/>
      <c r="GY72" s="769"/>
      <c r="GZ72" s="769"/>
      <c r="HA72" s="769"/>
      <c r="HB72" s="769"/>
      <c r="HC72" s="769"/>
      <c r="HD72" s="769"/>
      <c r="HE72" s="769"/>
      <c r="HF72" s="769"/>
      <c r="HG72" s="769"/>
      <c r="HH72" s="769"/>
      <c r="HI72" s="769"/>
      <c r="HJ72" s="769"/>
      <c r="HK72" s="769"/>
      <c r="HL72" s="769"/>
      <c r="HM72" s="769"/>
      <c r="HN72" s="769"/>
      <c r="HO72" s="769"/>
      <c r="HP72" s="769"/>
      <c r="HQ72" s="769"/>
      <c r="HR72" s="769"/>
      <c r="HS72" s="769"/>
      <c r="HT72" s="769"/>
      <c r="HU72" s="769"/>
      <c r="HV72" s="769"/>
      <c r="HW72" s="769"/>
      <c r="HX72" s="769"/>
      <c r="HY72" s="769"/>
      <c r="HZ72" s="769"/>
      <c r="IA72" s="769"/>
      <c r="IB72" s="769"/>
      <c r="IC72" s="769"/>
      <c r="ID72" s="769"/>
    </row>
    <row r="73" spans="2:238" s="702" customFormat="1" ht="22" customHeight="1" thickBot="1" x14ac:dyDescent="0.4">
      <c r="B73" s="746">
        <v>3</v>
      </c>
      <c r="C73" s="75" t="str">
        <f>IF(B73=1,Pricing!F$1,IF(B73=2,Pricing!G$1,IF(B73=3,Pricing!H$1,IF(B73=4,Pricing!I$1,IF(B73=5,Pricing!J$1,IF(B73=6,Pricing!K$1,0))))))</f>
        <v>4000 psi</v>
      </c>
      <c r="D73" s="75"/>
      <c r="E73" s="75"/>
      <c r="F73" s="75"/>
      <c r="G73" s="763">
        <f>IF(B73=1,Pricing!F$2,IF(B73=2,Pricing!G$2,IF(B73=3,Pricing!H$2,IF(B73=4,Pricing!I$2,IF(B73=5,Pricing!J$2,IF(B73=6,Pricing!K$2,0))))))</f>
        <v>157</v>
      </c>
      <c r="H73" s="90" t="s">
        <v>168</v>
      </c>
      <c r="I73" s="2034"/>
      <c r="J73" s="2035"/>
      <c r="K73" s="2040"/>
      <c r="L73" s="2060">
        <f>IF(B73=1,BI$49,IF(B73=2,BJ$49,IF(B73=3,BK$49,IF(B73=4,BL$49,IF(B73=5,BM$49,IF(B73=6,BN$49))))))</f>
        <v>0</v>
      </c>
      <c r="M73" s="2061"/>
      <c r="N73" s="91" t="s">
        <v>102</v>
      </c>
      <c r="O73" s="2058">
        <f>L73*G73*(IF(AC$63="N",1+AE$63,1))</f>
        <v>0</v>
      </c>
      <c r="P73" s="2059"/>
      <c r="Q73" s="691"/>
      <c r="R73" s="686"/>
      <c r="S73" s="2055"/>
      <c r="T73" s="299"/>
      <c r="U73" s="622"/>
      <c r="V73" s="622"/>
      <c r="W73" s="622"/>
      <c r="X73" s="622"/>
      <c r="Y73" s="193" t="s">
        <v>204</v>
      </c>
      <c r="Z73" s="106"/>
      <c r="AA73"/>
      <c r="AB73" s="194">
        <f>AB75*0.85</f>
        <v>0</v>
      </c>
      <c r="AC73" s="106" t="s">
        <v>42</v>
      </c>
      <c r="AD73" s="195">
        <f>Pricing!N4</f>
        <v>0.65625</v>
      </c>
      <c r="AE73" s="401" t="s">
        <v>787</v>
      </c>
      <c r="AF73" s="680">
        <f>IF(AC$63="Y",AB73*AD73,AB73*AD73*(1+AE$63))</f>
        <v>0</v>
      </c>
      <c r="AG73" s="769"/>
      <c r="AH73" s="769"/>
      <c r="AI73" s="769"/>
      <c r="GA73" s="769"/>
      <c r="GB73" s="769"/>
      <c r="GC73" s="769"/>
      <c r="GD73" s="769"/>
      <c r="GE73" s="769"/>
      <c r="GF73" s="769"/>
      <c r="GG73" s="769"/>
      <c r="GH73" s="769"/>
      <c r="GI73" s="769"/>
      <c r="GJ73" s="769"/>
      <c r="GK73" s="769"/>
      <c r="GL73" s="769"/>
      <c r="GM73" s="769"/>
      <c r="GN73" s="769"/>
      <c r="GO73" s="769"/>
      <c r="GP73" s="769"/>
      <c r="GQ73" s="769"/>
      <c r="GR73" s="769"/>
      <c r="GS73" s="769"/>
      <c r="GT73" s="769"/>
      <c r="GU73" s="769"/>
      <c r="GV73" s="769"/>
      <c r="GW73" s="769"/>
      <c r="GX73" s="769"/>
      <c r="GY73" s="769"/>
      <c r="GZ73" s="769"/>
      <c r="HA73" s="769"/>
      <c r="HB73" s="769"/>
      <c r="HC73" s="769"/>
      <c r="HD73" s="769"/>
      <c r="HE73" s="769"/>
      <c r="HF73" s="769"/>
      <c r="HG73" s="769"/>
      <c r="HH73" s="769"/>
      <c r="HI73" s="769"/>
      <c r="HJ73" s="769"/>
      <c r="HK73" s="769"/>
      <c r="HL73" s="769"/>
      <c r="HM73" s="769"/>
      <c r="HN73" s="769"/>
      <c r="HO73" s="769"/>
      <c r="HP73" s="769"/>
      <c r="HQ73" s="769"/>
      <c r="HR73" s="769"/>
      <c r="HS73" s="769"/>
      <c r="HT73" s="769"/>
      <c r="HU73" s="769"/>
      <c r="HV73" s="769"/>
      <c r="HW73" s="769"/>
      <c r="HX73" s="769"/>
      <c r="HY73" s="769"/>
      <c r="HZ73" s="769"/>
      <c r="IA73" s="769"/>
      <c r="IB73" s="769"/>
      <c r="IC73" s="769"/>
      <c r="ID73" s="769"/>
    </row>
    <row r="74" spans="2:238" s="702" customFormat="1" ht="22" customHeight="1" thickTop="1" x14ac:dyDescent="0.35">
      <c r="B74" s="1979" t="s">
        <v>104</v>
      </c>
      <c r="C74" s="1980"/>
      <c r="D74" s="1980"/>
      <c r="E74" s="1980"/>
      <c r="F74" s="1980"/>
      <c r="G74" s="764">
        <f>Pricing!D22</f>
        <v>0.6</v>
      </c>
      <c r="H74" s="88" t="s">
        <v>88</v>
      </c>
      <c r="I74" s="2008" t="s">
        <v>202</v>
      </c>
      <c r="J74" s="2009"/>
      <c r="K74" s="747">
        <v>0.1</v>
      </c>
      <c r="L74" s="1908">
        <f>SUM(BD49:BE49)</f>
        <v>0</v>
      </c>
      <c r="M74" s="1909"/>
      <c r="N74" s="42" t="s">
        <v>32</v>
      </c>
      <c r="O74" s="1887">
        <f>G74*L74*(IF(AC63="N",1+AE63,1))</f>
        <v>0</v>
      </c>
      <c r="P74" s="1888"/>
      <c r="Q74" s="686"/>
      <c r="R74" s="686"/>
      <c r="S74" s="537"/>
      <c r="T74" s="299"/>
      <c r="U74" s="622"/>
      <c r="V74" s="622"/>
      <c r="W74" s="622"/>
      <c r="X74" s="622"/>
      <c r="Y74" s="193" t="s">
        <v>206</v>
      </c>
      <c r="Z74" s="106"/>
      <c r="AA74"/>
      <c r="AB74" s="194">
        <f>CP61+BG48</f>
        <v>0</v>
      </c>
      <c r="AC74" s="106" t="s">
        <v>42</v>
      </c>
      <c r="AD74" s="195">
        <f>Pricing!N5</f>
        <v>1</v>
      </c>
      <c r="AE74" s="401" t="s">
        <v>787</v>
      </c>
      <c r="AF74" s="680">
        <f>IF(AC$63="Y",AB74*AD74,AB74*AD74*(1+AE$63))</f>
        <v>0</v>
      </c>
      <c r="AG74" s="769"/>
      <c r="AH74" s="769"/>
      <c r="AI74" s="769"/>
      <c r="GA74" s="769"/>
      <c r="GB74" s="769"/>
      <c r="GC74" s="769"/>
      <c r="GD74" s="769"/>
      <c r="GE74" s="769"/>
      <c r="GF74" s="769"/>
      <c r="GG74" s="769"/>
      <c r="GH74" s="769"/>
      <c r="GI74" s="769"/>
      <c r="GJ74" s="769"/>
      <c r="GK74" s="769"/>
      <c r="GL74" s="769"/>
      <c r="GM74" s="769"/>
      <c r="GN74" s="769"/>
      <c r="GO74" s="769"/>
      <c r="GP74" s="769"/>
      <c r="GQ74" s="769"/>
      <c r="GR74" s="769"/>
      <c r="GS74" s="769"/>
      <c r="GT74" s="769"/>
      <c r="GU74" s="769"/>
      <c r="GV74" s="769"/>
      <c r="GW74" s="769"/>
      <c r="GX74" s="769"/>
      <c r="GY74" s="769"/>
      <c r="GZ74" s="769"/>
      <c r="HA74" s="769"/>
      <c r="HB74" s="769"/>
      <c r="HC74" s="769"/>
      <c r="HD74" s="769"/>
      <c r="HE74" s="769"/>
      <c r="HF74" s="769"/>
      <c r="HG74" s="769"/>
      <c r="HH74" s="769"/>
      <c r="HI74" s="769"/>
      <c r="HJ74" s="769"/>
      <c r="HK74" s="769"/>
      <c r="HL74" s="769"/>
      <c r="HM74" s="769"/>
      <c r="HN74" s="769"/>
      <c r="HO74" s="769"/>
      <c r="HP74" s="769"/>
      <c r="HQ74" s="769"/>
      <c r="HR74" s="769"/>
      <c r="HS74" s="769"/>
      <c r="HT74" s="769"/>
      <c r="HU74" s="769"/>
      <c r="HV74" s="769"/>
      <c r="HW74" s="769"/>
      <c r="HX74" s="769"/>
      <c r="HY74" s="769"/>
      <c r="HZ74" s="769"/>
      <c r="IA74" s="769"/>
      <c r="IB74" s="769"/>
      <c r="IC74" s="769"/>
      <c r="ID74" s="769"/>
    </row>
    <row r="75" spans="2:238" s="702" customFormat="1" ht="22" customHeight="1" x14ac:dyDescent="0.35">
      <c r="B75" s="1979" t="s">
        <v>86</v>
      </c>
      <c r="C75" s="1980"/>
      <c r="D75" s="1980"/>
      <c r="E75" s="1980"/>
      <c r="F75" s="1980"/>
      <c r="G75" s="762">
        <v>0.26</v>
      </c>
      <c r="H75" s="88" t="s">
        <v>69</v>
      </c>
      <c r="I75" s="2008" t="s">
        <v>202</v>
      </c>
      <c r="J75" s="2009"/>
      <c r="K75" s="748">
        <v>0.1</v>
      </c>
      <c r="L75" s="1908">
        <f>BH49*(1*1+G75)</f>
        <v>0</v>
      </c>
      <c r="M75" s="1909"/>
      <c r="N75" s="42" t="s">
        <v>95</v>
      </c>
      <c r="O75" s="1887">
        <f>G75*L75*(IF(AC$63="N",1+AE$63,1))</f>
        <v>0</v>
      </c>
      <c r="P75" s="1888"/>
      <c r="Q75" s="686"/>
      <c r="R75" s="686"/>
      <c r="S75" s="537"/>
      <c r="T75" s="299"/>
      <c r="U75" s="622"/>
      <c r="V75" s="622"/>
      <c r="W75" s="622"/>
      <c r="X75" s="622"/>
      <c r="Y75" s="193" t="s">
        <v>205</v>
      </c>
      <c r="Z75" s="106"/>
      <c r="AA75"/>
      <c r="AB75" s="194">
        <f>BQ49*AC71</f>
        <v>0</v>
      </c>
      <c r="AC75" s="106" t="s">
        <v>42</v>
      </c>
      <c r="AD75" s="195">
        <f>Pricing!N6</f>
        <v>1.25</v>
      </c>
      <c r="AE75" s="401" t="s">
        <v>787</v>
      </c>
      <c r="AF75" s="680">
        <f>IF(AC$63="Y",AB75*AD75,AB75*AD75*(1+AE$63))</f>
        <v>0</v>
      </c>
      <c r="AG75" s="769"/>
      <c r="AH75" s="769"/>
      <c r="AI75" s="769"/>
      <c r="AJ75" s="702" t="s">
        <v>237</v>
      </c>
      <c r="GA75" s="769"/>
      <c r="GB75" s="769"/>
      <c r="GC75" s="769"/>
      <c r="GD75" s="769"/>
      <c r="GE75" s="769"/>
      <c r="GF75" s="769"/>
      <c r="GG75" s="769"/>
      <c r="GH75" s="769"/>
      <c r="GI75" s="769"/>
      <c r="GJ75" s="769"/>
      <c r="GK75" s="769"/>
      <c r="GL75" s="769"/>
      <c r="GM75" s="769"/>
      <c r="GN75" s="769"/>
      <c r="GO75" s="769"/>
      <c r="GP75" s="769"/>
      <c r="GQ75" s="769"/>
      <c r="GR75" s="769"/>
      <c r="GS75" s="769"/>
      <c r="GT75" s="769"/>
      <c r="GU75" s="769"/>
      <c r="GV75" s="769"/>
      <c r="GW75" s="769"/>
      <c r="GX75" s="769"/>
      <c r="GY75" s="769"/>
      <c r="GZ75" s="769"/>
      <c r="HA75" s="769"/>
      <c r="HB75" s="769"/>
      <c r="HC75" s="769"/>
      <c r="HD75" s="769"/>
      <c r="HE75" s="769"/>
      <c r="HF75" s="769"/>
      <c r="HG75" s="769"/>
      <c r="HH75" s="769"/>
      <c r="HI75" s="769"/>
      <c r="HJ75" s="769"/>
      <c r="HK75" s="769"/>
      <c r="HL75" s="769"/>
      <c r="HM75" s="769"/>
      <c r="HN75" s="769"/>
      <c r="HO75" s="769"/>
      <c r="HP75" s="769"/>
      <c r="HQ75" s="769"/>
      <c r="HR75" s="769"/>
      <c r="HS75" s="769"/>
      <c r="HT75" s="769"/>
      <c r="HU75" s="769"/>
      <c r="HV75" s="769"/>
      <c r="HW75" s="769"/>
      <c r="HX75" s="769"/>
      <c r="HY75" s="769"/>
      <c r="HZ75" s="769"/>
      <c r="IA75" s="769"/>
      <c r="IB75" s="769"/>
      <c r="IC75" s="769"/>
      <c r="ID75" s="769"/>
    </row>
    <row r="76" spans="2:238" s="702" customFormat="1" ht="22" customHeight="1" x14ac:dyDescent="0.35">
      <c r="B76" s="1979" t="s">
        <v>678</v>
      </c>
      <c r="C76" s="1980"/>
      <c r="D76" s="1980"/>
      <c r="E76" s="1980"/>
      <c r="F76" s="1981"/>
      <c r="G76" s="762">
        <v>0.85</v>
      </c>
      <c r="H76" s="108" t="s">
        <v>69</v>
      </c>
      <c r="I76" s="52" t="s">
        <v>199</v>
      </c>
      <c r="J76" s="2094"/>
      <c r="K76" s="2094"/>
      <c r="L76" s="1891">
        <f>BP49</f>
        <v>0</v>
      </c>
      <c r="M76" s="1892"/>
      <c r="N76" s="42" t="s">
        <v>95</v>
      </c>
      <c r="O76" s="1895">
        <f>IF(J76=0,L76*G76*IF(AC63="n",(1+AE63),1),J76)</f>
        <v>0</v>
      </c>
      <c r="P76" s="1896"/>
      <c r="Q76" s="687"/>
      <c r="R76" s="687"/>
      <c r="S76" s="537"/>
      <c r="T76" s="299"/>
      <c r="U76" s="622"/>
      <c r="V76" s="622"/>
      <c r="W76" s="622"/>
      <c r="X76" s="622"/>
      <c r="Y76" s="193" t="s">
        <v>375</v>
      </c>
      <c r="Z76" s="106"/>
      <c r="AA76"/>
      <c r="AB76" s="194">
        <f>ROUNDUP(SUM(K11:K48)*0.03/16,0)</f>
        <v>0</v>
      </c>
      <c r="AC76" s="106" t="s">
        <v>376</v>
      </c>
      <c r="AD76" s="195">
        <f>Pricing!N8</f>
        <v>19</v>
      </c>
      <c r="AE76" s="401" t="s">
        <v>378</v>
      </c>
      <c r="AF76" s="680">
        <f>AD93*AB93</f>
        <v>0</v>
      </c>
      <c r="AG76" s="769"/>
      <c r="AH76" s="769"/>
      <c r="AI76" s="769"/>
      <c r="AJ76" s="702" t="s">
        <v>126</v>
      </c>
      <c r="AK76" s="702">
        <v>0</v>
      </c>
      <c r="GA76" s="769"/>
      <c r="GB76" s="769"/>
      <c r="GC76" s="769"/>
      <c r="GD76" s="769"/>
      <c r="GE76" s="769"/>
      <c r="GF76" s="769"/>
      <c r="GG76" s="769"/>
      <c r="GH76" s="769"/>
      <c r="GI76" s="769"/>
      <c r="GJ76" s="769"/>
      <c r="GK76" s="769"/>
      <c r="GL76" s="769"/>
      <c r="GM76" s="769"/>
      <c r="GN76" s="769"/>
      <c r="GO76" s="769"/>
      <c r="GP76" s="769"/>
      <c r="GQ76" s="769"/>
      <c r="GR76" s="769"/>
      <c r="GS76" s="769"/>
      <c r="GT76" s="769"/>
      <c r="GU76" s="769"/>
      <c r="GV76" s="769"/>
      <c r="GW76" s="769"/>
      <c r="GX76" s="769"/>
      <c r="GY76" s="769"/>
      <c r="GZ76" s="769"/>
      <c r="HA76" s="769"/>
      <c r="HB76" s="769"/>
      <c r="HC76" s="769"/>
      <c r="HD76" s="769"/>
      <c r="HE76" s="769"/>
      <c r="HF76" s="769"/>
      <c r="HG76" s="769"/>
      <c r="HH76" s="769"/>
      <c r="HI76" s="769"/>
      <c r="HJ76" s="769"/>
      <c r="HK76" s="769"/>
      <c r="HL76" s="769"/>
      <c r="HM76" s="769"/>
      <c r="HN76" s="769"/>
      <c r="HO76" s="769"/>
      <c r="HP76" s="769"/>
      <c r="HQ76" s="769"/>
      <c r="HR76" s="769"/>
      <c r="HS76" s="769"/>
      <c r="HT76" s="769"/>
      <c r="HU76" s="769"/>
      <c r="HV76" s="769"/>
      <c r="HW76" s="769"/>
      <c r="HX76" s="769"/>
      <c r="HY76" s="769"/>
      <c r="HZ76" s="769"/>
      <c r="IA76" s="769"/>
      <c r="IB76" s="769"/>
      <c r="IC76" s="769"/>
      <c r="ID76" s="769"/>
    </row>
    <row r="77" spans="2:238" s="702" customFormat="1" ht="22" customHeight="1" thickBot="1" x14ac:dyDescent="0.4">
      <c r="B77" s="2119" t="s">
        <v>602</v>
      </c>
      <c r="C77" s="2120"/>
      <c r="D77" s="2120"/>
      <c r="E77" s="2120"/>
      <c r="F77" s="2120"/>
      <c r="G77" s="765">
        <f>Pricing!D18</f>
        <v>25</v>
      </c>
      <c r="H77" s="90" t="s">
        <v>443</v>
      </c>
      <c r="I77" s="2067" t="s">
        <v>603</v>
      </c>
      <c r="J77" s="2068"/>
      <c r="K77" s="749">
        <v>0.05</v>
      </c>
      <c r="L77" s="2121">
        <f>BU49</f>
        <v>0</v>
      </c>
      <c r="M77" s="2121"/>
      <c r="N77" s="75" t="s">
        <v>446</v>
      </c>
      <c r="O77" s="2058">
        <f>G77*L77*(IF(AC$63="N",1+AE$63,1))</f>
        <v>0</v>
      </c>
      <c r="P77" s="2059"/>
      <c r="Q77" s="686"/>
      <c r="R77" s="686"/>
      <c r="S77" s="537"/>
      <c r="T77" s="299"/>
      <c r="U77" s="622"/>
      <c r="V77" s="622"/>
      <c r="W77" s="622"/>
      <c r="X77" s="622"/>
      <c r="Y77" s="193" t="s">
        <v>207</v>
      </c>
      <c r="Z77" s="106"/>
      <c r="AA77"/>
      <c r="AB77" s="194">
        <f>ROUNDUP(I87/32*1.2*AC71,0)</f>
        <v>0</v>
      </c>
      <c r="AC77" s="106" t="s">
        <v>209</v>
      </c>
      <c r="AD77" s="195">
        <f>Pricing!N7</f>
        <v>50</v>
      </c>
      <c r="AE77" s="401" t="s">
        <v>290</v>
      </c>
      <c r="AF77" s="680">
        <f t="shared" ref="AF77:AF98" si="72">IF(AC$63="Y",AB77*AD77,AB77*AD77*(1+AE$63))</f>
        <v>0</v>
      </c>
      <c r="AG77" s="769"/>
      <c r="AH77" s="769"/>
      <c r="AI77" s="769"/>
      <c r="AJ77" s="702" t="s">
        <v>238</v>
      </c>
      <c r="AK77" s="702">
        <v>0</v>
      </c>
      <c r="GA77" s="769"/>
      <c r="GB77" s="769"/>
      <c r="GC77" s="769"/>
      <c r="GD77" s="769"/>
      <c r="GE77" s="769"/>
      <c r="GF77" s="769"/>
      <c r="GG77" s="769"/>
      <c r="GH77" s="769"/>
      <c r="GI77" s="769"/>
      <c r="GJ77" s="769"/>
      <c r="GK77" s="769"/>
      <c r="GL77" s="769"/>
      <c r="GM77" s="769"/>
      <c r="GN77" s="769"/>
      <c r="GO77" s="769"/>
      <c r="GP77" s="769"/>
      <c r="GQ77" s="769"/>
      <c r="GR77" s="769"/>
      <c r="GS77" s="769"/>
      <c r="GT77" s="769"/>
      <c r="GU77" s="769"/>
      <c r="GV77" s="769"/>
      <c r="GW77" s="769"/>
      <c r="GX77" s="769"/>
      <c r="GY77" s="769"/>
      <c r="GZ77" s="769"/>
      <c r="HA77" s="769"/>
      <c r="HB77" s="769"/>
      <c r="HC77" s="769"/>
      <c r="HD77" s="769"/>
      <c r="HE77" s="769"/>
      <c r="HF77" s="769"/>
      <c r="HG77" s="769"/>
      <c r="HH77" s="769"/>
      <c r="HI77" s="769"/>
      <c r="HJ77" s="769"/>
      <c r="HK77" s="769"/>
      <c r="HL77" s="769"/>
      <c r="HM77" s="769"/>
      <c r="HN77" s="769"/>
      <c r="HO77" s="769"/>
      <c r="HP77" s="769"/>
      <c r="HQ77" s="769"/>
      <c r="HR77" s="769"/>
      <c r="HS77" s="769"/>
      <c r="HT77" s="769"/>
      <c r="HU77" s="769"/>
      <c r="HV77" s="769"/>
      <c r="HW77" s="769"/>
      <c r="HX77" s="769"/>
      <c r="HY77" s="769"/>
      <c r="HZ77" s="769"/>
      <c r="IA77" s="769"/>
      <c r="IB77" s="769"/>
      <c r="IC77" s="769"/>
      <c r="ID77" s="769"/>
    </row>
    <row r="78" spans="2:238" s="702" customFormat="1" ht="22" customHeight="1" thickTop="1" x14ac:dyDescent="0.35">
      <c r="B78" s="43" t="s">
        <v>604</v>
      </c>
      <c r="C78" s="42"/>
      <c r="D78" s="42"/>
      <c r="E78" s="2022" t="s">
        <v>605</v>
      </c>
      <c r="F78" s="751" t="s">
        <v>198</v>
      </c>
      <c r="G78" s="766">
        <v>1</v>
      </c>
      <c r="H78" s="88" t="s">
        <v>42</v>
      </c>
      <c r="I78" s="2008" t="s">
        <v>202</v>
      </c>
      <c r="J78" s="2009"/>
      <c r="K78" s="747">
        <v>0.1</v>
      </c>
      <c r="L78" s="2021">
        <f>IF(F78="Y",(SUM(T$11:T$48)+SUM(Z$11:Z$48)+SUM(AB$11:AB$48))*(1+K78),0)</f>
        <v>0</v>
      </c>
      <c r="M78" s="2015"/>
      <c r="N78" s="42" t="s">
        <v>42</v>
      </c>
      <c r="O78" s="1887">
        <f>L78*G78*(IF(AC$63="N",1+AE$63,1))</f>
        <v>0</v>
      </c>
      <c r="P78" s="1888"/>
      <c r="Q78" s="686"/>
      <c r="R78" s="686"/>
      <c r="S78" s="537"/>
      <c r="T78" s="299"/>
      <c r="U78" s="622"/>
      <c r="V78" s="622"/>
      <c r="W78" s="622"/>
      <c r="X78" s="622"/>
      <c r="Y78" s="193" t="s">
        <v>757</v>
      </c>
      <c r="Z78" s="106"/>
      <c r="AA78"/>
      <c r="AB78" s="194">
        <f>ROUND(AB75/25,0)</f>
        <v>0</v>
      </c>
      <c r="AC78" s="106" t="s">
        <v>753</v>
      </c>
      <c r="AD78" s="195">
        <f>Pricing!N14</f>
        <v>18</v>
      </c>
      <c r="AE78" s="401" t="s">
        <v>291</v>
      </c>
      <c r="AF78" s="680">
        <f t="shared" si="72"/>
        <v>0</v>
      </c>
      <c r="AG78" s="769"/>
      <c r="AH78" s="769"/>
      <c r="AI78" s="769"/>
      <c r="AJ78" s="702" t="s">
        <v>283</v>
      </c>
      <c r="AK78" s="702">
        <v>0</v>
      </c>
      <c r="GA78" s="769"/>
      <c r="GB78" s="769"/>
      <c r="GC78" s="769"/>
      <c r="GD78" s="769"/>
      <c r="GE78" s="769"/>
      <c r="GF78" s="769"/>
      <c r="GG78" s="769"/>
      <c r="GH78" s="769"/>
      <c r="GI78" s="769"/>
      <c r="GJ78" s="769"/>
      <c r="GK78" s="769"/>
      <c r="GL78" s="769"/>
      <c r="GM78" s="769"/>
      <c r="GN78" s="769"/>
      <c r="GO78" s="769"/>
      <c r="GP78" s="769"/>
      <c r="GQ78" s="769"/>
      <c r="GR78" s="769"/>
      <c r="GS78" s="769"/>
      <c r="GT78" s="769"/>
      <c r="GU78" s="769"/>
      <c r="GV78" s="769"/>
      <c r="GW78" s="769"/>
      <c r="GX78" s="769"/>
      <c r="GY78" s="769"/>
      <c r="GZ78" s="769"/>
      <c r="HA78" s="769"/>
      <c r="HB78" s="769"/>
      <c r="HC78" s="769"/>
      <c r="HD78" s="769"/>
      <c r="HE78" s="769"/>
      <c r="HF78" s="769"/>
      <c r="HG78" s="769"/>
      <c r="HH78" s="769"/>
      <c r="HI78" s="769"/>
      <c r="HJ78" s="769"/>
      <c r="HK78" s="769"/>
      <c r="HL78" s="769"/>
      <c r="HM78" s="769"/>
      <c r="HN78" s="769"/>
      <c r="HO78" s="769"/>
      <c r="HP78" s="769"/>
      <c r="HQ78" s="769"/>
      <c r="HR78" s="769"/>
      <c r="HS78" s="769"/>
      <c r="HT78" s="769"/>
      <c r="HU78" s="769"/>
      <c r="HV78" s="769"/>
      <c r="HW78" s="769"/>
      <c r="HX78" s="769"/>
      <c r="HY78" s="769"/>
      <c r="HZ78" s="769"/>
      <c r="IA78" s="769"/>
      <c r="IB78" s="769"/>
      <c r="IC78" s="769"/>
      <c r="ID78" s="769"/>
    </row>
    <row r="79" spans="2:238" s="702" customFormat="1" ht="23.25" customHeight="1" x14ac:dyDescent="0.35">
      <c r="B79" s="43" t="s">
        <v>592</v>
      </c>
      <c r="C79"/>
      <c r="D79"/>
      <c r="E79" s="2022"/>
      <c r="F79" s="728" t="s">
        <v>198</v>
      </c>
      <c r="G79" s="766">
        <v>0.85</v>
      </c>
      <c r="H79" s="88" t="s">
        <v>69</v>
      </c>
      <c r="I79" s="42"/>
      <c r="J79" s="42"/>
      <c r="K79" s="2014">
        <v>0.1</v>
      </c>
      <c r="L79" s="2021">
        <f>IF(F79="Y",SUM(D$49)*(1+K$79),0)</f>
        <v>0</v>
      </c>
      <c r="M79" s="2015"/>
      <c r="N79" s="42" t="s">
        <v>95</v>
      </c>
      <c r="O79" s="1887">
        <f>L79*G79*(IF(AC$63="N",1+AE$63,1))</f>
        <v>0</v>
      </c>
      <c r="P79" s="1888"/>
      <c r="Q79" s="686"/>
      <c r="R79" s="686"/>
      <c r="S79" s="537"/>
      <c r="T79" s="299"/>
      <c r="U79" s="622"/>
      <c r="V79" s="622"/>
      <c r="W79" s="622"/>
      <c r="X79" s="622"/>
      <c r="Y79" s="193" t="s">
        <v>0</v>
      </c>
      <c r="Z79" s="106"/>
      <c r="AA79"/>
      <c r="AB79" s="194">
        <f>ROUNDUP((SUM(K11:K48))*1.25/500,0)</f>
        <v>0</v>
      </c>
      <c r="AC79" s="106" t="s">
        <v>626</v>
      </c>
      <c r="AD79" s="195">
        <f>Pricing!N15</f>
        <v>42</v>
      </c>
      <c r="AE79" s="401" t="s">
        <v>292</v>
      </c>
      <c r="AF79" s="680">
        <f t="shared" si="72"/>
        <v>0</v>
      </c>
      <c r="AG79" s="769"/>
      <c r="AH79" s="769"/>
      <c r="AI79" s="769"/>
      <c r="AJ79" s="702" t="s">
        <v>239</v>
      </c>
      <c r="AK79" s="702" t="s">
        <v>240</v>
      </c>
      <c r="AO79" s="702" t="s">
        <v>92</v>
      </c>
      <c r="GA79" s="769"/>
      <c r="GB79" s="769"/>
      <c r="GC79" s="769"/>
      <c r="GD79" s="769"/>
      <c r="GE79" s="769"/>
      <c r="GF79" s="769"/>
      <c r="GG79" s="769"/>
      <c r="GH79" s="769"/>
      <c r="GI79" s="769"/>
      <c r="GJ79" s="769"/>
      <c r="GK79" s="769"/>
      <c r="GL79" s="769"/>
      <c r="GM79" s="769"/>
      <c r="GN79" s="769"/>
      <c r="GO79" s="769"/>
      <c r="GP79" s="769"/>
      <c r="GQ79" s="769"/>
      <c r="GR79" s="769"/>
      <c r="GS79" s="769"/>
      <c r="GT79" s="769"/>
      <c r="GU79" s="769"/>
      <c r="GV79" s="769"/>
      <c r="GW79" s="769"/>
      <c r="GX79" s="769"/>
      <c r="GY79" s="769"/>
      <c r="GZ79" s="769"/>
      <c r="HA79" s="769"/>
      <c r="HB79" s="769"/>
      <c r="HC79" s="769"/>
      <c r="HD79" s="769"/>
      <c r="HE79" s="769"/>
      <c r="HF79" s="769"/>
      <c r="HG79" s="769"/>
      <c r="HH79" s="769"/>
      <c r="HI79" s="769"/>
      <c r="HJ79" s="769"/>
      <c r="HK79" s="769"/>
      <c r="HL79" s="769"/>
      <c r="HM79" s="769"/>
      <c r="HN79" s="769"/>
      <c r="HO79" s="769"/>
      <c r="HP79" s="769"/>
      <c r="HQ79" s="769"/>
      <c r="HR79" s="769"/>
      <c r="HS79" s="769"/>
      <c r="HT79" s="769"/>
      <c r="HU79" s="769"/>
      <c r="HV79" s="769"/>
      <c r="HW79" s="769"/>
      <c r="HX79" s="769"/>
      <c r="HY79" s="769"/>
      <c r="HZ79" s="769"/>
      <c r="IA79" s="769"/>
      <c r="IB79" s="769"/>
      <c r="IC79" s="769"/>
      <c r="ID79" s="769"/>
    </row>
    <row r="80" spans="2:238" s="702" customFormat="1" ht="22" customHeight="1" x14ac:dyDescent="0.35">
      <c r="B80" s="43" t="s">
        <v>591</v>
      </c>
      <c r="C80"/>
      <c r="D80"/>
      <c r="E80" s="2023"/>
      <c r="F80" s="728" t="s">
        <v>198</v>
      </c>
      <c r="G80" s="767">
        <v>0.12</v>
      </c>
      <c r="H80" s="88" t="s">
        <v>69</v>
      </c>
      <c r="I80" s="2015" t="s">
        <v>202</v>
      </c>
      <c r="J80" s="2016"/>
      <c r="K80" s="2014"/>
      <c r="L80" s="2021">
        <f>IF(F80="Y",SUM(D$49)*(1+K$79),0)</f>
        <v>0</v>
      </c>
      <c r="M80" s="2015"/>
      <c r="N80" s="42" t="s">
        <v>95</v>
      </c>
      <c r="O80" s="1887">
        <f>L80*G80*(IF(AC$63="N",1+AE$63,1))</f>
        <v>0</v>
      </c>
      <c r="P80" s="1888"/>
      <c r="Q80" s="686"/>
      <c r="R80" s="686"/>
      <c r="S80" s="537"/>
      <c r="T80" s="299"/>
      <c r="U80" s="622"/>
      <c r="V80" s="622"/>
      <c r="W80" s="622"/>
      <c r="X80" s="622"/>
      <c r="Y80" s="193" t="s">
        <v>2</v>
      </c>
      <c r="Z80" s="106"/>
      <c r="AA80"/>
      <c r="AB80" s="194">
        <f>ROUNDUP((SUM(K12:K49))*1.25/500,0)</f>
        <v>0</v>
      </c>
      <c r="AC80" s="106" t="s">
        <v>626</v>
      </c>
      <c r="AD80" s="195">
        <f>Pricing!N16</f>
        <v>42</v>
      </c>
      <c r="AE80" s="401" t="s">
        <v>292</v>
      </c>
      <c r="AF80" s="680">
        <f t="shared" si="72"/>
        <v>0</v>
      </c>
      <c r="AG80" s="769"/>
      <c r="AH80" s="769"/>
      <c r="AI80" s="769"/>
      <c r="GA80" s="769"/>
      <c r="GB80" s="769"/>
      <c r="GC80" s="769"/>
      <c r="GD80" s="769"/>
      <c r="GE80" s="769"/>
      <c r="GF80" s="769"/>
      <c r="GG80" s="769"/>
      <c r="GH80" s="769"/>
      <c r="GI80" s="769"/>
      <c r="GJ80" s="769"/>
      <c r="GK80" s="769"/>
      <c r="GL80" s="769"/>
      <c r="GM80" s="769"/>
      <c r="GN80" s="769"/>
      <c r="GO80" s="769"/>
      <c r="GP80" s="769"/>
      <c r="GQ80" s="769"/>
      <c r="GR80" s="769"/>
      <c r="GS80" s="769"/>
      <c r="GT80" s="769"/>
      <c r="GU80" s="769"/>
      <c r="GV80" s="769"/>
      <c r="GW80" s="769"/>
      <c r="GX80" s="769"/>
      <c r="GY80" s="769"/>
      <c r="GZ80" s="769"/>
      <c r="HA80" s="769"/>
      <c r="HB80" s="769"/>
      <c r="HC80" s="769"/>
      <c r="HD80" s="769"/>
      <c r="HE80" s="769"/>
      <c r="HF80" s="769"/>
      <c r="HG80" s="769"/>
      <c r="HH80" s="769"/>
      <c r="HI80" s="769"/>
      <c r="HJ80" s="769"/>
      <c r="HK80" s="769"/>
      <c r="HL80" s="769"/>
      <c r="HM80" s="769"/>
      <c r="HN80" s="769"/>
      <c r="HO80" s="769"/>
      <c r="HP80" s="769"/>
      <c r="HQ80" s="769"/>
      <c r="HR80" s="769"/>
      <c r="HS80" s="769"/>
      <c r="HT80" s="769"/>
      <c r="HU80" s="769"/>
      <c r="HV80" s="769"/>
      <c r="HW80" s="769"/>
      <c r="HX80" s="769"/>
      <c r="HY80" s="769"/>
      <c r="HZ80" s="769"/>
      <c r="IA80" s="769"/>
      <c r="IB80" s="769"/>
      <c r="IC80" s="769"/>
      <c r="ID80" s="769"/>
    </row>
    <row r="81" spans="2:238" s="702" customFormat="1" ht="22" customHeight="1" thickBot="1" x14ac:dyDescent="0.4">
      <c r="B81" s="2005" t="s">
        <v>108</v>
      </c>
      <c r="C81" s="2006"/>
      <c r="D81" s="2006"/>
      <c r="E81" s="2006"/>
      <c r="F81" s="2007"/>
      <c r="G81" s="768">
        <v>20</v>
      </c>
      <c r="H81" s="96" t="s">
        <v>606</v>
      </c>
      <c r="I81" s="2006" t="s">
        <v>603</v>
      </c>
      <c r="J81" s="2006"/>
      <c r="K81" s="750">
        <v>0.1</v>
      </c>
      <c r="L81" s="2029">
        <v>0</v>
      </c>
      <c r="M81" s="2029"/>
      <c r="N81" s="49" t="s">
        <v>335</v>
      </c>
      <c r="O81" s="1887">
        <f>L81*G81*(IF(AC$63="N",1+AE$63,1))</f>
        <v>0</v>
      </c>
      <c r="P81" s="1888"/>
      <c r="Q81" s="686"/>
      <c r="R81" s="686"/>
      <c r="S81" s="537"/>
      <c r="T81" s="299"/>
      <c r="U81" s="622"/>
      <c r="V81" s="622"/>
      <c r="W81" s="622"/>
      <c r="X81" s="622"/>
      <c r="Y81" s="193" t="s">
        <v>728</v>
      </c>
      <c r="Z81" s="106"/>
      <c r="AA81"/>
      <c r="AB81" s="194">
        <f>ROUNDUP((SUM(K13:K48))*1.25/500,0)</f>
        <v>0</v>
      </c>
      <c r="AC81" s="106" t="s">
        <v>626</v>
      </c>
      <c r="AD81" s="195">
        <f>Pricing!N15</f>
        <v>42</v>
      </c>
      <c r="AE81" s="401" t="s">
        <v>292</v>
      </c>
      <c r="AF81" s="680">
        <f t="shared" si="72"/>
        <v>0</v>
      </c>
      <c r="AG81" s="769"/>
      <c r="AH81" s="769"/>
      <c r="AI81" s="769"/>
      <c r="AJ81" s="702">
        <v>0</v>
      </c>
      <c r="AK81" s="702" t="s">
        <v>241</v>
      </c>
      <c r="GA81" s="769"/>
      <c r="GB81" s="769"/>
      <c r="GC81" s="769"/>
      <c r="GD81" s="769"/>
      <c r="GE81" s="769"/>
      <c r="GF81" s="769"/>
      <c r="GG81" s="769"/>
      <c r="GH81" s="769"/>
      <c r="GI81" s="769"/>
      <c r="GJ81" s="769"/>
      <c r="GK81" s="769"/>
      <c r="GL81" s="769"/>
      <c r="GM81" s="769"/>
      <c r="GN81" s="769"/>
      <c r="GO81" s="769"/>
      <c r="GP81" s="769"/>
      <c r="GQ81" s="769"/>
      <c r="GR81" s="769"/>
      <c r="GS81" s="769"/>
      <c r="GT81" s="769"/>
      <c r="GU81" s="769"/>
      <c r="GV81" s="769"/>
      <c r="GW81" s="769"/>
      <c r="GX81" s="769"/>
      <c r="GY81" s="769"/>
      <c r="GZ81" s="769"/>
      <c r="HA81" s="769"/>
      <c r="HB81" s="769"/>
      <c r="HC81" s="769"/>
      <c r="HD81" s="769"/>
      <c r="HE81" s="769"/>
      <c r="HF81" s="769"/>
      <c r="HG81" s="769"/>
      <c r="HH81" s="769"/>
      <c r="HI81" s="769"/>
      <c r="HJ81" s="769"/>
      <c r="HK81" s="769"/>
      <c r="HL81" s="769"/>
      <c r="HM81" s="769"/>
      <c r="HN81" s="769"/>
      <c r="HO81" s="769"/>
      <c r="HP81" s="769"/>
      <c r="HQ81" s="769"/>
      <c r="HR81" s="769"/>
      <c r="HS81" s="769"/>
      <c r="HT81" s="769"/>
      <c r="HU81" s="769"/>
      <c r="HV81" s="769"/>
      <c r="HW81" s="769"/>
      <c r="HX81" s="769"/>
      <c r="HY81" s="769"/>
      <c r="HZ81" s="769"/>
      <c r="IA81" s="769"/>
      <c r="IB81" s="769"/>
      <c r="IC81" s="769"/>
      <c r="ID81" s="769"/>
    </row>
    <row r="82" spans="2:238" s="702" customFormat="1" ht="22" customHeight="1" thickBot="1" x14ac:dyDescent="0.4">
      <c r="B82" s="737" t="s">
        <v>221</v>
      </c>
      <c r="C82" s="732"/>
      <c r="D82" s="732" t="s">
        <v>299</v>
      </c>
      <c r="E82" s="732"/>
      <c r="F82" s="732"/>
      <c r="G82" s="732"/>
      <c r="H82" s="731"/>
      <c r="I82" s="732"/>
      <c r="J82" s="732"/>
      <c r="K82" s="732"/>
      <c r="L82" s="1889" t="s">
        <v>45</v>
      </c>
      <c r="M82" s="1889"/>
      <c r="N82" s="1889" t="s">
        <v>300</v>
      </c>
      <c r="O82" s="1889"/>
      <c r="P82" s="1890"/>
      <c r="Q82" s="685"/>
      <c r="R82" s="685"/>
      <c r="S82" s="537"/>
      <c r="T82" s="299"/>
      <c r="U82" s="622"/>
      <c r="V82" s="622"/>
      <c r="W82" s="622"/>
      <c r="X82" s="622"/>
      <c r="Y82" s="193" t="s">
        <v>210</v>
      </c>
      <c r="Z82" s="106"/>
      <c r="AA82"/>
      <c r="AB82" s="194">
        <f>BQ49/150</f>
        <v>0</v>
      </c>
      <c r="AC82" s="106" t="s">
        <v>626</v>
      </c>
      <c r="AD82" s="195">
        <f>Pricing!N33</f>
        <v>25.5</v>
      </c>
      <c r="AE82" s="401" t="s">
        <v>292</v>
      </c>
      <c r="AF82" s="680">
        <f t="shared" si="72"/>
        <v>0</v>
      </c>
      <c r="AG82" s="769"/>
      <c r="AH82" s="769"/>
      <c r="AI82" s="769"/>
      <c r="AJ82" s="702">
        <v>1</v>
      </c>
      <c r="AK82" s="702" t="s">
        <v>242</v>
      </c>
      <c r="GA82" s="769"/>
      <c r="GB82" s="769"/>
      <c r="GC82" s="769"/>
      <c r="GD82" s="769"/>
      <c r="GE82" s="769"/>
      <c r="GF82" s="769"/>
      <c r="GG82" s="769"/>
      <c r="GH82" s="769"/>
      <c r="GI82" s="769"/>
      <c r="GJ82" s="769"/>
      <c r="GK82" s="769"/>
      <c r="GL82" s="769"/>
      <c r="GM82" s="769"/>
      <c r="GN82" s="769"/>
      <c r="GO82" s="769"/>
      <c r="GP82" s="769"/>
      <c r="GQ82" s="769"/>
      <c r="GR82" s="769"/>
      <c r="GS82" s="769"/>
      <c r="GT82" s="769"/>
      <c r="GU82" s="769"/>
      <c r="GV82" s="769"/>
      <c r="GW82" s="769"/>
      <c r="GX82" s="769"/>
      <c r="GY82" s="769"/>
      <c r="GZ82" s="769"/>
      <c r="HA82" s="769"/>
      <c r="HB82" s="769"/>
      <c r="HC82" s="769"/>
      <c r="HD82" s="769"/>
      <c r="HE82" s="769"/>
      <c r="HF82" s="769"/>
      <c r="HG82" s="769"/>
      <c r="HH82" s="769"/>
      <c r="HI82" s="769"/>
      <c r="HJ82" s="769"/>
      <c r="HK82" s="769"/>
      <c r="HL82" s="769"/>
      <c r="HM82" s="769"/>
      <c r="HN82" s="769"/>
      <c r="HO82" s="769"/>
      <c r="HP82" s="769"/>
      <c r="HQ82" s="769"/>
      <c r="HR82" s="769"/>
      <c r="HS82" s="769"/>
      <c r="HT82" s="769"/>
      <c r="HU82" s="769"/>
      <c r="HV82" s="769"/>
      <c r="HW82" s="769"/>
      <c r="HX82" s="769"/>
      <c r="HY82" s="769"/>
      <c r="HZ82" s="769"/>
      <c r="IA82" s="769"/>
      <c r="IB82" s="769"/>
      <c r="IC82" s="769"/>
      <c r="ID82" s="769"/>
    </row>
    <row r="83" spans="2:238" s="702" customFormat="1" ht="22" customHeight="1" x14ac:dyDescent="0.35">
      <c r="B83" s="250" t="s">
        <v>329</v>
      </c>
      <c r="C83" s="78"/>
      <c r="D83" s="246" t="s">
        <v>235</v>
      </c>
      <c r="E83" s="2027">
        <v>0.6</v>
      </c>
      <c r="F83" s="2028"/>
      <c r="G83" s="116" t="s">
        <v>191</v>
      </c>
      <c r="H83" s="2024">
        <f>SUM(E83:F86)</f>
        <v>1.9500000000000002</v>
      </c>
      <c r="I83" s="1847">
        <f>D49</f>
        <v>0</v>
      </c>
      <c r="J83" s="1848"/>
      <c r="K83" s="48" t="s">
        <v>95</v>
      </c>
      <c r="L83" s="1853">
        <f>IF(D83="N",E83*I$83,0)</f>
        <v>0</v>
      </c>
      <c r="M83" s="1853"/>
      <c r="N83" s="247"/>
      <c r="O83" s="1897">
        <f>IF(D83="y",I$83*E83,0)</f>
        <v>0</v>
      </c>
      <c r="P83" s="1898"/>
      <c r="Q83" s="687"/>
      <c r="R83" s="687"/>
      <c r="S83" s="537"/>
      <c r="T83" s="299"/>
      <c r="U83" s="622"/>
      <c r="V83" s="622"/>
      <c r="W83" s="622"/>
      <c r="X83" s="622"/>
      <c r="Y83" s="193" t="s">
        <v>236</v>
      </c>
      <c r="Z83" s="106"/>
      <c r="AA83"/>
      <c r="AB83" s="194">
        <v>0</v>
      </c>
      <c r="AC83" s="106" t="s">
        <v>42</v>
      </c>
      <c r="AD83" s="195">
        <f>Pricing!N18</f>
        <v>0.78</v>
      </c>
      <c r="AE83" s="106" t="s">
        <v>787</v>
      </c>
      <c r="AF83" s="680">
        <f t="shared" si="72"/>
        <v>0</v>
      </c>
      <c r="AG83" s="769"/>
      <c r="AH83" s="769"/>
      <c r="AI83" s="769"/>
      <c r="AJ83" s="702">
        <v>2</v>
      </c>
      <c r="AK83" s="702" t="s">
        <v>243</v>
      </c>
      <c r="AO83" s="704">
        <f>SUM(AF72:AF98)+O81</f>
        <v>0</v>
      </c>
      <c r="AP83" s="704"/>
      <c r="GA83" s="769"/>
      <c r="GB83" s="769"/>
      <c r="GC83" s="769"/>
      <c r="GD83" s="769"/>
      <c r="GE83" s="769"/>
      <c r="GF83" s="769"/>
      <c r="GG83" s="769"/>
      <c r="GH83" s="769"/>
      <c r="GI83" s="769"/>
      <c r="GJ83" s="769"/>
      <c r="GK83" s="769"/>
      <c r="GL83" s="769"/>
      <c r="GM83" s="769"/>
      <c r="GN83" s="769"/>
      <c r="GO83" s="769"/>
      <c r="GP83" s="769"/>
      <c r="GQ83" s="769"/>
      <c r="GR83" s="769"/>
      <c r="GS83" s="769"/>
      <c r="GT83" s="769"/>
      <c r="GU83" s="769"/>
      <c r="GV83" s="769"/>
      <c r="GW83" s="769"/>
      <c r="GX83" s="769"/>
      <c r="GY83" s="769"/>
      <c r="GZ83" s="769"/>
      <c r="HA83" s="769"/>
      <c r="HB83" s="769"/>
      <c r="HC83" s="769"/>
      <c r="HD83" s="769"/>
      <c r="HE83" s="769"/>
      <c r="HF83" s="769"/>
      <c r="HG83" s="769"/>
      <c r="HH83" s="769"/>
      <c r="HI83" s="769"/>
      <c r="HJ83" s="769"/>
      <c r="HK83" s="769"/>
      <c r="HL83" s="769"/>
      <c r="HM83" s="769"/>
      <c r="HN83" s="769"/>
      <c r="HO83" s="769"/>
      <c r="HP83" s="769"/>
      <c r="HQ83" s="769"/>
      <c r="HR83" s="769"/>
      <c r="HS83" s="769"/>
      <c r="HT83" s="769"/>
      <c r="HU83" s="769"/>
      <c r="HV83" s="769"/>
      <c r="HW83" s="769"/>
      <c r="HX83" s="769"/>
      <c r="HY83" s="769"/>
      <c r="HZ83" s="769"/>
      <c r="IA83" s="769"/>
      <c r="IB83" s="769"/>
      <c r="IC83" s="769"/>
      <c r="ID83" s="769"/>
    </row>
    <row r="84" spans="2:238" s="702" customFormat="1" ht="22" customHeight="1" x14ac:dyDescent="0.35">
      <c r="B84" s="196" t="s">
        <v>583</v>
      </c>
      <c r="C84" s="69"/>
      <c r="D84" s="98" t="s">
        <v>235</v>
      </c>
      <c r="E84" s="2010">
        <v>0.6</v>
      </c>
      <c r="F84" s="2011"/>
      <c r="G84" s="88" t="s">
        <v>69</v>
      </c>
      <c r="H84" s="2025"/>
      <c r="I84" s="1849"/>
      <c r="J84" s="1850"/>
      <c r="K84" s="69" t="s">
        <v>95</v>
      </c>
      <c r="L84" s="1886">
        <f>IF(D84="N",E84*I$83,0)</f>
        <v>0</v>
      </c>
      <c r="M84" s="1886"/>
      <c r="N84"/>
      <c r="O84" s="1895">
        <f>IF(D84="y",I$83*E84,0)</f>
        <v>0</v>
      </c>
      <c r="P84" s="1896"/>
      <c r="Q84" s="687"/>
      <c r="R84" s="687"/>
      <c r="S84" s="537"/>
      <c r="T84" s="299"/>
      <c r="U84" s="622"/>
      <c r="V84" s="622"/>
      <c r="W84" s="622"/>
      <c r="X84" s="622"/>
      <c r="Y84" s="193" t="s">
        <v>119</v>
      </c>
      <c r="Z84" s="106"/>
      <c r="AA84"/>
      <c r="AB84" s="194">
        <v>0</v>
      </c>
      <c r="AC84" s="106" t="s">
        <v>42</v>
      </c>
      <c r="AD84" s="195">
        <f>Pricing!N19</f>
        <v>0.16</v>
      </c>
      <c r="AE84" s="106" t="s">
        <v>787</v>
      </c>
      <c r="AF84" s="680">
        <f t="shared" si="72"/>
        <v>0</v>
      </c>
      <c r="AG84" s="769"/>
      <c r="AH84" s="769"/>
      <c r="AI84" s="769"/>
      <c r="AJ84" s="702">
        <v>3</v>
      </c>
      <c r="AK84" s="702" t="s">
        <v>244</v>
      </c>
      <c r="AO84" s="704">
        <f>O77</f>
        <v>0</v>
      </c>
      <c r="AP84" s="704"/>
      <c r="GA84" s="769"/>
      <c r="GB84" s="769"/>
      <c r="GC84" s="769"/>
      <c r="GD84" s="769"/>
      <c r="GE84" s="769"/>
      <c r="GF84" s="769"/>
      <c r="GG84" s="769"/>
      <c r="GH84" s="769"/>
      <c r="GI84" s="769"/>
      <c r="GJ84" s="769"/>
      <c r="GK84" s="769"/>
      <c r="GL84" s="769"/>
      <c r="GM84" s="769"/>
      <c r="GN84" s="769"/>
      <c r="GO84" s="769"/>
      <c r="GP84" s="769"/>
      <c r="GQ84" s="769"/>
      <c r="GR84" s="769"/>
      <c r="GS84" s="769"/>
      <c r="GT84" s="769"/>
      <c r="GU84" s="769"/>
      <c r="GV84" s="769"/>
      <c r="GW84" s="769"/>
      <c r="GX84" s="769"/>
      <c r="GY84" s="769"/>
      <c r="GZ84" s="769"/>
      <c r="HA84" s="769"/>
      <c r="HB84" s="769"/>
      <c r="HC84" s="769"/>
      <c r="HD84" s="769"/>
      <c r="HE84" s="769"/>
      <c r="HF84" s="769"/>
      <c r="HG84" s="769"/>
      <c r="HH84" s="769"/>
      <c r="HI84" s="769"/>
      <c r="HJ84" s="769"/>
      <c r="HK84" s="769"/>
      <c r="HL84" s="769"/>
      <c r="HM84" s="769"/>
      <c r="HN84" s="769"/>
      <c r="HO84" s="769"/>
      <c r="HP84" s="769"/>
      <c r="HQ84" s="769"/>
      <c r="HR84" s="769"/>
      <c r="HS84" s="769"/>
      <c r="HT84" s="769"/>
      <c r="HU84" s="769"/>
      <c r="HV84" s="769"/>
      <c r="HW84" s="769"/>
      <c r="HX84" s="769"/>
      <c r="HY84" s="769"/>
      <c r="HZ84" s="769"/>
      <c r="IA84" s="769"/>
      <c r="IB84" s="769"/>
      <c r="IC84" s="769"/>
      <c r="ID84" s="769"/>
    </row>
    <row r="85" spans="2:238" s="702" customFormat="1" ht="22" customHeight="1" x14ac:dyDescent="0.35">
      <c r="B85" s="196" t="s">
        <v>162</v>
      </c>
      <c r="C85" s="57"/>
      <c r="D85" s="98" t="s">
        <v>235</v>
      </c>
      <c r="E85" s="1844">
        <v>0.65</v>
      </c>
      <c r="F85" s="1845"/>
      <c r="G85" s="88" t="s">
        <v>191</v>
      </c>
      <c r="H85" s="2025"/>
      <c r="I85" s="1849"/>
      <c r="J85" s="1850"/>
      <c r="K85" s="42" t="s">
        <v>95</v>
      </c>
      <c r="L85" s="1886">
        <f>IF(D85="N",E85*I$83,0)</f>
        <v>0</v>
      </c>
      <c r="M85" s="1886"/>
      <c r="N85"/>
      <c r="O85" s="1895">
        <f>IF(D85="y",I$83*E85,0)</f>
        <v>0</v>
      </c>
      <c r="P85" s="1896"/>
      <c r="Q85" s="687"/>
      <c r="R85" s="687"/>
      <c r="S85" s="537"/>
      <c r="T85" s="299"/>
      <c r="U85" s="622"/>
      <c r="V85" s="622"/>
      <c r="W85" s="622"/>
      <c r="X85" s="622"/>
      <c r="Y85" s="193" t="s">
        <v>363</v>
      </c>
      <c r="Z85" s="106"/>
      <c r="AA85"/>
      <c r="AB85" s="194">
        <v>0</v>
      </c>
      <c r="AC85" s="106" t="s">
        <v>42</v>
      </c>
      <c r="AD85" s="195">
        <f>Pricing!N11</f>
        <v>1.25</v>
      </c>
      <c r="AE85" s="106" t="s">
        <v>787</v>
      </c>
      <c r="AF85" s="680">
        <f t="shared" si="72"/>
        <v>0</v>
      </c>
      <c r="AG85" s="769"/>
      <c r="AH85" s="769"/>
      <c r="AI85" s="769"/>
      <c r="AJ85" s="702">
        <v>4</v>
      </c>
      <c r="AK85" s="702" t="s">
        <v>245</v>
      </c>
      <c r="GA85" s="769"/>
      <c r="GB85" s="769"/>
      <c r="GC85" s="769"/>
      <c r="GD85" s="769"/>
      <c r="GE85" s="769"/>
      <c r="GF85" s="769"/>
      <c r="GG85" s="769"/>
      <c r="GH85" s="769"/>
      <c r="GI85" s="769"/>
      <c r="GJ85" s="769"/>
      <c r="GK85" s="769"/>
      <c r="GL85" s="769"/>
      <c r="GM85" s="769"/>
      <c r="GN85" s="769"/>
      <c r="GO85" s="769"/>
      <c r="GP85" s="769"/>
      <c r="GQ85" s="769"/>
      <c r="GR85" s="769"/>
      <c r="GS85" s="769"/>
      <c r="GT85" s="769"/>
      <c r="GU85" s="769"/>
      <c r="GV85" s="769"/>
      <c r="GW85" s="769"/>
      <c r="GX85" s="769"/>
      <c r="GY85" s="769"/>
      <c r="GZ85" s="769"/>
      <c r="HA85" s="769"/>
      <c r="HB85" s="769"/>
      <c r="HC85" s="769"/>
      <c r="HD85" s="769"/>
      <c r="HE85" s="769"/>
      <c r="HF85" s="769"/>
      <c r="HG85" s="769"/>
      <c r="HH85" s="769"/>
      <c r="HI85" s="769"/>
      <c r="HJ85" s="769"/>
      <c r="HK85" s="769"/>
      <c r="HL85" s="769"/>
      <c r="HM85" s="769"/>
      <c r="HN85" s="769"/>
      <c r="HO85" s="769"/>
      <c r="HP85" s="769"/>
      <c r="HQ85" s="769"/>
      <c r="HR85" s="769"/>
      <c r="HS85" s="769"/>
      <c r="HT85" s="769"/>
      <c r="HU85" s="769"/>
      <c r="HV85" s="769"/>
      <c r="HW85" s="769"/>
      <c r="HX85" s="769"/>
      <c r="HY85" s="769"/>
      <c r="HZ85" s="769"/>
      <c r="IA85" s="769"/>
      <c r="IB85" s="769"/>
      <c r="IC85" s="769"/>
      <c r="ID85" s="769"/>
    </row>
    <row r="86" spans="2:238" s="702" customFormat="1" ht="22" customHeight="1" x14ac:dyDescent="0.35">
      <c r="B86" s="196" t="s">
        <v>84</v>
      </c>
      <c r="C86" s="57"/>
      <c r="D86" s="98" t="s">
        <v>235</v>
      </c>
      <c r="E86" s="1844">
        <v>0.1</v>
      </c>
      <c r="F86" s="1845"/>
      <c r="G86" s="88" t="s">
        <v>191</v>
      </c>
      <c r="H86" s="2026"/>
      <c r="I86" s="1851"/>
      <c r="J86" s="1852"/>
      <c r="K86" s="42" t="s">
        <v>95</v>
      </c>
      <c r="L86" s="1886">
        <f>IF(D86="N",E86*I$83,0)</f>
        <v>0</v>
      </c>
      <c r="M86" s="1886"/>
      <c r="N86"/>
      <c r="O86" s="1895">
        <f>IF(D86="y",I$83*E86,0)</f>
        <v>0</v>
      </c>
      <c r="P86" s="1896"/>
      <c r="Q86" s="687"/>
      <c r="R86" s="687"/>
      <c r="S86" s="537"/>
      <c r="T86" s="299"/>
      <c r="U86" s="622"/>
      <c r="V86" s="622"/>
      <c r="W86" s="622"/>
      <c r="X86" s="622"/>
      <c r="Y86" s="193" t="s">
        <v>367</v>
      </c>
      <c r="Z86" s="106"/>
      <c r="AA86"/>
      <c r="AB86" s="194">
        <v>0</v>
      </c>
      <c r="AC86" s="106" t="s">
        <v>42</v>
      </c>
      <c r="AD86" s="195">
        <f>Pricing!N12</f>
        <v>0.9</v>
      </c>
      <c r="AE86" s="106" t="s">
        <v>787</v>
      </c>
      <c r="AF86" s="680">
        <f t="shared" si="72"/>
        <v>0</v>
      </c>
      <c r="AG86" s="769"/>
      <c r="AH86" s="769"/>
      <c r="AI86" s="769"/>
      <c r="AJ86" s="702">
        <v>5</v>
      </c>
      <c r="AK86" s="702" t="s">
        <v>246</v>
      </c>
      <c r="AO86" s="704">
        <f>O74+O75+AF111</f>
        <v>0</v>
      </c>
      <c r="AP86" s="704"/>
      <c r="GA86" s="769"/>
      <c r="GB86" s="769"/>
      <c r="GC86" s="769"/>
      <c r="GD86" s="769"/>
      <c r="GE86" s="769"/>
      <c r="GF86" s="769"/>
      <c r="GG86" s="769"/>
      <c r="GH86" s="769"/>
      <c r="GI86" s="769"/>
      <c r="GJ86" s="769"/>
      <c r="GK86" s="769"/>
      <c r="GL86" s="769"/>
      <c r="GM86" s="769"/>
      <c r="GN86" s="769"/>
      <c r="GO86" s="769"/>
      <c r="GP86" s="769"/>
      <c r="GQ86" s="769"/>
      <c r="GR86" s="769"/>
      <c r="GS86" s="769"/>
      <c r="GT86" s="769"/>
      <c r="GU86" s="769"/>
      <c r="GV86" s="769"/>
      <c r="GW86" s="769"/>
      <c r="GX86" s="769"/>
      <c r="GY86" s="769"/>
      <c r="GZ86" s="769"/>
      <c r="HA86" s="769"/>
      <c r="HB86" s="769"/>
      <c r="HC86" s="769"/>
      <c r="HD86" s="769"/>
      <c r="HE86" s="769"/>
      <c r="HF86" s="769"/>
      <c r="HG86" s="769"/>
      <c r="HH86" s="769"/>
      <c r="HI86" s="769"/>
      <c r="HJ86" s="769"/>
      <c r="HK86" s="769"/>
      <c r="HL86" s="769"/>
      <c r="HM86" s="769"/>
      <c r="HN86" s="769"/>
      <c r="HO86" s="769"/>
      <c r="HP86" s="769"/>
      <c r="HQ86" s="769"/>
      <c r="HR86" s="769"/>
      <c r="HS86" s="769"/>
      <c r="HT86" s="769"/>
      <c r="HU86" s="769"/>
      <c r="HV86" s="769"/>
      <c r="HW86" s="769"/>
      <c r="HX86" s="769"/>
      <c r="HY86" s="769"/>
      <c r="HZ86" s="769"/>
      <c r="IA86" s="769"/>
      <c r="IB86" s="769"/>
      <c r="IC86" s="769"/>
      <c r="ID86" s="769"/>
    </row>
    <row r="87" spans="2:238" s="702" customFormat="1" ht="22" customHeight="1" x14ac:dyDescent="0.35">
      <c r="B87" s="196" t="s">
        <v>581</v>
      </c>
      <c r="C87" s="57"/>
      <c r="D87" s="98" t="s">
        <v>235</v>
      </c>
      <c r="E87" s="1842">
        <v>7</v>
      </c>
      <c r="F87" s="1843"/>
      <c r="G87" s="88" t="s">
        <v>840</v>
      </c>
      <c r="H87"/>
      <c r="I87" s="2012">
        <f>BR49</f>
        <v>0</v>
      </c>
      <c r="J87" s="2013"/>
      <c r="K87" s="42" t="s">
        <v>584</v>
      </c>
      <c r="L87" s="1886">
        <f>IF(D87="N",E87*I$87,0)</f>
        <v>0</v>
      </c>
      <c r="M87" s="1886"/>
      <c r="N87"/>
      <c r="O87" s="1895">
        <f>IF(D87="y",I87*E87,0)</f>
        <v>0</v>
      </c>
      <c r="P87" s="1896"/>
      <c r="Q87" s="687"/>
      <c r="R87" s="687"/>
      <c r="S87" s="537"/>
      <c r="T87" s="299"/>
      <c r="U87" s="622"/>
      <c r="V87" s="622"/>
      <c r="W87" s="622"/>
      <c r="X87" s="622"/>
      <c r="Y87" s="193" t="s">
        <v>368</v>
      </c>
      <c r="Z87" s="106"/>
      <c r="AA87"/>
      <c r="AB87" s="194">
        <f>SUM(AB85:AB86)</f>
        <v>0</v>
      </c>
      <c r="AC87" s="106" t="s">
        <v>42</v>
      </c>
      <c r="AD87" s="195">
        <f>Pricing!N9</f>
        <v>0.15</v>
      </c>
      <c r="AE87" s="106" t="s">
        <v>787</v>
      </c>
      <c r="AF87" s="680">
        <f t="shared" si="72"/>
        <v>0</v>
      </c>
      <c r="AG87" s="769"/>
      <c r="AH87" s="769"/>
      <c r="AI87" s="769"/>
      <c r="AJ87" s="702">
        <v>6</v>
      </c>
      <c r="AK87" s="702" t="s">
        <v>248</v>
      </c>
      <c r="AO87" s="702">
        <f>SUM(AF100:AF105)</f>
        <v>0</v>
      </c>
      <c r="GA87" s="769"/>
      <c r="GB87" s="769"/>
      <c r="GC87" s="769"/>
      <c r="GD87" s="769"/>
      <c r="GE87" s="769"/>
      <c r="GF87" s="769"/>
      <c r="GG87" s="769"/>
      <c r="GH87" s="769"/>
      <c r="GI87" s="769"/>
      <c r="GJ87" s="769"/>
      <c r="GK87" s="769"/>
      <c r="GL87" s="769"/>
      <c r="GM87" s="769"/>
      <c r="GN87" s="769"/>
      <c r="GO87" s="769"/>
      <c r="GP87" s="769"/>
      <c r="GQ87" s="769"/>
      <c r="GR87" s="769"/>
      <c r="GS87" s="769"/>
      <c r="GT87" s="769"/>
      <c r="GU87" s="769"/>
      <c r="GV87" s="769"/>
      <c r="GW87" s="769"/>
      <c r="GX87" s="769"/>
      <c r="GY87" s="769"/>
      <c r="GZ87" s="769"/>
      <c r="HA87" s="769"/>
      <c r="HB87" s="769"/>
      <c r="HC87" s="769"/>
      <c r="HD87" s="769"/>
      <c r="HE87" s="769"/>
      <c r="HF87" s="769"/>
      <c r="HG87" s="769"/>
      <c r="HH87" s="769"/>
      <c r="HI87" s="769"/>
      <c r="HJ87" s="769"/>
      <c r="HK87" s="769"/>
      <c r="HL87" s="769"/>
      <c r="HM87" s="769"/>
      <c r="HN87" s="769"/>
      <c r="HO87" s="769"/>
      <c r="HP87" s="769"/>
      <c r="HQ87" s="769"/>
      <c r="HR87" s="769"/>
      <c r="HS87" s="769"/>
      <c r="HT87" s="769"/>
      <c r="HU87" s="769"/>
      <c r="HV87" s="769"/>
      <c r="HW87" s="769"/>
      <c r="HX87" s="769"/>
      <c r="HY87" s="769"/>
      <c r="HZ87" s="769"/>
      <c r="IA87" s="769"/>
      <c r="IB87" s="769"/>
      <c r="IC87" s="769"/>
      <c r="ID87" s="769"/>
    </row>
    <row r="88" spans="2:238" s="702" customFormat="1" ht="22" customHeight="1" x14ac:dyDescent="0.35">
      <c r="B88" s="196" t="s">
        <v>686</v>
      </c>
      <c r="C88" s="57"/>
      <c r="D88" s="98" t="s">
        <v>235</v>
      </c>
      <c r="E88" s="1842">
        <v>4</v>
      </c>
      <c r="F88" s="1843"/>
      <c r="G88" s="88" t="s">
        <v>18</v>
      </c>
      <c r="H88"/>
      <c r="I88" s="1846"/>
      <c r="J88" s="1846"/>
      <c r="K88" s="42" t="s">
        <v>52</v>
      </c>
      <c r="L88" s="1886">
        <f>IF(D88="N",E88*I$88,0)</f>
        <v>0</v>
      </c>
      <c r="M88" s="1886"/>
      <c r="N88"/>
      <c r="O88" s="1895">
        <f>IF(D88="y",I88*E88,0)</f>
        <v>0</v>
      </c>
      <c r="P88" s="1896"/>
      <c r="Q88" s="687"/>
      <c r="R88" s="687"/>
      <c r="S88" s="537"/>
      <c r="T88" s="299"/>
      <c r="U88" s="622"/>
      <c r="V88" s="622"/>
      <c r="W88" s="622"/>
      <c r="X88" s="622"/>
      <c r="Y88" s="193"/>
      <c r="Z88" s="106"/>
      <c r="AA88"/>
      <c r="AB88" s="194"/>
      <c r="AC88" s="106"/>
      <c r="AD88" s="195"/>
      <c r="AE88" s="401"/>
      <c r="AF88" s="680">
        <f t="shared" si="72"/>
        <v>0</v>
      </c>
      <c r="AG88" s="769"/>
      <c r="AH88" s="769"/>
      <c r="AI88" s="769"/>
      <c r="AJ88" s="702">
        <v>7</v>
      </c>
      <c r="AK88" s="702" t="s">
        <v>247</v>
      </c>
      <c r="AO88" s="702">
        <f>O76</f>
        <v>0</v>
      </c>
      <c r="GA88" s="769"/>
      <c r="GB88" s="769"/>
      <c r="GC88" s="769"/>
      <c r="GD88" s="769"/>
      <c r="GE88" s="769"/>
      <c r="GF88" s="769"/>
      <c r="GG88" s="769"/>
      <c r="GH88" s="769"/>
      <c r="GI88" s="769"/>
      <c r="GJ88" s="769"/>
      <c r="GK88" s="769"/>
      <c r="GL88" s="769"/>
      <c r="GM88" s="769"/>
      <c r="GN88" s="769"/>
      <c r="GO88" s="769"/>
      <c r="GP88" s="769"/>
      <c r="GQ88" s="769"/>
      <c r="GR88" s="769"/>
      <c r="GS88" s="769"/>
      <c r="GT88" s="769"/>
      <c r="GU88" s="769"/>
      <c r="GV88" s="769"/>
      <c r="GW88" s="769"/>
      <c r="GX88" s="769"/>
      <c r="GY88" s="769"/>
      <c r="GZ88" s="769"/>
      <c r="HA88" s="769"/>
      <c r="HB88" s="769"/>
      <c r="HC88" s="769"/>
      <c r="HD88" s="769"/>
      <c r="HE88" s="769"/>
      <c r="HF88" s="769"/>
      <c r="HG88" s="769"/>
      <c r="HH88" s="769"/>
      <c r="HI88" s="769"/>
      <c r="HJ88" s="769"/>
      <c r="HK88" s="769"/>
      <c r="HL88" s="769"/>
      <c r="HM88" s="769"/>
      <c r="HN88" s="769"/>
      <c r="HO88" s="769"/>
      <c r="HP88" s="769"/>
      <c r="HQ88" s="769"/>
      <c r="HR88" s="769"/>
      <c r="HS88" s="769"/>
      <c r="HT88" s="769"/>
      <c r="HU88" s="769"/>
      <c r="HV88" s="769"/>
      <c r="HW88" s="769"/>
      <c r="HX88" s="769"/>
      <c r="HY88" s="769"/>
      <c r="HZ88" s="769"/>
      <c r="IA88" s="769"/>
      <c r="IB88" s="769"/>
      <c r="IC88" s="769"/>
      <c r="ID88" s="769"/>
    </row>
    <row r="89" spans="2:238" s="702" customFormat="1" ht="22" customHeight="1" x14ac:dyDescent="0.35">
      <c r="B89" s="196" t="s">
        <v>33</v>
      </c>
      <c r="C89" s="57"/>
      <c r="D89" s="98" t="s">
        <v>235</v>
      </c>
      <c r="E89" s="1844">
        <v>400</v>
      </c>
      <c r="F89" s="1845"/>
      <c r="G89" s="88" t="s">
        <v>89</v>
      </c>
      <c r="H89" s="42"/>
      <c r="I89" s="1874">
        <f>L74/2000</f>
        <v>0</v>
      </c>
      <c r="J89" s="1874"/>
      <c r="K89" s="42" t="s">
        <v>183</v>
      </c>
      <c r="L89" s="2118">
        <f>IF(D89="N",E89*I$89,0)</f>
        <v>0</v>
      </c>
      <c r="M89" s="2118"/>
      <c r="N89"/>
      <c r="O89" s="1893">
        <f>IF(D89="y",I89*E89,0)</f>
        <v>0</v>
      </c>
      <c r="P89" s="1894"/>
      <c r="Q89" s="687"/>
      <c r="R89" s="687"/>
      <c r="S89" s="537"/>
      <c r="T89" s="299"/>
      <c r="U89" s="622"/>
      <c r="V89" s="622"/>
      <c r="W89" s="622"/>
      <c r="X89" s="622"/>
      <c r="Y89" s="2112" t="s">
        <v>1082</v>
      </c>
      <c r="Z89" s="2113"/>
      <c r="AA89" s="2113"/>
      <c r="AB89" s="194">
        <f>ROUNDUP(CO50/2500,0)</f>
        <v>0</v>
      </c>
      <c r="AC89" s="106" t="s">
        <v>498</v>
      </c>
      <c r="AD89" s="195">
        <v>325</v>
      </c>
      <c r="AE89" s="401" t="s">
        <v>294</v>
      </c>
      <c r="AF89" s="680">
        <f t="shared" si="72"/>
        <v>0</v>
      </c>
      <c r="AG89" s="769"/>
      <c r="AH89" s="769"/>
      <c r="AI89" s="769"/>
      <c r="AJ89" s="702">
        <v>8</v>
      </c>
      <c r="AK89" s="702" t="s">
        <v>249</v>
      </c>
      <c r="AO89" s="702">
        <f>SUM(O71:P73)</f>
        <v>0</v>
      </c>
      <c r="GA89" s="769"/>
      <c r="GB89" s="769"/>
      <c r="GC89" s="769"/>
      <c r="GD89" s="769"/>
      <c r="GE89" s="769"/>
      <c r="GF89" s="769"/>
      <c r="GG89" s="769"/>
      <c r="GH89" s="769"/>
      <c r="GI89" s="769"/>
      <c r="GJ89" s="769"/>
      <c r="GK89" s="769"/>
      <c r="GL89" s="769"/>
      <c r="GM89" s="769"/>
      <c r="GN89" s="769"/>
      <c r="GO89" s="769"/>
      <c r="GP89" s="769"/>
      <c r="GQ89" s="769"/>
      <c r="GR89" s="769"/>
      <c r="GS89" s="769"/>
      <c r="GT89" s="769"/>
      <c r="GU89" s="769"/>
      <c r="GV89" s="769"/>
      <c r="GW89" s="769"/>
      <c r="GX89" s="769"/>
      <c r="GY89" s="769"/>
      <c r="GZ89" s="769"/>
      <c r="HA89" s="769"/>
      <c r="HB89" s="769"/>
      <c r="HC89" s="769"/>
      <c r="HD89" s="769"/>
      <c r="HE89" s="769"/>
      <c r="HF89" s="769"/>
      <c r="HG89" s="769"/>
      <c r="HH89" s="769"/>
      <c r="HI89" s="769"/>
      <c r="HJ89" s="769"/>
      <c r="HK89" s="769"/>
      <c r="HL89" s="769"/>
      <c r="HM89" s="769"/>
      <c r="HN89" s="769"/>
      <c r="HO89" s="769"/>
      <c r="HP89" s="769"/>
      <c r="HQ89" s="769"/>
      <c r="HR89" s="769"/>
      <c r="HS89" s="769"/>
      <c r="HT89" s="769"/>
      <c r="HU89" s="769"/>
      <c r="HV89" s="769"/>
      <c r="HW89" s="769"/>
      <c r="HX89" s="769"/>
      <c r="HY89" s="769"/>
      <c r="HZ89" s="769"/>
      <c r="IA89" s="769"/>
      <c r="IB89" s="769"/>
      <c r="IC89" s="769"/>
      <c r="ID89" s="769"/>
    </row>
    <row r="90" spans="2:238" s="702" customFormat="1" ht="22" customHeight="1" thickBot="1" x14ac:dyDescent="0.4">
      <c r="B90" s="6" t="s">
        <v>223</v>
      </c>
      <c r="C90" s="4"/>
      <c r="D90" s="5"/>
      <c r="E90" s="1854">
        <f>IF(I83=0,0,(O90+L90)/I83)</f>
        <v>0</v>
      </c>
      <c r="F90" s="1855"/>
      <c r="G90" s="76"/>
      <c r="H90" s="49"/>
      <c r="I90" s="2017" t="s">
        <v>50</v>
      </c>
      <c r="J90" s="2017"/>
      <c r="K90" s="2017"/>
      <c r="L90" s="2124">
        <f>SUM(L83:M89)</f>
        <v>0</v>
      </c>
      <c r="M90" s="2124"/>
      <c r="N90" s="248"/>
      <c r="O90" s="2122">
        <f>SUM(O83:P89)</f>
        <v>0</v>
      </c>
      <c r="P90" s="2123"/>
      <c r="Q90" s="687"/>
      <c r="R90" s="687"/>
      <c r="S90" s="537"/>
      <c r="T90" s="299"/>
      <c r="U90" s="622"/>
      <c r="V90" s="622"/>
      <c r="W90" s="622"/>
      <c r="X90" s="622"/>
      <c r="Y90" s="2112"/>
      <c r="Z90" s="2113"/>
      <c r="AA90" s="2113"/>
      <c r="AB90" s="194"/>
      <c r="AC90" s="106"/>
      <c r="AD90" s="195"/>
      <c r="AE90" s="106"/>
      <c r="AF90" s="680">
        <f t="shared" si="72"/>
        <v>0</v>
      </c>
      <c r="AG90" s="769"/>
      <c r="AH90" s="769"/>
      <c r="AI90" s="769"/>
      <c r="AJ90" s="702">
        <v>9</v>
      </c>
      <c r="AK90" s="702" t="s">
        <v>234</v>
      </c>
      <c r="AO90" s="704">
        <f>O78+O79+O80</f>
        <v>0</v>
      </c>
      <c r="AP90" s="704"/>
      <c r="GA90" s="769"/>
      <c r="GB90" s="769"/>
      <c r="GC90" s="769"/>
      <c r="GD90" s="769"/>
      <c r="GE90" s="769"/>
      <c r="GF90" s="769"/>
      <c r="GG90" s="769"/>
      <c r="GH90" s="769"/>
      <c r="GI90" s="769"/>
      <c r="GJ90" s="769"/>
      <c r="GK90" s="769"/>
      <c r="GL90" s="769"/>
      <c r="GM90" s="769"/>
      <c r="GN90" s="769"/>
      <c r="GO90" s="769"/>
      <c r="GP90" s="769"/>
      <c r="GQ90" s="769"/>
      <c r="GR90" s="769"/>
      <c r="GS90" s="769"/>
      <c r="GT90" s="769"/>
      <c r="GU90" s="769"/>
      <c r="GV90" s="769"/>
      <c r="GW90" s="769"/>
      <c r="GX90" s="769"/>
      <c r="GY90" s="769"/>
      <c r="GZ90" s="769"/>
      <c r="HA90" s="769"/>
      <c r="HB90" s="769"/>
      <c r="HC90" s="769"/>
      <c r="HD90" s="769"/>
      <c r="HE90" s="769"/>
      <c r="HF90" s="769"/>
      <c r="HG90" s="769"/>
      <c r="HH90" s="769"/>
      <c r="HI90" s="769"/>
      <c r="HJ90" s="769"/>
      <c r="HK90" s="769"/>
      <c r="HL90" s="769"/>
      <c r="HM90" s="769"/>
      <c r="HN90" s="769"/>
      <c r="HO90" s="769"/>
      <c r="HP90" s="769"/>
      <c r="HQ90" s="769"/>
      <c r="HR90" s="769"/>
      <c r="HS90" s="769"/>
      <c r="HT90" s="769"/>
      <c r="HU90" s="769"/>
      <c r="HV90" s="769"/>
      <c r="HW90" s="769"/>
      <c r="HX90" s="769"/>
      <c r="HY90" s="769"/>
      <c r="HZ90" s="769"/>
      <c r="IA90" s="769"/>
      <c r="IB90" s="769"/>
      <c r="IC90" s="769"/>
      <c r="ID90" s="769"/>
    </row>
    <row r="91" spans="2:238" s="702" customFormat="1" ht="22" customHeight="1" thickBot="1" x14ac:dyDescent="0.4">
      <c r="B91" s="2018" t="s">
        <v>374</v>
      </c>
      <c r="C91" s="2019"/>
      <c r="D91" s="2019"/>
      <c r="E91" s="2019"/>
      <c r="F91" s="2019"/>
      <c r="G91" s="2019"/>
      <c r="H91" s="2019"/>
      <c r="I91" s="2019"/>
      <c r="J91" s="2019"/>
      <c r="K91" s="2019"/>
      <c r="L91" s="2019"/>
      <c r="M91" s="2019"/>
      <c r="N91" s="2019"/>
      <c r="O91" s="2019"/>
      <c r="P91" s="2020"/>
      <c r="Q91" s="685"/>
      <c r="R91" s="685"/>
      <c r="S91" s="537"/>
      <c r="T91" s="299"/>
      <c r="U91" s="622"/>
      <c r="V91" s="622"/>
      <c r="W91" s="622"/>
      <c r="X91" s="622"/>
      <c r="Y91" s="193" t="s">
        <v>1083</v>
      </c>
      <c r="Z91" s="106"/>
      <c r="AA91"/>
      <c r="AB91" s="194">
        <f>AB89*2</f>
        <v>0</v>
      </c>
      <c r="AC91" s="106" t="s">
        <v>1084</v>
      </c>
      <c r="AD91" s="195">
        <v>50</v>
      </c>
      <c r="AE91" s="106" t="s">
        <v>294</v>
      </c>
      <c r="AF91" s="680">
        <f t="shared" si="72"/>
        <v>0</v>
      </c>
      <c r="AG91" s="769"/>
      <c r="AH91" s="769"/>
      <c r="AI91" s="769"/>
      <c r="AJ91" s="702">
        <v>10</v>
      </c>
      <c r="AK91" s="702" t="s">
        <v>250</v>
      </c>
      <c r="AO91" s="702">
        <f>SUM(AF106:AF108)</f>
        <v>0</v>
      </c>
      <c r="GA91" s="769"/>
      <c r="GB91" s="769"/>
      <c r="GC91" s="769"/>
      <c r="GD91" s="769"/>
      <c r="GE91" s="769"/>
      <c r="GF91" s="769"/>
      <c r="GG91" s="769"/>
      <c r="GH91" s="769"/>
      <c r="GI91" s="769"/>
      <c r="GJ91" s="769"/>
      <c r="GK91" s="769"/>
      <c r="GL91" s="769"/>
      <c r="GM91" s="769"/>
      <c r="GN91" s="769"/>
      <c r="GO91" s="769"/>
      <c r="GP91" s="769"/>
      <c r="GQ91" s="769"/>
      <c r="GR91" s="769"/>
      <c r="GS91" s="769"/>
      <c r="GT91" s="769"/>
      <c r="GU91" s="769"/>
      <c r="GV91" s="769"/>
      <c r="GW91" s="769"/>
      <c r="GX91" s="769"/>
      <c r="GY91" s="769"/>
      <c r="GZ91" s="769"/>
      <c r="HA91" s="769"/>
      <c r="HB91" s="769"/>
      <c r="HC91" s="769"/>
      <c r="HD91" s="769"/>
      <c r="HE91" s="769"/>
      <c r="HF91" s="769"/>
      <c r="HG91" s="769"/>
      <c r="HH91" s="769"/>
      <c r="HI91" s="769"/>
      <c r="HJ91" s="769"/>
      <c r="HK91" s="769"/>
      <c r="HL91" s="769"/>
      <c r="HM91" s="769"/>
      <c r="HN91" s="769"/>
      <c r="HO91" s="769"/>
      <c r="HP91" s="769"/>
      <c r="HQ91" s="769"/>
      <c r="HR91" s="769"/>
      <c r="HS91" s="769"/>
      <c r="HT91" s="769"/>
      <c r="HU91" s="769"/>
      <c r="HV91" s="769"/>
      <c r="HW91" s="769"/>
      <c r="HX91" s="769"/>
      <c r="HY91" s="769"/>
      <c r="HZ91" s="769"/>
      <c r="IA91" s="769"/>
      <c r="IB91" s="769"/>
      <c r="IC91" s="769"/>
      <c r="ID91" s="769"/>
    </row>
    <row r="92" spans="2:238" s="702" customFormat="1" ht="22" customHeight="1" x14ac:dyDescent="0.35">
      <c r="B92" s="100" t="s">
        <v>1164</v>
      </c>
      <c r="C92" s="48"/>
      <c r="D92" s="101"/>
      <c r="E92" s="752">
        <v>0</v>
      </c>
      <c r="F92" s="48" t="s">
        <v>187</v>
      </c>
      <c r="G92" s="807">
        <v>295</v>
      </c>
      <c r="H92" s="102" t="s">
        <v>68</v>
      </c>
      <c r="I92" s="48"/>
      <c r="J92" s="48"/>
      <c r="K92" s="48"/>
      <c r="L92" s="48"/>
      <c r="M92" s="1834">
        <f>IF(E64=0,0,(SUM(O92:P96))/E64)</f>
        <v>0</v>
      </c>
      <c r="N92" s="1835"/>
      <c r="O92" s="1828">
        <f>E92*G92</f>
        <v>0</v>
      </c>
      <c r="P92" s="1829"/>
      <c r="Q92" s="687"/>
      <c r="R92" s="687"/>
      <c r="S92" s="802"/>
      <c r="T92" s="299"/>
      <c r="U92" s="622"/>
      <c r="V92" s="622"/>
      <c r="W92" s="622"/>
      <c r="X92" s="622"/>
      <c r="Y92" s="2114">
        <f>AF89+AF91*(1+AE63)+(1+M64)</f>
        <v>1.18</v>
      </c>
      <c r="Z92" s="2115"/>
      <c r="AA92"/>
      <c r="AB92" s="194"/>
      <c r="AC92" s="106"/>
      <c r="AD92" s="195"/>
      <c r="AE92" s="106"/>
      <c r="AF92" s="680">
        <f t="shared" si="72"/>
        <v>0</v>
      </c>
      <c r="AG92" s="769"/>
      <c r="AH92" s="769"/>
      <c r="AI92" s="769"/>
      <c r="AJ92" s="702">
        <v>11</v>
      </c>
      <c r="AK92" s="702" t="s">
        <v>251</v>
      </c>
      <c r="GA92" s="769"/>
      <c r="GB92" s="769"/>
      <c r="GC92" s="769"/>
      <c r="GD92" s="769"/>
      <c r="GE92" s="769"/>
      <c r="GF92" s="769"/>
      <c r="GG92" s="769"/>
      <c r="GH92" s="769"/>
      <c r="GI92" s="769"/>
      <c r="GJ92" s="769"/>
      <c r="GK92" s="769"/>
      <c r="GL92" s="769"/>
      <c r="GM92" s="769"/>
      <c r="GN92" s="769"/>
      <c r="GO92" s="769"/>
      <c r="GP92" s="769"/>
      <c r="GQ92" s="769"/>
      <c r="GR92" s="769"/>
      <c r="GS92" s="769"/>
      <c r="GT92" s="769"/>
      <c r="GU92" s="769"/>
      <c r="GV92" s="769"/>
      <c r="GW92" s="769"/>
      <c r="GX92" s="769"/>
      <c r="GY92" s="769"/>
      <c r="GZ92" s="769"/>
      <c r="HA92" s="769"/>
      <c r="HB92" s="769"/>
      <c r="HC92" s="769"/>
      <c r="HD92" s="769"/>
      <c r="HE92" s="769"/>
      <c r="HF92" s="769"/>
      <c r="HG92" s="769"/>
      <c r="HH92" s="769"/>
      <c r="HI92" s="769"/>
      <c r="HJ92" s="769"/>
      <c r="HK92" s="769"/>
      <c r="HL92" s="769"/>
      <c r="HM92" s="769"/>
      <c r="HN92" s="769"/>
      <c r="HO92" s="769"/>
      <c r="HP92" s="769"/>
      <c r="HQ92" s="769"/>
      <c r="HR92" s="769"/>
      <c r="HS92" s="769"/>
      <c r="HT92" s="769"/>
      <c r="HU92" s="769"/>
      <c r="HV92" s="769"/>
      <c r="HW92" s="769"/>
      <c r="HX92" s="769"/>
      <c r="HY92" s="769"/>
      <c r="HZ92" s="769"/>
      <c r="IA92" s="769"/>
      <c r="IB92" s="769"/>
      <c r="IC92" s="769"/>
      <c r="ID92" s="769"/>
    </row>
    <row r="93" spans="2:238" s="702" customFormat="1" ht="22" customHeight="1" x14ac:dyDescent="0.35">
      <c r="B93" s="92" t="s">
        <v>1162</v>
      </c>
      <c r="C93" s="42"/>
      <c r="D93" s="42"/>
      <c r="E93" s="753">
        <f>E92*0.5</f>
        <v>0</v>
      </c>
      <c r="F93" s="103" t="s">
        <v>187</v>
      </c>
      <c r="G93" s="808">
        <v>390</v>
      </c>
      <c r="H93" s="108" t="s">
        <v>68</v>
      </c>
      <c r="I93" s="42"/>
      <c r="J93" s="42"/>
      <c r="K93" s="42"/>
      <c r="L93" s="42"/>
      <c r="M93" s="1830">
        <f>SUM(O92:P96)</f>
        <v>0</v>
      </c>
      <c r="N93" s="1831"/>
      <c r="O93" s="1804">
        <f>E93*G93</f>
        <v>0</v>
      </c>
      <c r="P93" s="1805"/>
      <c r="Q93" s="687"/>
      <c r="R93" s="687"/>
      <c r="S93" s="537"/>
      <c r="T93" s="299"/>
      <c r="U93" s="622"/>
      <c r="V93" s="622"/>
      <c r="W93" s="622"/>
      <c r="X93" s="622"/>
      <c r="Y93" s="603" t="e">
        <f>Y92/D49</f>
        <v>#DIV/0!</v>
      </c>
      <c r="Z93" s="106"/>
      <c r="AA93"/>
      <c r="AB93" s="194"/>
      <c r="AC93" s="402"/>
      <c r="AD93" s="195"/>
      <c r="AE93" s="106"/>
      <c r="AF93" s="680">
        <f t="shared" si="72"/>
        <v>0</v>
      </c>
      <c r="AG93" s="769"/>
      <c r="AH93" s="769"/>
      <c r="AI93" s="769"/>
      <c r="AJ93" s="702">
        <v>12</v>
      </c>
      <c r="AK93" s="702" t="s">
        <v>252</v>
      </c>
      <c r="GA93" s="769"/>
      <c r="GB93" s="769"/>
      <c r="GC93" s="769"/>
      <c r="GD93" s="769"/>
      <c r="GE93" s="769"/>
      <c r="GF93" s="769"/>
      <c r="GG93" s="769"/>
      <c r="GH93" s="769"/>
      <c r="GI93" s="769"/>
      <c r="GJ93" s="769"/>
      <c r="GK93" s="769"/>
      <c r="GL93" s="769"/>
      <c r="GM93" s="769"/>
      <c r="GN93" s="769"/>
      <c r="GO93" s="769"/>
      <c r="GP93" s="769"/>
      <c r="GQ93" s="769"/>
      <c r="GR93" s="769"/>
      <c r="GS93" s="769"/>
      <c r="GT93" s="769"/>
      <c r="GU93" s="769"/>
      <c r="GV93" s="769"/>
      <c r="GW93" s="769"/>
      <c r="GX93" s="769"/>
      <c r="GY93" s="769"/>
      <c r="GZ93" s="769"/>
      <c r="HA93" s="769"/>
      <c r="HB93" s="769"/>
      <c r="HC93" s="769"/>
      <c r="HD93" s="769"/>
      <c r="HE93" s="769"/>
      <c r="HF93" s="769"/>
      <c r="HG93" s="769"/>
      <c r="HH93" s="769"/>
      <c r="HI93" s="769"/>
      <c r="HJ93" s="769"/>
      <c r="HK93" s="769"/>
      <c r="HL93" s="769"/>
      <c r="HM93" s="769"/>
      <c r="HN93" s="769"/>
      <c r="HO93" s="769"/>
      <c r="HP93" s="769"/>
      <c r="HQ93" s="769"/>
      <c r="HR93" s="769"/>
      <c r="HS93" s="769"/>
      <c r="HT93" s="769"/>
      <c r="HU93" s="769"/>
      <c r="HV93" s="769"/>
      <c r="HW93" s="769"/>
      <c r="HX93" s="769"/>
      <c r="HY93" s="769"/>
      <c r="HZ93" s="769"/>
      <c r="IA93" s="769"/>
      <c r="IB93" s="769"/>
      <c r="IC93" s="769"/>
      <c r="ID93" s="769"/>
    </row>
    <row r="94" spans="2:238" s="702" customFormat="1" ht="22" customHeight="1" x14ac:dyDescent="0.35">
      <c r="B94" s="196" t="s">
        <v>1165</v>
      </c>
      <c r="C94" s="42"/>
      <c r="D94" s="42"/>
      <c r="E94" s="1408"/>
      <c r="F94" s="103" t="s">
        <v>187</v>
      </c>
      <c r="G94" s="1414">
        <v>200</v>
      </c>
      <c r="H94" s="108" t="s">
        <v>68</v>
      </c>
      <c r="I94" s="42"/>
      <c r="J94" s="42"/>
      <c r="K94" s="42"/>
      <c r="L94" s="42"/>
      <c r="M94" s="1814"/>
      <c r="N94" s="1814"/>
      <c r="O94" s="1804">
        <f t="shared" ref="O94:O95" si="73">E94*G94</f>
        <v>0</v>
      </c>
      <c r="P94" s="1805"/>
      <c r="Q94" s="687"/>
      <c r="R94" s="687"/>
      <c r="S94" s="537"/>
      <c r="T94" s="299"/>
      <c r="U94" s="622"/>
      <c r="V94" s="622"/>
      <c r="W94" s="622"/>
      <c r="X94" s="622"/>
      <c r="Y94" s="603"/>
      <c r="Z94" s="106"/>
      <c r="AA94"/>
      <c r="AB94" s="194"/>
      <c r="AC94" s="402"/>
      <c r="AD94" s="195"/>
      <c r="AE94" s="106"/>
      <c r="AF94" s="680"/>
      <c r="AG94" s="769"/>
      <c r="AH94" s="769"/>
      <c r="AI94" s="769"/>
      <c r="GA94" s="769"/>
      <c r="GB94" s="769"/>
      <c r="GC94" s="769"/>
      <c r="GD94" s="769"/>
      <c r="GE94" s="769"/>
      <c r="GF94" s="769"/>
      <c r="GG94" s="769"/>
      <c r="GH94" s="769"/>
      <c r="GI94" s="769"/>
      <c r="GJ94" s="769"/>
      <c r="GK94" s="769"/>
      <c r="GL94" s="769"/>
      <c r="GM94" s="769"/>
      <c r="GN94" s="769"/>
      <c r="GO94" s="769"/>
      <c r="GP94" s="769"/>
      <c r="GQ94" s="769"/>
      <c r="GR94" s="769"/>
      <c r="GS94" s="769"/>
      <c r="GT94" s="769"/>
      <c r="GU94" s="769"/>
      <c r="GV94" s="769"/>
      <c r="GW94" s="769"/>
      <c r="GX94" s="769"/>
      <c r="GY94" s="769"/>
      <c r="GZ94" s="769"/>
      <c r="HA94" s="769"/>
      <c r="HB94" s="769"/>
      <c r="HC94" s="769"/>
      <c r="HD94" s="769"/>
      <c r="HE94" s="769"/>
      <c r="HF94" s="769"/>
      <c r="HG94" s="769"/>
      <c r="HH94" s="769"/>
      <c r="HI94" s="769"/>
      <c r="HJ94" s="769"/>
      <c r="HK94" s="769"/>
      <c r="HL94" s="769"/>
      <c r="HM94" s="769"/>
      <c r="HN94" s="769"/>
      <c r="HO94" s="769"/>
      <c r="HP94" s="769"/>
      <c r="HQ94" s="769"/>
      <c r="HR94" s="769"/>
      <c r="HS94" s="769"/>
      <c r="HT94" s="769"/>
      <c r="HU94" s="769"/>
      <c r="HV94" s="769"/>
      <c r="HW94" s="769"/>
      <c r="HX94" s="769"/>
      <c r="HY94" s="769"/>
      <c r="HZ94" s="769"/>
      <c r="IA94" s="769"/>
      <c r="IB94" s="769"/>
      <c r="IC94" s="769"/>
      <c r="ID94" s="769"/>
    </row>
    <row r="95" spans="2:238" s="702" customFormat="1" ht="22" customHeight="1" x14ac:dyDescent="0.35">
      <c r="B95" s="196" t="s">
        <v>1168</v>
      </c>
      <c r="C95" s="42"/>
      <c r="D95" s="42"/>
      <c r="E95" s="1408">
        <f>E92*0.5</f>
        <v>0</v>
      </c>
      <c r="F95" s="103" t="s">
        <v>187</v>
      </c>
      <c r="G95" s="1414">
        <v>200</v>
      </c>
      <c r="H95" s="88"/>
      <c r="I95" s="42"/>
      <c r="J95" s="42"/>
      <c r="K95" s="42"/>
      <c r="L95" s="42"/>
      <c r="M95" s="1814"/>
      <c r="N95" s="1814"/>
      <c r="O95" s="1804">
        <f t="shared" si="73"/>
        <v>0</v>
      </c>
      <c r="P95" s="1805"/>
      <c r="Q95" s="687"/>
      <c r="R95" s="687"/>
      <c r="S95" s="537"/>
      <c r="T95" s="299"/>
      <c r="U95" s="622"/>
      <c r="V95" s="622"/>
      <c r="W95" s="622"/>
      <c r="X95" s="622"/>
      <c r="Y95" s="603"/>
      <c r="Z95" s="106"/>
      <c r="AA95"/>
      <c r="AB95" s="194"/>
      <c r="AC95" s="402"/>
      <c r="AD95" s="195"/>
      <c r="AE95" s="106"/>
      <c r="AF95" s="680"/>
      <c r="AG95" s="769"/>
      <c r="AH95" s="769"/>
      <c r="AI95" s="769"/>
      <c r="GA95" s="769"/>
      <c r="GB95" s="769"/>
      <c r="GC95" s="769"/>
      <c r="GD95" s="769"/>
      <c r="GE95" s="769"/>
      <c r="GF95" s="769"/>
      <c r="GG95" s="769"/>
      <c r="GH95" s="769"/>
      <c r="GI95" s="769"/>
      <c r="GJ95" s="769"/>
      <c r="GK95" s="769"/>
      <c r="GL95" s="769"/>
      <c r="GM95" s="769"/>
      <c r="GN95" s="769"/>
      <c r="GO95" s="769"/>
      <c r="GP95" s="769"/>
      <c r="GQ95" s="769"/>
      <c r="GR95" s="769"/>
      <c r="GS95" s="769"/>
      <c r="GT95" s="769"/>
      <c r="GU95" s="769"/>
      <c r="GV95" s="769"/>
      <c r="GW95" s="769"/>
      <c r="GX95" s="769"/>
      <c r="GY95" s="769"/>
      <c r="GZ95" s="769"/>
      <c r="HA95" s="769"/>
      <c r="HB95" s="769"/>
      <c r="HC95" s="769"/>
      <c r="HD95" s="769"/>
      <c r="HE95" s="769"/>
      <c r="HF95" s="769"/>
      <c r="HG95" s="769"/>
      <c r="HH95" s="769"/>
      <c r="HI95" s="769"/>
      <c r="HJ95" s="769"/>
      <c r="HK95" s="769"/>
      <c r="HL95" s="769"/>
      <c r="HM95" s="769"/>
      <c r="HN95" s="769"/>
      <c r="HO95" s="769"/>
      <c r="HP95" s="769"/>
      <c r="HQ95" s="769"/>
      <c r="HR95" s="769"/>
      <c r="HS95" s="769"/>
      <c r="HT95" s="769"/>
      <c r="HU95" s="769"/>
      <c r="HV95" s="769"/>
      <c r="HW95" s="769"/>
      <c r="HX95" s="769"/>
      <c r="HY95" s="769"/>
      <c r="HZ95" s="769"/>
      <c r="IA95" s="769"/>
      <c r="IB95" s="769"/>
      <c r="IC95" s="769"/>
      <c r="ID95" s="769"/>
    </row>
    <row r="96" spans="2:238" s="702" customFormat="1" ht="22" customHeight="1" thickBot="1" x14ac:dyDescent="0.4">
      <c r="B96" s="219" t="s">
        <v>188</v>
      </c>
      <c r="C96" s="49"/>
      <c r="D96" s="49"/>
      <c r="E96" s="754">
        <f>IF(E92=0,E93,E92)</f>
        <v>0</v>
      </c>
      <c r="F96" s="49" t="s">
        <v>187</v>
      </c>
      <c r="G96" s="809">
        <v>100</v>
      </c>
      <c r="H96" s="96" t="s">
        <v>68</v>
      </c>
      <c r="I96" s="49"/>
      <c r="J96" s="49"/>
      <c r="K96" s="49"/>
      <c r="L96" s="49"/>
      <c r="M96" s="49"/>
      <c r="N96" s="49"/>
      <c r="O96" s="1832">
        <f>E96*G96</f>
        <v>0</v>
      </c>
      <c r="P96" s="1833"/>
      <c r="Q96" s="687"/>
      <c r="R96" s="687"/>
      <c r="S96" s="537"/>
      <c r="T96" s="299"/>
      <c r="U96" s="622"/>
      <c r="V96" s="622"/>
      <c r="W96" s="622"/>
      <c r="X96" s="622"/>
      <c r="Y96" s="193"/>
      <c r="Z96" s="106"/>
      <c r="AA96"/>
      <c r="AB96" s="194"/>
      <c r="AC96" s="106"/>
      <c r="AD96" s="195"/>
      <c r="AE96" s="106"/>
      <c r="AF96" s="680">
        <f t="shared" si="72"/>
        <v>0</v>
      </c>
      <c r="AG96" s="769"/>
      <c r="AH96" s="769"/>
      <c r="AI96" s="769"/>
      <c r="AJ96" s="702">
        <v>15</v>
      </c>
      <c r="AK96" s="702" t="s">
        <v>253</v>
      </c>
      <c r="GA96" s="769"/>
      <c r="GB96" s="769"/>
      <c r="GC96" s="769"/>
      <c r="GD96" s="769"/>
      <c r="GE96" s="769"/>
      <c r="GF96" s="769"/>
      <c r="GG96" s="769"/>
      <c r="GH96" s="769"/>
      <c r="GI96" s="769"/>
      <c r="GJ96" s="769"/>
      <c r="GK96" s="769"/>
      <c r="GL96" s="769"/>
      <c r="GM96" s="769"/>
      <c r="GN96" s="769"/>
      <c r="GO96" s="769"/>
      <c r="GP96" s="769"/>
      <c r="GQ96" s="769"/>
      <c r="GR96" s="769"/>
      <c r="GS96" s="769"/>
      <c r="GT96" s="769"/>
      <c r="GU96" s="769"/>
      <c r="GV96" s="769"/>
      <c r="GW96" s="769"/>
      <c r="GX96" s="769"/>
      <c r="GY96" s="769"/>
      <c r="GZ96" s="769"/>
      <c r="HA96" s="769"/>
      <c r="HB96" s="769"/>
      <c r="HC96" s="769"/>
      <c r="HD96" s="769"/>
      <c r="HE96" s="769"/>
      <c r="HF96" s="769"/>
      <c r="HG96" s="769"/>
      <c r="HH96" s="769"/>
      <c r="HI96" s="769"/>
      <c r="HJ96" s="769"/>
      <c r="HK96" s="769"/>
      <c r="HL96" s="769"/>
      <c r="HM96" s="769"/>
      <c r="HN96" s="769"/>
      <c r="HO96" s="769"/>
      <c r="HP96" s="769"/>
      <c r="HQ96" s="769"/>
      <c r="HR96" s="769"/>
      <c r="HS96" s="769"/>
      <c r="HT96" s="769"/>
      <c r="HU96" s="769"/>
      <c r="HV96" s="769"/>
      <c r="HW96" s="769"/>
      <c r="HX96" s="769"/>
      <c r="HY96" s="769"/>
      <c r="HZ96" s="769"/>
      <c r="IA96" s="769"/>
      <c r="IB96" s="769"/>
      <c r="IC96" s="769"/>
      <c r="ID96" s="769"/>
    </row>
    <row r="97" spans="2:238" s="702" customFormat="1" ht="22" customHeight="1" thickBot="1" x14ac:dyDescent="0.4">
      <c r="B97" s="2018" t="s">
        <v>44</v>
      </c>
      <c r="C97" s="2019"/>
      <c r="D97" s="2019"/>
      <c r="E97" s="2019"/>
      <c r="F97" s="2019"/>
      <c r="G97" s="2019"/>
      <c r="H97" s="2019"/>
      <c r="I97" s="2019"/>
      <c r="J97" s="2019"/>
      <c r="K97" s="2019"/>
      <c r="L97" s="2019"/>
      <c r="M97" s="2019"/>
      <c r="N97" s="2019"/>
      <c r="O97" s="2019"/>
      <c r="P97" s="2020"/>
      <c r="Q97" s="685"/>
      <c r="R97" s="685"/>
      <c r="S97" s="537"/>
      <c r="T97" s="299"/>
      <c r="U97" s="622"/>
      <c r="V97" s="622"/>
      <c r="W97" s="622"/>
      <c r="X97" s="622"/>
      <c r="Y97" s="193"/>
      <c r="Z97" s="106"/>
      <c r="AA97"/>
      <c r="AB97" s="194"/>
      <c r="AC97" s="106"/>
      <c r="AD97" s="195"/>
      <c r="AE97" s="401"/>
      <c r="AF97" s="680">
        <f t="shared" si="72"/>
        <v>0</v>
      </c>
      <c r="AG97" s="769"/>
      <c r="AH97" s="769"/>
      <c r="AI97" s="769"/>
      <c r="AJ97" s="702">
        <v>16</v>
      </c>
      <c r="AK97" s="702" t="s">
        <v>841</v>
      </c>
      <c r="GA97" s="769"/>
      <c r="GB97" s="769"/>
      <c r="GC97" s="769"/>
      <c r="GD97" s="769"/>
      <c r="GE97" s="769"/>
      <c r="GF97" s="769"/>
      <c r="GG97" s="769"/>
      <c r="GH97" s="769"/>
      <c r="GI97" s="769"/>
      <c r="GJ97" s="769"/>
      <c r="GK97" s="769"/>
      <c r="GL97" s="769"/>
      <c r="GM97" s="769"/>
      <c r="GN97" s="769"/>
      <c r="GO97" s="769"/>
      <c r="GP97" s="769"/>
      <c r="GQ97" s="769"/>
      <c r="GR97" s="769"/>
      <c r="GS97" s="769"/>
      <c r="GT97" s="769"/>
      <c r="GU97" s="769"/>
      <c r="GV97" s="769"/>
      <c r="GW97" s="769"/>
      <c r="GX97" s="769"/>
      <c r="GY97" s="769"/>
      <c r="GZ97" s="769"/>
      <c r="HA97" s="769"/>
      <c r="HB97" s="769"/>
      <c r="HC97" s="769"/>
      <c r="HD97" s="769"/>
      <c r="HE97" s="769"/>
      <c r="HF97" s="769"/>
      <c r="HG97" s="769"/>
      <c r="HH97" s="769"/>
      <c r="HI97" s="769"/>
      <c r="HJ97" s="769"/>
      <c r="HK97" s="769"/>
      <c r="HL97" s="769"/>
      <c r="HM97" s="769"/>
      <c r="HN97" s="769"/>
      <c r="HO97" s="769"/>
      <c r="HP97" s="769"/>
      <c r="HQ97" s="769"/>
      <c r="HR97" s="769"/>
      <c r="HS97" s="769"/>
      <c r="HT97" s="769"/>
      <c r="HU97" s="769"/>
      <c r="HV97" s="769"/>
      <c r="HW97" s="769"/>
      <c r="HX97" s="769"/>
      <c r="HY97" s="769"/>
      <c r="HZ97" s="769"/>
      <c r="IA97" s="769"/>
      <c r="IB97" s="769"/>
      <c r="IC97" s="769"/>
      <c r="ID97" s="769"/>
    </row>
    <row r="98" spans="2:238" s="702" customFormat="1" ht="22" customHeight="1" x14ac:dyDescent="0.35">
      <c r="B98" s="2052" t="s">
        <v>90</v>
      </c>
      <c r="C98" s="2053"/>
      <c r="D98" s="2054"/>
      <c r="E98" s="752"/>
      <c r="F98" s="48" t="s">
        <v>107</v>
      </c>
      <c r="G98" s="807">
        <f>Pricing!D31</f>
        <v>385</v>
      </c>
      <c r="H98" s="116" t="s">
        <v>68</v>
      </c>
      <c r="I98" s="48"/>
      <c r="J98" s="48"/>
      <c r="K98" s="48"/>
      <c r="L98" s="48"/>
      <c r="M98" s="48"/>
      <c r="N98" s="48"/>
      <c r="O98" s="1897">
        <f>((IF(AND(E98&gt;0,E98&lt;4),E98*G98,0)+IF(AND(E98&gt;3,E98&lt;8),G98*3,0)+IF(AND(E98&gt;7,E98&lt;21),E98/7*G98*3,0)+IF(AND(E98&gt;20,E98&lt;30),G98*9,0)+IF(E98&gt;29,E98/30*G98*9,0)))*(1+$AE$63+J$100)</f>
        <v>0</v>
      </c>
      <c r="P98" s="1898"/>
      <c r="Q98" s="687"/>
      <c r="R98" s="687"/>
      <c r="S98" s="537"/>
      <c r="T98" s="299"/>
      <c r="U98" s="622"/>
      <c r="V98" s="622"/>
      <c r="W98" s="622"/>
      <c r="X98" s="622"/>
      <c r="Y98" s="193"/>
      <c r="Z98" s="106"/>
      <c r="AA98"/>
      <c r="AB98" s="194"/>
      <c r="AC98" s="106"/>
      <c r="AD98" s="195"/>
      <c r="AE98" s="106"/>
      <c r="AF98" s="680">
        <f t="shared" si="72"/>
        <v>0</v>
      </c>
      <c r="AG98" s="769"/>
      <c r="AH98" s="769"/>
      <c r="AI98" s="769"/>
      <c r="AJ98" s="702">
        <v>17</v>
      </c>
      <c r="AK98" s="702" t="s">
        <v>842</v>
      </c>
      <c r="GA98" s="769"/>
      <c r="GB98" s="769"/>
      <c r="GC98" s="769"/>
      <c r="GD98" s="769"/>
      <c r="GE98" s="769"/>
      <c r="GF98" s="769"/>
      <c r="GG98" s="769"/>
      <c r="GH98" s="769"/>
      <c r="GI98" s="769"/>
      <c r="GJ98" s="769"/>
      <c r="GK98" s="769"/>
      <c r="GL98" s="769"/>
      <c r="GM98" s="769"/>
      <c r="GN98" s="769"/>
      <c r="GO98" s="769"/>
      <c r="GP98" s="769"/>
      <c r="GQ98" s="769"/>
      <c r="GR98" s="769"/>
      <c r="GS98" s="769"/>
      <c r="GT98" s="769"/>
      <c r="GU98" s="769"/>
      <c r="GV98" s="769"/>
      <c r="GW98" s="769"/>
      <c r="GX98" s="769"/>
      <c r="GY98" s="769"/>
      <c r="GZ98" s="769"/>
      <c r="HA98" s="769"/>
      <c r="HB98" s="769"/>
      <c r="HC98" s="769"/>
      <c r="HD98" s="769"/>
      <c r="HE98" s="769"/>
      <c r="HF98" s="769"/>
      <c r="HG98" s="769"/>
      <c r="HH98" s="769"/>
      <c r="HI98" s="769"/>
      <c r="HJ98" s="769"/>
      <c r="HK98" s="769"/>
      <c r="HL98" s="769"/>
      <c r="HM98" s="769"/>
      <c r="HN98" s="769"/>
      <c r="HO98" s="769"/>
      <c r="HP98" s="769"/>
      <c r="HQ98" s="769"/>
      <c r="HR98" s="769"/>
      <c r="HS98" s="769"/>
      <c r="HT98" s="769"/>
      <c r="HU98" s="769"/>
      <c r="HV98" s="769"/>
      <c r="HW98" s="769"/>
      <c r="HX98" s="769"/>
      <c r="HY98" s="769"/>
      <c r="HZ98" s="769"/>
      <c r="IA98" s="769"/>
      <c r="IB98" s="769"/>
      <c r="IC98" s="769"/>
      <c r="ID98" s="769"/>
    </row>
    <row r="99" spans="2:238" s="702" customFormat="1" ht="22" customHeight="1" thickBot="1" x14ac:dyDescent="0.4">
      <c r="B99" s="1979" t="s">
        <v>789</v>
      </c>
      <c r="C99" s="1980"/>
      <c r="D99" s="1981"/>
      <c r="E99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99" s="42" t="s">
        <v>107</v>
      </c>
      <c r="G99" s="808">
        <f>Pricing!D33</f>
        <v>350</v>
      </c>
      <c r="H99" s="88" t="s">
        <v>68</v>
      </c>
      <c r="I99" s="42"/>
      <c r="J99" s="2083" t="s">
        <v>469</v>
      </c>
      <c r="K99" s="2084"/>
      <c r="L99" s="42"/>
      <c r="M99" s="2074">
        <f>IF(E64=0,0,(SUM(O98:P103))/E64)</f>
        <v>0</v>
      </c>
      <c r="N99" s="2075"/>
      <c r="O99" s="1895">
        <f>((IF(AND(E99&gt;0,E99&lt;4),E99*G99,0)+IF(AND(E99&gt;3,E99&lt;8),G99*3,0)+IF(AND(E99&gt;7,E99&lt;21),E99/7*G99*3,0)+IF(AND(E99&gt;20,E99&lt;30),G99*9,0)+IF(E99&gt;29,E99/30*G99*9,0)))*(1+$AE$63+J$100)</f>
        <v>0</v>
      </c>
      <c r="P99" s="1896"/>
      <c r="Q99" s="687"/>
      <c r="R99" s="687"/>
      <c r="S99" s="537"/>
      <c r="T99" s="299"/>
      <c r="U99" s="1907"/>
      <c r="V99" s="1907"/>
      <c r="W99" s="1907"/>
      <c r="X99" s="1907"/>
      <c r="Y99" s="1884" t="s">
        <v>892</v>
      </c>
      <c r="Z99" s="1885"/>
      <c r="AA99" s="733"/>
      <c r="AB99" s="734"/>
      <c r="AC99" s="735"/>
      <c r="AD99" s="1882"/>
      <c r="AE99" s="1883"/>
      <c r="AF99" s="736">
        <f>AD99</f>
        <v>0</v>
      </c>
      <c r="AG99" s="769"/>
      <c r="AH99" s="769"/>
      <c r="AI99" s="769"/>
      <c r="AJ99" s="702">
        <v>18</v>
      </c>
      <c r="AK99" s="702" t="s">
        <v>843</v>
      </c>
      <c r="GA99" s="769"/>
      <c r="GB99" s="769"/>
      <c r="GC99" s="769"/>
      <c r="GD99" s="769"/>
      <c r="GE99" s="769"/>
      <c r="GF99" s="769"/>
      <c r="GG99" s="769"/>
      <c r="GH99" s="769"/>
      <c r="GI99" s="769"/>
      <c r="GJ99" s="769"/>
      <c r="GK99" s="769"/>
      <c r="GL99" s="769"/>
      <c r="GM99" s="769"/>
      <c r="GN99" s="769"/>
      <c r="GO99" s="769"/>
      <c r="GP99" s="769"/>
      <c r="GQ99" s="769"/>
      <c r="GR99" s="769"/>
      <c r="GS99" s="769"/>
      <c r="GT99" s="769"/>
      <c r="GU99" s="769"/>
      <c r="GV99" s="769"/>
      <c r="GW99" s="769"/>
      <c r="GX99" s="769"/>
      <c r="GY99" s="769"/>
      <c r="GZ99" s="769"/>
      <c r="HA99" s="769"/>
      <c r="HB99" s="769"/>
      <c r="HC99" s="769"/>
      <c r="HD99" s="769"/>
      <c r="HE99" s="769"/>
      <c r="HF99" s="769"/>
      <c r="HG99" s="769"/>
      <c r="HH99" s="769"/>
      <c r="HI99" s="769"/>
      <c r="HJ99" s="769"/>
      <c r="HK99" s="769"/>
      <c r="HL99" s="769"/>
      <c r="HM99" s="769"/>
      <c r="HN99" s="769"/>
      <c r="HO99" s="769"/>
      <c r="HP99" s="769"/>
      <c r="HQ99" s="769"/>
      <c r="HR99" s="769"/>
      <c r="HS99" s="769"/>
      <c r="HT99" s="769"/>
      <c r="HU99" s="769"/>
      <c r="HV99" s="769"/>
      <c r="HW99" s="769"/>
      <c r="HX99" s="769"/>
      <c r="HY99" s="769"/>
      <c r="HZ99" s="769"/>
      <c r="IA99" s="769"/>
      <c r="IB99" s="769"/>
      <c r="IC99" s="769"/>
      <c r="ID99" s="769"/>
    </row>
    <row r="100" spans="2:238" s="702" customFormat="1" ht="22" customHeight="1" thickTop="1" x14ac:dyDescent="0.35">
      <c r="B100" s="1979" t="s">
        <v>16</v>
      </c>
      <c r="C100" s="1980"/>
      <c r="D100" s="1981"/>
      <c r="E100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0" s="106" t="s">
        <v>107</v>
      </c>
      <c r="G100" s="808">
        <f>Pricing!D34</f>
        <v>300</v>
      </c>
      <c r="H100" s="88" t="s">
        <v>68</v>
      </c>
      <c r="I100" s="42"/>
      <c r="J100" s="2079">
        <v>0.5</v>
      </c>
      <c r="K100" s="2080"/>
      <c r="L100" s="42"/>
      <c r="M100" s="2076">
        <f>SUM(O98:P103)</f>
        <v>0</v>
      </c>
      <c r="N100" s="2077"/>
      <c r="O100" s="2078">
        <f>((IF(AND(E100&gt;0,E100&lt;4),E100*G100,0)+IF(AND(E100&gt;3,E100&lt;8),G100*3,0)+IF(AND(E100&gt;7,E100&lt;21),E100/7*G100*3,0)+IF(AND(E100&gt;20,E100&lt;30),G100*9,0)+IF(E100&gt;29,E100/30*G100*9,0)))*(1+$AE$63+J$100)</f>
        <v>0</v>
      </c>
      <c r="P100" s="1896"/>
      <c r="Q100" s="687"/>
      <c r="R100" s="687"/>
      <c r="S100" s="537"/>
      <c r="T100" s="299"/>
      <c r="U100" s="622"/>
      <c r="V100" s="622"/>
      <c r="W100" s="622"/>
      <c r="X100" s="622"/>
      <c r="Y100" s="193" t="s">
        <v>287</v>
      </c>
      <c r="Z100" s="106"/>
      <c r="AA100"/>
      <c r="AB100" s="194">
        <f>ROUNDUP(D49/15000,0)</f>
        <v>0</v>
      </c>
      <c r="AC100" s="42" t="s">
        <v>288</v>
      </c>
      <c r="AD100" s="195">
        <f>Pricing!N30</f>
        <v>27</v>
      </c>
      <c r="AE100" s="88" t="s">
        <v>293</v>
      </c>
      <c r="AF100" s="680">
        <f t="shared" ref="AF100:AF109" si="74">IF(AC$63="Y",AB100*AD100,AB100*AD100*(1+AE$63))</f>
        <v>0</v>
      </c>
      <c r="AG100" s="769"/>
      <c r="AH100" s="769"/>
      <c r="AI100" s="769"/>
      <c r="AJ100" s="702">
        <v>20</v>
      </c>
      <c r="AK100" s="702" t="s">
        <v>93</v>
      </c>
      <c r="AO100" s="702">
        <f>SUM(O92:P93)</f>
        <v>0</v>
      </c>
      <c r="GA100" s="769"/>
      <c r="GB100" s="769"/>
      <c r="GC100" s="769"/>
      <c r="GD100" s="769"/>
      <c r="GE100" s="769"/>
      <c r="GF100" s="769"/>
      <c r="GG100" s="769"/>
      <c r="GH100" s="769"/>
      <c r="GI100" s="769"/>
      <c r="GJ100" s="769"/>
      <c r="GK100" s="769"/>
      <c r="GL100" s="769"/>
      <c r="GM100" s="769"/>
      <c r="GN100" s="769"/>
      <c r="GO100" s="769"/>
      <c r="GP100" s="769"/>
      <c r="GQ100" s="769"/>
      <c r="GR100" s="769"/>
      <c r="GS100" s="769"/>
      <c r="GT100" s="769"/>
      <c r="GU100" s="769"/>
      <c r="GV100" s="769"/>
      <c r="GW100" s="769"/>
      <c r="GX100" s="769"/>
      <c r="GY100" s="769"/>
      <c r="GZ100" s="769"/>
      <c r="HA100" s="769"/>
      <c r="HB100" s="769"/>
      <c r="HC100" s="769"/>
      <c r="HD100" s="769"/>
      <c r="HE100" s="769"/>
      <c r="HF100" s="769"/>
      <c r="HG100" s="769"/>
      <c r="HH100" s="769"/>
      <c r="HI100" s="769"/>
      <c r="HJ100" s="769"/>
      <c r="HK100" s="769"/>
      <c r="HL100" s="769"/>
      <c r="HM100" s="769"/>
      <c r="HN100" s="769"/>
      <c r="HO100" s="769"/>
      <c r="HP100" s="769"/>
      <c r="HQ100" s="769"/>
      <c r="HR100" s="769"/>
      <c r="HS100" s="769"/>
      <c r="HT100" s="769"/>
      <c r="HU100" s="769"/>
      <c r="HV100" s="769"/>
      <c r="HW100" s="769"/>
      <c r="HX100" s="769"/>
      <c r="HY100" s="769"/>
      <c r="HZ100" s="769"/>
      <c r="IA100" s="769"/>
      <c r="IB100" s="769"/>
      <c r="IC100" s="769"/>
      <c r="ID100" s="769"/>
    </row>
    <row r="101" spans="2:238" s="702" customFormat="1" ht="22" customHeight="1" x14ac:dyDescent="0.35">
      <c r="B101" s="1979" t="s">
        <v>160</v>
      </c>
      <c r="C101" s="1980"/>
      <c r="D101" s="1981"/>
      <c r="E101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1" s="42" t="s">
        <v>107</v>
      </c>
      <c r="G101" s="808">
        <f>Pricing!D37</f>
        <v>65</v>
      </c>
      <c r="H101" s="88" t="s">
        <v>68</v>
      </c>
      <c r="I101" s="42"/>
      <c r="J101" s="2081"/>
      <c r="K101" s="2082"/>
      <c r="L101" s="42"/>
      <c r="M101" s="42"/>
      <c r="N101" s="42"/>
      <c r="O101" s="1895">
        <f>((IF(AND(E101&gt;0,E101&lt;4),E101*G101,0)+IF(AND(E101&gt;3,E101&lt;8),G101*3,0)+IF(AND(E101&gt;7,E101&lt;21),E101/7*G101*3,0)+IF(AND(E101&gt;20,E101&lt;30),G101*9,0)+IF(E101&gt;29,E101/30*G101*9,0)))*(1+$AE$63+J$100)</f>
        <v>0</v>
      </c>
      <c r="P101" s="1896"/>
      <c r="Q101" s="687"/>
      <c r="R101" s="687"/>
      <c r="S101" s="537"/>
      <c r="T101" s="299"/>
      <c r="U101" s="622"/>
      <c r="V101" s="622"/>
      <c r="W101" s="622"/>
      <c r="X101" s="622"/>
      <c r="Y101" s="193" t="s">
        <v>361</v>
      </c>
      <c r="Z101" s="106"/>
      <c r="AA101"/>
      <c r="AB101" s="194">
        <f>I83/15000</f>
        <v>0</v>
      </c>
      <c r="AC101" s="42" t="s">
        <v>781</v>
      </c>
      <c r="AD101" s="195">
        <f>Pricing!N34</f>
        <v>4</v>
      </c>
      <c r="AE101" s="88" t="s">
        <v>294</v>
      </c>
      <c r="AF101" s="680">
        <f t="shared" si="74"/>
        <v>0</v>
      </c>
      <c r="AG101" s="769"/>
      <c r="AH101" s="769"/>
      <c r="AI101" s="769"/>
      <c r="AJ101" s="702">
        <v>21</v>
      </c>
      <c r="AK101" s="702" t="s">
        <v>254</v>
      </c>
      <c r="AO101" s="702">
        <f>O96</f>
        <v>0</v>
      </c>
      <c r="GA101" s="769"/>
      <c r="GB101" s="769"/>
      <c r="GC101" s="769"/>
      <c r="GD101" s="769"/>
      <c r="GE101" s="769"/>
      <c r="GF101" s="769"/>
      <c r="GG101" s="769"/>
      <c r="GH101" s="769"/>
      <c r="GI101" s="769"/>
      <c r="GJ101" s="769"/>
      <c r="GK101" s="769"/>
      <c r="GL101" s="769"/>
      <c r="GM101" s="769"/>
      <c r="GN101" s="769"/>
      <c r="GO101" s="769"/>
      <c r="GP101" s="769"/>
      <c r="GQ101" s="769"/>
      <c r="GR101" s="769"/>
      <c r="GS101" s="769"/>
      <c r="GT101" s="769"/>
      <c r="GU101" s="769"/>
      <c r="GV101" s="769"/>
      <c r="GW101" s="769"/>
      <c r="GX101" s="769"/>
      <c r="GY101" s="769"/>
      <c r="GZ101" s="769"/>
      <c r="HA101" s="769"/>
      <c r="HB101" s="769"/>
      <c r="HC101" s="769"/>
      <c r="HD101" s="769"/>
      <c r="HE101" s="769"/>
      <c r="HF101" s="769"/>
      <c r="HG101" s="769"/>
      <c r="HH101" s="769"/>
      <c r="HI101" s="769"/>
      <c r="HJ101" s="769"/>
      <c r="HK101" s="769"/>
      <c r="HL101" s="769"/>
      <c r="HM101" s="769"/>
      <c r="HN101" s="769"/>
      <c r="HO101" s="769"/>
      <c r="HP101" s="769"/>
      <c r="HQ101" s="769"/>
      <c r="HR101" s="769"/>
      <c r="HS101" s="769"/>
      <c r="HT101" s="769"/>
      <c r="HU101" s="769"/>
      <c r="HV101" s="769"/>
      <c r="HW101" s="769"/>
      <c r="HX101" s="769"/>
      <c r="HY101" s="769"/>
      <c r="HZ101" s="769"/>
      <c r="IA101" s="769"/>
      <c r="IB101" s="769"/>
      <c r="IC101" s="769"/>
      <c r="ID101" s="769"/>
    </row>
    <row r="102" spans="2:238" s="702" customFormat="1" ht="22" customHeight="1" x14ac:dyDescent="0.35">
      <c r="B102" s="1979" t="s">
        <v>723</v>
      </c>
      <c r="C102" s="1980"/>
      <c r="D102" s="1981"/>
      <c r="E102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2" s="42" t="s">
        <v>107</v>
      </c>
      <c r="G102" s="808">
        <v>15</v>
      </c>
      <c r="H102" s="88" t="s">
        <v>68</v>
      </c>
      <c r="I102" s="42"/>
      <c r="J102" s="42"/>
      <c r="K102" s="42"/>
      <c r="L102" s="42"/>
      <c r="M102" s="42"/>
      <c r="N102" s="42"/>
      <c r="O102" s="1895">
        <f>((IF(AND(E102&gt;0,E102&lt;4),E102*G102,0)+IF(AND(E102&gt;3,E102&lt;8),G102*3,0)+IF(AND(E102&gt;7,E102&lt;21),E102/7*G102*3,0)+IF(AND(E102&gt;20,E102&lt;30),G102*9,0)+IF(E102&gt;29,E102/30*G102*9,0)))*(1+$AE$63+J$100)</f>
        <v>0</v>
      </c>
      <c r="P102" s="1896"/>
      <c r="Q102" s="687"/>
      <c r="R102" s="687"/>
      <c r="S102" s="537"/>
      <c r="T102" s="299"/>
      <c r="U102" s="622"/>
      <c r="V102" s="622"/>
      <c r="W102" s="622"/>
      <c r="X102" s="622"/>
      <c r="Y102" s="193" t="s">
        <v>285</v>
      </c>
      <c r="Z102" s="106"/>
      <c r="AA102"/>
      <c r="AB102" s="194">
        <f>L74+(L75*0.75)</f>
        <v>0</v>
      </c>
      <c r="AC102" s="42" t="s">
        <v>32</v>
      </c>
      <c r="AD102" s="195">
        <v>0.04</v>
      </c>
      <c r="AE102" s="88" t="s">
        <v>88</v>
      </c>
      <c r="AF102" s="680">
        <f t="shared" si="74"/>
        <v>0</v>
      </c>
      <c r="AG102" s="769"/>
      <c r="AH102" s="769"/>
      <c r="AI102" s="769"/>
      <c r="AJ102" s="702">
        <v>22</v>
      </c>
      <c r="AK102" s="702" t="s">
        <v>255</v>
      </c>
      <c r="AO102" s="702">
        <f>SUM(L83:M89)</f>
        <v>0</v>
      </c>
      <c r="GA102" s="769"/>
      <c r="GB102" s="769"/>
      <c r="GC102" s="769"/>
      <c r="GD102" s="769"/>
      <c r="GE102" s="769"/>
      <c r="GF102" s="769"/>
      <c r="GG102" s="769"/>
      <c r="GH102" s="769"/>
      <c r="GI102" s="769"/>
      <c r="GJ102" s="769"/>
      <c r="GK102" s="769"/>
      <c r="GL102" s="769"/>
      <c r="GM102" s="769"/>
      <c r="GN102" s="769"/>
      <c r="GO102" s="769"/>
      <c r="GP102" s="769"/>
      <c r="GQ102" s="769"/>
      <c r="GR102" s="769"/>
      <c r="GS102" s="769"/>
      <c r="GT102" s="769"/>
      <c r="GU102" s="769"/>
      <c r="GV102" s="769"/>
      <c r="GW102" s="769"/>
      <c r="GX102" s="769"/>
      <c r="GY102" s="769"/>
      <c r="GZ102" s="769"/>
      <c r="HA102" s="769"/>
      <c r="HB102" s="769"/>
      <c r="HC102" s="769"/>
      <c r="HD102" s="769"/>
      <c r="HE102" s="769"/>
      <c r="HF102" s="769"/>
      <c r="HG102" s="769"/>
      <c r="HH102" s="769"/>
      <c r="HI102" s="769"/>
      <c r="HJ102" s="769"/>
      <c r="HK102" s="769"/>
      <c r="HL102" s="769"/>
      <c r="HM102" s="769"/>
      <c r="HN102" s="769"/>
      <c r="HO102" s="769"/>
      <c r="HP102" s="769"/>
      <c r="HQ102" s="769"/>
      <c r="HR102" s="769"/>
      <c r="HS102" s="769"/>
      <c r="HT102" s="769"/>
      <c r="HU102" s="769"/>
      <c r="HV102" s="769"/>
      <c r="HW102" s="769"/>
      <c r="HX102" s="769"/>
      <c r="HY102" s="769"/>
      <c r="HZ102" s="769"/>
      <c r="IA102" s="769"/>
      <c r="IB102" s="769"/>
      <c r="IC102" s="769"/>
      <c r="ID102" s="769"/>
    </row>
    <row r="103" spans="2:238" s="702" customFormat="1" ht="22" customHeight="1" thickBot="1" x14ac:dyDescent="0.4">
      <c r="B103" s="2069" t="s">
        <v>108</v>
      </c>
      <c r="C103" s="2070"/>
      <c r="D103" s="2071"/>
      <c r="E103" s="755">
        <f>IF(E$92&gt;0,IF(E$92&lt;=3,E$92,7),0)+IF(E$92&gt;5,IF(E$92&lt;=10,7,0),0)+IF(E$92&gt;10,IF(E$92&lt;=15,14,0),0)+IF(E$92&gt;15,IF(E$92&lt;=20,23,0),0)+IF(E$92&gt;20,IF(E$92&lt;=40,53,0),0)+IF(E$92&gt;40,IF(E$92&lt;=60,83,0),0)+IF(E$92&gt;60,IF(E$92&lt;=80,113,0),0)+IF(E$92&gt;80,IF(E$92&lt;=100,143,0),0)+IF(E$92&gt;100,IF(E$92&lt;=120,173,0),0)+IF(E$92&gt;120,IF(E$92&lt;=140,203,0),0)+IF(E$92&gt;140,IF(E$92&lt;=160,233,0),0)</f>
        <v>0</v>
      </c>
      <c r="F103" s="49" t="s">
        <v>573</v>
      </c>
      <c r="G103" s="809">
        <v>55</v>
      </c>
      <c r="H103" s="96" t="s">
        <v>68</v>
      </c>
      <c r="I103" s="49"/>
      <c r="J103" s="49"/>
      <c r="K103" s="49"/>
      <c r="L103" s="49"/>
      <c r="M103" s="117"/>
      <c r="N103" s="49"/>
      <c r="O103" s="2072">
        <f>((IF(AND(E103&gt;0,E103&lt;4),E103*G103,0)+IF(AND(E103&gt;3,E103&lt;8),G103*3,0)+IF(AND(E103&gt;7,E103&lt;21),E103/7*G103*3,0)+IF(AND(E103&gt;20,E103&lt;30),G103*9,0)+IF(E103&gt;29,E103/30*G103*9,0)))</f>
        <v>0</v>
      </c>
      <c r="P103" s="2073"/>
      <c r="Q103" s="687"/>
      <c r="R103" s="687"/>
      <c r="S103" s="537"/>
      <c r="T103" s="299"/>
      <c r="U103" s="622"/>
      <c r="V103" s="622"/>
      <c r="W103" s="622"/>
      <c r="X103" s="622"/>
      <c r="Y103" s="193"/>
      <c r="Z103" s="106"/>
      <c r="AA103"/>
      <c r="AB103" s="106"/>
      <c r="AC103" s="42"/>
      <c r="AD103" s="195"/>
      <c r="AE103" s="42"/>
      <c r="AF103" s="680">
        <f t="shared" si="74"/>
        <v>0</v>
      </c>
      <c r="AG103" s="769"/>
      <c r="AH103" s="769"/>
      <c r="AI103" s="769"/>
      <c r="AJ103" s="702">
        <v>23</v>
      </c>
      <c r="AK103" s="702" t="s">
        <v>256</v>
      </c>
      <c r="AO103" s="702">
        <f>O110</f>
        <v>0</v>
      </c>
      <c r="GA103" s="769"/>
      <c r="GB103" s="769"/>
      <c r="GC103" s="769"/>
      <c r="GD103" s="769"/>
      <c r="GE103" s="769"/>
      <c r="GF103" s="769"/>
      <c r="GG103" s="769"/>
      <c r="GH103" s="769"/>
      <c r="GI103" s="769"/>
      <c r="GJ103" s="769"/>
      <c r="GK103" s="769"/>
      <c r="GL103" s="769"/>
      <c r="GM103" s="769"/>
      <c r="GN103" s="769"/>
      <c r="GO103" s="769"/>
      <c r="GP103" s="769"/>
      <c r="GQ103" s="769"/>
      <c r="GR103" s="769"/>
      <c r="GS103" s="769"/>
      <c r="GT103" s="769"/>
      <c r="GU103" s="769"/>
      <c r="GV103" s="769"/>
      <c r="GW103" s="769"/>
      <c r="GX103" s="769"/>
      <c r="GY103" s="769"/>
      <c r="GZ103" s="769"/>
      <c r="HA103" s="769"/>
      <c r="HB103" s="769"/>
      <c r="HC103" s="769"/>
      <c r="HD103" s="769"/>
      <c r="HE103" s="769"/>
      <c r="HF103" s="769"/>
      <c r="HG103" s="769"/>
      <c r="HH103" s="769"/>
      <c r="HI103" s="769"/>
      <c r="HJ103" s="769"/>
      <c r="HK103" s="769"/>
      <c r="HL103" s="769"/>
      <c r="HM103" s="769"/>
      <c r="HN103" s="769"/>
      <c r="HO103" s="769"/>
      <c r="HP103" s="769"/>
      <c r="HQ103" s="769"/>
      <c r="HR103" s="769"/>
      <c r="HS103" s="769"/>
      <c r="HT103" s="769"/>
      <c r="HU103" s="769"/>
      <c r="HV103" s="769"/>
      <c r="HW103" s="769"/>
      <c r="HX103" s="769"/>
      <c r="HY103" s="769"/>
      <c r="HZ103" s="769"/>
      <c r="IA103" s="769"/>
      <c r="IB103" s="769"/>
      <c r="IC103" s="769"/>
      <c r="ID103" s="769"/>
    </row>
    <row r="104" spans="2:238" s="702" customFormat="1" ht="22" customHeight="1" thickBot="1" x14ac:dyDescent="0.4">
      <c r="B104" s="2018" t="s">
        <v>174</v>
      </c>
      <c r="C104" s="2019"/>
      <c r="D104" s="2019"/>
      <c r="E104" s="2019"/>
      <c r="F104" s="2019"/>
      <c r="G104" s="2019"/>
      <c r="H104" s="2019"/>
      <c r="I104" s="2019"/>
      <c r="J104" s="2019"/>
      <c r="K104" s="2019"/>
      <c r="L104" s="2019"/>
      <c r="M104" s="2019"/>
      <c r="N104" s="2019"/>
      <c r="O104" s="2019"/>
      <c r="P104" s="2020"/>
      <c r="Q104" s="685"/>
      <c r="R104" s="685"/>
      <c r="S104" s="537"/>
      <c r="T104" s="299"/>
      <c r="U104" s="622"/>
      <c r="V104" s="622"/>
      <c r="W104" s="622"/>
      <c r="X104" s="622"/>
      <c r="Y104" s="193"/>
      <c r="Z104" s="106"/>
      <c r="AA104"/>
      <c r="AB104" s="106"/>
      <c r="AC104" s="42"/>
      <c r="AD104" s="195"/>
      <c r="AE104" s="42"/>
      <c r="AF104" s="680">
        <f t="shared" si="74"/>
        <v>0</v>
      </c>
      <c r="AG104" s="769"/>
      <c r="AH104" s="769"/>
      <c r="AI104" s="769"/>
      <c r="AJ104" s="702">
        <v>24</v>
      </c>
      <c r="AK104" s="702" t="s">
        <v>257</v>
      </c>
      <c r="GA104" s="769"/>
      <c r="GB104" s="769"/>
      <c r="GC104" s="769"/>
      <c r="GD104" s="769"/>
      <c r="GE104" s="769"/>
      <c r="GF104" s="769"/>
      <c r="GG104" s="769"/>
      <c r="GH104" s="769"/>
      <c r="GI104" s="769"/>
      <c r="GJ104" s="769"/>
      <c r="GK104" s="769"/>
      <c r="GL104" s="769"/>
      <c r="GM104" s="769"/>
      <c r="GN104" s="769"/>
      <c r="GO104" s="769"/>
      <c r="GP104" s="769"/>
      <c r="GQ104" s="769"/>
      <c r="GR104" s="769"/>
      <c r="GS104" s="769"/>
      <c r="GT104" s="769"/>
      <c r="GU104" s="769"/>
      <c r="GV104" s="769"/>
      <c r="GW104" s="769"/>
      <c r="GX104" s="769"/>
      <c r="GY104" s="769"/>
      <c r="GZ104" s="769"/>
      <c r="HA104" s="769"/>
      <c r="HB104" s="769"/>
      <c r="HC104" s="769"/>
      <c r="HD104" s="769"/>
      <c r="HE104" s="769"/>
      <c r="HF104" s="769"/>
      <c r="HG104" s="769"/>
      <c r="HH104" s="769"/>
      <c r="HI104" s="769"/>
      <c r="HJ104" s="769"/>
      <c r="HK104" s="769"/>
      <c r="HL104" s="769"/>
      <c r="HM104" s="769"/>
      <c r="HN104" s="769"/>
      <c r="HO104" s="769"/>
      <c r="HP104" s="769"/>
      <c r="HQ104" s="769"/>
      <c r="HR104" s="769"/>
      <c r="HS104" s="769"/>
      <c r="HT104" s="769"/>
      <c r="HU104" s="769"/>
      <c r="HV104" s="769"/>
      <c r="HW104" s="769"/>
      <c r="HX104" s="769"/>
      <c r="HY104" s="769"/>
      <c r="HZ104" s="769"/>
      <c r="IA104" s="769"/>
      <c r="IB104" s="769"/>
      <c r="IC104" s="769"/>
      <c r="ID104" s="769"/>
    </row>
    <row r="105" spans="2:238" s="702" customFormat="1" ht="22" customHeight="1" thickBot="1" x14ac:dyDescent="0.4">
      <c r="B105" s="2052" t="s">
        <v>189</v>
      </c>
      <c r="C105" s="2053"/>
      <c r="D105" s="2054"/>
      <c r="E105" s="756">
        <v>0.55000000000000004</v>
      </c>
      <c r="F105" s="115" t="s">
        <v>118</v>
      </c>
      <c r="G105" s="2048"/>
      <c r="H105" s="2049"/>
      <c r="I105" s="48" t="s">
        <v>95</v>
      </c>
      <c r="J105" s="48"/>
      <c r="K105" s="48"/>
      <c r="L105" s="48"/>
      <c r="M105" s="48"/>
      <c r="N105" s="48"/>
      <c r="O105" s="2050">
        <f>E105*G105</f>
        <v>0</v>
      </c>
      <c r="P105" s="2051"/>
      <c r="Q105" s="688"/>
      <c r="R105" s="688"/>
      <c r="S105" s="537"/>
      <c r="T105" s="299"/>
      <c r="U105" s="622"/>
      <c r="V105" s="622"/>
      <c r="W105" s="622"/>
      <c r="X105" s="622"/>
      <c r="Y105" s="198"/>
      <c r="Z105" s="199"/>
      <c r="AA105" s="262"/>
      <c r="AB105" s="199"/>
      <c r="AC105" s="75"/>
      <c r="AD105" s="201"/>
      <c r="AE105" s="75"/>
      <c r="AF105" s="681">
        <f t="shared" si="74"/>
        <v>0</v>
      </c>
      <c r="AG105" s="769"/>
      <c r="AH105" s="769"/>
      <c r="AI105" s="769"/>
      <c r="AJ105" s="702">
        <v>25</v>
      </c>
      <c r="AK105" s="702" t="s">
        <v>258</v>
      </c>
      <c r="GA105" s="769"/>
      <c r="GB105" s="769"/>
      <c r="GC105" s="769"/>
      <c r="GD105" s="769"/>
      <c r="GE105" s="769"/>
      <c r="GF105" s="769"/>
      <c r="GG105" s="769"/>
      <c r="GH105" s="769"/>
      <c r="GI105" s="769"/>
      <c r="GJ105" s="769"/>
      <c r="GK105" s="769"/>
      <c r="GL105" s="769"/>
      <c r="GM105" s="769"/>
      <c r="GN105" s="769"/>
      <c r="GO105" s="769"/>
      <c r="GP105" s="769"/>
      <c r="GQ105" s="769"/>
      <c r="GR105" s="769"/>
      <c r="GS105" s="769"/>
      <c r="GT105" s="769"/>
      <c r="GU105" s="769"/>
      <c r="GV105" s="769"/>
      <c r="GW105" s="769"/>
      <c r="GX105" s="769"/>
      <c r="GY105" s="769"/>
      <c r="GZ105" s="769"/>
      <c r="HA105" s="769"/>
      <c r="HB105" s="769"/>
      <c r="HC105" s="769"/>
      <c r="HD105" s="769"/>
      <c r="HE105" s="769"/>
      <c r="HF105" s="769"/>
      <c r="HG105" s="769"/>
      <c r="HH105" s="769"/>
      <c r="HI105" s="769"/>
      <c r="HJ105" s="769"/>
      <c r="HK105" s="769"/>
      <c r="HL105" s="769"/>
      <c r="HM105" s="769"/>
      <c r="HN105" s="769"/>
      <c r="HO105" s="769"/>
      <c r="HP105" s="769"/>
      <c r="HQ105" s="769"/>
      <c r="HR105" s="769"/>
      <c r="HS105" s="769"/>
      <c r="HT105" s="769"/>
      <c r="HU105" s="769"/>
      <c r="HV105" s="769"/>
      <c r="HW105" s="769"/>
      <c r="HX105" s="769"/>
      <c r="HY105" s="769"/>
      <c r="HZ105" s="769"/>
      <c r="IA105" s="769"/>
      <c r="IB105" s="769"/>
      <c r="IC105" s="769"/>
      <c r="ID105" s="769"/>
    </row>
    <row r="106" spans="2:238" s="702" customFormat="1" ht="22" customHeight="1" thickTop="1" x14ac:dyDescent="0.35">
      <c r="B106" s="1979" t="s">
        <v>176</v>
      </c>
      <c r="C106" s="1980"/>
      <c r="D106" s="1981"/>
      <c r="E106" s="757"/>
      <c r="F106" s="88" t="s">
        <v>118</v>
      </c>
      <c r="G106" s="2089">
        <f>IF(L106=0,0,D49*2/L106)</f>
        <v>0</v>
      </c>
      <c r="H106" s="2090"/>
      <c r="I106" s="88" t="s">
        <v>42</v>
      </c>
      <c r="J106" s="2092" t="s">
        <v>382</v>
      </c>
      <c r="K106" s="2093"/>
      <c r="L106" s="2091">
        <v>15</v>
      </c>
      <c r="M106" s="42"/>
      <c r="N106" s="42"/>
      <c r="O106" s="2087">
        <f>E106*G106</f>
        <v>0</v>
      </c>
      <c r="P106" s="2088"/>
      <c r="Q106" s="688"/>
      <c r="R106" s="688"/>
      <c r="S106" s="537"/>
      <c r="T106" s="299"/>
      <c r="U106" s="622"/>
      <c r="V106" s="622"/>
      <c r="W106" s="622"/>
      <c r="X106" s="622"/>
      <c r="Y106" s="193"/>
      <c r="Z106" s="106"/>
      <c r="AA106"/>
      <c r="AB106" s="106"/>
      <c r="AC106" s="42"/>
      <c r="AD106" s="195"/>
      <c r="AE106" s="42"/>
      <c r="AF106" s="680">
        <f t="shared" si="74"/>
        <v>0</v>
      </c>
      <c r="AG106" s="769"/>
      <c r="AH106" s="769"/>
      <c r="AI106" s="769"/>
      <c r="AJ106" s="702">
        <v>30</v>
      </c>
      <c r="AK106" s="702" t="s">
        <v>259</v>
      </c>
      <c r="AO106" s="702">
        <f>O107</f>
        <v>0</v>
      </c>
      <c r="GA106" s="769"/>
      <c r="GB106" s="769"/>
      <c r="GC106" s="769"/>
      <c r="GD106" s="769"/>
      <c r="GE106" s="769"/>
      <c r="GF106" s="769"/>
      <c r="GG106" s="769"/>
      <c r="GH106" s="769"/>
      <c r="GI106" s="769"/>
      <c r="GJ106" s="769"/>
      <c r="GK106" s="769"/>
      <c r="GL106" s="769"/>
      <c r="GM106" s="769"/>
      <c r="GN106" s="769"/>
      <c r="GO106" s="769"/>
      <c r="GP106" s="769"/>
      <c r="GQ106" s="769"/>
      <c r="GR106" s="769"/>
      <c r="GS106" s="769"/>
      <c r="GT106" s="769"/>
      <c r="GU106" s="769"/>
      <c r="GV106" s="769"/>
      <c r="GW106" s="769"/>
      <c r="GX106" s="769"/>
      <c r="GY106" s="769"/>
      <c r="GZ106" s="769"/>
      <c r="HA106" s="769"/>
      <c r="HB106" s="769"/>
      <c r="HC106" s="769"/>
      <c r="HD106" s="769"/>
      <c r="HE106" s="769"/>
      <c r="HF106" s="769"/>
      <c r="HG106" s="769"/>
      <c r="HH106" s="769"/>
      <c r="HI106" s="769"/>
      <c r="HJ106" s="769"/>
      <c r="HK106" s="769"/>
      <c r="HL106" s="769"/>
      <c r="HM106" s="769"/>
      <c r="HN106" s="769"/>
      <c r="HO106" s="769"/>
      <c r="HP106" s="769"/>
      <c r="HQ106" s="769"/>
      <c r="HR106" s="769"/>
      <c r="HS106" s="769"/>
      <c r="HT106" s="769"/>
      <c r="HU106" s="769"/>
      <c r="HV106" s="769"/>
      <c r="HW106" s="769"/>
      <c r="HX106" s="769"/>
      <c r="HY106" s="769"/>
      <c r="HZ106" s="769"/>
      <c r="IA106" s="769"/>
      <c r="IB106" s="769"/>
      <c r="IC106" s="769"/>
      <c r="ID106" s="769"/>
    </row>
    <row r="107" spans="2:238" s="702" customFormat="1" ht="22" customHeight="1" x14ac:dyDescent="0.35">
      <c r="B107" s="1979" t="s">
        <v>442</v>
      </c>
      <c r="C107" s="1980"/>
      <c r="D107" s="1981"/>
      <c r="E107" s="758">
        <f>Pricing!D41</f>
        <v>16</v>
      </c>
      <c r="F107" s="108" t="s">
        <v>443</v>
      </c>
      <c r="G107" s="2089">
        <f>BO49</f>
        <v>0</v>
      </c>
      <c r="H107" s="2090"/>
      <c r="I107" s="42" t="s">
        <v>444</v>
      </c>
      <c r="J107" s="2092"/>
      <c r="K107" s="2093"/>
      <c r="L107" s="2091"/>
      <c r="M107" s="42"/>
      <c r="N107" s="42"/>
      <c r="O107" s="2087">
        <f>E107*G107</f>
        <v>0</v>
      </c>
      <c r="P107" s="2088"/>
      <c r="Q107" s="688"/>
      <c r="R107" s="688"/>
      <c r="S107" s="537"/>
      <c r="T107" s="299"/>
      <c r="U107" s="622"/>
      <c r="V107" s="622"/>
      <c r="W107" s="622"/>
      <c r="X107" s="622"/>
      <c r="Y107" s="193" t="s">
        <v>211</v>
      </c>
      <c r="Z107" s="106"/>
      <c r="AA107"/>
      <c r="AB107" s="194">
        <f>ROUNDUP(I83/300/55,0)</f>
        <v>0</v>
      </c>
      <c r="AC107" s="42" t="s">
        <v>754</v>
      </c>
      <c r="AD107" s="195">
        <f>Pricing!N42</f>
        <v>540</v>
      </c>
      <c r="AE107" s="88" t="s">
        <v>295</v>
      </c>
      <c r="AF107" s="680">
        <f t="shared" si="74"/>
        <v>0</v>
      </c>
      <c r="AG107" s="769"/>
      <c r="AH107" s="769"/>
      <c r="AI107" s="769"/>
      <c r="AJ107" s="702">
        <v>31</v>
      </c>
      <c r="AK107" s="702" t="s">
        <v>744</v>
      </c>
      <c r="GA107" s="769"/>
      <c r="GB107" s="769"/>
      <c r="GC107" s="769"/>
      <c r="GD107" s="769"/>
      <c r="GE107" s="769"/>
      <c r="GF107" s="769"/>
      <c r="GG107" s="769"/>
      <c r="GH107" s="769"/>
      <c r="GI107" s="769"/>
      <c r="GJ107" s="769"/>
      <c r="GK107" s="769"/>
      <c r="GL107" s="769"/>
      <c r="GM107" s="769"/>
      <c r="GN107" s="769"/>
      <c r="GO107" s="769"/>
      <c r="GP107" s="769"/>
      <c r="GQ107" s="769"/>
      <c r="GR107" s="769"/>
      <c r="GS107" s="769"/>
      <c r="GT107" s="769"/>
      <c r="GU107" s="769"/>
      <c r="GV107" s="769"/>
      <c r="GW107" s="769"/>
      <c r="GX107" s="769"/>
      <c r="GY107" s="769"/>
      <c r="GZ107" s="769"/>
      <c r="HA107" s="769"/>
      <c r="HB107" s="769"/>
      <c r="HC107" s="769"/>
      <c r="HD107" s="769"/>
      <c r="HE107" s="769"/>
      <c r="HF107" s="769"/>
      <c r="HG107" s="769"/>
      <c r="HH107" s="769"/>
      <c r="HI107" s="769"/>
      <c r="HJ107" s="769"/>
      <c r="HK107" s="769"/>
      <c r="HL107" s="769"/>
      <c r="HM107" s="769"/>
      <c r="HN107" s="769"/>
      <c r="HO107" s="769"/>
      <c r="HP107" s="769"/>
      <c r="HQ107" s="769"/>
      <c r="HR107" s="769"/>
      <c r="HS107" s="769"/>
      <c r="HT107" s="769"/>
      <c r="HU107" s="769"/>
      <c r="HV107" s="769"/>
      <c r="HW107" s="769"/>
      <c r="HX107" s="769"/>
      <c r="HY107" s="769"/>
      <c r="HZ107" s="769"/>
      <c r="IA107" s="769"/>
      <c r="IB107" s="769"/>
      <c r="IC107" s="769"/>
      <c r="ID107" s="769"/>
    </row>
    <row r="108" spans="2:238" s="702" customFormat="1" ht="22" customHeight="1" thickBot="1" x14ac:dyDescent="0.4">
      <c r="B108" s="1979" t="s">
        <v>307</v>
      </c>
      <c r="C108" s="1980"/>
      <c r="D108" s="1980"/>
      <c r="E108" s="757">
        <v>4</v>
      </c>
      <c r="F108" s="109" t="s">
        <v>124</v>
      </c>
      <c r="G108" s="2085"/>
      <c r="H108" s="2086"/>
      <c r="I108" s="42" t="s">
        <v>31</v>
      </c>
      <c r="J108" s="42"/>
      <c r="K108" s="42"/>
      <c r="L108" s="42"/>
      <c r="M108" s="42"/>
      <c r="N108" s="42"/>
      <c r="O108" s="2087">
        <f>E108*G108</f>
        <v>0</v>
      </c>
      <c r="P108" s="2088"/>
      <c r="Q108" s="688"/>
      <c r="R108" s="688"/>
      <c r="S108" s="537"/>
      <c r="T108" s="299"/>
      <c r="U108" s="622"/>
      <c r="V108" s="622"/>
      <c r="W108" s="622"/>
      <c r="X108" s="622"/>
      <c r="Y108" s="198" t="s">
        <v>212</v>
      </c>
      <c r="Z108" s="199"/>
      <c r="AA108" s="262"/>
      <c r="AB108" s="200">
        <v>0</v>
      </c>
      <c r="AC108" s="75" t="s">
        <v>754</v>
      </c>
      <c r="AD108" s="201">
        <f>Pricing!N43</f>
        <v>542</v>
      </c>
      <c r="AE108" s="90" t="s">
        <v>295</v>
      </c>
      <c r="AF108" s="681">
        <f t="shared" si="74"/>
        <v>0</v>
      </c>
      <c r="AG108" s="769"/>
      <c r="AH108" s="769"/>
      <c r="AI108" s="769"/>
      <c r="AJ108" s="702">
        <v>32</v>
      </c>
      <c r="AK108" s="702" t="s">
        <v>260</v>
      </c>
      <c r="GA108" s="769"/>
      <c r="GB108" s="769"/>
      <c r="GC108" s="769"/>
      <c r="GD108" s="769"/>
      <c r="GE108" s="769"/>
      <c r="GF108" s="769"/>
      <c r="GG108" s="769"/>
      <c r="GH108" s="769"/>
      <c r="GI108" s="769"/>
      <c r="GJ108" s="769"/>
      <c r="GK108" s="769"/>
      <c r="GL108" s="769"/>
      <c r="GM108" s="769"/>
      <c r="GN108" s="769"/>
      <c r="GO108" s="769"/>
      <c r="GP108" s="769"/>
      <c r="GQ108" s="769"/>
      <c r="GR108" s="769"/>
      <c r="GS108" s="769"/>
      <c r="GT108" s="769"/>
      <c r="GU108" s="769"/>
      <c r="GV108" s="769"/>
      <c r="GW108" s="769"/>
      <c r="GX108" s="769"/>
      <c r="GY108" s="769"/>
      <c r="GZ108" s="769"/>
      <c r="HA108" s="769"/>
      <c r="HB108" s="769"/>
      <c r="HC108" s="769"/>
      <c r="HD108" s="769"/>
      <c r="HE108" s="769"/>
      <c r="HF108" s="769"/>
      <c r="HG108" s="769"/>
      <c r="HH108" s="769"/>
      <c r="HI108" s="769"/>
      <c r="HJ108" s="769"/>
      <c r="HK108" s="769"/>
      <c r="HL108" s="769"/>
      <c r="HM108" s="769"/>
      <c r="HN108" s="769"/>
      <c r="HO108" s="769"/>
      <c r="HP108" s="769"/>
      <c r="HQ108" s="769"/>
      <c r="HR108" s="769"/>
      <c r="HS108" s="769"/>
      <c r="HT108" s="769"/>
      <c r="HU108" s="769"/>
      <c r="HV108" s="769"/>
      <c r="HW108" s="769"/>
      <c r="HX108" s="769"/>
      <c r="HY108" s="769"/>
      <c r="HZ108" s="769"/>
      <c r="IA108" s="769"/>
      <c r="IB108" s="769"/>
      <c r="IC108" s="769"/>
      <c r="ID108" s="769"/>
    </row>
    <row r="109" spans="2:238" s="702" customFormat="1" ht="22" customHeight="1" thickTop="1" x14ac:dyDescent="0.35">
      <c r="B109" s="1979" t="s">
        <v>524</v>
      </c>
      <c r="C109" s="1980"/>
      <c r="D109" s="1980"/>
      <c r="E109" s="759">
        <v>0.25</v>
      </c>
      <c r="F109" s="88" t="s">
        <v>191</v>
      </c>
      <c r="G109" s="2101">
        <v>0</v>
      </c>
      <c r="H109" s="2102"/>
      <c r="I109" s="42" t="s">
        <v>95</v>
      </c>
      <c r="J109" s="42"/>
      <c r="K109" s="42"/>
      <c r="L109" s="42"/>
      <c r="M109" s="42"/>
      <c r="N109" s="46"/>
      <c r="O109" s="2087">
        <f>IF(E109=0,0,E109*G109)</f>
        <v>0</v>
      </c>
      <c r="P109" s="2088"/>
      <c r="Q109" s="688"/>
      <c r="R109" s="688"/>
      <c r="S109" s="537"/>
      <c r="T109" s="299"/>
      <c r="U109" s="622"/>
      <c r="V109" s="622"/>
      <c r="W109" s="622"/>
      <c r="X109" s="622"/>
      <c r="Y109" s="193"/>
      <c r="Z109" s="106"/>
      <c r="AA109" s="106"/>
      <c r="AB109" s="42"/>
      <c r="AC109" s="106"/>
      <c r="AD109" s="42"/>
      <c r="AE109"/>
      <c r="AF109" s="680">
        <f t="shared" si="74"/>
        <v>0</v>
      </c>
      <c r="AG109" s="769"/>
      <c r="AH109" s="769"/>
      <c r="AI109" s="769"/>
      <c r="AJ109" s="702">
        <v>33</v>
      </c>
      <c r="AK109" s="702" t="s">
        <v>261</v>
      </c>
      <c r="AO109" s="704">
        <f>O108</f>
        <v>0</v>
      </c>
      <c r="AP109" s="704"/>
      <c r="GA109" s="769"/>
      <c r="GB109" s="769"/>
      <c r="GC109" s="769"/>
      <c r="GD109" s="769"/>
      <c r="GE109" s="769"/>
      <c r="GF109" s="769"/>
      <c r="GG109" s="769"/>
      <c r="GH109" s="769"/>
      <c r="GI109" s="769"/>
      <c r="GJ109" s="769"/>
      <c r="GK109" s="769"/>
      <c r="GL109" s="769"/>
      <c r="GM109" s="769"/>
      <c r="GN109" s="769"/>
      <c r="GO109" s="769"/>
      <c r="GP109" s="769"/>
      <c r="GQ109" s="769"/>
      <c r="GR109" s="769"/>
      <c r="GS109" s="769"/>
      <c r="GT109" s="769"/>
      <c r="GU109" s="769"/>
      <c r="GV109" s="769"/>
      <c r="GW109" s="769"/>
      <c r="GX109" s="769"/>
      <c r="GY109" s="769"/>
      <c r="GZ109" s="769"/>
      <c r="HA109" s="769"/>
      <c r="HB109" s="769"/>
      <c r="HC109" s="769"/>
      <c r="HD109" s="769"/>
      <c r="HE109" s="769"/>
      <c r="HF109" s="769"/>
      <c r="HG109" s="769"/>
      <c r="HH109" s="769"/>
      <c r="HI109" s="769"/>
      <c r="HJ109" s="769"/>
      <c r="HK109" s="769"/>
      <c r="HL109" s="769"/>
      <c r="HM109" s="769"/>
      <c r="HN109" s="769"/>
      <c r="HO109" s="769"/>
      <c r="HP109" s="769"/>
      <c r="HQ109" s="769"/>
      <c r="HR109" s="769"/>
      <c r="HS109" s="769"/>
      <c r="HT109" s="769"/>
      <c r="HU109" s="769"/>
      <c r="HV109" s="769"/>
      <c r="HW109" s="769"/>
      <c r="HX109" s="769"/>
      <c r="HY109" s="769"/>
      <c r="HZ109" s="769"/>
      <c r="IA109" s="769"/>
      <c r="IB109" s="769"/>
      <c r="IC109" s="769"/>
      <c r="ID109" s="769"/>
    </row>
    <row r="110" spans="2:238" s="702" customFormat="1" ht="22" customHeight="1" x14ac:dyDescent="0.35">
      <c r="B110" s="1979" t="s">
        <v>186</v>
      </c>
      <c r="C110" s="1980"/>
      <c r="D110" s="1980"/>
      <c r="E110" s="760"/>
      <c r="F110" s="109" t="s">
        <v>97</v>
      </c>
      <c r="G110" s="2099">
        <v>250</v>
      </c>
      <c r="H110" s="2100"/>
      <c r="I110" s="88" t="s">
        <v>68</v>
      </c>
      <c r="J110" s="42"/>
      <c r="K110" s="42"/>
      <c r="L110" s="42"/>
      <c r="M110" s="42"/>
      <c r="N110" s="42"/>
      <c r="O110" s="2087">
        <f>E110*G110</f>
        <v>0</v>
      </c>
      <c r="P110" s="2088"/>
      <c r="Q110" s="688"/>
      <c r="R110" s="688"/>
      <c r="S110" s="537"/>
      <c r="T110" s="299"/>
      <c r="U110" s="2107"/>
      <c r="V110" s="2107"/>
      <c r="W110" s="2107"/>
      <c r="X110" s="2107"/>
      <c r="Y110" s="2096" t="s">
        <v>216</v>
      </c>
      <c r="Z110" s="2097"/>
      <c r="AA110" s="806">
        <v>18</v>
      </c>
      <c r="AB110" s="42" t="s">
        <v>217</v>
      </c>
      <c r="AC110" s="106"/>
      <c r="AD110" s="42"/>
      <c r="AE110"/>
      <c r="AF110" s="680"/>
      <c r="AG110" s="769"/>
      <c r="AH110" s="769"/>
      <c r="AI110" s="769"/>
      <c r="AJ110" s="702">
        <v>34</v>
      </c>
      <c r="AK110" s="702" t="s">
        <v>262</v>
      </c>
      <c r="AO110" s="702">
        <f>O106+O105+O109</f>
        <v>0</v>
      </c>
      <c r="GA110" s="769"/>
      <c r="GB110" s="769"/>
      <c r="GC110" s="769"/>
      <c r="GD110" s="769"/>
      <c r="GE110" s="769"/>
      <c r="GF110" s="769"/>
      <c r="GG110" s="769"/>
      <c r="GH110" s="769"/>
      <c r="GI110" s="769"/>
      <c r="GJ110" s="769"/>
      <c r="GK110" s="769"/>
      <c r="GL110" s="769"/>
      <c r="GM110" s="769"/>
      <c r="GN110" s="769"/>
      <c r="GO110" s="769"/>
      <c r="GP110" s="769"/>
      <c r="GQ110" s="769"/>
      <c r="GR110" s="769"/>
      <c r="GS110" s="769"/>
      <c r="GT110" s="769"/>
      <c r="GU110" s="769"/>
      <c r="GV110" s="769"/>
      <c r="GW110" s="769"/>
      <c r="GX110" s="769"/>
      <c r="GY110" s="769"/>
      <c r="GZ110" s="769"/>
      <c r="HA110" s="769"/>
      <c r="HB110" s="769"/>
      <c r="HC110" s="769"/>
      <c r="HD110" s="769"/>
      <c r="HE110" s="769"/>
      <c r="HF110" s="769"/>
      <c r="HG110" s="769"/>
      <c r="HH110" s="769"/>
      <c r="HI110" s="769"/>
      <c r="HJ110" s="769"/>
      <c r="HK110" s="769"/>
      <c r="HL110" s="769"/>
      <c r="HM110" s="769"/>
      <c r="HN110" s="769"/>
      <c r="HO110" s="769"/>
      <c r="HP110" s="769"/>
      <c r="HQ110" s="769"/>
      <c r="HR110" s="769"/>
      <c r="HS110" s="769"/>
      <c r="HT110" s="769"/>
      <c r="HU110" s="769"/>
      <c r="HV110" s="769"/>
      <c r="HW110" s="769"/>
      <c r="HX110" s="769"/>
      <c r="HY110" s="769"/>
      <c r="HZ110" s="769"/>
      <c r="IA110" s="769"/>
      <c r="IB110" s="769"/>
      <c r="IC110" s="769"/>
      <c r="ID110" s="769"/>
    </row>
    <row r="111" spans="2:238" s="702" customFormat="1" ht="22" customHeight="1" thickBot="1" x14ac:dyDescent="0.4">
      <c r="B111" s="2069" t="s">
        <v>108</v>
      </c>
      <c r="C111" s="2070"/>
      <c r="D111" s="2070"/>
      <c r="E111" s="754"/>
      <c r="F111" s="49"/>
      <c r="G111" s="2103">
        <v>1000</v>
      </c>
      <c r="H111" s="2104"/>
      <c r="I111" s="49" t="s">
        <v>177</v>
      </c>
      <c r="J111" s="49"/>
      <c r="K111" s="49"/>
      <c r="L111" s="49"/>
      <c r="M111" s="49"/>
      <c r="N111" s="49"/>
      <c r="O111" s="2105">
        <f>E111*G111</f>
        <v>0</v>
      </c>
      <c r="P111" s="2106"/>
      <c r="Q111" s="688"/>
      <c r="R111" s="688"/>
      <c r="S111" s="537"/>
      <c r="T111" s="299"/>
      <c r="U111" s="622"/>
      <c r="V111" s="622"/>
      <c r="W111" s="622"/>
      <c r="X111" s="622"/>
      <c r="Y111" s="203" t="s">
        <v>214</v>
      </c>
      <c r="Z111" s="188"/>
      <c r="AA111" s="188">
        <f>ROUNDUP((AB83+AB85+AB86)*12/AA110,0)</f>
        <v>0</v>
      </c>
      <c r="AB111" s="49" t="s">
        <v>215</v>
      </c>
      <c r="AC111" s="2098">
        <f>Pricing!D24</f>
        <v>2</v>
      </c>
      <c r="AD111" s="2098"/>
      <c r="AE111" s="248"/>
      <c r="AF111" s="812">
        <f>IF(AC$63="Y",AA111*AD111,AA111*AD111*(1+AE$63))</f>
        <v>0</v>
      </c>
      <c r="AG111" s="769"/>
      <c r="AH111" s="769"/>
      <c r="AI111" s="769"/>
      <c r="AJ111" s="702">
        <v>35</v>
      </c>
      <c r="AK111" s="702" t="s">
        <v>263</v>
      </c>
      <c r="GA111" s="769"/>
      <c r="GB111" s="769"/>
      <c r="GC111" s="769"/>
      <c r="GD111" s="769"/>
      <c r="GE111" s="769"/>
      <c r="GF111" s="769"/>
      <c r="GG111" s="769"/>
      <c r="GH111" s="769"/>
      <c r="GI111" s="769"/>
      <c r="GJ111" s="769"/>
      <c r="GK111" s="769"/>
      <c r="GL111" s="769"/>
      <c r="GM111" s="769"/>
      <c r="GN111" s="769"/>
      <c r="GO111" s="769"/>
      <c r="GP111" s="769"/>
      <c r="GQ111" s="769"/>
      <c r="GR111" s="769"/>
      <c r="GS111" s="769"/>
      <c r="GT111" s="769"/>
      <c r="GU111" s="769"/>
      <c r="GV111" s="769"/>
      <c r="GW111" s="769"/>
      <c r="GX111" s="769"/>
      <c r="GY111" s="769"/>
      <c r="GZ111" s="769"/>
      <c r="HA111" s="769"/>
      <c r="HB111" s="769"/>
      <c r="HC111" s="769"/>
      <c r="HD111" s="769"/>
      <c r="HE111" s="769"/>
      <c r="HF111" s="769"/>
      <c r="HG111" s="769"/>
      <c r="HH111" s="769"/>
      <c r="HI111" s="769"/>
      <c r="HJ111" s="769"/>
      <c r="HK111" s="769"/>
      <c r="HL111" s="769"/>
      <c r="HM111" s="769"/>
      <c r="HN111" s="769"/>
      <c r="HO111" s="769"/>
      <c r="HP111" s="769"/>
      <c r="HQ111" s="769"/>
      <c r="HR111" s="769"/>
      <c r="HS111" s="769"/>
      <c r="HT111" s="769"/>
      <c r="HU111" s="769"/>
      <c r="HV111" s="769"/>
      <c r="HW111" s="769"/>
      <c r="HX111" s="769"/>
      <c r="HY111" s="769"/>
      <c r="HZ111" s="769"/>
      <c r="IA111" s="769"/>
      <c r="IB111" s="769"/>
      <c r="IC111" s="769"/>
      <c r="ID111" s="769"/>
    </row>
    <row r="112" spans="2:238" s="702" customFormat="1" ht="22" customHeight="1" thickBot="1" x14ac:dyDescent="0.4">
      <c r="B112" s="313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689"/>
      <c r="R112" s="689"/>
      <c r="S112" s="299"/>
      <c r="T112" s="299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328"/>
      <c r="AE112" s="298"/>
      <c r="AF112" s="811">
        <f>SUM(AF72:AF111)</f>
        <v>0</v>
      </c>
      <c r="AG112" s="769"/>
      <c r="AH112" s="769"/>
      <c r="AI112" s="769"/>
      <c r="AJ112" s="702">
        <v>36</v>
      </c>
      <c r="AK112" s="702" t="s">
        <v>745</v>
      </c>
      <c r="GA112" s="769"/>
      <c r="GB112" s="769"/>
      <c r="GC112" s="769"/>
      <c r="GD112" s="769"/>
      <c r="GE112" s="769"/>
      <c r="GF112" s="769"/>
      <c r="GG112" s="769"/>
      <c r="GH112" s="769"/>
      <c r="GI112" s="769"/>
      <c r="GJ112" s="769"/>
      <c r="GK112" s="769"/>
      <c r="GL112" s="769"/>
      <c r="GM112" s="769"/>
      <c r="GN112" s="769"/>
      <c r="GO112" s="769"/>
      <c r="GP112" s="769"/>
      <c r="GQ112" s="769"/>
      <c r="GR112" s="769"/>
      <c r="GS112" s="769"/>
      <c r="GT112" s="769"/>
      <c r="GU112" s="769"/>
      <c r="GV112" s="769"/>
      <c r="GW112" s="769"/>
      <c r="GX112" s="769"/>
      <c r="GY112" s="769"/>
      <c r="GZ112" s="769"/>
      <c r="HA112" s="769"/>
      <c r="HB112" s="769"/>
      <c r="HC112" s="769"/>
      <c r="HD112" s="769"/>
      <c r="HE112" s="769"/>
      <c r="HF112" s="769"/>
      <c r="HG112" s="769"/>
      <c r="HH112" s="769"/>
      <c r="HI112" s="769"/>
      <c r="HJ112" s="769"/>
      <c r="HK112" s="769"/>
      <c r="HL112" s="769"/>
      <c r="HM112" s="769"/>
      <c r="HN112" s="769"/>
      <c r="HO112" s="769"/>
      <c r="HP112" s="769"/>
      <c r="HQ112" s="769"/>
      <c r="HR112" s="769"/>
      <c r="HS112" s="769"/>
      <c r="HT112" s="769"/>
      <c r="HU112" s="769"/>
      <c r="HV112" s="769"/>
      <c r="HW112" s="769"/>
      <c r="HX112" s="769"/>
      <c r="HY112" s="769"/>
      <c r="HZ112" s="769"/>
      <c r="IA112" s="769"/>
      <c r="IB112" s="769"/>
      <c r="IC112" s="769"/>
      <c r="ID112" s="769"/>
    </row>
    <row r="113" spans="1:238" s="702" customFormat="1" ht="24" customHeight="1" x14ac:dyDescent="0.35">
      <c r="B113" s="898"/>
      <c r="C113" s="899"/>
      <c r="D113" s="899"/>
      <c r="E113" s="899"/>
      <c r="F113" s="899"/>
      <c r="G113" s="899"/>
      <c r="H113" s="899"/>
      <c r="I113" s="899"/>
      <c r="J113" s="899"/>
      <c r="K113" s="899"/>
      <c r="L113" s="900"/>
      <c r="M113" s="899"/>
      <c r="N113" s="899"/>
      <c r="O113" s="899"/>
      <c r="P113" s="899"/>
      <c r="Q113" s="899"/>
      <c r="R113" s="899"/>
      <c r="S113" s="1170"/>
      <c r="T113" s="1170"/>
      <c r="U113" s="899"/>
      <c r="V113" s="899"/>
      <c r="W113" s="899"/>
      <c r="X113" s="899"/>
      <c r="Y113" s="899"/>
      <c r="Z113" s="899"/>
      <c r="AA113" s="899"/>
      <c r="AB113" s="899"/>
      <c r="AC113" s="899"/>
      <c r="AD113" s="899"/>
      <c r="AE113" s="899"/>
      <c r="AF113" s="1115"/>
      <c r="AG113" s="769"/>
      <c r="AH113" s="769"/>
      <c r="AI113" s="769"/>
      <c r="AJ113" s="702">
        <v>39</v>
      </c>
      <c r="AK113" s="702" t="s">
        <v>264</v>
      </c>
      <c r="GA113" s="769"/>
      <c r="GB113" s="769"/>
      <c r="GC113" s="769"/>
      <c r="GD113" s="769"/>
      <c r="GE113" s="769"/>
      <c r="GF113" s="769"/>
      <c r="GG113" s="769"/>
      <c r="GH113" s="769"/>
      <c r="GI113" s="769"/>
      <c r="GJ113" s="769"/>
      <c r="GK113" s="769"/>
      <c r="GL113" s="769"/>
      <c r="GM113" s="769"/>
      <c r="GN113" s="769"/>
      <c r="GO113" s="769"/>
      <c r="GP113" s="769"/>
      <c r="GQ113" s="769"/>
      <c r="GR113" s="769"/>
      <c r="GS113" s="769"/>
      <c r="GT113" s="769"/>
      <c r="GU113" s="769"/>
      <c r="GV113" s="769"/>
      <c r="GW113" s="769"/>
      <c r="GX113" s="769"/>
      <c r="GY113" s="769"/>
      <c r="GZ113" s="769"/>
      <c r="HA113" s="769"/>
      <c r="HB113" s="769"/>
      <c r="HC113" s="769"/>
      <c r="HD113" s="769"/>
      <c r="HE113" s="769"/>
      <c r="HF113" s="769"/>
      <c r="HG113" s="769"/>
      <c r="HH113" s="769"/>
      <c r="HI113" s="769"/>
      <c r="HJ113" s="769"/>
      <c r="HK113" s="769"/>
      <c r="HL113" s="769"/>
      <c r="HM113" s="769"/>
      <c r="HN113" s="769"/>
      <c r="HO113" s="769"/>
      <c r="HP113" s="769"/>
      <c r="HQ113" s="769"/>
      <c r="HR113" s="769"/>
      <c r="HS113" s="769"/>
      <c r="HT113" s="769"/>
      <c r="HU113" s="769"/>
      <c r="HV113" s="769"/>
      <c r="HW113" s="769"/>
      <c r="HX113" s="769"/>
      <c r="HY113" s="769"/>
      <c r="HZ113" s="769"/>
      <c r="IA113" s="769"/>
      <c r="IB113" s="769"/>
      <c r="IC113" s="769"/>
      <c r="ID113" s="769"/>
    </row>
    <row r="114" spans="1:238" s="702" customFormat="1" ht="31" hidden="1" x14ac:dyDescent="0.35">
      <c r="B114" s="1987" t="s">
        <v>185</v>
      </c>
      <c r="C114" s="2041"/>
      <c r="D114" s="1988"/>
      <c r="E114" s="1987" t="s">
        <v>140</v>
      </c>
      <c r="F114" s="1988"/>
      <c r="G114" s="1987" t="s">
        <v>178</v>
      </c>
      <c r="H114" s="2041"/>
      <c r="I114" s="1988"/>
      <c r="J114" s="61" t="s">
        <v>184</v>
      </c>
      <c r="K114" s="62"/>
      <c r="L114" s="60"/>
      <c r="M114" s="2044" t="s">
        <v>179</v>
      </c>
      <c r="N114" s="2045"/>
      <c r="O114" s="132"/>
      <c r="P114" s="133"/>
      <c r="Q114" s="1086"/>
      <c r="R114" s="1086"/>
      <c r="S114" s="1116"/>
      <c r="T114" s="1116"/>
      <c r="U114" s="897"/>
      <c r="V114" s="897"/>
      <c r="W114" s="897"/>
      <c r="X114" s="897"/>
      <c r="Y114" s="897"/>
      <c r="Z114" s="39" t="s">
        <v>34</v>
      </c>
      <c r="AA114" s="48"/>
      <c r="AB114" s="48" t="s">
        <v>758</v>
      </c>
      <c r="AC114" s="813" t="str">
        <f>AC63</f>
        <v>n</v>
      </c>
      <c r="AD114" s="286" t="s">
        <v>298</v>
      </c>
      <c r="AE114" s="814">
        <f>AE63</f>
        <v>8.2500000000000004E-2</v>
      </c>
      <c r="AF114" s="1113"/>
      <c r="AG114" s="769"/>
      <c r="AH114" s="769"/>
      <c r="AI114" s="769"/>
      <c r="AJ114" s="702">
        <v>40</v>
      </c>
      <c r="AK114" s="702" t="s">
        <v>222</v>
      </c>
      <c r="AO114" s="704">
        <f>O88</f>
        <v>0</v>
      </c>
      <c r="AP114" s="704"/>
      <c r="GA114" s="769"/>
      <c r="GB114" s="769"/>
      <c r="GC114" s="769"/>
      <c r="GD114" s="769"/>
      <c r="GE114" s="769"/>
      <c r="GF114" s="769"/>
      <c r="GG114" s="769"/>
      <c r="GH114" s="769"/>
      <c r="GI114" s="769"/>
      <c r="GJ114" s="769"/>
      <c r="GK114" s="769"/>
      <c r="GL114" s="769"/>
      <c r="GM114" s="769"/>
      <c r="GN114" s="769"/>
      <c r="GO114" s="769"/>
      <c r="GP114" s="769"/>
      <c r="GQ114" s="769"/>
      <c r="GR114" s="769"/>
      <c r="GS114" s="769"/>
      <c r="GT114" s="769"/>
      <c r="GU114" s="769"/>
      <c r="GV114" s="769"/>
      <c r="GW114" s="769"/>
      <c r="GX114" s="769"/>
      <c r="GY114" s="769"/>
      <c r="GZ114" s="769"/>
      <c r="HA114" s="769"/>
      <c r="HB114" s="769"/>
      <c r="HC114" s="769"/>
      <c r="HD114" s="769"/>
      <c r="HE114" s="769"/>
      <c r="HF114" s="769"/>
      <c r="HG114" s="769"/>
      <c r="HH114" s="769"/>
      <c r="HI114" s="769"/>
      <c r="HJ114" s="769"/>
      <c r="HK114" s="769"/>
      <c r="HL114" s="769"/>
      <c r="HM114" s="769"/>
      <c r="HN114" s="769"/>
      <c r="HO114" s="769"/>
      <c r="HP114" s="769"/>
      <c r="HQ114" s="769"/>
      <c r="HR114" s="769"/>
      <c r="HS114" s="769"/>
      <c r="HT114" s="769"/>
      <c r="HU114" s="769"/>
      <c r="HV114" s="769"/>
      <c r="HW114" s="769"/>
      <c r="HX114" s="769"/>
      <c r="HY114" s="769"/>
      <c r="HZ114" s="769"/>
      <c r="IA114" s="769"/>
      <c r="IB114" s="769"/>
      <c r="IC114" s="769"/>
      <c r="ID114" s="769"/>
    </row>
    <row r="115" spans="1:238" s="702" customFormat="1" ht="16" hidden="1" thickBot="1" x14ac:dyDescent="0.4">
      <c r="B115" s="11" t="s">
        <v>180</v>
      </c>
      <c r="C115" s="1999">
        <f>C64</f>
        <v>0</v>
      </c>
      <c r="D115" s="2000"/>
      <c r="E115" s="2003">
        <f>E64</f>
        <v>0</v>
      </c>
      <c r="F115" s="2004"/>
      <c r="G115" s="15">
        <f>G64</f>
        <v>0</v>
      </c>
      <c r="H115" s="2042">
        <f>H64</f>
        <v>0</v>
      </c>
      <c r="I115" s="2043"/>
      <c r="J115" s="2064">
        <f>J64</f>
        <v>0</v>
      </c>
      <c r="K115" s="2065"/>
      <c r="L115" s="2066"/>
      <c r="M115" s="725">
        <f>M64</f>
        <v>0.18</v>
      </c>
      <c r="N115" s="726"/>
      <c r="O115" s="726"/>
      <c r="P115" s="727"/>
      <c r="Q115" s="1169"/>
      <c r="R115" s="1169"/>
      <c r="S115" s="1116"/>
      <c r="T115" s="1116"/>
      <c r="U115" s="902"/>
      <c r="V115" s="937"/>
      <c r="W115" s="902"/>
      <c r="X115" s="937"/>
      <c r="Y115" s="902"/>
      <c r="Z115" s="156" t="s">
        <v>50</v>
      </c>
      <c r="AA115" s="49"/>
      <c r="AB115" s="49"/>
      <c r="AC115" s="2095">
        <f>AC64</f>
        <v>0</v>
      </c>
      <c r="AD115" s="2095"/>
      <c r="AE115" s="159"/>
      <c r="AF115" s="1113"/>
      <c r="AG115" s="769"/>
      <c r="AH115" s="769"/>
      <c r="AI115" s="769"/>
      <c r="AJ115" s="702">
        <v>41</v>
      </c>
      <c r="AK115" s="702" t="s">
        <v>265</v>
      </c>
      <c r="AO115" s="702">
        <f>O83</f>
        <v>0</v>
      </c>
      <c r="GA115" s="769"/>
      <c r="GB115" s="769"/>
      <c r="GC115" s="769"/>
      <c r="GD115" s="769"/>
      <c r="GE115" s="769"/>
      <c r="GF115" s="769"/>
      <c r="GG115" s="769"/>
      <c r="GH115" s="769"/>
      <c r="GI115" s="769"/>
      <c r="GJ115" s="769"/>
      <c r="GK115" s="769"/>
      <c r="GL115" s="769"/>
      <c r="GM115" s="769"/>
      <c r="GN115" s="769"/>
      <c r="GO115" s="769"/>
      <c r="GP115" s="769"/>
      <c r="GQ115" s="769"/>
      <c r="GR115" s="769"/>
      <c r="GS115" s="769"/>
      <c r="GT115" s="769"/>
      <c r="GU115" s="769"/>
      <c r="GV115" s="769"/>
      <c r="GW115" s="769"/>
      <c r="GX115" s="769"/>
      <c r="GY115" s="769"/>
      <c r="GZ115" s="769"/>
      <c r="HA115" s="769"/>
      <c r="HB115" s="769"/>
      <c r="HC115" s="769"/>
      <c r="HD115" s="769"/>
      <c r="HE115" s="769"/>
      <c r="HF115" s="769"/>
      <c r="HG115" s="769"/>
      <c r="HH115" s="769"/>
      <c r="HI115" s="769"/>
      <c r="HJ115" s="769"/>
      <c r="HK115" s="769"/>
      <c r="HL115" s="769"/>
      <c r="HM115" s="769"/>
      <c r="HN115" s="769"/>
      <c r="HO115" s="769"/>
      <c r="HP115" s="769"/>
      <c r="HQ115" s="769"/>
      <c r="HR115" s="769"/>
      <c r="HS115" s="769"/>
      <c r="HT115" s="769"/>
      <c r="HU115" s="769"/>
      <c r="HV115" s="769"/>
      <c r="HW115" s="769"/>
      <c r="HX115" s="769"/>
      <c r="HY115" s="769"/>
      <c r="HZ115" s="769"/>
      <c r="IA115" s="769"/>
      <c r="IB115" s="769"/>
      <c r="IC115" s="769"/>
      <c r="ID115" s="769"/>
    </row>
    <row r="116" spans="1:238" s="702" customFormat="1" ht="21.75" customHeight="1" x14ac:dyDescent="0.35">
      <c r="B116" s="938"/>
      <c r="C116" s="897"/>
      <c r="D116" s="897"/>
      <c r="E116" s="897"/>
      <c r="F116" s="897"/>
      <c r="G116" s="897"/>
      <c r="H116" s="897"/>
      <c r="I116" s="897"/>
      <c r="J116" s="897"/>
      <c r="K116" s="897"/>
      <c r="L116" s="897"/>
      <c r="M116" s="897"/>
      <c r="N116" s="897"/>
      <c r="O116" s="897"/>
      <c r="P116" s="897"/>
      <c r="Q116" s="897"/>
      <c r="R116" s="897"/>
      <c r="S116" s="1116"/>
      <c r="T116" s="1116"/>
      <c r="U116" s="897"/>
      <c r="V116" s="897"/>
      <c r="W116" s="897"/>
      <c r="X116" s="897"/>
      <c r="Y116" s="897"/>
      <c r="Z116" s="897"/>
      <c r="AA116" s="897"/>
      <c r="AB116" s="897"/>
      <c r="AC116" s="897"/>
      <c r="AD116" s="897"/>
      <c r="AE116" s="897"/>
      <c r="AF116" s="1113"/>
      <c r="AG116" s="769"/>
      <c r="AH116" s="769"/>
      <c r="AI116" s="769"/>
      <c r="AJ116" s="702">
        <v>42</v>
      </c>
      <c r="AK116" s="702" t="s">
        <v>266</v>
      </c>
      <c r="AO116" s="702">
        <f>O84</f>
        <v>0</v>
      </c>
      <c r="GA116" s="769"/>
      <c r="GB116" s="769"/>
      <c r="GC116" s="769"/>
      <c r="GD116" s="769"/>
      <c r="GE116" s="769"/>
      <c r="GF116" s="769"/>
      <c r="GG116" s="769"/>
      <c r="GH116" s="769"/>
      <c r="GI116" s="769"/>
      <c r="GJ116" s="769"/>
      <c r="GK116" s="769"/>
      <c r="GL116" s="769"/>
      <c r="GM116" s="769"/>
      <c r="GN116" s="769"/>
      <c r="GO116" s="769"/>
      <c r="GP116" s="769"/>
      <c r="GQ116" s="769"/>
      <c r="GR116" s="769"/>
      <c r="GS116" s="769"/>
      <c r="GT116" s="769"/>
      <c r="GU116" s="769"/>
      <c r="GV116" s="769"/>
      <c r="GW116" s="769"/>
      <c r="GX116" s="769"/>
      <c r="GY116" s="769"/>
      <c r="GZ116" s="769"/>
      <c r="HA116" s="769"/>
      <c r="HB116" s="769"/>
      <c r="HC116" s="769"/>
      <c r="HD116" s="769"/>
      <c r="HE116" s="769"/>
      <c r="HF116" s="769"/>
      <c r="HG116" s="769"/>
      <c r="HH116" s="769"/>
      <c r="HI116" s="769"/>
      <c r="HJ116" s="769"/>
      <c r="HK116" s="769"/>
      <c r="HL116" s="769"/>
      <c r="HM116" s="769"/>
      <c r="HN116" s="769"/>
      <c r="HO116" s="769"/>
      <c r="HP116" s="769"/>
      <c r="HQ116" s="769"/>
      <c r="HR116" s="769"/>
      <c r="HS116" s="769"/>
      <c r="HT116" s="769"/>
      <c r="HU116" s="769"/>
      <c r="HV116" s="769"/>
      <c r="HW116" s="769"/>
      <c r="HX116" s="769"/>
      <c r="HY116" s="769"/>
      <c r="HZ116" s="769"/>
      <c r="IA116" s="769"/>
      <c r="IB116" s="769"/>
      <c r="IC116" s="769"/>
      <c r="ID116" s="769"/>
    </row>
    <row r="117" spans="1:238" s="769" customFormat="1" ht="15" customHeight="1" x14ac:dyDescent="0.35">
      <c r="AJ117" s="702">
        <v>44</v>
      </c>
      <c r="AK117" s="702" t="s">
        <v>267</v>
      </c>
      <c r="AL117" s="702"/>
      <c r="AM117" s="702"/>
      <c r="AN117" s="702"/>
      <c r="AO117" s="702">
        <f>O85</f>
        <v>0</v>
      </c>
      <c r="AP117" s="702"/>
    </row>
    <row r="118" spans="1:238" customFormat="1" ht="15" hidden="1" customHeight="1" x14ac:dyDescent="0.35">
      <c r="A118" s="769"/>
      <c r="B118" s="769"/>
      <c r="C118" s="769"/>
      <c r="D118" s="769"/>
      <c r="E118" s="769"/>
      <c r="F118" s="769"/>
      <c r="G118" s="769"/>
      <c r="H118" s="769"/>
      <c r="I118" s="769"/>
      <c r="J118" s="769"/>
      <c r="K118" s="769"/>
      <c r="L118" s="769"/>
      <c r="M118" s="769"/>
      <c r="N118" s="769"/>
      <c r="O118" s="769"/>
      <c r="P118" s="769"/>
      <c r="Q118" s="769"/>
      <c r="R118" s="769"/>
      <c r="S118" s="769"/>
      <c r="T118" s="769"/>
      <c r="U118" s="769"/>
      <c r="V118" s="769"/>
      <c r="W118" s="769"/>
      <c r="X118" s="769"/>
      <c r="Y118" s="769"/>
      <c r="Z118" s="769"/>
      <c r="AA118" s="769"/>
      <c r="AB118" s="769"/>
      <c r="AC118" s="769"/>
      <c r="AD118" s="769"/>
      <c r="AE118" s="769"/>
      <c r="AF118" s="769"/>
      <c r="AG118" s="769"/>
      <c r="AJ118" s="298">
        <v>45</v>
      </c>
      <c r="AK118" s="298" t="s">
        <v>268</v>
      </c>
      <c r="AL118" s="298"/>
      <c r="AM118" s="298"/>
      <c r="AN118" s="298"/>
      <c r="AO118" s="298">
        <f>O87</f>
        <v>0</v>
      </c>
      <c r="AP118" s="298"/>
      <c r="BH118" s="594"/>
    </row>
    <row r="119" spans="1:238" ht="15" hidden="1" customHeight="1" x14ac:dyDescent="0.35">
      <c r="B119" s="769"/>
      <c r="C119" s="769"/>
      <c r="D119" s="769"/>
      <c r="E119" s="769"/>
      <c r="F119" s="769"/>
      <c r="G119" s="769"/>
      <c r="H119" s="769"/>
      <c r="I119" s="769"/>
      <c r="J119" s="769"/>
      <c r="K119" s="769"/>
      <c r="L119" s="769"/>
      <c r="M119" s="769"/>
      <c r="N119" s="769"/>
      <c r="O119" s="769"/>
      <c r="P119" s="769"/>
      <c r="Q119" s="769"/>
      <c r="R119" s="769"/>
      <c r="S119" s="769"/>
      <c r="T119" s="769"/>
      <c r="U119" s="769"/>
      <c r="V119" s="769"/>
      <c r="W119" s="769"/>
      <c r="X119" s="769"/>
      <c r="Y119" s="769"/>
      <c r="Z119" s="769"/>
      <c r="AA119" s="769"/>
      <c r="AB119" s="769"/>
      <c r="AC119" s="769"/>
      <c r="AD119" s="769"/>
      <c r="AH119"/>
      <c r="AI119"/>
      <c r="AJ119" s="298">
        <v>46</v>
      </c>
      <c r="AK119" s="298" t="s">
        <v>269</v>
      </c>
      <c r="AL119" s="298"/>
      <c r="AM119" s="298"/>
      <c r="AN119" s="298"/>
      <c r="AO119" s="298">
        <f>O86</f>
        <v>0</v>
      </c>
      <c r="AP119" s="298"/>
    </row>
    <row r="120" spans="1:238" ht="15" hidden="1" customHeight="1" x14ac:dyDescent="0.35">
      <c r="B120" s="769"/>
      <c r="C120" s="769"/>
      <c r="D120" s="769"/>
      <c r="E120" s="769"/>
      <c r="F120" s="769"/>
      <c r="G120" s="769"/>
      <c r="H120" s="769"/>
      <c r="I120" s="769"/>
      <c r="J120" s="769"/>
      <c r="K120" s="769"/>
      <c r="L120" s="769"/>
      <c r="M120" s="769"/>
      <c r="N120" s="769"/>
      <c r="O120" s="769"/>
      <c r="P120" s="769"/>
      <c r="Q120" s="769"/>
      <c r="R120" s="769"/>
      <c r="S120" s="769"/>
      <c r="T120" s="769"/>
      <c r="U120" s="769"/>
      <c r="V120" s="769"/>
      <c r="W120" s="769"/>
      <c r="X120" s="769"/>
      <c r="Y120" s="769"/>
      <c r="Z120" s="769"/>
      <c r="AA120" s="769"/>
      <c r="AB120" s="769"/>
      <c r="AC120" s="769"/>
      <c r="AD120" s="769"/>
      <c r="AH120"/>
      <c r="AI120"/>
      <c r="AJ120"/>
      <c r="AK120"/>
      <c r="AL120"/>
      <c r="AM120"/>
      <c r="AN120"/>
      <c r="AO120"/>
      <c r="AP120"/>
    </row>
    <row r="121" spans="1:238" ht="15" hidden="1" customHeight="1" x14ac:dyDescent="0.35">
      <c r="B121" s="769"/>
      <c r="C121" s="769"/>
      <c r="D121" s="769"/>
      <c r="E121" s="769"/>
      <c r="F121" s="769"/>
      <c r="G121" s="769"/>
      <c r="H121" s="769"/>
      <c r="I121" s="769"/>
      <c r="J121" s="769"/>
      <c r="K121" s="769"/>
      <c r="L121" s="769"/>
      <c r="M121" s="769"/>
      <c r="N121" s="769"/>
      <c r="O121" s="769"/>
      <c r="P121" s="769"/>
      <c r="Q121" s="769"/>
      <c r="R121" s="769"/>
      <c r="S121" s="769"/>
      <c r="T121" s="769"/>
      <c r="U121" s="769"/>
      <c r="V121" s="769"/>
      <c r="W121" s="769"/>
      <c r="X121" s="769"/>
      <c r="Y121" s="769"/>
      <c r="Z121" s="769"/>
      <c r="AA121" s="769"/>
      <c r="AB121" s="769"/>
      <c r="AC121" s="769"/>
      <c r="AD121" s="769"/>
      <c r="AH121"/>
      <c r="AI121"/>
      <c r="AJ121"/>
      <c r="AK121"/>
      <c r="AL121"/>
      <c r="AM121"/>
      <c r="AN121"/>
      <c r="AO121"/>
      <c r="AP121"/>
    </row>
    <row r="122" spans="1:238" ht="15" hidden="1" customHeight="1" x14ac:dyDescent="0.35">
      <c r="B122" s="769"/>
      <c r="C122" s="769"/>
      <c r="D122" s="769"/>
      <c r="E122" s="769"/>
      <c r="F122" s="769"/>
      <c r="G122" s="769"/>
      <c r="H122" s="769"/>
      <c r="I122" s="769"/>
      <c r="J122" s="769"/>
      <c r="K122" s="769"/>
      <c r="L122" s="769"/>
      <c r="M122" s="769"/>
      <c r="N122" s="769"/>
      <c r="O122" s="769"/>
      <c r="P122" s="769"/>
      <c r="Q122" s="769"/>
      <c r="R122" s="769"/>
      <c r="S122" s="769"/>
      <c r="T122" s="769"/>
      <c r="U122" s="769"/>
      <c r="V122" s="769"/>
      <c r="W122" s="769"/>
      <c r="X122" s="769"/>
      <c r="Y122" s="769"/>
      <c r="Z122" s="769"/>
      <c r="AA122" s="769"/>
      <c r="AB122" s="769"/>
      <c r="AC122" s="769"/>
      <c r="AD122" s="769"/>
      <c r="AH122"/>
      <c r="AI122"/>
      <c r="AJ122" s="298">
        <v>49</v>
      </c>
      <c r="AK122" s="298" t="s">
        <v>272</v>
      </c>
      <c r="AL122" s="298"/>
      <c r="AM122" s="298"/>
      <c r="AN122" s="298"/>
      <c r="AO122" s="298"/>
      <c r="AP122" s="298"/>
    </row>
    <row r="123" spans="1:238" ht="15" hidden="1" customHeight="1" x14ac:dyDescent="0.35">
      <c r="B123" s="769"/>
      <c r="C123" s="769"/>
      <c r="D123" s="769"/>
      <c r="E123" s="769"/>
      <c r="F123" s="769"/>
      <c r="G123" s="769"/>
      <c r="H123" s="769"/>
      <c r="I123" s="769"/>
      <c r="J123" s="769"/>
      <c r="K123" s="769"/>
      <c r="L123" s="769"/>
      <c r="M123" s="769"/>
      <c r="N123" s="769"/>
      <c r="O123" s="769"/>
      <c r="P123" s="769"/>
      <c r="Q123" s="769"/>
      <c r="R123" s="769"/>
      <c r="S123" s="769"/>
      <c r="T123" s="769"/>
      <c r="U123" s="769"/>
      <c r="V123" s="769"/>
      <c r="W123" s="769"/>
      <c r="X123" s="769"/>
      <c r="Y123" s="769"/>
      <c r="Z123" s="769"/>
      <c r="AA123" s="769"/>
      <c r="AB123" s="769"/>
      <c r="AC123" s="769"/>
      <c r="AD123" s="769"/>
      <c r="AH123"/>
      <c r="AI123"/>
      <c r="AJ123" s="298">
        <v>50</v>
      </c>
      <c r="AK123" s="298" t="s">
        <v>711</v>
      </c>
      <c r="AL123" s="298"/>
      <c r="AM123" s="298"/>
      <c r="AN123" s="298"/>
      <c r="AO123" s="298"/>
      <c r="AP123" s="298"/>
    </row>
    <row r="124" spans="1:238" ht="15" hidden="1" customHeight="1" x14ac:dyDescent="0.35">
      <c r="B124" s="769"/>
      <c r="C124" s="769"/>
      <c r="D124" s="769"/>
      <c r="E124" s="769"/>
      <c r="F124" s="769"/>
      <c r="G124" s="769"/>
      <c r="H124" s="769"/>
      <c r="I124" s="769"/>
      <c r="J124" s="769"/>
      <c r="K124" s="769"/>
      <c r="L124" s="769"/>
      <c r="M124" s="769"/>
      <c r="N124" s="769"/>
      <c r="O124" s="769"/>
      <c r="P124" s="769"/>
      <c r="Q124" s="769"/>
      <c r="R124" s="769"/>
      <c r="S124" s="769"/>
      <c r="T124" s="769"/>
      <c r="U124" s="769"/>
      <c r="V124" s="769"/>
      <c r="W124" s="769"/>
      <c r="X124" s="769"/>
      <c r="Y124" s="769"/>
      <c r="Z124" s="769"/>
      <c r="AA124" s="769"/>
      <c r="AB124" s="769"/>
      <c r="AC124" s="769"/>
      <c r="AD124" s="769"/>
      <c r="AH124"/>
      <c r="AI124"/>
      <c r="AJ124" s="298">
        <v>51</v>
      </c>
      <c r="AK124" s="298" t="s">
        <v>714</v>
      </c>
      <c r="AL124" s="298"/>
      <c r="AM124" s="298"/>
      <c r="AN124" s="298"/>
      <c r="AO124" s="298"/>
      <c r="AP124" s="298"/>
    </row>
    <row r="125" spans="1:238" ht="15" hidden="1" customHeight="1" x14ac:dyDescent="0.35">
      <c r="B125" s="769"/>
      <c r="C125" s="769"/>
      <c r="D125" s="769"/>
      <c r="E125" s="769"/>
      <c r="F125" s="769"/>
      <c r="G125" s="769"/>
      <c r="H125" s="769"/>
      <c r="I125" s="769"/>
      <c r="J125" s="769"/>
      <c r="K125" s="769"/>
      <c r="L125" s="769"/>
      <c r="M125" s="769"/>
      <c r="N125" s="769"/>
      <c r="O125" s="769"/>
      <c r="P125" s="769"/>
      <c r="Q125" s="769"/>
      <c r="R125" s="769"/>
      <c r="S125" s="769"/>
      <c r="T125" s="769"/>
      <c r="U125" s="769"/>
      <c r="V125" s="769"/>
      <c r="W125" s="769"/>
      <c r="X125" s="769"/>
      <c r="Y125" s="769"/>
      <c r="Z125" s="769"/>
      <c r="AA125" s="769"/>
      <c r="AB125" s="769"/>
      <c r="AC125" s="769"/>
      <c r="AD125" s="769"/>
      <c r="AH125"/>
      <c r="AI125"/>
      <c r="AJ125" s="298">
        <v>52</v>
      </c>
      <c r="AK125" s="298" t="s">
        <v>273</v>
      </c>
      <c r="AL125" s="298"/>
      <c r="AM125" s="298"/>
      <c r="AN125" s="298"/>
      <c r="AO125" s="298"/>
      <c r="AP125" s="298"/>
    </row>
    <row r="126" spans="1:238" ht="15" hidden="1" customHeight="1" x14ac:dyDescent="0.35">
      <c r="B126" s="769"/>
      <c r="C126" s="769"/>
      <c r="D126" s="769"/>
      <c r="E126" s="769"/>
      <c r="F126" s="769"/>
      <c r="G126" s="769"/>
      <c r="H126" s="769"/>
      <c r="I126" s="769"/>
      <c r="J126" s="769"/>
      <c r="K126" s="769"/>
      <c r="L126" s="769"/>
      <c r="M126" s="769"/>
      <c r="N126" s="769"/>
      <c r="O126" s="769"/>
      <c r="P126" s="769"/>
      <c r="Q126" s="769"/>
      <c r="R126" s="769"/>
      <c r="S126" s="769"/>
      <c r="T126" s="769"/>
      <c r="U126" s="769"/>
      <c r="V126" s="769"/>
      <c r="W126" s="769"/>
      <c r="X126" s="769"/>
      <c r="Y126" s="769"/>
      <c r="Z126" s="769"/>
      <c r="AA126" s="769"/>
      <c r="AB126" s="769"/>
      <c r="AC126" s="769"/>
      <c r="AD126" s="769"/>
      <c r="AH126"/>
      <c r="AI126"/>
      <c r="AJ126" s="298">
        <v>53</v>
      </c>
      <c r="AK126" s="298" t="s">
        <v>274</v>
      </c>
      <c r="AL126" s="298"/>
      <c r="AM126" s="298"/>
      <c r="AN126" s="298"/>
      <c r="AO126" s="298"/>
      <c r="AP126" s="298"/>
    </row>
    <row r="127" spans="1:238" ht="15" hidden="1" customHeight="1" x14ac:dyDescent="0.35">
      <c r="B127" s="769"/>
      <c r="C127" s="769"/>
      <c r="D127" s="769"/>
      <c r="E127" s="769"/>
      <c r="F127" s="769"/>
      <c r="G127" s="769"/>
      <c r="H127" s="769"/>
      <c r="I127" s="769"/>
      <c r="J127" s="769"/>
      <c r="K127" s="769"/>
      <c r="L127" s="769"/>
      <c r="M127" s="769"/>
      <c r="N127" s="769"/>
      <c r="O127" s="769"/>
      <c r="P127" s="769"/>
      <c r="Q127" s="769"/>
      <c r="R127" s="769"/>
      <c r="S127" s="769"/>
      <c r="T127" s="769"/>
      <c r="U127" s="769"/>
      <c r="V127" s="769"/>
      <c r="W127" s="769"/>
      <c r="X127" s="769"/>
      <c r="Y127" s="769"/>
      <c r="Z127" s="769"/>
      <c r="AA127" s="769"/>
      <c r="AB127" s="769"/>
      <c r="AC127" s="769"/>
      <c r="AD127" s="769"/>
      <c r="AH127"/>
      <c r="AI127"/>
      <c r="AJ127" s="298">
        <v>54</v>
      </c>
      <c r="AK127" s="298" t="s">
        <v>275</v>
      </c>
      <c r="AL127" s="298"/>
      <c r="AM127" s="298"/>
      <c r="AN127" s="298"/>
      <c r="AO127" s="298"/>
      <c r="AP127" s="298"/>
    </row>
    <row r="128" spans="1:238" ht="15" hidden="1" customHeight="1" x14ac:dyDescent="0.35">
      <c r="B128" s="769"/>
      <c r="C128" s="769"/>
      <c r="D128" s="769"/>
      <c r="E128" s="769"/>
      <c r="F128" s="769"/>
      <c r="G128" s="769"/>
      <c r="H128" s="769"/>
      <c r="I128" s="769"/>
      <c r="J128" s="769"/>
      <c r="K128" s="769"/>
      <c r="L128" s="769"/>
      <c r="M128" s="769"/>
      <c r="N128" s="769"/>
      <c r="O128" s="769"/>
      <c r="P128" s="769"/>
      <c r="Q128" s="769"/>
      <c r="R128" s="769"/>
      <c r="S128" s="769"/>
      <c r="T128" s="769"/>
      <c r="U128" s="769"/>
      <c r="V128" s="769"/>
      <c r="W128" s="769"/>
      <c r="X128" s="769"/>
      <c r="Y128" s="769"/>
      <c r="Z128" s="769"/>
      <c r="AA128" s="769"/>
      <c r="AB128" s="769"/>
      <c r="AC128" s="769"/>
      <c r="AD128" s="769"/>
      <c r="AH128"/>
      <c r="AI128"/>
      <c r="AJ128" s="298">
        <v>55</v>
      </c>
      <c r="AK128" s="298" t="s">
        <v>276</v>
      </c>
      <c r="AL128" s="298"/>
      <c r="AM128" s="298"/>
      <c r="AN128" s="298"/>
      <c r="AO128" s="298"/>
      <c r="AP128" s="298"/>
    </row>
    <row r="129" spans="2:42" ht="15" hidden="1" customHeight="1" x14ac:dyDescent="0.35">
      <c r="B129" s="769"/>
      <c r="C129" s="769"/>
      <c r="D129" s="769"/>
      <c r="E129" s="769"/>
      <c r="F129" s="769"/>
      <c r="G129" s="769"/>
      <c r="H129" s="769"/>
      <c r="I129" s="769"/>
      <c r="J129" s="769"/>
      <c r="K129" s="769"/>
      <c r="L129" s="769"/>
      <c r="M129" s="769"/>
      <c r="N129" s="769"/>
      <c r="O129" s="769"/>
      <c r="P129" s="769"/>
      <c r="Q129" s="769"/>
      <c r="R129" s="769"/>
      <c r="S129" s="769"/>
      <c r="T129" s="769"/>
      <c r="U129" s="769"/>
      <c r="V129" s="769"/>
      <c r="W129" s="769"/>
      <c r="X129" s="769"/>
      <c r="Y129" s="769"/>
      <c r="Z129" s="769"/>
      <c r="AA129" s="769"/>
      <c r="AB129" s="769"/>
      <c r="AC129" s="769"/>
      <c r="AD129" s="769"/>
      <c r="AH129"/>
      <c r="AI129"/>
      <c r="AJ129" s="298">
        <v>56</v>
      </c>
      <c r="AK129" s="298" t="s">
        <v>277</v>
      </c>
      <c r="AL129" s="298"/>
      <c r="AM129" s="298"/>
      <c r="AN129" s="298"/>
      <c r="AO129" s="298"/>
      <c r="AP129" s="298"/>
    </row>
    <row r="130" spans="2:42" ht="15" hidden="1" customHeight="1" x14ac:dyDescent="0.35">
      <c r="B130" s="769"/>
      <c r="C130" s="769"/>
      <c r="D130" s="769"/>
      <c r="E130" s="769"/>
      <c r="F130" s="769"/>
      <c r="G130" s="769"/>
      <c r="H130" s="769"/>
      <c r="I130" s="769"/>
      <c r="J130" s="769"/>
      <c r="K130" s="769"/>
      <c r="L130" s="769"/>
      <c r="M130" s="769"/>
      <c r="N130" s="769"/>
      <c r="O130" s="769"/>
      <c r="P130" s="769"/>
      <c r="Q130" s="769"/>
      <c r="R130" s="769"/>
      <c r="S130" s="769"/>
      <c r="T130" s="769"/>
      <c r="U130" s="769"/>
      <c r="V130" s="769"/>
      <c r="W130" s="769"/>
      <c r="X130" s="769"/>
      <c r="Y130" s="769"/>
      <c r="Z130" s="769"/>
      <c r="AA130" s="769"/>
      <c r="AB130" s="769"/>
      <c r="AC130" s="769"/>
      <c r="AD130" s="769"/>
      <c r="AH130"/>
      <c r="AI130"/>
      <c r="AJ130" s="298">
        <v>57</v>
      </c>
      <c r="AK130" s="298" t="s">
        <v>278</v>
      </c>
      <c r="AL130" s="298"/>
      <c r="AM130" s="298"/>
      <c r="AN130" s="298"/>
      <c r="AO130" s="298"/>
      <c r="AP130" s="298"/>
    </row>
    <row r="131" spans="2:42" ht="15" hidden="1" customHeight="1" x14ac:dyDescent="0.35">
      <c r="B131" s="769"/>
      <c r="C131" s="769"/>
      <c r="D131" s="769"/>
      <c r="E131" s="769"/>
      <c r="F131" s="769"/>
      <c r="G131" s="769"/>
      <c r="H131" s="769"/>
      <c r="I131" s="769"/>
      <c r="J131" s="769"/>
      <c r="K131" s="769"/>
      <c r="L131" s="769"/>
      <c r="M131" s="769"/>
      <c r="N131" s="769"/>
      <c r="O131" s="769"/>
      <c r="P131" s="769"/>
      <c r="Q131" s="769"/>
      <c r="R131" s="769"/>
      <c r="S131" s="769"/>
      <c r="T131" s="769"/>
      <c r="U131" s="769"/>
      <c r="V131" s="769"/>
      <c r="W131" s="769"/>
      <c r="X131" s="769"/>
      <c r="Y131" s="769"/>
      <c r="Z131" s="769"/>
      <c r="AA131" s="769"/>
      <c r="AB131" s="769"/>
      <c r="AC131" s="769"/>
      <c r="AD131" s="769"/>
      <c r="AH131"/>
      <c r="AI131"/>
      <c r="AJ131" s="298">
        <v>58</v>
      </c>
      <c r="AK131" s="298" t="s">
        <v>279</v>
      </c>
      <c r="AL131" s="298"/>
      <c r="AM131" s="298"/>
      <c r="AN131" s="298"/>
      <c r="AO131" s="303">
        <f>O111</f>
        <v>0</v>
      </c>
      <c r="AP131" s="303"/>
    </row>
    <row r="132" spans="2:42" ht="15" hidden="1" customHeight="1" x14ac:dyDescent="0.35">
      <c r="B132" s="769"/>
      <c r="C132" s="769"/>
      <c r="D132" s="769"/>
      <c r="E132" s="769"/>
      <c r="F132" s="769"/>
      <c r="G132" s="769"/>
      <c r="H132" s="769"/>
      <c r="I132" s="769"/>
      <c r="J132" s="769"/>
      <c r="K132" s="769"/>
      <c r="L132" s="769"/>
      <c r="M132" s="769"/>
      <c r="N132" s="769"/>
      <c r="O132" s="769"/>
      <c r="P132" s="769"/>
      <c r="Q132" s="769"/>
      <c r="R132" s="769"/>
      <c r="S132" s="769"/>
      <c r="T132" s="769"/>
      <c r="U132" s="769"/>
      <c r="V132" s="769"/>
      <c r="W132" s="769"/>
      <c r="X132" s="769"/>
      <c r="Y132" s="769"/>
      <c r="Z132" s="769"/>
      <c r="AA132" s="769"/>
      <c r="AB132" s="769"/>
      <c r="AC132" s="769"/>
      <c r="AD132" s="769"/>
      <c r="AH132"/>
      <c r="AI132"/>
      <c r="AJ132" s="298">
        <v>59</v>
      </c>
      <c r="AK132" s="298" t="s">
        <v>280</v>
      </c>
      <c r="AL132" s="298"/>
      <c r="AM132" s="298"/>
      <c r="AN132" s="298"/>
      <c r="AO132" s="298">
        <f>O89</f>
        <v>0</v>
      </c>
      <c r="AP132" s="298"/>
    </row>
    <row r="133" spans="2:42" ht="15" hidden="1" customHeight="1" x14ac:dyDescent="0.35">
      <c r="B133" s="769"/>
      <c r="C133" s="769"/>
      <c r="D133" s="769"/>
      <c r="E133" s="769"/>
      <c r="F133" s="769"/>
      <c r="G133" s="769"/>
      <c r="H133" s="769"/>
      <c r="I133" s="769"/>
      <c r="J133" s="769"/>
      <c r="K133" s="769"/>
      <c r="L133" s="769"/>
      <c r="M133" s="769"/>
      <c r="N133" s="769"/>
      <c r="O133" s="769"/>
      <c r="P133" s="769"/>
      <c r="Q133" s="769"/>
      <c r="R133" s="769"/>
      <c r="S133" s="769"/>
      <c r="T133" s="769"/>
      <c r="U133" s="769"/>
      <c r="V133" s="769"/>
      <c r="W133" s="769"/>
      <c r="X133" s="769"/>
      <c r="Y133" s="769"/>
      <c r="Z133" s="769"/>
      <c r="AA133" s="769"/>
      <c r="AB133" s="769"/>
      <c r="AC133" s="769"/>
      <c r="AD133" s="769"/>
      <c r="AH133"/>
      <c r="AI133"/>
      <c r="AJ133" s="298">
        <v>60</v>
      </c>
      <c r="AK133" s="298" t="s">
        <v>281</v>
      </c>
      <c r="AL133" s="298"/>
      <c r="AM133" s="298"/>
      <c r="AN133" s="298"/>
      <c r="AO133" s="303">
        <f>SUM(O98:P102)</f>
        <v>0</v>
      </c>
      <c r="AP133" s="303"/>
    </row>
    <row r="134" spans="2:42" ht="15" hidden="1" customHeight="1" x14ac:dyDescent="0.35">
      <c r="B134" s="769"/>
      <c r="C134" s="769"/>
      <c r="D134" s="769"/>
      <c r="E134" s="769"/>
      <c r="F134" s="769"/>
      <c r="G134" s="769"/>
      <c r="H134" s="769"/>
      <c r="I134" s="769"/>
      <c r="J134" s="769"/>
      <c r="K134" s="769"/>
      <c r="L134" s="769"/>
      <c r="M134" s="769"/>
      <c r="N134" s="769"/>
      <c r="O134" s="769"/>
      <c r="P134" s="769"/>
      <c r="Q134" s="769"/>
      <c r="R134" s="769"/>
      <c r="S134" s="769"/>
      <c r="T134" s="769"/>
      <c r="U134" s="769"/>
      <c r="V134" s="769"/>
      <c r="W134" s="769"/>
      <c r="X134" s="769"/>
      <c r="Y134" s="769"/>
      <c r="Z134" s="769"/>
      <c r="AA134" s="769"/>
      <c r="AB134" s="769"/>
      <c r="AC134" s="769"/>
      <c r="AD134" s="769"/>
      <c r="AH134"/>
      <c r="AI134"/>
      <c r="AJ134" s="298">
        <v>65</v>
      </c>
      <c r="AK134" s="298" t="s">
        <v>282</v>
      </c>
      <c r="AL134" s="298"/>
      <c r="AM134" s="298"/>
      <c r="AN134" s="298"/>
      <c r="AO134" s="298">
        <f>O103</f>
        <v>0</v>
      </c>
      <c r="AP134" s="298"/>
    </row>
    <row r="135" spans="2:42" ht="15" hidden="1" customHeight="1" x14ac:dyDescent="0.35">
      <c r="B135" s="769"/>
      <c r="C135" s="769"/>
      <c r="D135" s="769"/>
      <c r="E135" s="769"/>
      <c r="F135" s="769"/>
      <c r="G135" s="769"/>
      <c r="H135" s="769"/>
      <c r="I135" s="769"/>
      <c r="J135" s="769"/>
      <c r="K135" s="769"/>
      <c r="L135" s="769"/>
      <c r="M135" s="769"/>
      <c r="N135" s="769"/>
      <c r="O135" s="769"/>
      <c r="P135" s="769"/>
      <c r="Q135" s="769"/>
      <c r="R135" s="769"/>
      <c r="S135" s="769"/>
      <c r="T135" s="769"/>
      <c r="U135" s="769"/>
      <c r="V135" s="769"/>
      <c r="W135" s="769"/>
      <c r="X135" s="769"/>
      <c r="Y135" s="769"/>
      <c r="Z135" s="769"/>
      <c r="AA135" s="769"/>
      <c r="AB135" s="769"/>
      <c r="AC135" s="769"/>
      <c r="AD135" s="769"/>
      <c r="AH135"/>
      <c r="AI135"/>
      <c r="AJ135" s="298">
        <v>99</v>
      </c>
      <c r="AK135" s="298" t="s">
        <v>893</v>
      </c>
      <c r="AL135" s="298"/>
      <c r="AM135" s="298"/>
      <c r="AN135" s="298"/>
      <c r="AO135" s="344">
        <f>AF99</f>
        <v>0</v>
      </c>
      <c r="AP135" s="344"/>
    </row>
    <row r="136" spans="2:42" ht="15" hidden="1" customHeight="1" x14ac:dyDescent="0.35">
      <c r="B136" s="769"/>
      <c r="C136" s="769"/>
      <c r="D136" s="769"/>
      <c r="E136" s="769"/>
      <c r="F136" s="769"/>
      <c r="G136" s="769"/>
      <c r="H136" s="769"/>
      <c r="I136" s="769"/>
      <c r="J136" s="769"/>
      <c r="K136" s="769"/>
      <c r="L136" s="769"/>
      <c r="M136" s="769"/>
      <c r="N136" s="769"/>
      <c r="O136" s="769"/>
      <c r="P136" s="769"/>
      <c r="Q136" s="769"/>
      <c r="R136" s="769"/>
      <c r="S136" s="769"/>
      <c r="T136" s="769"/>
      <c r="U136" s="769"/>
      <c r="V136" s="769"/>
      <c r="W136" s="769"/>
      <c r="X136" s="769"/>
      <c r="Y136" s="769"/>
      <c r="Z136" s="769"/>
      <c r="AA136" s="769"/>
      <c r="AB136" s="769"/>
      <c r="AC136" s="769"/>
      <c r="AD136" s="769"/>
      <c r="AH136"/>
      <c r="AI136"/>
      <c r="AJ136" s="298"/>
      <c r="AK136" s="298"/>
      <c r="AL136" s="298"/>
      <c r="AM136" s="298"/>
      <c r="AN136" s="298"/>
      <c r="AO136" s="298"/>
      <c r="AP136" s="298"/>
    </row>
    <row r="137" spans="2:42" hidden="1" x14ac:dyDescent="0.35">
      <c r="B137" s="769"/>
      <c r="C137" s="769"/>
      <c r="D137" s="769"/>
      <c r="E137" s="769"/>
      <c r="F137" s="769"/>
      <c r="G137" s="769"/>
      <c r="H137" s="769"/>
      <c r="I137" s="769"/>
      <c r="J137" s="769"/>
      <c r="K137" s="769"/>
      <c r="L137" s="769"/>
      <c r="M137" s="769"/>
      <c r="N137" s="769"/>
      <c r="O137" s="769"/>
      <c r="P137" s="769"/>
      <c r="Q137" s="769"/>
      <c r="R137" s="769"/>
      <c r="S137" s="769"/>
      <c r="T137" s="769"/>
      <c r="U137" s="769"/>
      <c r="V137" s="769"/>
      <c r="W137" s="769"/>
      <c r="X137" s="769"/>
      <c r="Y137" s="769"/>
      <c r="Z137" s="769"/>
      <c r="AA137" s="769"/>
      <c r="AB137" s="769"/>
      <c r="AC137" s="769"/>
      <c r="AD137" s="769"/>
      <c r="AH137"/>
      <c r="AI137"/>
      <c r="AJ137" s="298"/>
      <c r="AK137" s="298"/>
      <c r="AL137" s="298"/>
      <c r="AM137" s="298"/>
      <c r="AN137" s="298"/>
      <c r="AO137" s="298"/>
      <c r="AP137" s="298"/>
    </row>
    <row r="138" spans="2:42" hidden="1" x14ac:dyDescent="0.35">
      <c r="B138" s="769"/>
      <c r="C138" s="769"/>
      <c r="D138" s="769"/>
      <c r="E138" s="769"/>
      <c r="F138" s="769"/>
      <c r="G138" s="769"/>
      <c r="H138" s="769"/>
      <c r="I138" s="769"/>
      <c r="J138" s="769"/>
      <c r="K138" s="769"/>
      <c r="L138" s="769"/>
      <c r="M138" s="769"/>
      <c r="N138" s="769"/>
      <c r="O138" s="769"/>
      <c r="P138" s="769"/>
      <c r="Q138" s="769"/>
      <c r="R138" s="769"/>
      <c r="S138" s="769"/>
      <c r="T138" s="769"/>
      <c r="U138" s="769"/>
      <c r="V138" s="769"/>
      <c r="W138" s="769"/>
      <c r="X138" s="769"/>
      <c r="Y138" s="769"/>
      <c r="Z138" s="769"/>
      <c r="AA138" s="769"/>
      <c r="AB138" s="769"/>
      <c r="AC138" s="769"/>
      <c r="AD138" s="769"/>
      <c r="AH138"/>
      <c r="AI138"/>
      <c r="AJ138" s="298"/>
      <c r="AK138" s="298"/>
      <c r="AL138" s="298"/>
      <c r="AM138" s="298"/>
      <c r="AN138" s="298"/>
      <c r="AO138" s="298"/>
      <c r="AP138" s="298"/>
    </row>
    <row r="139" spans="2:42" hidden="1" x14ac:dyDescent="0.35">
      <c r="B139" s="769"/>
      <c r="C139" s="769"/>
      <c r="D139" s="769"/>
      <c r="E139" s="769"/>
      <c r="F139" s="769"/>
      <c r="G139" s="769"/>
      <c r="H139" s="769"/>
      <c r="I139" s="769"/>
      <c r="J139" s="769"/>
      <c r="K139" s="769"/>
      <c r="L139" s="769"/>
      <c r="M139" s="769"/>
      <c r="N139" s="769"/>
      <c r="O139" s="769"/>
      <c r="P139" s="769"/>
      <c r="Q139" s="769"/>
      <c r="R139" s="769"/>
      <c r="S139" s="769"/>
      <c r="T139" s="769"/>
      <c r="U139" s="769"/>
      <c r="V139" s="769"/>
      <c r="W139" s="769"/>
      <c r="X139" s="769"/>
      <c r="Y139" s="769"/>
      <c r="Z139" s="769"/>
      <c r="AA139" s="769"/>
      <c r="AB139" s="769"/>
      <c r="AC139" s="769"/>
      <c r="AD139" s="769"/>
      <c r="AH139"/>
      <c r="AI139"/>
      <c r="AJ139" s="298"/>
      <c r="AK139" s="298"/>
      <c r="AL139" s="298"/>
      <c r="AM139" s="298"/>
      <c r="AN139" s="298"/>
      <c r="AO139" s="298">
        <f>SUM(AO81:AO134)</f>
        <v>0</v>
      </c>
      <c r="AP139" s="298"/>
    </row>
    <row r="140" spans="2:42" hidden="1" x14ac:dyDescent="0.35">
      <c r="B140" s="769"/>
      <c r="C140" s="769"/>
      <c r="D140" s="769"/>
      <c r="E140" s="769"/>
      <c r="F140" s="769"/>
      <c r="G140" s="769"/>
      <c r="H140" s="769"/>
      <c r="I140" s="769"/>
      <c r="J140" s="769"/>
      <c r="K140" s="769"/>
      <c r="L140" s="769"/>
      <c r="M140" s="769"/>
      <c r="N140" s="769"/>
      <c r="O140" s="769"/>
      <c r="P140" s="769"/>
      <c r="Q140" s="769"/>
      <c r="R140" s="769"/>
      <c r="S140" s="769"/>
      <c r="T140" s="769"/>
      <c r="U140" s="769"/>
      <c r="V140" s="769"/>
      <c r="W140" s="769"/>
      <c r="X140" s="769"/>
      <c r="Y140" s="769"/>
      <c r="Z140" s="769"/>
      <c r="AA140" s="769"/>
      <c r="AB140" s="769"/>
      <c r="AC140" s="769"/>
      <c r="AD140" s="769"/>
      <c r="AH140"/>
      <c r="AI140"/>
    </row>
    <row r="141" spans="2:42" hidden="1" x14ac:dyDescent="0.35">
      <c r="B141" s="769"/>
      <c r="C141" s="769"/>
      <c r="D141" s="769"/>
      <c r="E141" s="769"/>
      <c r="F141" s="769"/>
      <c r="G141" s="769"/>
      <c r="H141" s="769"/>
      <c r="I141" s="769"/>
      <c r="J141" s="769"/>
      <c r="K141" s="769"/>
      <c r="L141" s="769"/>
      <c r="M141" s="769"/>
      <c r="N141" s="769"/>
      <c r="O141" s="769"/>
      <c r="P141" s="769"/>
      <c r="Q141" s="769"/>
      <c r="R141" s="769"/>
      <c r="S141" s="769"/>
      <c r="T141" s="769"/>
      <c r="U141" s="769"/>
      <c r="V141" s="769"/>
      <c r="W141" s="769"/>
      <c r="X141" s="769"/>
      <c r="Y141" s="769"/>
      <c r="Z141" s="769"/>
      <c r="AA141" s="769"/>
      <c r="AB141" s="769"/>
      <c r="AC141" s="769"/>
      <c r="AD141" s="769"/>
      <c r="AH141"/>
      <c r="AI141"/>
    </row>
    <row r="142" spans="2:42" hidden="1" x14ac:dyDescent="0.35">
      <c r="B142" s="769"/>
      <c r="C142" s="769"/>
      <c r="D142" s="769"/>
      <c r="E142" s="769"/>
      <c r="F142" s="769"/>
      <c r="G142" s="769"/>
      <c r="H142" s="769"/>
      <c r="I142" s="769"/>
      <c r="J142" s="769"/>
      <c r="K142" s="769"/>
      <c r="L142" s="769"/>
      <c r="M142" s="769"/>
      <c r="N142" s="769"/>
      <c r="O142" s="769"/>
      <c r="P142" s="769"/>
      <c r="Q142" s="769"/>
      <c r="R142" s="769"/>
      <c r="S142" s="769"/>
      <c r="T142" s="769"/>
      <c r="U142" s="769"/>
      <c r="V142" s="769"/>
      <c r="W142" s="769"/>
      <c r="X142" s="769"/>
      <c r="Y142" s="769"/>
      <c r="Z142" s="769"/>
      <c r="AA142" s="769"/>
      <c r="AB142" s="769"/>
      <c r="AC142" s="769"/>
      <c r="AD142" s="769"/>
      <c r="AH142"/>
      <c r="AI142"/>
    </row>
    <row r="143" spans="2:42" hidden="1" x14ac:dyDescent="0.35">
      <c r="B143" s="769"/>
      <c r="C143" s="769"/>
      <c r="D143" s="769"/>
      <c r="E143" s="769"/>
      <c r="F143" s="769"/>
      <c r="G143" s="769"/>
      <c r="H143" s="769"/>
      <c r="I143" s="769"/>
      <c r="J143" s="769"/>
      <c r="K143" s="769"/>
      <c r="L143" s="769"/>
      <c r="M143" s="769"/>
      <c r="N143" s="769"/>
      <c r="O143" s="769"/>
      <c r="P143" s="769"/>
      <c r="Q143" s="769"/>
      <c r="R143" s="769"/>
      <c r="S143" s="769"/>
      <c r="T143" s="769"/>
      <c r="U143" s="769"/>
      <c r="V143" s="769"/>
      <c r="W143" s="769"/>
      <c r="X143" s="769"/>
      <c r="Y143" s="769"/>
      <c r="Z143" s="769"/>
      <c r="AA143" s="769"/>
      <c r="AB143" s="769"/>
      <c r="AC143" s="769"/>
      <c r="AD143" s="769"/>
      <c r="AH143"/>
      <c r="AI143"/>
    </row>
    <row r="144" spans="2:42" hidden="1" x14ac:dyDescent="0.35">
      <c r="B144" s="769"/>
      <c r="C144" s="769"/>
      <c r="D144" s="769"/>
      <c r="E144" s="769"/>
      <c r="F144" s="769"/>
      <c r="G144" s="769"/>
      <c r="H144" s="769"/>
      <c r="I144" s="769"/>
      <c r="J144" s="769"/>
      <c r="K144" s="769"/>
      <c r="L144" s="769"/>
      <c r="M144" s="769"/>
      <c r="N144" s="769"/>
      <c r="O144" s="769"/>
      <c r="P144" s="769"/>
      <c r="Q144" s="769"/>
      <c r="R144" s="769"/>
      <c r="S144" s="769"/>
      <c r="T144" s="769"/>
      <c r="U144" s="769"/>
      <c r="V144" s="769"/>
      <c r="W144" s="769"/>
      <c r="X144" s="769"/>
      <c r="Y144" s="769"/>
      <c r="Z144" s="769"/>
      <c r="AA144" s="769"/>
      <c r="AB144" s="769"/>
      <c r="AC144" s="769"/>
      <c r="AD144" s="769"/>
      <c r="AH144"/>
      <c r="AI144"/>
    </row>
    <row r="145" spans="2:35" hidden="1" x14ac:dyDescent="0.35">
      <c r="B145" s="769"/>
      <c r="C145" s="769"/>
      <c r="D145" s="769"/>
      <c r="E145" s="769"/>
      <c r="F145" s="769"/>
      <c r="G145" s="769"/>
      <c r="H145" s="769"/>
      <c r="I145" s="769"/>
      <c r="J145" s="769"/>
      <c r="K145" s="769"/>
      <c r="L145" s="769"/>
      <c r="M145" s="769"/>
      <c r="N145" s="769"/>
      <c r="O145" s="769"/>
      <c r="P145" s="769"/>
      <c r="Q145" s="769"/>
      <c r="R145" s="769"/>
      <c r="S145" s="769"/>
      <c r="T145" s="769"/>
      <c r="U145" s="769"/>
      <c r="V145" s="769"/>
      <c r="W145" s="769"/>
      <c r="X145" s="769"/>
      <c r="Y145" s="769"/>
      <c r="Z145" s="769"/>
      <c r="AA145" s="769"/>
      <c r="AB145" s="769"/>
      <c r="AC145" s="769"/>
      <c r="AD145" s="769"/>
      <c r="AH145"/>
      <c r="AI145"/>
    </row>
    <row r="146" spans="2:35" hidden="1" x14ac:dyDescent="0.35">
      <c r="B146" s="769"/>
      <c r="C146" s="769"/>
      <c r="D146" s="769"/>
      <c r="E146" s="769"/>
      <c r="F146" s="769"/>
      <c r="G146" s="769"/>
      <c r="H146" s="769"/>
      <c r="I146" s="769"/>
      <c r="J146" s="769"/>
      <c r="K146" s="769"/>
      <c r="L146" s="769"/>
      <c r="M146" s="769"/>
      <c r="N146" s="769"/>
      <c r="O146" s="769"/>
      <c r="P146" s="769"/>
      <c r="Q146" s="769"/>
      <c r="R146" s="769"/>
      <c r="S146" s="769"/>
      <c r="T146" s="769"/>
      <c r="U146" s="769"/>
      <c r="V146" s="769"/>
      <c r="W146" s="769"/>
      <c r="X146" s="769"/>
      <c r="Y146" s="769"/>
      <c r="Z146" s="769"/>
      <c r="AA146" s="769"/>
      <c r="AB146" s="769"/>
      <c r="AC146" s="769"/>
      <c r="AD146" s="769"/>
      <c r="AH146"/>
      <c r="AI146"/>
    </row>
    <row r="147" spans="2:35" hidden="1" x14ac:dyDescent="0.35">
      <c r="B147" s="769"/>
      <c r="C147" s="769"/>
      <c r="D147" s="769"/>
      <c r="E147" s="769"/>
      <c r="F147" s="769"/>
      <c r="G147" s="769"/>
      <c r="H147" s="769"/>
      <c r="I147" s="769"/>
      <c r="J147" s="769"/>
      <c r="K147" s="769"/>
      <c r="L147" s="769"/>
      <c r="M147" s="769"/>
      <c r="N147" s="769"/>
      <c r="O147" s="769"/>
      <c r="P147" s="769"/>
      <c r="Q147" s="769"/>
      <c r="R147" s="769"/>
      <c r="S147" s="769"/>
      <c r="T147" s="769"/>
      <c r="U147" s="769"/>
      <c r="V147" s="769"/>
      <c r="W147" s="769"/>
      <c r="X147" s="769"/>
      <c r="Y147" s="769"/>
      <c r="Z147" s="769"/>
      <c r="AA147" s="769"/>
      <c r="AB147" s="769"/>
      <c r="AC147" s="769"/>
      <c r="AD147" s="769"/>
      <c r="AH147"/>
      <c r="AI147"/>
    </row>
    <row r="148" spans="2:35" hidden="1" x14ac:dyDescent="0.35">
      <c r="B148" s="769"/>
      <c r="C148" s="769"/>
      <c r="D148" s="769"/>
      <c r="E148" s="769"/>
      <c r="F148" s="769"/>
      <c r="G148" s="769"/>
      <c r="H148" s="769"/>
      <c r="I148" s="769"/>
      <c r="J148" s="769"/>
      <c r="K148" s="769"/>
      <c r="L148" s="769"/>
      <c r="M148" s="769"/>
      <c r="N148" s="769"/>
      <c r="O148" s="769"/>
      <c r="P148" s="769"/>
      <c r="Q148" s="769"/>
      <c r="R148" s="769"/>
      <c r="S148" s="769"/>
      <c r="T148" s="769"/>
      <c r="U148" s="769"/>
      <c r="V148" s="769"/>
      <c r="W148" s="769"/>
      <c r="X148" s="769"/>
      <c r="Y148" s="769"/>
      <c r="Z148" s="769"/>
      <c r="AA148" s="769"/>
      <c r="AB148" s="769"/>
      <c r="AC148" s="769"/>
      <c r="AD148" s="769"/>
      <c r="AH148"/>
      <c r="AI148"/>
    </row>
    <row r="149" spans="2:35" hidden="1" x14ac:dyDescent="0.35">
      <c r="B149" s="769"/>
      <c r="C149" s="769"/>
      <c r="D149" s="769"/>
      <c r="E149" s="769"/>
      <c r="F149" s="769"/>
      <c r="G149" s="769"/>
      <c r="H149" s="769"/>
      <c r="I149" s="769"/>
      <c r="J149" s="769"/>
      <c r="K149" s="769"/>
      <c r="L149" s="769"/>
      <c r="M149" s="769"/>
      <c r="N149" s="769"/>
      <c r="O149" s="769"/>
      <c r="P149" s="769"/>
      <c r="Q149" s="769"/>
      <c r="R149" s="769"/>
      <c r="S149" s="769"/>
      <c r="T149" s="769"/>
      <c r="U149" s="769"/>
      <c r="V149" s="769"/>
      <c r="W149" s="769"/>
      <c r="X149" s="769"/>
      <c r="Y149" s="769"/>
      <c r="Z149" s="769"/>
      <c r="AA149" s="769"/>
      <c r="AB149" s="769"/>
      <c r="AC149" s="769"/>
      <c r="AD149" s="769"/>
      <c r="AH149"/>
      <c r="AI149"/>
    </row>
    <row r="150" spans="2:35" hidden="1" x14ac:dyDescent="0.35">
      <c r="B150" s="769"/>
      <c r="C150" s="769"/>
      <c r="D150" s="769"/>
      <c r="E150" s="769"/>
      <c r="F150" s="769"/>
      <c r="G150" s="769"/>
      <c r="H150" s="769"/>
      <c r="I150" s="769"/>
      <c r="J150" s="769"/>
      <c r="K150" s="769"/>
      <c r="L150" s="769"/>
      <c r="M150" s="769"/>
      <c r="N150" s="769"/>
      <c r="O150" s="769"/>
      <c r="P150" s="769"/>
      <c r="Q150" s="769"/>
      <c r="R150" s="769"/>
      <c r="S150" s="769"/>
      <c r="T150" s="769"/>
      <c r="U150" s="769"/>
      <c r="V150" s="769"/>
      <c r="W150" s="769"/>
      <c r="X150" s="769"/>
      <c r="Y150" s="769"/>
      <c r="Z150" s="769"/>
      <c r="AA150" s="769"/>
      <c r="AB150" s="769"/>
      <c r="AC150" s="769"/>
      <c r="AD150" s="769"/>
      <c r="AH150"/>
      <c r="AI150"/>
    </row>
    <row r="151" spans="2:35" hidden="1" x14ac:dyDescent="0.35">
      <c r="B151" s="769"/>
      <c r="C151" s="769"/>
      <c r="D151" s="769"/>
      <c r="E151" s="769"/>
      <c r="F151" s="769"/>
      <c r="G151" s="769"/>
      <c r="H151" s="769"/>
      <c r="I151" s="769"/>
      <c r="J151" s="769"/>
      <c r="K151" s="769"/>
      <c r="L151" s="769"/>
      <c r="M151" s="769"/>
      <c r="N151" s="769"/>
      <c r="O151" s="769"/>
      <c r="P151" s="769"/>
      <c r="Q151" s="769"/>
      <c r="R151" s="769"/>
      <c r="S151" s="769"/>
      <c r="T151" s="769"/>
      <c r="U151" s="769"/>
      <c r="V151" s="769"/>
      <c r="W151" s="769"/>
      <c r="X151" s="769"/>
      <c r="Y151" s="769"/>
      <c r="Z151" s="769"/>
      <c r="AA151" s="769"/>
      <c r="AB151" s="769"/>
      <c r="AC151" s="769"/>
      <c r="AD151" s="769"/>
      <c r="AH151"/>
      <c r="AI151"/>
    </row>
    <row r="152" spans="2:35" hidden="1" x14ac:dyDescent="0.35">
      <c r="B152" s="769"/>
      <c r="C152" s="769"/>
      <c r="D152" s="769"/>
      <c r="E152" s="769"/>
      <c r="F152" s="769"/>
      <c r="G152" s="769"/>
      <c r="H152" s="769"/>
      <c r="I152" s="769"/>
      <c r="J152" s="769"/>
      <c r="K152" s="769"/>
      <c r="L152" s="769"/>
      <c r="M152" s="769"/>
      <c r="N152" s="769"/>
      <c r="O152" s="769"/>
      <c r="P152" s="769"/>
      <c r="Q152" s="769"/>
      <c r="R152" s="769"/>
      <c r="S152" s="769"/>
      <c r="T152" s="769"/>
      <c r="U152" s="769"/>
      <c r="V152" s="769"/>
      <c r="W152" s="769"/>
      <c r="X152" s="769"/>
      <c r="Y152" s="769"/>
      <c r="Z152" s="769"/>
      <c r="AA152" s="769"/>
      <c r="AB152" s="769"/>
      <c r="AC152" s="769"/>
      <c r="AD152" s="769"/>
      <c r="AH152"/>
      <c r="AI152"/>
    </row>
    <row r="153" spans="2:35" hidden="1" x14ac:dyDescent="0.35">
      <c r="B153" s="769"/>
      <c r="C153" s="769"/>
      <c r="D153" s="769"/>
      <c r="E153" s="769"/>
      <c r="F153" s="769"/>
      <c r="G153" s="769"/>
      <c r="H153" s="769"/>
      <c r="I153" s="769"/>
      <c r="J153" s="769"/>
      <c r="K153" s="769"/>
      <c r="L153" s="769"/>
      <c r="M153" s="769"/>
      <c r="N153" s="769"/>
      <c r="O153" s="769"/>
      <c r="P153" s="769"/>
      <c r="Q153" s="769"/>
      <c r="R153" s="769"/>
      <c r="S153" s="769"/>
      <c r="T153" s="769"/>
      <c r="U153" s="769"/>
      <c r="V153" s="769"/>
      <c r="W153" s="769"/>
      <c r="X153" s="769"/>
      <c r="Y153" s="769"/>
      <c r="Z153" s="769"/>
      <c r="AA153" s="769"/>
      <c r="AB153" s="769"/>
      <c r="AC153" s="769"/>
      <c r="AD153" s="769"/>
      <c r="AH153"/>
      <c r="AI153"/>
    </row>
    <row r="154" spans="2:35" hidden="1" x14ac:dyDescent="0.35">
      <c r="B154" s="769"/>
      <c r="C154" s="769"/>
      <c r="D154" s="769"/>
      <c r="E154" s="769"/>
      <c r="F154" s="769"/>
      <c r="G154" s="769"/>
      <c r="H154" s="769"/>
      <c r="I154" s="769"/>
      <c r="J154" s="769"/>
      <c r="K154" s="769"/>
      <c r="L154" s="769"/>
      <c r="M154" s="769"/>
      <c r="N154" s="769"/>
      <c r="O154" s="769"/>
      <c r="P154" s="769"/>
      <c r="Q154" s="769"/>
      <c r="R154" s="769"/>
      <c r="S154" s="769"/>
      <c r="T154" s="769"/>
      <c r="U154" s="769"/>
      <c r="V154" s="769"/>
      <c r="W154" s="769"/>
      <c r="X154" s="769"/>
      <c r="Y154" s="769"/>
      <c r="Z154" s="769"/>
      <c r="AA154" s="769"/>
      <c r="AB154" s="769"/>
      <c r="AC154" s="769"/>
      <c r="AD154" s="769"/>
      <c r="AH154"/>
      <c r="AI154"/>
    </row>
    <row r="155" spans="2:35" hidden="1" x14ac:dyDescent="0.35">
      <c r="B155" s="769"/>
      <c r="C155" s="769"/>
      <c r="D155" s="769"/>
      <c r="E155" s="769"/>
      <c r="F155" s="769"/>
      <c r="G155" s="769"/>
      <c r="H155" s="769"/>
      <c r="I155" s="769"/>
      <c r="J155" s="769"/>
      <c r="K155" s="769"/>
      <c r="L155" s="769"/>
      <c r="M155" s="769"/>
      <c r="N155" s="769"/>
      <c r="O155" s="769"/>
      <c r="P155" s="769"/>
      <c r="Q155" s="769"/>
      <c r="R155" s="769"/>
      <c r="S155" s="769"/>
      <c r="T155" s="769"/>
      <c r="U155" s="769"/>
      <c r="V155" s="769"/>
      <c r="W155" s="769"/>
      <c r="X155" s="769"/>
      <c r="Y155" s="769"/>
      <c r="Z155" s="769"/>
      <c r="AA155" s="769"/>
      <c r="AB155" s="769"/>
      <c r="AC155" s="769"/>
      <c r="AD155" s="769"/>
      <c r="AH155"/>
      <c r="AI155"/>
    </row>
    <row r="156" spans="2:35" hidden="1" x14ac:dyDescent="0.35">
      <c r="B156" s="769"/>
      <c r="C156" s="769"/>
      <c r="D156" s="769"/>
      <c r="E156" s="769"/>
      <c r="F156" s="769"/>
      <c r="G156" s="769"/>
      <c r="H156" s="769"/>
      <c r="I156" s="769"/>
      <c r="J156" s="769"/>
      <c r="K156" s="769"/>
      <c r="L156" s="769"/>
      <c r="M156" s="769"/>
      <c r="N156" s="769"/>
      <c r="O156" s="769"/>
      <c r="P156" s="769"/>
      <c r="Q156" s="769"/>
      <c r="R156" s="769"/>
      <c r="S156" s="769"/>
      <c r="T156" s="769"/>
      <c r="U156" s="769"/>
      <c r="V156" s="769"/>
      <c r="W156" s="769"/>
      <c r="X156" s="769"/>
      <c r="Y156" s="769"/>
      <c r="Z156" s="769"/>
      <c r="AA156" s="769"/>
      <c r="AB156" s="769"/>
      <c r="AC156" s="769"/>
      <c r="AD156" s="769"/>
      <c r="AH156"/>
      <c r="AI156"/>
    </row>
    <row r="157" spans="2:35" hidden="1" x14ac:dyDescent="0.35">
      <c r="B157" s="769"/>
      <c r="C157" s="769"/>
      <c r="D157" s="769"/>
      <c r="E157" s="769"/>
      <c r="F157" s="769"/>
      <c r="G157" s="769"/>
      <c r="H157" s="769"/>
      <c r="I157" s="769"/>
      <c r="J157" s="769"/>
      <c r="K157" s="769"/>
      <c r="L157" s="769"/>
      <c r="M157" s="769"/>
      <c r="N157" s="769"/>
      <c r="O157" s="769"/>
      <c r="P157" s="769"/>
      <c r="Q157" s="769"/>
      <c r="R157" s="769"/>
      <c r="S157" s="769"/>
      <c r="T157" s="769"/>
      <c r="U157" s="769"/>
      <c r="V157" s="769"/>
      <c r="W157" s="769"/>
      <c r="X157" s="769"/>
      <c r="Y157" s="769"/>
      <c r="Z157" s="769"/>
      <c r="AA157" s="769"/>
      <c r="AB157" s="769"/>
      <c r="AC157" s="769"/>
      <c r="AD157" s="769"/>
      <c r="AH157"/>
      <c r="AI157"/>
    </row>
    <row r="158" spans="2:35" hidden="1" x14ac:dyDescent="0.35">
      <c r="B158" s="769"/>
      <c r="C158" s="769"/>
      <c r="D158" s="769"/>
      <c r="E158" s="769"/>
      <c r="F158" s="769"/>
      <c r="G158" s="769"/>
      <c r="H158" s="769"/>
      <c r="I158" s="769"/>
      <c r="J158" s="769"/>
      <c r="K158" s="769"/>
      <c r="L158" s="769"/>
      <c r="M158" s="769"/>
      <c r="N158" s="769"/>
      <c r="O158" s="769"/>
      <c r="P158" s="769"/>
      <c r="Q158" s="769"/>
      <c r="R158" s="769"/>
      <c r="S158" s="769"/>
      <c r="T158" s="769"/>
      <c r="U158" s="769"/>
      <c r="V158" s="769"/>
      <c r="W158" s="769"/>
      <c r="X158" s="769"/>
      <c r="Y158" s="769"/>
      <c r="Z158" s="769"/>
      <c r="AA158" s="769"/>
      <c r="AB158" s="769"/>
      <c r="AC158" s="769"/>
      <c r="AD158" s="769"/>
      <c r="AH158"/>
      <c r="AI158"/>
    </row>
    <row r="159" spans="2:35" hidden="1" x14ac:dyDescent="0.35">
      <c r="B159" s="769"/>
      <c r="C159" s="769"/>
      <c r="D159" s="769"/>
      <c r="E159" s="769"/>
      <c r="F159" s="769"/>
      <c r="G159" s="769"/>
      <c r="H159" s="769"/>
      <c r="I159" s="769"/>
      <c r="J159" s="769"/>
      <c r="K159" s="769"/>
      <c r="L159" s="769"/>
      <c r="M159" s="769"/>
      <c r="N159" s="769"/>
      <c r="O159" s="769"/>
      <c r="P159" s="769"/>
      <c r="Q159" s="769"/>
      <c r="R159" s="769"/>
      <c r="S159" s="769"/>
      <c r="T159" s="769"/>
      <c r="U159" s="769"/>
      <c r="V159" s="769"/>
      <c r="W159" s="769"/>
      <c r="X159" s="769"/>
      <c r="Y159" s="769"/>
      <c r="Z159" s="769"/>
      <c r="AA159" s="769"/>
      <c r="AB159" s="769"/>
      <c r="AC159" s="769"/>
      <c r="AD159" s="769"/>
      <c r="AH159"/>
      <c r="AI159"/>
    </row>
    <row r="160" spans="2:35" hidden="1" x14ac:dyDescent="0.35">
      <c r="B160" s="769"/>
      <c r="C160" s="769"/>
      <c r="D160" s="769"/>
      <c r="E160" s="769"/>
      <c r="F160" s="769"/>
      <c r="G160" s="769"/>
      <c r="H160" s="769"/>
      <c r="I160" s="769"/>
      <c r="J160" s="769"/>
      <c r="K160" s="769"/>
      <c r="L160" s="769"/>
      <c r="M160" s="769"/>
      <c r="N160" s="769"/>
      <c r="O160" s="769"/>
      <c r="P160" s="769"/>
      <c r="Q160" s="769"/>
      <c r="R160" s="769"/>
      <c r="S160" s="769"/>
      <c r="T160" s="769"/>
      <c r="U160" s="769"/>
      <c r="V160" s="769"/>
      <c r="W160" s="769"/>
      <c r="X160" s="769"/>
      <c r="Y160" s="769"/>
      <c r="Z160" s="769"/>
      <c r="AA160" s="769"/>
      <c r="AB160" s="769"/>
      <c r="AC160" s="769"/>
      <c r="AD160" s="769"/>
      <c r="AH160"/>
      <c r="AI160"/>
    </row>
    <row r="161" spans="2:35" hidden="1" x14ac:dyDescent="0.35">
      <c r="B161" s="769"/>
      <c r="C161" s="769"/>
      <c r="D161" s="769"/>
      <c r="E161" s="769"/>
      <c r="F161" s="769"/>
      <c r="G161" s="769"/>
      <c r="H161" s="769"/>
      <c r="I161" s="769"/>
      <c r="J161" s="769"/>
      <c r="K161" s="769"/>
      <c r="L161" s="769"/>
      <c r="M161" s="769"/>
      <c r="N161" s="769"/>
      <c r="O161" s="769"/>
      <c r="P161" s="769"/>
      <c r="Q161" s="769"/>
      <c r="R161" s="769"/>
      <c r="S161" s="769"/>
      <c r="T161" s="769"/>
      <c r="U161" s="769"/>
      <c r="V161" s="769"/>
      <c r="W161" s="769"/>
      <c r="X161" s="769"/>
      <c r="Y161" s="769"/>
      <c r="Z161" s="769"/>
      <c r="AA161" s="769"/>
      <c r="AB161" s="769"/>
      <c r="AC161" s="769"/>
      <c r="AD161" s="769"/>
      <c r="AH161"/>
      <c r="AI161"/>
    </row>
    <row r="162" spans="2:35" hidden="1" x14ac:dyDescent="0.35">
      <c r="B162" s="769"/>
      <c r="C162" s="769"/>
      <c r="D162" s="769"/>
      <c r="E162" s="769"/>
      <c r="F162" s="769"/>
      <c r="G162" s="769"/>
      <c r="H162" s="769"/>
      <c r="I162" s="769"/>
      <c r="J162" s="769"/>
      <c r="K162" s="769"/>
      <c r="L162" s="769"/>
      <c r="M162" s="769"/>
      <c r="N162" s="769"/>
      <c r="O162" s="769"/>
      <c r="P162" s="769"/>
      <c r="Q162" s="769"/>
      <c r="R162" s="769"/>
      <c r="S162" s="769"/>
      <c r="T162" s="769"/>
      <c r="U162" s="769"/>
      <c r="V162" s="769"/>
      <c r="W162" s="769"/>
      <c r="X162" s="769"/>
      <c r="Y162" s="769"/>
      <c r="Z162" s="769"/>
      <c r="AA162" s="769"/>
      <c r="AB162" s="769"/>
      <c r="AC162" s="769"/>
      <c r="AD162" s="769"/>
      <c r="AH162"/>
      <c r="AI162"/>
    </row>
    <row r="163" spans="2:35" hidden="1" x14ac:dyDescent="0.35">
      <c r="B163" s="769"/>
      <c r="C163" s="769"/>
      <c r="D163" s="769"/>
      <c r="E163" s="769"/>
      <c r="F163" s="769"/>
      <c r="G163" s="769"/>
      <c r="H163" s="769"/>
      <c r="I163" s="769"/>
      <c r="J163" s="769"/>
      <c r="K163" s="769"/>
      <c r="L163" s="769"/>
      <c r="M163" s="769"/>
      <c r="N163" s="769"/>
      <c r="O163" s="769"/>
      <c r="P163" s="769"/>
      <c r="Q163" s="769"/>
      <c r="R163" s="769"/>
      <c r="S163" s="769"/>
      <c r="T163" s="769"/>
      <c r="U163" s="769"/>
      <c r="V163" s="769"/>
      <c r="W163" s="769"/>
      <c r="X163" s="769"/>
      <c r="Y163" s="769"/>
      <c r="Z163" s="769"/>
      <c r="AA163" s="769"/>
      <c r="AB163" s="769"/>
      <c r="AC163" s="769"/>
      <c r="AD163" s="769"/>
      <c r="AH163"/>
      <c r="AI163"/>
    </row>
    <row r="164" spans="2:35" hidden="1" x14ac:dyDescent="0.35">
      <c r="B164" s="769"/>
      <c r="C164" s="769"/>
      <c r="D164" s="769"/>
      <c r="E164" s="769"/>
      <c r="F164" s="769"/>
      <c r="G164" s="769"/>
      <c r="H164" s="769"/>
      <c r="I164" s="769"/>
      <c r="J164" s="769"/>
      <c r="K164" s="769"/>
      <c r="L164" s="769"/>
      <c r="M164" s="769"/>
      <c r="N164" s="769"/>
      <c r="O164" s="769"/>
      <c r="P164" s="769"/>
      <c r="Q164" s="769"/>
      <c r="R164" s="769"/>
      <c r="S164" s="769"/>
      <c r="T164" s="769"/>
      <c r="U164" s="769"/>
      <c r="V164" s="769"/>
      <c r="W164" s="769"/>
      <c r="X164" s="769"/>
      <c r="Y164" s="769"/>
      <c r="Z164" s="769"/>
      <c r="AA164" s="769"/>
      <c r="AB164" s="769"/>
      <c r="AC164" s="769"/>
      <c r="AD164" s="769"/>
      <c r="AH164"/>
      <c r="AI164"/>
    </row>
    <row r="165" spans="2:35" hidden="1" x14ac:dyDescent="0.35">
      <c r="B165" s="769"/>
      <c r="C165" s="769"/>
      <c r="D165" s="769"/>
      <c r="E165" s="769"/>
      <c r="F165" s="769"/>
      <c r="G165" s="769"/>
      <c r="H165" s="769"/>
      <c r="I165" s="769"/>
      <c r="J165" s="769"/>
      <c r="K165" s="769"/>
      <c r="L165" s="769"/>
      <c r="M165" s="769"/>
      <c r="N165" s="769"/>
      <c r="O165" s="769"/>
      <c r="P165" s="769"/>
      <c r="Q165" s="769"/>
      <c r="R165" s="769"/>
      <c r="S165" s="769"/>
      <c r="T165" s="769"/>
      <c r="U165" s="769"/>
      <c r="V165" s="769"/>
      <c r="W165" s="769"/>
      <c r="X165" s="769"/>
      <c r="Y165" s="769"/>
      <c r="Z165" s="769"/>
      <c r="AA165" s="769"/>
      <c r="AB165" s="769"/>
      <c r="AC165" s="769"/>
      <c r="AD165" s="769"/>
      <c r="AH165"/>
      <c r="AI165"/>
    </row>
    <row r="166" spans="2:35" hidden="1" x14ac:dyDescent="0.35">
      <c r="B166" s="769"/>
      <c r="C166" s="769"/>
      <c r="D166" s="769"/>
      <c r="E166" s="769"/>
      <c r="F166" s="769"/>
      <c r="G166" s="769"/>
      <c r="H166" s="769"/>
      <c r="I166" s="769"/>
      <c r="J166" s="769"/>
      <c r="K166" s="769"/>
      <c r="L166" s="769"/>
      <c r="M166" s="769"/>
      <c r="N166" s="769"/>
      <c r="O166" s="769"/>
      <c r="P166" s="769"/>
      <c r="Q166" s="769"/>
      <c r="R166" s="769"/>
      <c r="S166" s="769"/>
      <c r="T166" s="769"/>
      <c r="U166" s="769"/>
      <c r="V166" s="769"/>
      <c r="W166" s="769"/>
      <c r="X166" s="769"/>
      <c r="Y166" s="769"/>
      <c r="Z166" s="769"/>
      <c r="AA166" s="769"/>
      <c r="AB166" s="769"/>
      <c r="AC166" s="769"/>
      <c r="AD166" s="769"/>
      <c r="AH166"/>
      <c r="AI166"/>
    </row>
    <row r="167" spans="2:35" hidden="1" x14ac:dyDescent="0.35">
      <c r="B167" s="769"/>
      <c r="C167" s="769"/>
      <c r="D167" s="769"/>
      <c r="E167" s="769"/>
      <c r="F167" s="769"/>
      <c r="G167" s="769"/>
      <c r="H167" s="769"/>
      <c r="I167" s="769"/>
      <c r="J167" s="769"/>
      <c r="K167" s="769"/>
      <c r="L167" s="769"/>
      <c r="M167" s="769"/>
      <c r="N167" s="769"/>
      <c r="O167" s="769"/>
      <c r="P167" s="769"/>
      <c r="Q167" s="769"/>
      <c r="R167" s="769"/>
      <c r="S167" s="769"/>
      <c r="T167" s="769"/>
      <c r="U167" s="769"/>
      <c r="V167" s="769"/>
      <c r="W167" s="769"/>
      <c r="X167" s="769"/>
      <c r="Y167" s="769"/>
      <c r="Z167" s="769"/>
      <c r="AA167" s="769"/>
      <c r="AB167" s="769"/>
      <c r="AC167" s="769"/>
      <c r="AD167" s="769"/>
      <c r="AH167"/>
      <c r="AI167"/>
    </row>
    <row r="168" spans="2:35" hidden="1" x14ac:dyDescent="0.35">
      <c r="B168" s="769"/>
      <c r="C168" s="769"/>
      <c r="D168" s="769"/>
      <c r="E168" s="769"/>
      <c r="F168" s="769"/>
      <c r="G168" s="769"/>
      <c r="H168" s="769"/>
      <c r="I168" s="769"/>
      <c r="J168" s="769"/>
      <c r="K168" s="769"/>
      <c r="L168" s="769"/>
      <c r="M168" s="769"/>
      <c r="N168" s="769"/>
      <c r="O168" s="769"/>
      <c r="P168" s="769"/>
      <c r="Q168" s="769"/>
      <c r="R168" s="769"/>
      <c r="S168" s="769"/>
      <c r="T168" s="769"/>
      <c r="U168" s="769"/>
      <c r="V168" s="769"/>
      <c r="W168" s="769"/>
      <c r="X168" s="769"/>
      <c r="Y168" s="769"/>
      <c r="Z168" s="769"/>
      <c r="AA168" s="769"/>
      <c r="AB168" s="769"/>
      <c r="AC168" s="769"/>
      <c r="AD168" s="769"/>
    </row>
    <row r="169" spans="2:35" hidden="1" x14ac:dyDescent="0.35">
      <c r="B169" s="769"/>
      <c r="C169" s="769"/>
      <c r="D169" s="769"/>
      <c r="E169" s="769"/>
      <c r="F169" s="769"/>
      <c r="G169" s="769"/>
      <c r="H169" s="769"/>
      <c r="I169" s="769"/>
      <c r="J169" s="769"/>
      <c r="K169" s="769"/>
      <c r="L169" s="769"/>
      <c r="M169" s="769"/>
      <c r="N169" s="769"/>
      <c r="O169" s="769"/>
      <c r="P169" s="769"/>
      <c r="Q169" s="769"/>
      <c r="R169" s="769"/>
      <c r="S169" s="769"/>
      <c r="T169" s="769"/>
      <c r="U169" s="769"/>
      <c r="V169" s="769"/>
      <c r="W169" s="769"/>
      <c r="X169" s="769"/>
      <c r="Y169" s="769"/>
      <c r="Z169" s="769"/>
      <c r="AA169" s="769"/>
      <c r="AB169" s="769"/>
      <c r="AC169" s="769"/>
      <c r="AD169" s="769"/>
    </row>
    <row r="170" spans="2:35" hidden="1" x14ac:dyDescent="0.35">
      <c r="B170" s="769"/>
      <c r="C170" s="769"/>
      <c r="D170" s="769"/>
      <c r="E170" s="769"/>
      <c r="F170" s="769"/>
      <c r="G170" s="769"/>
      <c r="H170" s="769"/>
      <c r="I170" s="769"/>
      <c r="J170" s="769"/>
      <c r="K170" s="769"/>
      <c r="L170" s="769"/>
      <c r="M170" s="769"/>
      <c r="N170" s="769"/>
      <c r="O170" s="769"/>
      <c r="P170" s="769"/>
      <c r="Q170" s="769"/>
      <c r="R170" s="769"/>
      <c r="S170" s="769"/>
      <c r="T170" s="769"/>
      <c r="U170" s="769"/>
      <c r="V170" s="769"/>
      <c r="W170" s="769"/>
      <c r="X170" s="769"/>
      <c r="Y170" s="769"/>
      <c r="Z170" s="769"/>
      <c r="AA170" s="769"/>
      <c r="AB170" s="769"/>
      <c r="AC170" s="769"/>
      <c r="AD170" s="769"/>
    </row>
    <row r="171" spans="2:35" hidden="1" x14ac:dyDescent="0.35">
      <c r="B171" s="769"/>
      <c r="C171" s="769"/>
      <c r="D171" s="769"/>
      <c r="E171" s="769"/>
      <c r="F171" s="769"/>
      <c r="G171" s="769"/>
      <c r="H171" s="769"/>
      <c r="I171" s="769"/>
      <c r="J171" s="769"/>
      <c r="K171" s="769"/>
      <c r="L171" s="769"/>
      <c r="M171" s="769"/>
      <c r="N171" s="769"/>
      <c r="O171" s="769"/>
      <c r="P171" s="769"/>
      <c r="Q171" s="769"/>
      <c r="R171" s="769"/>
      <c r="S171" s="769"/>
      <c r="T171" s="769"/>
      <c r="U171" s="769"/>
      <c r="V171" s="769"/>
      <c r="W171" s="769"/>
      <c r="X171" s="769"/>
      <c r="Y171" s="769"/>
      <c r="Z171" s="769"/>
      <c r="AA171" s="769"/>
      <c r="AB171" s="769"/>
      <c r="AC171" s="769"/>
      <c r="AD171" s="769"/>
    </row>
    <row r="172" spans="2:35" hidden="1" x14ac:dyDescent="0.35">
      <c r="B172" s="769"/>
      <c r="C172" s="769"/>
      <c r="D172" s="769"/>
      <c r="E172" s="769"/>
      <c r="F172" s="769"/>
      <c r="G172" s="769"/>
      <c r="H172" s="769"/>
      <c r="I172" s="769"/>
      <c r="J172" s="769"/>
      <c r="K172" s="769"/>
      <c r="L172" s="769"/>
      <c r="M172" s="769"/>
      <c r="N172" s="769"/>
      <c r="O172" s="769"/>
      <c r="P172" s="769"/>
      <c r="Q172" s="769"/>
      <c r="R172" s="769"/>
      <c r="S172" s="769"/>
      <c r="T172" s="769"/>
      <c r="U172" s="769"/>
      <c r="V172" s="769"/>
      <c r="W172" s="769"/>
      <c r="X172" s="769"/>
      <c r="Y172" s="769"/>
      <c r="Z172" s="769"/>
      <c r="AA172" s="769"/>
      <c r="AB172" s="769"/>
      <c r="AC172" s="769"/>
      <c r="AD172" s="769"/>
    </row>
    <row r="173" spans="2:35" hidden="1" x14ac:dyDescent="0.35">
      <c r="B173" s="769"/>
      <c r="C173" s="769"/>
      <c r="D173" s="769"/>
      <c r="E173" s="769"/>
      <c r="F173" s="769"/>
      <c r="G173" s="769"/>
      <c r="H173" s="769"/>
      <c r="I173" s="769"/>
      <c r="J173" s="769"/>
      <c r="K173" s="769"/>
      <c r="L173" s="769"/>
      <c r="M173" s="769"/>
      <c r="N173" s="769"/>
      <c r="O173" s="769"/>
      <c r="P173" s="769"/>
      <c r="Q173" s="769"/>
      <c r="R173" s="769"/>
      <c r="S173" s="769"/>
      <c r="T173" s="769"/>
      <c r="U173" s="769"/>
      <c r="V173" s="769"/>
      <c r="W173" s="769"/>
      <c r="X173" s="769"/>
      <c r="Y173" s="769"/>
      <c r="Z173" s="769"/>
      <c r="AA173" s="769"/>
      <c r="AB173" s="769"/>
      <c r="AC173" s="769"/>
      <c r="AD173" s="769"/>
    </row>
    <row r="174" spans="2:35" hidden="1" x14ac:dyDescent="0.35">
      <c r="B174" s="769"/>
      <c r="C174" s="769"/>
      <c r="D174" s="769"/>
      <c r="E174" s="769"/>
      <c r="F174" s="769"/>
      <c r="G174" s="769"/>
      <c r="H174" s="769"/>
      <c r="I174" s="769"/>
      <c r="J174" s="769"/>
      <c r="K174" s="769"/>
      <c r="L174" s="769"/>
      <c r="M174" s="769"/>
      <c r="N174" s="769"/>
      <c r="O174" s="769"/>
      <c r="P174" s="769"/>
      <c r="Q174" s="769"/>
      <c r="R174" s="769"/>
      <c r="S174" s="769"/>
      <c r="T174" s="769"/>
      <c r="U174" s="769"/>
      <c r="V174" s="769"/>
      <c r="W174" s="769"/>
      <c r="X174" s="769"/>
      <c r="Y174" s="769"/>
      <c r="Z174" s="769"/>
      <c r="AA174" s="769"/>
      <c r="AB174" s="769"/>
      <c r="AC174" s="769"/>
      <c r="AD174" s="769"/>
    </row>
    <row r="175" spans="2:35" hidden="1" x14ac:dyDescent="0.35">
      <c r="B175" s="769"/>
      <c r="C175" s="769"/>
      <c r="D175" s="769"/>
      <c r="E175" s="769"/>
      <c r="F175" s="769"/>
      <c r="G175" s="769"/>
      <c r="H175" s="769"/>
      <c r="I175" s="769"/>
      <c r="J175" s="769"/>
      <c r="K175" s="769"/>
      <c r="L175" s="769"/>
      <c r="M175" s="769"/>
      <c r="N175" s="769"/>
      <c r="O175" s="769"/>
      <c r="P175" s="769"/>
      <c r="Q175" s="769"/>
      <c r="R175" s="769"/>
      <c r="S175" s="769"/>
      <c r="T175" s="769"/>
      <c r="U175" s="769"/>
      <c r="V175" s="769"/>
      <c r="W175" s="769"/>
      <c r="X175" s="769"/>
      <c r="Y175" s="769"/>
      <c r="Z175" s="769"/>
      <c r="AA175" s="769"/>
      <c r="AB175" s="769"/>
      <c r="AC175" s="769"/>
      <c r="AD175" s="769"/>
    </row>
    <row r="176" spans="2:35" hidden="1" x14ac:dyDescent="0.35">
      <c r="B176" s="769"/>
      <c r="C176" s="769"/>
      <c r="D176" s="769"/>
      <c r="E176" s="769"/>
      <c r="F176" s="769"/>
      <c r="G176" s="769"/>
      <c r="H176" s="769"/>
      <c r="I176" s="769"/>
      <c r="J176" s="769"/>
      <c r="K176" s="769"/>
      <c r="L176" s="769"/>
      <c r="M176" s="769"/>
      <c r="N176" s="769"/>
      <c r="O176" s="769"/>
      <c r="P176" s="769"/>
      <c r="Q176" s="769"/>
      <c r="R176" s="769"/>
      <c r="S176" s="769"/>
      <c r="T176" s="769"/>
      <c r="U176" s="769"/>
      <c r="V176" s="769"/>
      <c r="W176" s="769"/>
      <c r="X176" s="769"/>
      <c r="Y176" s="769"/>
      <c r="Z176" s="769"/>
      <c r="AA176" s="769"/>
      <c r="AB176" s="769"/>
      <c r="AC176" s="769"/>
      <c r="AD176" s="769"/>
    </row>
    <row r="177" spans="2:30" hidden="1" x14ac:dyDescent="0.35">
      <c r="B177" s="769"/>
      <c r="C177" s="769"/>
      <c r="D177" s="769"/>
      <c r="E177" s="769"/>
      <c r="F177" s="769"/>
      <c r="G177" s="769"/>
      <c r="H177" s="769"/>
      <c r="I177" s="769"/>
      <c r="J177" s="769"/>
      <c r="K177" s="769"/>
      <c r="L177" s="769"/>
      <c r="M177" s="769"/>
      <c r="N177" s="769"/>
      <c r="O177" s="769"/>
      <c r="P177" s="769"/>
      <c r="Q177" s="769"/>
      <c r="R177" s="769"/>
      <c r="S177" s="769"/>
      <c r="T177" s="769"/>
      <c r="U177" s="769"/>
      <c r="V177" s="769"/>
      <c r="W177" s="769"/>
      <c r="X177" s="769"/>
      <c r="Y177" s="769"/>
      <c r="Z177" s="769"/>
      <c r="AA177" s="769"/>
      <c r="AB177" s="769"/>
      <c r="AC177" s="769"/>
      <c r="AD177" s="769"/>
    </row>
    <row r="178" spans="2:30" hidden="1" x14ac:dyDescent="0.35">
      <c r="B178" s="769"/>
      <c r="C178" s="769"/>
      <c r="D178" s="769"/>
      <c r="E178" s="769"/>
      <c r="F178" s="769"/>
      <c r="G178" s="769"/>
      <c r="H178" s="769"/>
      <c r="I178" s="769"/>
      <c r="J178" s="769"/>
      <c r="K178" s="769"/>
      <c r="L178" s="769"/>
      <c r="M178" s="769"/>
      <c r="N178" s="769"/>
      <c r="O178" s="769"/>
      <c r="P178" s="769"/>
      <c r="Q178" s="769"/>
      <c r="R178" s="769"/>
      <c r="S178" s="769"/>
      <c r="T178" s="769"/>
      <c r="U178" s="769"/>
      <c r="V178" s="769"/>
      <c r="W178" s="769"/>
      <c r="X178" s="769"/>
      <c r="Y178" s="769"/>
      <c r="Z178" s="769"/>
      <c r="AA178" s="769"/>
      <c r="AB178" s="769"/>
      <c r="AC178" s="769"/>
      <c r="AD178" s="769"/>
    </row>
    <row r="179" spans="2:30" hidden="1" x14ac:dyDescent="0.35">
      <c r="B179" s="769"/>
      <c r="C179" s="769"/>
      <c r="D179" s="769"/>
      <c r="E179" s="769"/>
      <c r="F179" s="769"/>
      <c r="G179" s="769"/>
      <c r="H179" s="769"/>
      <c r="I179" s="769"/>
      <c r="J179" s="769"/>
      <c r="K179" s="769"/>
      <c r="L179" s="769"/>
      <c r="M179" s="769"/>
      <c r="N179" s="769"/>
      <c r="O179" s="769"/>
      <c r="P179" s="769"/>
      <c r="Q179" s="769"/>
      <c r="R179" s="769"/>
      <c r="S179" s="769"/>
      <c r="T179" s="769"/>
      <c r="U179" s="769"/>
      <c r="V179" s="769"/>
      <c r="W179" s="769"/>
      <c r="X179" s="769"/>
      <c r="Y179" s="769"/>
      <c r="Z179" s="769"/>
      <c r="AA179" s="769"/>
      <c r="AB179" s="769"/>
      <c r="AC179" s="769"/>
      <c r="AD179" s="769"/>
    </row>
    <row r="180" spans="2:30" hidden="1" x14ac:dyDescent="0.35">
      <c r="B180" s="769"/>
      <c r="C180" s="769"/>
      <c r="D180" s="769"/>
      <c r="E180" s="769"/>
      <c r="F180" s="769"/>
      <c r="G180" s="769"/>
      <c r="H180" s="769"/>
      <c r="I180" s="769"/>
      <c r="J180" s="769"/>
      <c r="K180" s="769"/>
      <c r="L180" s="769"/>
      <c r="M180" s="769"/>
      <c r="N180" s="769"/>
      <c r="O180" s="769"/>
      <c r="P180" s="769"/>
      <c r="Q180" s="769"/>
      <c r="R180" s="769"/>
      <c r="S180" s="769"/>
      <c r="T180" s="769"/>
      <c r="U180" s="769"/>
      <c r="V180" s="769"/>
      <c r="W180" s="769"/>
      <c r="X180" s="769"/>
      <c r="Y180" s="769"/>
      <c r="Z180" s="769"/>
      <c r="AA180" s="769"/>
      <c r="AB180" s="769"/>
      <c r="AC180" s="769"/>
      <c r="AD180" s="769"/>
    </row>
    <row r="181" spans="2:30" hidden="1" x14ac:dyDescent="0.35">
      <c r="B181" s="769"/>
      <c r="C181" s="769"/>
      <c r="D181" s="769"/>
      <c r="E181" s="769"/>
      <c r="F181" s="769"/>
      <c r="G181" s="769"/>
      <c r="H181" s="769"/>
      <c r="I181" s="769"/>
      <c r="J181" s="769"/>
      <c r="K181" s="769"/>
      <c r="L181" s="769"/>
      <c r="M181" s="769"/>
      <c r="N181" s="769"/>
      <c r="O181" s="769"/>
      <c r="P181" s="769"/>
      <c r="Q181" s="769"/>
      <c r="R181" s="769"/>
      <c r="S181" s="769"/>
      <c r="T181" s="769"/>
      <c r="U181" s="769"/>
      <c r="V181" s="769"/>
      <c r="W181" s="769"/>
      <c r="X181" s="769"/>
      <c r="Y181" s="769"/>
      <c r="Z181" s="769"/>
      <c r="AA181" s="769"/>
      <c r="AB181" s="769"/>
      <c r="AC181" s="769"/>
      <c r="AD181" s="769"/>
    </row>
    <row r="182" spans="2:30" hidden="1" x14ac:dyDescent="0.35">
      <c r="B182" s="769"/>
      <c r="C182" s="769"/>
      <c r="D182" s="769"/>
      <c r="E182" s="769"/>
      <c r="F182" s="769"/>
      <c r="G182" s="769"/>
      <c r="H182" s="769"/>
      <c r="I182" s="769"/>
      <c r="J182" s="769"/>
      <c r="K182" s="769"/>
      <c r="L182" s="769"/>
      <c r="M182" s="769"/>
      <c r="N182" s="769"/>
      <c r="O182" s="769"/>
      <c r="P182" s="769"/>
      <c r="Q182" s="769"/>
      <c r="R182" s="769"/>
      <c r="S182" s="769"/>
      <c r="T182" s="769"/>
      <c r="U182" s="769"/>
      <c r="V182" s="769"/>
      <c r="W182" s="769"/>
      <c r="X182" s="769"/>
      <c r="Y182" s="769"/>
      <c r="Z182" s="769"/>
      <c r="AA182" s="769"/>
      <c r="AB182" s="769"/>
      <c r="AC182" s="769"/>
      <c r="AD182" s="769"/>
    </row>
    <row r="183" spans="2:30" hidden="1" x14ac:dyDescent="0.35">
      <c r="B183" s="769"/>
      <c r="C183" s="769"/>
      <c r="D183" s="769"/>
      <c r="E183" s="769"/>
      <c r="F183" s="769"/>
      <c r="G183" s="769"/>
      <c r="H183" s="769"/>
      <c r="I183" s="769"/>
      <c r="J183" s="769"/>
      <c r="K183" s="769"/>
      <c r="L183" s="769"/>
      <c r="M183" s="769"/>
      <c r="N183" s="769"/>
      <c r="O183" s="769"/>
      <c r="P183" s="769"/>
      <c r="Q183" s="769"/>
      <c r="R183" s="769"/>
      <c r="S183" s="769"/>
      <c r="T183" s="769"/>
      <c r="U183" s="769"/>
      <c r="V183" s="769"/>
      <c r="W183" s="769"/>
      <c r="X183" s="769"/>
      <c r="Y183" s="769"/>
      <c r="Z183" s="769"/>
      <c r="AA183" s="769"/>
      <c r="AB183" s="769"/>
      <c r="AC183" s="769"/>
      <c r="AD183" s="769"/>
    </row>
    <row r="184" spans="2:30" hidden="1" x14ac:dyDescent="0.35">
      <c r="B184" s="769"/>
      <c r="C184" s="769"/>
      <c r="D184" s="769"/>
      <c r="E184" s="769"/>
      <c r="F184" s="769"/>
      <c r="G184" s="769"/>
      <c r="H184" s="769"/>
      <c r="I184" s="769"/>
      <c r="J184" s="769"/>
      <c r="K184" s="769"/>
      <c r="L184" s="769"/>
      <c r="M184" s="769"/>
      <c r="N184" s="769"/>
      <c r="O184" s="769"/>
      <c r="P184" s="769"/>
      <c r="Q184" s="769"/>
      <c r="R184" s="769"/>
      <c r="S184" s="769"/>
      <c r="T184" s="769"/>
      <c r="U184" s="769"/>
      <c r="V184" s="769"/>
      <c r="W184" s="769"/>
      <c r="X184" s="769"/>
      <c r="Y184" s="769"/>
      <c r="Z184" s="769"/>
      <c r="AA184" s="769"/>
      <c r="AB184" s="769"/>
      <c r="AC184" s="769"/>
      <c r="AD184" s="769"/>
    </row>
    <row r="185" spans="2:30" hidden="1" x14ac:dyDescent="0.35">
      <c r="B185" s="769"/>
      <c r="C185" s="769"/>
      <c r="D185" s="769"/>
      <c r="E185" s="769"/>
      <c r="F185" s="769"/>
      <c r="G185" s="769"/>
      <c r="H185" s="769"/>
      <c r="I185" s="769"/>
      <c r="J185" s="769"/>
      <c r="K185" s="769"/>
      <c r="L185" s="769"/>
      <c r="M185" s="769"/>
      <c r="N185" s="769"/>
      <c r="O185" s="769"/>
      <c r="P185" s="769"/>
      <c r="Q185" s="769"/>
      <c r="R185" s="769"/>
      <c r="S185" s="769"/>
      <c r="T185" s="769"/>
      <c r="U185" s="769"/>
      <c r="V185" s="769"/>
      <c r="W185" s="769"/>
      <c r="X185" s="769"/>
      <c r="Y185" s="769"/>
      <c r="Z185" s="769"/>
      <c r="AA185" s="769"/>
      <c r="AB185" s="769"/>
      <c r="AC185" s="769"/>
      <c r="AD185" s="769"/>
    </row>
    <row r="186" spans="2:30" hidden="1" x14ac:dyDescent="0.35">
      <c r="B186" s="769"/>
      <c r="C186" s="769"/>
      <c r="D186" s="769"/>
      <c r="E186" s="769"/>
      <c r="F186" s="769"/>
      <c r="G186" s="769"/>
      <c r="H186" s="769"/>
      <c r="I186" s="769"/>
      <c r="J186" s="769"/>
      <c r="K186" s="769"/>
      <c r="L186" s="769"/>
      <c r="M186" s="769"/>
      <c r="N186" s="769"/>
      <c r="O186" s="769"/>
      <c r="P186" s="769"/>
      <c r="Q186" s="769"/>
      <c r="R186" s="769"/>
      <c r="S186" s="769"/>
      <c r="T186" s="769"/>
      <c r="U186" s="769"/>
      <c r="V186" s="769"/>
      <c r="W186" s="769"/>
      <c r="X186" s="769"/>
      <c r="Y186" s="769"/>
      <c r="Z186" s="769"/>
      <c r="AA186" s="769"/>
      <c r="AB186" s="769"/>
      <c r="AC186" s="769"/>
      <c r="AD186" s="769"/>
    </row>
    <row r="187" spans="2:30" hidden="1" x14ac:dyDescent="0.35">
      <c r="B187" s="769"/>
      <c r="C187" s="769"/>
      <c r="D187" s="769"/>
      <c r="E187" s="769"/>
      <c r="F187" s="769"/>
      <c r="G187" s="769"/>
      <c r="H187" s="769"/>
      <c r="I187" s="769"/>
      <c r="J187" s="769"/>
      <c r="K187" s="769"/>
      <c r="L187" s="769"/>
      <c r="M187" s="769"/>
      <c r="N187" s="769"/>
      <c r="O187" s="769"/>
      <c r="P187" s="769"/>
      <c r="Q187" s="769"/>
      <c r="R187" s="769"/>
      <c r="S187" s="769"/>
      <c r="T187" s="769"/>
      <c r="U187" s="769"/>
      <c r="V187" s="769"/>
      <c r="W187" s="769"/>
      <c r="X187" s="769"/>
      <c r="Y187" s="769"/>
      <c r="Z187" s="769"/>
      <c r="AA187" s="769"/>
      <c r="AB187" s="769"/>
      <c r="AC187" s="769"/>
      <c r="AD187" s="769"/>
    </row>
    <row r="188" spans="2:30" hidden="1" x14ac:dyDescent="0.35">
      <c r="B188" s="769"/>
      <c r="C188" s="769"/>
      <c r="D188" s="769"/>
      <c r="E188" s="769"/>
      <c r="F188" s="769"/>
      <c r="G188" s="769"/>
      <c r="H188" s="769"/>
      <c r="I188" s="769"/>
      <c r="J188" s="769"/>
      <c r="K188" s="769"/>
      <c r="L188" s="769"/>
      <c r="M188" s="769"/>
      <c r="N188" s="769"/>
      <c r="O188" s="769"/>
      <c r="P188" s="769"/>
      <c r="Q188" s="769"/>
      <c r="R188" s="769"/>
      <c r="S188" s="769"/>
      <c r="T188" s="769"/>
      <c r="U188" s="769"/>
      <c r="V188" s="769"/>
      <c r="W188" s="769"/>
      <c r="X188" s="769"/>
      <c r="Y188" s="769"/>
      <c r="Z188" s="769"/>
      <c r="AA188" s="769"/>
      <c r="AB188" s="769"/>
      <c r="AC188" s="769"/>
      <c r="AD188" s="769"/>
    </row>
    <row r="189" spans="2:30" hidden="1" x14ac:dyDescent="0.35">
      <c r="B189" s="769"/>
      <c r="C189" s="769"/>
      <c r="D189" s="769"/>
      <c r="E189" s="769"/>
      <c r="F189" s="769"/>
      <c r="G189" s="769"/>
      <c r="H189" s="769"/>
      <c r="I189" s="769"/>
      <c r="J189" s="769"/>
      <c r="K189" s="769"/>
      <c r="L189" s="769"/>
      <c r="M189" s="769"/>
      <c r="N189" s="769"/>
      <c r="O189" s="769"/>
      <c r="P189" s="769"/>
      <c r="Q189" s="769"/>
      <c r="R189" s="769"/>
      <c r="S189" s="769"/>
      <c r="T189" s="769"/>
      <c r="U189" s="769"/>
      <c r="V189" s="769"/>
      <c r="W189" s="769"/>
      <c r="X189" s="769"/>
      <c r="Y189" s="769"/>
      <c r="Z189" s="769"/>
      <c r="AA189" s="769"/>
      <c r="AB189" s="769"/>
      <c r="AC189" s="769"/>
      <c r="AD189" s="769"/>
    </row>
    <row r="190" spans="2:30" hidden="1" x14ac:dyDescent="0.35">
      <c r="B190" s="769"/>
      <c r="C190" s="769"/>
      <c r="D190" s="769"/>
      <c r="E190" s="769"/>
      <c r="F190" s="769"/>
      <c r="G190" s="769"/>
      <c r="H190" s="769"/>
      <c r="I190" s="769"/>
      <c r="J190" s="769"/>
      <c r="K190" s="769"/>
      <c r="L190" s="769"/>
      <c r="M190" s="769"/>
      <c r="N190" s="769"/>
      <c r="O190" s="769"/>
      <c r="P190" s="769"/>
      <c r="Q190" s="769"/>
      <c r="R190" s="769"/>
      <c r="S190" s="769"/>
      <c r="T190" s="769"/>
      <c r="U190" s="769"/>
      <c r="V190" s="769"/>
      <c r="W190" s="769"/>
      <c r="X190" s="769"/>
      <c r="Y190" s="769"/>
      <c r="Z190" s="769"/>
      <c r="AA190" s="769"/>
      <c r="AB190" s="769"/>
      <c r="AC190" s="769"/>
      <c r="AD190" s="769"/>
    </row>
    <row r="191" spans="2:30" hidden="1" x14ac:dyDescent="0.35">
      <c r="B191" s="769"/>
      <c r="C191" s="769"/>
      <c r="D191" s="769"/>
      <c r="E191" s="769"/>
      <c r="F191" s="769"/>
      <c r="G191" s="769"/>
      <c r="H191" s="769"/>
      <c r="I191" s="769"/>
      <c r="J191" s="769"/>
      <c r="K191" s="769"/>
      <c r="L191" s="769"/>
      <c r="M191" s="769"/>
      <c r="N191" s="769"/>
      <c r="O191" s="769"/>
      <c r="P191" s="769"/>
      <c r="Q191" s="769"/>
      <c r="R191" s="769"/>
      <c r="S191" s="769"/>
      <c r="T191" s="769"/>
      <c r="U191" s="769"/>
      <c r="V191" s="769"/>
      <c r="W191" s="769"/>
      <c r="X191" s="769"/>
      <c r="Y191" s="769"/>
      <c r="Z191" s="769"/>
      <c r="AA191" s="769"/>
      <c r="AB191" s="769"/>
      <c r="AC191" s="769"/>
      <c r="AD191" s="769"/>
    </row>
    <row r="192" spans="2:30" hidden="1" x14ac:dyDescent="0.35">
      <c r="B192" s="769"/>
      <c r="C192" s="769"/>
      <c r="D192" s="769"/>
      <c r="E192" s="769"/>
      <c r="F192" s="769"/>
      <c r="G192" s="769"/>
      <c r="H192" s="769"/>
      <c r="I192" s="769"/>
      <c r="J192" s="769"/>
      <c r="K192" s="769"/>
      <c r="L192" s="769"/>
      <c r="M192" s="769"/>
      <c r="N192" s="769"/>
      <c r="O192" s="769"/>
      <c r="P192" s="769"/>
      <c r="Q192" s="769"/>
      <c r="R192" s="769"/>
      <c r="S192" s="769"/>
      <c r="T192" s="769"/>
      <c r="U192" s="769"/>
      <c r="V192" s="769"/>
      <c r="W192" s="769"/>
      <c r="X192" s="769"/>
      <c r="Y192" s="769"/>
      <c r="Z192" s="769"/>
      <c r="AA192" s="769"/>
      <c r="AB192" s="769"/>
      <c r="AC192" s="769"/>
      <c r="AD192" s="769"/>
    </row>
    <row r="193" spans="2:30" hidden="1" x14ac:dyDescent="0.35">
      <c r="B193" s="769"/>
      <c r="C193" s="769"/>
      <c r="D193" s="769"/>
      <c r="E193" s="769"/>
      <c r="F193" s="769"/>
      <c r="G193" s="769"/>
      <c r="H193" s="769"/>
      <c r="I193" s="769"/>
      <c r="J193" s="769"/>
      <c r="K193" s="769"/>
      <c r="L193" s="769"/>
      <c r="M193" s="769"/>
      <c r="N193" s="769"/>
      <c r="O193" s="769"/>
      <c r="P193" s="769"/>
      <c r="Q193" s="769"/>
      <c r="R193" s="769"/>
      <c r="S193" s="769"/>
      <c r="T193" s="769"/>
      <c r="U193" s="769"/>
      <c r="V193" s="769"/>
      <c r="W193" s="769"/>
      <c r="X193" s="769"/>
      <c r="Y193" s="769"/>
      <c r="Z193" s="769"/>
      <c r="AA193" s="769"/>
      <c r="AB193" s="769"/>
      <c r="AC193" s="769"/>
      <c r="AD193" s="769"/>
    </row>
    <row r="194" spans="2:30" hidden="1" x14ac:dyDescent="0.35">
      <c r="B194" s="769"/>
      <c r="C194" s="769"/>
      <c r="D194" s="769"/>
      <c r="E194" s="769"/>
      <c r="F194" s="769"/>
      <c r="G194" s="769"/>
      <c r="H194" s="769"/>
      <c r="I194" s="769"/>
      <c r="J194" s="769"/>
      <c r="K194" s="769"/>
      <c r="L194" s="769"/>
      <c r="M194" s="769"/>
      <c r="N194" s="769"/>
      <c r="O194" s="769"/>
      <c r="P194" s="769"/>
      <c r="Q194" s="769"/>
      <c r="R194" s="769"/>
      <c r="S194" s="769"/>
      <c r="T194" s="769"/>
      <c r="U194" s="769"/>
      <c r="V194" s="769"/>
      <c r="W194" s="769"/>
      <c r="X194" s="769"/>
      <c r="Y194" s="769"/>
      <c r="Z194" s="769"/>
      <c r="AA194" s="769"/>
      <c r="AB194" s="769"/>
      <c r="AC194" s="769"/>
      <c r="AD194" s="769"/>
    </row>
    <row r="195" spans="2:30" hidden="1" x14ac:dyDescent="0.35">
      <c r="B195" s="769"/>
      <c r="C195" s="769"/>
      <c r="D195" s="769"/>
      <c r="E195" s="769"/>
      <c r="F195" s="769"/>
      <c r="G195" s="769"/>
      <c r="H195" s="769"/>
      <c r="I195" s="769"/>
      <c r="J195" s="769"/>
      <c r="K195" s="769"/>
      <c r="L195" s="769"/>
      <c r="M195" s="769"/>
      <c r="N195" s="769"/>
      <c r="O195" s="769"/>
      <c r="P195" s="769"/>
      <c r="Q195" s="769"/>
      <c r="R195" s="769"/>
      <c r="S195" s="769"/>
      <c r="T195" s="769"/>
      <c r="U195" s="769"/>
      <c r="V195" s="769"/>
      <c r="W195" s="769"/>
      <c r="X195" s="769"/>
      <c r="Y195" s="769"/>
      <c r="Z195" s="769"/>
      <c r="AA195" s="769"/>
      <c r="AB195" s="769"/>
      <c r="AC195" s="769"/>
      <c r="AD195" s="769"/>
    </row>
    <row r="196" spans="2:30" hidden="1" x14ac:dyDescent="0.35">
      <c r="B196" s="769"/>
      <c r="C196" s="769"/>
      <c r="D196" s="769"/>
      <c r="E196" s="769"/>
      <c r="F196" s="769"/>
      <c r="G196" s="769"/>
      <c r="H196" s="769"/>
      <c r="I196" s="769"/>
      <c r="J196" s="769"/>
      <c r="K196" s="769"/>
      <c r="L196" s="769"/>
      <c r="M196" s="769"/>
      <c r="N196" s="769"/>
      <c r="O196" s="769"/>
      <c r="P196" s="769"/>
      <c r="Q196" s="769"/>
      <c r="R196" s="769"/>
      <c r="S196" s="769"/>
      <c r="T196" s="769"/>
      <c r="U196" s="769"/>
      <c r="V196" s="769"/>
      <c r="W196" s="769"/>
      <c r="X196" s="769"/>
      <c r="Y196" s="769"/>
      <c r="Z196" s="769"/>
      <c r="AA196" s="769"/>
      <c r="AB196" s="769"/>
      <c r="AC196" s="769"/>
      <c r="AD196" s="769"/>
    </row>
    <row r="197" spans="2:30" hidden="1" x14ac:dyDescent="0.35">
      <c r="B197" s="769"/>
      <c r="C197" s="769"/>
      <c r="D197" s="769"/>
      <c r="E197" s="769"/>
      <c r="F197" s="769"/>
      <c r="G197" s="769"/>
      <c r="H197" s="769"/>
      <c r="I197" s="769"/>
      <c r="J197" s="769"/>
      <c r="K197" s="769"/>
      <c r="L197" s="769"/>
      <c r="M197" s="769"/>
      <c r="N197" s="769"/>
      <c r="O197" s="769"/>
      <c r="P197" s="769"/>
      <c r="Q197" s="769"/>
      <c r="R197" s="769"/>
      <c r="S197" s="769"/>
      <c r="T197" s="769"/>
      <c r="U197" s="769"/>
      <c r="V197" s="769"/>
      <c r="W197" s="769"/>
      <c r="X197" s="769"/>
      <c r="Y197" s="769"/>
      <c r="Z197" s="769"/>
      <c r="AA197" s="769"/>
      <c r="AB197" s="769"/>
      <c r="AC197" s="769"/>
      <c r="AD197" s="769"/>
    </row>
    <row r="198" spans="2:30" hidden="1" x14ac:dyDescent="0.35">
      <c r="B198" s="769"/>
      <c r="C198" s="769"/>
      <c r="D198" s="769"/>
      <c r="E198" s="769"/>
      <c r="F198" s="769"/>
      <c r="G198" s="769"/>
      <c r="H198" s="769"/>
      <c r="I198" s="769"/>
      <c r="J198" s="769"/>
      <c r="K198" s="769"/>
      <c r="L198" s="769"/>
      <c r="M198" s="769"/>
      <c r="N198" s="769"/>
      <c r="O198" s="769"/>
      <c r="P198" s="769"/>
      <c r="Q198" s="769"/>
      <c r="R198" s="769"/>
      <c r="S198" s="769"/>
      <c r="T198" s="769"/>
      <c r="U198" s="769"/>
      <c r="V198" s="769"/>
      <c r="W198" s="769"/>
      <c r="X198" s="769"/>
      <c r="Y198" s="769"/>
      <c r="Z198" s="769"/>
      <c r="AA198" s="769"/>
      <c r="AB198" s="769"/>
      <c r="AC198" s="769"/>
      <c r="AD198" s="769"/>
    </row>
    <row r="199" spans="2:30" hidden="1" x14ac:dyDescent="0.35">
      <c r="B199" s="769"/>
      <c r="C199" s="769"/>
      <c r="D199" s="769"/>
      <c r="E199" s="769"/>
      <c r="F199" s="769"/>
      <c r="G199" s="769"/>
      <c r="H199" s="769"/>
      <c r="I199" s="769"/>
      <c r="J199" s="769"/>
      <c r="K199" s="769"/>
      <c r="L199" s="769"/>
      <c r="M199" s="769"/>
      <c r="N199" s="769"/>
      <c r="O199" s="769"/>
      <c r="P199" s="769"/>
      <c r="Q199" s="769"/>
      <c r="R199" s="769"/>
      <c r="S199" s="769"/>
      <c r="T199" s="769"/>
      <c r="U199" s="769"/>
      <c r="V199" s="769"/>
      <c r="W199" s="769"/>
      <c r="X199" s="769"/>
      <c r="Y199" s="769"/>
      <c r="Z199" s="769"/>
      <c r="AA199" s="769"/>
      <c r="AB199" s="769"/>
      <c r="AC199" s="769"/>
      <c r="AD199" s="769"/>
    </row>
    <row r="200" spans="2:30" hidden="1" x14ac:dyDescent="0.35">
      <c r="B200" s="769"/>
      <c r="C200" s="769"/>
      <c r="D200" s="769"/>
      <c r="E200" s="769"/>
      <c r="F200" s="769"/>
      <c r="G200" s="769"/>
      <c r="H200" s="769"/>
      <c r="I200" s="769"/>
      <c r="J200" s="769"/>
      <c r="K200" s="769"/>
      <c r="L200" s="769"/>
      <c r="M200" s="769"/>
      <c r="N200" s="769"/>
      <c r="O200" s="769"/>
      <c r="P200" s="769"/>
      <c r="Q200" s="769"/>
      <c r="R200" s="769"/>
      <c r="S200" s="769"/>
      <c r="T200" s="769"/>
      <c r="U200" s="769"/>
      <c r="V200" s="769"/>
      <c r="W200" s="769"/>
      <c r="X200" s="769"/>
      <c r="Y200" s="769"/>
      <c r="Z200" s="769"/>
      <c r="AA200" s="769"/>
      <c r="AB200" s="769"/>
      <c r="AC200" s="769"/>
      <c r="AD200" s="769"/>
    </row>
    <row r="201" spans="2:30" hidden="1" x14ac:dyDescent="0.35">
      <c r="B201" s="769"/>
      <c r="C201" s="769"/>
      <c r="D201" s="769"/>
      <c r="E201" s="769"/>
      <c r="F201" s="769"/>
      <c r="G201" s="769"/>
      <c r="H201" s="769"/>
      <c r="I201" s="769"/>
      <c r="J201" s="769"/>
      <c r="K201" s="769"/>
      <c r="L201" s="769"/>
      <c r="M201" s="769"/>
      <c r="N201" s="769"/>
      <c r="O201" s="769"/>
      <c r="P201" s="769"/>
      <c r="Q201" s="769"/>
      <c r="R201" s="769"/>
      <c r="S201" s="769"/>
      <c r="T201" s="769"/>
      <c r="U201" s="769"/>
      <c r="V201" s="769"/>
      <c r="W201" s="769"/>
      <c r="X201" s="769"/>
      <c r="Y201" s="769"/>
      <c r="Z201" s="769"/>
      <c r="AA201" s="769"/>
      <c r="AB201" s="769"/>
      <c r="AC201" s="769"/>
      <c r="AD201" s="769"/>
    </row>
    <row r="202" spans="2:30" hidden="1" x14ac:dyDescent="0.35">
      <c r="B202" s="769"/>
      <c r="C202" s="769"/>
      <c r="D202" s="769"/>
      <c r="E202" s="769"/>
      <c r="F202" s="769"/>
      <c r="G202" s="769"/>
      <c r="H202" s="769"/>
      <c r="I202" s="769"/>
      <c r="J202" s="769"/>
      <c r="K202" s="769"/>
      <c r="L202" s="769"/>
      <c r="M202" s="769"/>
      <c r="N202" s="769"/>
      <c r="O202" s="769"/>
      <c r="P202" s="769"/>
      <c r="Q202" s="769"/>
      <c r="R202" s="769"/>
      <c r="S202" s="769"/>
      <c r="T202" s="769"/>
      <c r="U202" s="769"/>
      <c r="V202" s="769"/>
      <c r="W202" s="769"/>
      <c r="X202" s="769"/>
      <c r="Y202" s="769"/>
      <c r="Z202" s="769"/>
      <c r="AA202" s="769"/>
      <c r="AB202" s="769"/>
      <c r="AC202" s="769"/>
      <c r="AD202" s="769"/>
    </row>
  </sheetData>
  <mergeCells count="273">
    <mergeCell ref="AA2:AB2"/>
    <mergeCell ref="AC2:AD2"/>
    <mergeCell ref="B3:E3"/>
    <mergeCell ref="O3:P3"/>
    <mergeCell ref="S3:T3"/>
    <mergeCell ref="B4:E4"/>
    <mergeCell ref="J4:N4"/>
    <mergeCell ref="O4:P4"/>
    <mergeCell ref="S4:T4"/>
    <mergeCell ref="S7:T7"/>
    <mergeCell ref="D8:E8"/>
    <mergeCell ref="G8:I8"/>
    <mergeCell ref="J8:N8"/>
    <mergeCell ref="B5:E5"/>
    <mergeCell ref="J5:N5"/>
    <mergeCell ref="O5:P5"/>
    <mergeCell ref="S5:T5"/>
    <mergeCell ref="AA5:AB5"/>
    <mergeCell ref="D6:E6"/>
    <mergeCell ref="J6:N6"/>
    <mergeCell ref="O6:P6"/>
    <mergeCell ref="S6:T6"/>
    <mergeCell ref="B9:B10"/>
    <mergeCell ref="C9:C10"/>
    <mergeCell ref="D9:E10"/>
    <mergeCell ref="F9:F10"/>
    <mergeCell ref="H9:H10"/>
    <mergeCell ref="I9:I10"/>
    <mergeCell ref="D7:E7"/>
    <mergeCell ref="J7:N7"/>
    <mergeCell ref="O7:P7"/>
    <mergeCell ref="AC9:AC10"/>
    <mergeCell ref="AD9:AD10"/>
    <mergeCell ref="AE9:AE10"/>
    <mergeCell ref="AF9:AF10"/>
    <mergeCell ref="AG9:AG10"/>
    <mergeCell ref="AO10:AP10"/>
    <mergeCell ref="J9:J10"/>
    <mergeCell ref="K9:K10"/>
    <mergeCell ref="L9:M9"/>
    <mergeCell ref="N9:N10"/>
    <mergeCell ref="O9:R9"/>
    <mergeCell ref="S9:AB9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47:E47"/>
    <mergeCell ref="D48:E48"/>
    <mergeCell ref="D49:E49"/>
    <mergeCell ref="AA49:AB49"/>
    <mergeCell ref="B50:B51"/>
    <mergeCell ref="E50:F50"/>
    <mergeCell ref="G50:H50"/>
    <mergeCell ref="I50:J50"/>
    <mergeCell ref="K50:L50"/>
    <mergeCell ref="M50:O50"/>
    <mergeCell ref="P50:S51"/>
    <mergeCell ref="T50:Y51"/>
    <mergeCell ref="AA50:AB50"/>
    <mergeCell ref="CO50:CV50"/>
    <mergeCell ref="AA51:AB51"/>
    <mergeCell ref="P52:S52"/>
    <mergeCell ref="T52:Y52"/>
    <mergeCell ref="AA52:AB53"/>
    <mergeCell ref="P53:S53"/>
    <mergeCell ref="T53:Y53"/>
    <mergeCell ref="P57:S57"/>
    <mergeCell ref="T57:Y57"/>
    <mergeCell ref="AA57:AB57"/>
    <mergeCell ref="P58:S58"/>
    <mergeCell ref="T58:Y58"/>
    <mergeCell ref="AA58:AB59"/>
    <mergeCell ref="P59:S59"/>
    <mergeCell ref="T59:Y59"/>
    <mergeCell ref="P54:S54"/>
    <mergeCell ref="T54:Y54"/>
    <mergeCell ref="P55:S55"/>
    <mergeCell ref="T55:Y55"/>
    <mergeCell ref="AA55:AB56"/>
    <mergeCell ref="P56:S56"/>
    <mergeCell ref="T56:Y56"/>
    <mergeCell ref="P60:S60"/>
    <mergeCell ref="T60:Y60"/>
    <mergeCell ref="P61:S61"/>
    <mergeCell ref="T61:Y61"/>
    <mergeCell ref="AB61:AC61"/>
    <mergeCell ref="B63:D63"/>
    <mergeCell ref="E63:F63"/>
    <mergeCell ref="G63:I63"/>
    <mergeCell ref="J63:L63"/>
    <mergeCell ref="M63:N63"/>
    <mergeCell ref="E65:F65"/>
    <mergeCell ref="K65:L65"/>
    <mergeCell ref="N65:O65"/>
    <mergeCell ref="AC65:AD65"/>
    <mergeCell ref="E66:F66"/>
    <mergeCell ref="E67:F67"/>
    <mergeCell ref="C64:D64"/>
    <mergeCell ref="E64:F64"/>
    <mergeCell ref="H64:I64"/>
    <mergeCell ref="J64:L64"/>
    <mergeCell ref="M64:P64"/>
    <mergeCell ref="AC64:AD64"/>
    <mergeCell ref="E68:F68"/>
    <mergeCell ref="C70:P70"/>
    <mergeCell ref="U70:V70"/>
    <mergeCell ref="W70:X70"/>
    <mergeCell ref="Y70:Z70"/>
    <mergeCell ref="I71:J73"/>
    <mergeCell ref="K71:K73"/>
    <mergeCell ref="L71:M71"/>
    <mergeCell ref="O71:P71"/>
    <mergeCell ref="S71:S73"/>
    <mergeCell ref="B75:F75"/>
    <mergeCell ref="I75:J75"/>
    <mergeCell ref="L75:M75"/>
    <mergeCell ref="O75:P75"/>
    <mergeCell ref="B76:F76"/>
    <mergeCell ref="J76:K76"/>
    <mergeCell ref="L76:M76"/>
    <mergeCell ref="O76:P76"/>
    <mergeCell ref="L72:M72"/>
    <mergeCell ref="O72:P72"/>
    <mergeCell ref="L73:M73"/>
    <mergeCell ref="O73:P73"/>
    <mergeCell ref="B74:F74"/>
    <mergeCell ref="I74:J74"/>
    <mergeCell ref="L74:M74"/>
    <mergeCell ref="O74:P74"/>
    <mergeCell ref="O79:P79"/>
    <mergeCell ref="I80:J80"/>
    <mergeCell ref="L80:M80"/>
    <mergeCell ref="O80:P80"/>
    <mergeCell ref="B81:F81"/>
    <mergeCell ref="I81:J81"/>
    <mergeCell ref="L81:M81"/>
    <mergeCell ref="O81:P81"/>
    <mergeCell ref="B77:F77"/>
    <mergeCell ref="I77:J77"/>
    <mergeCell ref="L77:M77"/>
    <mergeCell ref="O77:P77"/>
    <mergeCell ref="E78:E80"/>
    <mergeCell ref="I78:J78"/>
    <mergeCell ref="L78:M78"/>
    <mergeCell ref="O78:P78"/>
    <mergeCell ref="K79:K80"/>
    <mergeCell ref="L79:M79"/>
    <mergeCell ref="L82:M82"/>
    <mergeCell ref="N82:P82"/>
    <mergeCell ref="E83:F83"/>
    <mergeCell ref="H83:H86"/>
    <mergeCell ref="I83:J86"/>
    <mergeCell ref="L83:M83"/>
    <mergeCell ref="O83:P83"/>
    <mergeCell ref="E84:F84"/>
    <mergeCell ref="L84:M84"/>
    <mergeCell ref="O84:P84"/>
    <mergeCell ref="E87:F87"/>
    <mergeCell ref="I87:J87"/>
    <mergeCell ref="L87:M87"/>
    <mergeCell ref="O87:P87"/>
    <mergeCell ref="E88:F88"/>
    <mergeCell ref="I88:J88"/>
    <mergeCell ref="L88:M88"/>
    <mergeCell ref="O88:P88"/>
    <mergeCell ref="E85:F85"/>
    <mergeCell ref="L85:M85"/>
    <mergeCell ref="O85:P85"/>
    <mergeCell ref="E86:F86"/>
    <mergeCell ref="L86:M86"/>
    <mergeCell ref="O86:P86"/>
    <mergeCell ref="Y92:Z92"/>
    <mergeCell ref="E89:F89"/>
    <mergeCell ref="I89:J89"/>
    <mergeCell ref="L89:M89"/>
    <mergeCell ref="O89:P89"/>
    <mergeCell ref="Y89:AA90"/>
    <mergeCell ref="E90:F90"/>
    <mergeCell ref="I90:K90"/>
    <mergeCell ref="L90:M90"/>
    <mergeCell ref="O90:P90"/>
    <mergeCell ref="B97:P97"/>
    <mergeCell ref="B98:D98"/>
    <mergeCell ref="O98:P98"/>
    <mergeCell ref="B99:D99"/>
    <mergeCell ref="J99:K99"/>
    <mergeCell ref="M99:N99"/>
    <mergeCell ref="O99:P99"/>
    <mergeCell ref="B91:P91"/>
    <mergeCell ref="U99:V99"/>
    <mergeCell ref="W99:X99"/>
    <mergeCell ref="Y99:Z99"/>
    <mergeCell ref="AD99:AE99"/>
    <mergeCell ref="B100:D100"/>
    <mergeCell ref="J100:K101"/>
    <mergeCell ref="M100:N100"/>
    <mergeCell ref="O100:P100"/>
    <mergeCell ref="B101:D101"/>
    <mergeCell ref="O101:P101"/>
    <mergeCell ref="B106:D106"/>
    <mergeCell ref="G106:H106"/>
    <mergeCell ref="J106:K107"/>
    <mergeCell ref="L106:L107"/>
    <mergeCell ref="O106:P106"/>
    <mergeCell ref="B107:D107"/>
    <mergeCell ref="G107:H107"/>
    <mergeCell ref="O107:P107"/>
    <mergeCell ref="B102:D102"/>
    <mergeCell ref="O102:P102"/>
    <mergeCell ref="B103:D103"/>
    <mergeCell ref="O103:P103"/>
    <mergeCell ref="B104:P104"/>
    <mergeCell ref="B105:D105"/>
    <mergeCell ref="G105:H105"/>
    <mergeCell ref="O105:P105"/>
    <mergeCell ref="B110:D110"/>
    <mergeCell ref="G110:H110"/>
    <mergeCell ref="O110:P110"/>
    <mergeCell ref="U110:V110"/>
    <mergeCell ref="W110:X110"/>
    <mergeCell ref="Y110:Z110"/>
    <mergeCell ref="B108:D108"/>
    <mergeCell ref="G108:H108"/>
    <mergeCell ref="O108:P108"/>
    <mergeCell ref="B109:D109"/>
    <mergeCell ref="G109:H109"/>
    <mergeCell ref="O109:P109"/>
    <mergeCell ref="C115:D115"/>
    <mergeCell ref="E115:F115"/>
    <mergeCell ref="H115:I115"/>
    <mergeCell ref="J115:L115"/>
    <mergeCell ref="AC115:AD115"/>
    <mergeCell ref="B111:D111"/>
    <mergeCell ref="G111:H111"/>
    <mergeCell ref="O111:P111"/>
    <mergeCell ref="AC111:AD111"/>
    <mergeCell ref="B114:D114"/>
    <mergeCell ref="E114:F114"/>
    <mergeCell ref="G114:I114"/>
    <mergeCell ref="M114:N114"/>
  </mergeCells>
  <printOptions gridLines="1"/>
  <pageMargins left="0.87" right="0.21" top="0.49" bottom="0.28000000000000003" header="0.17" footer="0.17"/>
  <pageSetup paperSize="5" scale="50" fitToHeight="2" orientation="landscape" r:id="rId1"/>
  <headerFooter alignWithMargins="0">
    <oddHeader>&amp;L&amp;"Arial,Bold"&amp;16&amp;A&amp;C&amp;"Arial,Bold"&amp;16&amp;F&amp;R&amp;16&amp;D   
&amp;10 &amp;P OF &amp;N</oddHeader>
  </headerFooter>
  <rowBreaks count="6" manualBreakCount="6">
    <brk id="65" max="16383" man="1"/>
    <brk id="135" max="16383" man="1"/>
    <brk id="165" max="16383" man="1"/>
    <brk id="195" max="16383" man="1"/>
    <brk id="225" max="16383" man="1"/>
    <brk id="255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XFC128"/>
  <sheetViews>
    <sheetView topLeftCell="A40" zoomScaleNormal="100" workbookViewId="0">
      <selection activeCell="B63" sqref="B63:P67"/>
    </sheetView>
  </sheetViews>
  <sheetFormatPr defaultColWidth="3.26953125" defaultRowHeight="15.5" zeroHeight="1" x14ac:dyDescent="0.35"/>
  <cols>
    <col min="1" max="1" width="3" style="42" customWidth="1"/>
    <col min="2" max="5" width="8.7265625" style="42" customWidth="1"/>
    <col min="6" max="6" width="10.1796875" style="42" customWidth="1"/>
    <col min="7" max="7" width="13.1796875" style="42" customWidth="1"/>
    <col min="8" max="8" width="11.7265625" style="42" customWidth="1"/>
    <col min="9" max="9" width="9" style="42" customWidth="1"/>
    <col min="10" max="10" width="10" style="42" customWidth="1"/>
    <col min="11" max="17" width="9.7265625" style="42" customWidth="1"/>
    <col min="18" max="18" width="11.54296875" style="42" customWidth="1"/>
    <col min="19" max="19" width="10" style="42" customWidth="1"/>
    <col min="20" max="20" width="14.7265625" style="42" customWidth="1"/>
    <col min="21" max="21" width="11.453125" style="42" customWidth="1"/>
    <col min="22" max="22" width="10.26953125" style="42" customWidth="1"/>
    <col min="23" max="23" width="13.453125" style="42" customWidth="1"/>
    <col min="24" max="24" width="4.26953125" customWidth="1"/>
    <col min="25" max="242" width="0" hidden="1" customWidth="1"/>
    <col min="243" max="16383" width="0" style="42" hidden="1" customWidth="1"/>
    <col min="16384" max="16384" width="2.453125" style="42" hidden="1" customWidth="1"/>
  </cols>
  <sheetData>
    <row r="1" spans="2:256" x14ac:dyDescent="0.35"/>
    <row r="2" spans="2:256" ht="20.149999999999999" customHeight="1" thickBot="1" x14ac:dyDescent="0.4">
      <c r="B2" s="937" t="s">
        <v>303</v>
      </c>
      <c r="C2" s="897"/>
      <c r="D2" s="897"/>
      <c r="E2" s="897"/>
      <c r="F2" s="897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941" t="s">
        <v>305</v>
      </c>
      <c r="U2" s="941"/>
      <c r="V2" s="2265">
        <v>37456</v>
      </c>
      <c r="W2" s="2265"/>
      <c r="IV2" s="298"/>
    </row>
    <row r="3" spans="2:256" ht="20.149999999999999" customHeight="1" thickBot="1" x14ac:dyDescent="0.4">
      <c r="B3" s="2278">
        <f>Summary!C2</f>
        <v>0</v>
      </c>
      <c r="C3" s="2279"/>
      <c r="D3" s="2279"/>
      <c r="E3" s="2279"/>
      <c r="F3" s="2280"/>
      <c r="G3" s="298"/>
      <c r="H3" s="897"/>
      <c r="I3" s="939" t="s">
        <v>131</v>
      </c>
      <c r="J3" s="897"/>
      <c r="K3" s="1086" t="s">
        <v>96</v>
      </c>
      <c r="L3" s="897"/>
      <c r="M3" s="897"/>
      <c r="N3" s="897"/>
      <c r="O3" s="2276" t="s">
        <v>125</v>
      </c>
      <c r="P3" s="2276"/>
      <c r="Q3" s="2276" t="s">
        <v>306</v>
      </c>
      <c r="R3" s="2276"/>
      <c r="S3" s="298"/>
      <c r="T3" s="792" t="s">
        <v>304</v>
      </c>
      <c r="U3" s="942"/>
      <c r="V3" s="943" t="str">
        <f>Information!C8</f>
        <v>Chad McKinney</v>
      </c>
      <c r="W3" s="944"/>
      <c r="IV3" s="298"/>
    </row>
    <row r="4" spans="2:256" ht="20.149999999999999" customHeight="1" x14ac:dyDescent="0.35">
      <c r="B4" s="2281">
        <f>Summary!C3</f>
        <v>0</v>
      </c>
      <c r="C4" s="2282"/>
      <c r="D4" s="2282"/>
      <c r="E4" s="2282"/>
      <c r="F4" s="2283"/>
      <c r="G4" s="298"/>
      <c r="H4" s="897"/>
      <c r="I4" s="939" t="s">
        <v>132</v>
      </c>
      <c r="J4" s="2223">
        <f>Summary!K3</f>
        <v>0</v>
      </c>
      <c r="K4" s="2224"/>
      <c r="L4" s="2224"/>
      <c r="M4" s="2224"/>
      <c r="N4" s="2225"/>
      <c r="O4" s="2270">
        <f>Summary!O3</f>
        <v>0</v>
      </c>
      <c r="P4" s="2271"/>
      <c r="Q4" s="2272">
        <f>Summary!P3</f>
        <v>0</v>
      </c>
      <c r="R4" s="1965"/>
      <c r="S4" s="298"/>
      <c r="T4" s="790"/>
      <c r="U4" s="770"/>
      <c r="V4" s="770"/>
      <c r="W4" s="876"/>
      <c r="AT4" t="s">
        <v>79</v>
      </c>
      <c r="IV4" s="298"/>
    </row>
    <row r="5" spans="2:256" ht="20.149999999999999" customHeight="1" thickBot="1" x14ac:dyDescent="0.4">
      <c r="B5" s="2284">
        <f>Summary!C4</f>
        <v>0</v>
      </c>
      <c r="C5" s="2285"/>
      <c r="D5" s="2285"/>
      <c r="E5" s="2285"/>
      <c r="F5" s="2286"/>
      <c r="G5" s="298"/>
      <c r="H5" s="897"/>
      <c r="I5" s="939" t="s">
        <v>133</v>
      </c>
      <c r="J5" s="2273">
        <f>Summary!K4</f>
        <v>0</v>
      </c>
      <c r="K5" s="2274"/>
      <c r="L5" s="2274"/>
      <c r="M5" s="2274"/>
      <c r="N5" s="2275"/>
      <c r="O5" s="2226">
        <f>Summary!O4</f>
        <v>0</v>
      </c>
      <c r="P5" s="2227"/>
      <c r="Q5" s="2277">
        <f>Summary!P4</f>
        <v>0</v>
      </c>
      <c r="R5" s="1928"/>
      <c r="S5" s="298"/>
      <c r="T5" s="790" t="str">
        <f>Information!H5</f>
        <v>Approved by Chad:</v>
      </c>
      <c r="U5" s="770"/>
      <c r="V5" s="945"/>
      <c r="W5" s="946"/>
      <c r="AT5">
        <f>AW12*AX12*AY12*AV12/144/12/27</f>
        <v>0</v>
      </c>
      <c r="IV5" s="298"/>
    </row>
    <row r="6" spans="2:256" ht="20.149999999999999" customHeight="1" x14ac:dyDescent="0.35">
      <c r="B6" s="57" t="s">
        <v>115</v>
      </c>
      <c r="D6" s="57" t="s">
        <v>125</v>
      </c>
      <c r="F6" s="298"/>
      <c r="G6" s="298"/>
      <c r="H6" s="897"/>
      <c r="I6" s="939" t="s">
        <v>134</v>
      </c>
      <c r="J6" s="2273">
        <f>Summary!K5</f>
        <v>0</v>
      </c>
      <c r="K6" s="2274"/>
      <c r="L6" s="2274"/>
      <c r="M6" s="2274"/>
      <c r="N6" s="2275"/>
      <c r="O6" s="2226">
        <f>Summary!O5</f>
        <v>0</v>
      </c>
      <c r="P6" s="2227"/>
      <c r="Q6" s="2277">
        <f>Summary!P5</f>
        <v>0</v>
      </c>
      <c r="R6" s="1928"/>
      <c r="S6" s="298"/>
      <c r="T6" s="790"/>
      <c r="U6" s="770"/>
      <c r="V6" s="770"/>
      <c r="W6" s="876"/>
      <c r="AT6">
        <f>AW13*AX13*AY13*AV13/144/12/27</f>
        <v>0</v>
      </c>
      <c r="IV6" s="298"/>
    </row>
    <row r="7" spans="2:256" ht="20.149999999999999" customHeight="1" thickBot="1" x14ac:dyDescent="0.4">
      <c r="B7" s="903">
        <f>Summary!C6</f>
        <v>0</v>
      </c>
      <c r="D7" s="2289">
        <f>Summary!E6</f>
        <v>0</v>
      </c>
      <c r="E7" s="2290"/>
      <c r="F7" s="298"/>
      <c r="G7" s="298"/>
      <c r="H7" s="897"/>
      <c r="I7" s="939" t="s">
        <v>135</v>
      </c>
      <c r="J7" s="2228">
        <f>Summary!K6</f>
        <v>0</v>
      </c>
      <c r="K7" s="2229"/>
      <c r="L7" s="2229"/>
      <c r="M7" s="2229"/>
      <c r="N7" s="2230"/>
      <c r="O7" s="2291">
        <f>Summary!O6</f>
        <v>0</v>
      </c>
      <c r="P7" s="2292"/>
      <c r="Q7" s="2293">
        <f>Summary!P6</f>
        <v>0</v>
      </c>
      <c r="R7" s="1971"/>
      <c r="S7" s="298"/>
      <c r="T7" s="791" t="str">
        <f>Information!H6</f>
        <v>Approved by Edward:</v>
      </c>
      <c r="U7" s="947"/>
      <c r="V7" s="947"/>
      <c r="W7" s="948"/>
      <c r="AT7">
        <f>AW14*AX14*AY14*AV14/144/12/27</f>
        <v>0</v>
      </c>
      <c r="IV7" s="298"/>
    </row>
    <row r="8" spans="2:256" ht="20.149999999999999" customHeight="1" thickBot="1" x14ac:dyDescent="0.4">
      <c r="B8" s="1087">
        <f>Summary!C7</f>
        <v>0</v>
      </c>
      <c r="D8" s="2287">
        <f>Summary!E7</f>
        <v>0</v>
      </c>
      <c r="E8" s="2288"/>
      <c r="F8" s="340"/>
      <c r="G8" s="298"/>
      <c r="H8" s="897" t="s">
        <v>308</v>
      </c>
      <c r="I8" s="897"/>
      <c r="J8" s="2308" t="str">
        <f>Pricing!A2</f>
        <v>Martin Marrieta</v>
      </c>
      <c r="K8" s="2308"/>
      <c r="L8" s="2308"/>
      <c r="M8" s="2308"/>
      <c r="N8" s="2308"/>
      <c r="O8" s="298"/>
      <c r="P8" s="298"/>
      <c r="Q8" s="298"/>
      <c r="R8" s="298"/>
      <c r="S8" s="298"/>
      <c r="T8" s="298"/>
      <c r="U8" s="298"/>
      <c r="V8" s="298"/>
      <c r="W8" s="298"/>
      <c r="AM8">
        <f>IF(F12&lt;=12,AM56,IF(B12&lt;=18,AN56,IF(B12&lt;=24,AO56,IF(B12&lt;=30,AP56,IF(B12&lt;=36,AQ56,IF(B12&lt;=48,AS56,IF(B12&lt;=60,AT56,0)))))))</f>
        <v>0</v>
      </c>
      <c r="AU8">
        <f>AW15*AX15*AY15*AV15/144/12/27</f>
        <v>0</v>
      </c>
      <c r="IV8" s="298"/>
    </row>
    <row r="9" spans="2:256" ht="20.149999999999999" customHeight="1" thickBot="1" x14ac:dyDescent="0.4"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AU9">
        <f>AW16*AX16*AY16*AV16/144/12/27</f>
        <v>0</v>
      </c>
      <c r="IV9" s="298"/>
    </row>
    <row r="10" spans="2:256" ht="42.75" customHeight="1" thickBot="1" x14ac:dyDescent="0.4">
      <c r="B10" s="2305" t="s">
        <v>75</v>
      </c>
      <c r="C10" s="2306"/>
      <c r="D10" s="2306"/>
      <c r="E10" s="2306"/>
      <c r="F10" s="2306"/>
      <c r="G10" s="2306"/>
      <c r="H10" s="2306"/>
      <c r="I10" s="2306"/>
      <c r="J10" s="2307"/>
      <c r="K10" s="2268" t="s">
        <v>73</v>
      </c>
      <c r="L10" s="2269"/>
      <c r="M10" s="1917" t="s">
        <v>74</v>
      </c>
      <c r="N10" s="1982"/>
      <c r="O10" s="1931" t="s">
        <v>27</v>
      </c>
      <c r="P10" s="1917"/>
      <c r="Q10" s="1918"/>
      <c r="R10" s="1917" t="s">
        <v>77</v>
      </c>
      <c r="S10" s="1917"/>
      <c r="T10" s="1918"/>
      <c r="U10" s="2294" t="s">
        <v>411</v>
      </c>
      <c r="V10" s="2295"/>
      <c r="W10" s="2296"/>
      <c r="AN10" t="s">
        <v>414</v>
      </c>
      <c r="BJ10" t="s">
        <v>415</v>
      </c>
      <c r="BN10">
        <f>SUM(BJ39:BR39)</f>
        <v>0</v>
      </c>
      <c r="BR10" t="s">
        <v>416</v>
      </c>
      <c r="IV10" s="298"/>
    </row>
    <row r="11" spans="2:256" ht="45" customHeight="1" thickBot="1" x14ac:dyDescent="0.4">
      <c r="B11" s="2309" t="s">
        <v>75</v>
      </c>
      <c r="C11" s="2310"/>
      <c r="D11" s="1088" t="s">
        <v>35</v>
      </c>
      <c r="E11" s="1774" t="s">
        <v>52</v>
      </c>
      <c r="F11" s="1774" t="s">
        <v>72</v>
      </c>
      <c r="G11" s="1774" t="s">
        <v>36</v>
      </c>
      <c r="H11" s="1774" t="s">
        <v>76</v>
      </c>
      <c r="I11" s="1089" t="s">
        <v>38</v>
      </c>
      <c r="J11" s="1090" t="s">
        <v>37</v>
      </c>
      <c r="K11" s="1091" t="s">
        <v>52</v>
      </c>
      <c r="L11" s="1088" t="s">
        <v>28</v>
      </c>
      <c r="M11" s="1091" t="s">
        <v>28</v>
      </c>
      <c r="N11" s="1088" t="s">
        <v>29</v>
      </c>
      <c r="O11" s="1088" t="s">
        <v>27</v>
      </c>
      <c r="P11" s="927" t="s">
        <v>28</v>
      </c>
      <c r="Q11" s="1092" t="s">
        <v>440</v>
      </c>
      <c r="R11" s="1093" t="s">
        <v>39</v>
      </c>
      <c r="S11" s="1088" t="s">
        <v>40</v>
      </c>
      <c r="T11" s="1094" t="s">
        <v>532</v>
      </c>
      <c r="U11" s="1095" t="s">
        <v>422</v>
      </c>
      <c r="V11" s="1088" t="s">
        <v>423</v>
      </c>
      <c r="W11" s="1089" t="s">
        <v>438</v>
      </c>
      <c r="AH11" t="s">
        <v>528</v>
      </c>
      <c r="AI11" t="s">
        <v>526</v>
      </c>
      <c r="AJ11" t="s">
        <v>527</v>
      </c>
      <c r="AK11" t="s">
        <v>531</v>
      </c>
      <c r="AL11" t="s">
        <v>530</v>
      </c>
      <c r="AM11" t="s">
        <v>428</v>
      </c>
      <c r="AN11" t="s">
        <v>424</v>
      </c>
      <c r="AO11" t="s">
        <v>412</v>
      </c>
      <c r="AP11" t="s">
        <v>413</v>
      </c>
      <c r="AQ11" t="s">
        <v>146</v>
      </c>
      <c r="AR11" t="s">
        <v>529</v>
      </c>
      <c r="AS11" t="s">
        <v>307</v>
      </c>
      <c r="AT11" t="s">
        <v>87</v>
      </c>
      <c r="AU11" t="s">
        <v>417</v>
      </c>
      <c r="AV11" t="s">
        <v>418</v>
      </c>
      <c r="AW11" t="s">
        <v>419</v>
      </c>
      <c r="AX11" t="s">
        <v>420</v>
      </c>
      <c r="AY11" t="s">
        <v>421</v>
      </c>
      <c r="AZ11">
        <f>AM50</f>
        <v>12</v>
      </c>
      <c r="BA11">
        <f t="shared" ref="BA11:BG11" si="0">AN50</f>
        <v>18</v>
      </c>
      <c r="BB11">
        <f t="shared" si="0"/>
        <v>24</v>
      </c>
      <c r="BC11">
        <f t="shared" si="0"/>
        <v>30</v>
      </c>
      <c r="BD11">
        <f t="shared" si="0"/>
        <v>36</v>
      </c>
      <c r="BE11">
        <f t="shared" si="0"/>
        <v>42</v>
      </c>
      <c r="BF11">
        <f t="shared" si="0"/>
        <v>48</v>
      </c>
      <c r="BG11">
        <f t="shared" si="0"/>
        <v>54</v>
      </c>
      <c r="BH11" t="s">
        <v>78</v>
      </c>
      <c r="BI11" t="s">
        <v>533</v>
      </c>
      <c r="BJ11">
        <f>AM50</f>
        <v>12</v>
      </c>
      <c r="BK11">
        <f>BA11</f>
        <v>18</v>
      </c>
      <c r="BL11">
        <f>BB11</f>
        <v>24</v>
      </c>
      <c r="BM11">
        <f>BC11</f>
        <v>30</v>
      </c>
      <c r="BN11">
        <f>BD11</f>
        <v>36</v>
      </c>
      <c r="BO11" t="s">
        <v>426</v>
      </c>
      <c r="BP11">
        <f>BF11</f>
        <v>48</v>
      </c>
      <c r="BQ11">
        <f>BG11</f>
        <v>54</v>
      </c>
      <c r="BR11" t="s">
        <v>434</v>
      </c>
      <c r="BS11" t="s">
        <v>87</v>
      </c>
      <c r="BT11" t="s">
        <v>417</v>
      </c>
      <c r="BU11" t="s">
        <v>418</v>
      </c>
      <c r="BV11" t="s">
        <v>419</v>
      </c>
      <c r="BW11" t="s">
        <v>420</v>
      </c>
      <c r="BX11" t="s">
        <v>421</v>
      </c>
      <c r="BY11" t="s">
        <v>10</v>
      </c>
      <c r="BZ11" t="s">
        <v>45</v>
      </c>
      <c r="CA11" t="s">
        <v>51</v>
      </c>
      <c r="CB11" t="s">
        <v>429</v>
      </c>
      <c r="CC11" t="s">
        <v>148</v>
      </c>
      <c r="CD11" t="s">
        <v>437</v>
      </c>
      <c r="IV11" s="298"/>
    </row>
    <row r="12" spans="2:256" ht="20.149999999999999" customHeight="1" thickTop="1" x14ac:dyDescent="0.35">
      <c r="B12" s="2266" t="s">
        <v>1089</v>
      </c>
      <c r="C12" s="2267"/>
      <c r="D12" s="124">
        <v>1</v>
      </c>
      <c r="E12" s="1777"/>
      <c r="F12" s="1776"/>
      <c r="G12" s="1776"/>
      <c r="H12" s="1776"/>
      <c r="I12" s="139"/>
      <c r="J12" s="1107">
        <f>G12+H12</f>
        <v>0</v>
      </c>
      <c r="K12" s="106"/>
      <c r="L12" s="140"/>
      <c r="M12" s="106"/>
      <c r="N12" s="140"/>
      <c r="O12" s="141"/>
      <c r="P12" s="106"/>
      <c r="Q12" s="139"/>
      <c r="R12" s="1109">
        <f t="shared" ref="R12:R38" si="1">IF(E12=0,0,IF(N12=0,(L12/16*L12/16*K12*10.680159*E12*J12)+(O12*P12/16*P12/16*10.680159*E12*Q12),(L12/16*L12/16*K12*10.680159*E12*J12)+(O12*P12/16*P12/16*10.680159*E12*Q12)+(M12/16*M12/16*10.680159*((F12-3)*3.1412)*E12*J12/N12)))*(1+K$52)</f>
        <v>0</v>
      </c>
      <c r="S12" s="1109">
        <f t="shared" ref="S12:S38" si="2">(IF(E12=0,0,(((F12*F12/576)*J12*3.1412/27)+0.5*((3.1412*(I12*I12/576)*I12/12)/27-((F12*F12/576)*I12/12*3.1412/27)))*E12)*(1+K$49))</f>
        <v>0</v>
      </c>
      <c r="T12" s="1110">
        <f>(IF(E12=0,0,IF(J$53=0,SUM(BJ12:CD12)/E12,(SUM(BS12:CD12)+BI12)/E12)))*(1+M$42+Summary!P$64)</f>
        <v>0</v>
      </c>
      <c r="U12" s="153">
        <f t="shared" ref="U12:U38" si="3">IF(E12=0,0,SUM(AO12:AS12)*(1+W$39))</f>
        <v>0</v>
      </c>
      <c r="V12" s="154">
        <f t="shared" ref="V12:V38" si="4">AM12+AR12</f>
        <v>0</v>
      </c>
      <c r="W12" s="155">
        <f t="shared" ref="W12:W38" si="5">IF(E12=0,0,(AN12+(AL12)+(AP12-0.5)+(AK12))*(1+W$39))</f>
        <v>0</v>
      </c>
      <c r="AG12">
        <f t="shared" ref="AG12:AG38" si="6">J12*E12</f>
        <v>0</v>
      </c>
      <c r="AH12">
        <f t="shared" ref="AH12:AH38" si="7">IF(E12=0,0,(((F12+3)*0.5)*((F12+3)*0.5)*3.145/144*(1+K$49)/27)-AI12)</f>
        <v>0</v>
      </c>
      <c r="AI12">
        <f t="shared" ref="AI12:AI38" si="8">(F12*0.5)*(F12*0.5)*3.145/144*(1+K$49)/27</f>
        <v>0</v>
      </c>
      <c r="AJ12">
        <f t="shared" ref="AJ12:AJ38" si="9">IF(E12=0,0,R12/E12/J12)</f>
        <v>0</v>
      </c>
      <c r="AK12">
        <f>AH12*1.4*4</f>
        <v>0</v>
      </c>
      <c r="AL12">
        <f t="shared" ref="AL12:AL38" si="10">IF(SUM(AT12:AY12)=0,0,(SUM(BS12:BX12)/SUM(AT12:AY12)*AH12))</f>
        <v>0</v>
      </c>
      <c r="AM12">
        <f t="shared" ref="AM12:AM38" si="11">IF(F12=$AM$50,$AM$55,IF(F12=$AN$50,$AN$55,IF(F12=AO$50,AO$55,IF(F12=AP$50,AP$55,IF(F12=AQ$50,AQ$55,IF(F12=AR$50,AR$55,IF(F12=AS$50,AS$55,IF(F12=AT$50,AT$55,0))))))))</f>
        <v>0</v>
      </c>
      <c r="AN12">
        <f t="shared" ref="AN12:AN38" si="12">IF(AZ12&gt;0,AM$53,0)+IF(BA12&gt;0,AN$53,0)+IF(BB12&gt;0,AO$53,0)+IF(BC12&gt;0,AP$53,0)+IF(BD12&gt;0,AQ$53,0)+IF(BE12&gt;0,AR$53,0)+IF(BF12&gt;0,AS$53,0)+IF(BG12&gt;0,AT$53,0)</f>
        <v>0</v>
      </c>
      <c r="AO12">
        <f t="shared" ref="AO12:AO38" si="13">IF(E12=0,0,SUM(BJ12:BQ12)/(E12*J12))</f>
        <v>0</v>
      </c>
      <c r="AP12">
        <v>3</v>
      </c>
      <c r="AQ12">
        <f t="shared" ref="AQ12:AQ38" si="14">IF(E12=0,0,R12/(E12*J12)*G$52)</f>
        <v>0</v>
      </c>
      <c r="AR12">
        <f t="shared" ref="AR12:AR38" si="15">IF(SUM(AT12:AY12)=0,0,SUM(BS12:BX12)/SUM(AT12:AY12)*AI12)</f>
        <v>0</v>
      </c>
      <c r="AS12">
        <f>AI12*1.3*4</f>
        <v>0</v>
      </c>
      <c r="AT12">
        <f>IF($D12=1,S12,0)</f>
        <v>0</v>
      </c>
      <c r="AU12">
        <f>IF($D12=2,S12,0)</f>
        <v>0</v>
      </c>
      <c r="AV12">
        <f>IF($D12=3,S12,0)</f>
        <v>0</v>
      </c>
      <c r="AW12">
        <f>IF($D12=4,S12,0)</f>
        <v>0</v>
      </c>
      <c r="AX12">
        <f>IF($D12=5,S12,0)</f>
        <v>0</v>
      </c>
      <c r="AY12">
        <f>IF($D12=6,S12,0)</f>
        <v>0</v>
      </c>
      <c r="AZ12">
        <f>IF(F12&gt;0,IF(F12&lt;=AZ$11,E12*$J12,0),0)</f>
        <v>0</v>
      </c>
      <c r="BA12">
        <f t="shared" ref="BA12:BG21" si="16">IF($F12&gt;AZ$11,IF($F12&lt;=BA$11,$E12*$J12,0),0)</f>
        <v>0</v>
      </c>
      <c r="BB12">
        <f t="shared" si="16"/>
        <v>0</v>
      </c>
      <c r="BC12">
        <f t="shared" si="16"/>
        <v>0</v>
      </c>
      <c r="BD12">
        <f t="shared" si="16"/>
        <v>0</v>
      </c>
      <c r="BE12">
        <f t="shared" si="16"/>
        <v>0</v>
      </c>
      <c r="BF12">
        <f t="shared" si="16"/>
        <v>0</v>
      </c>
      <c r="BG12">
        <f t="shared" si="16"/>
        <v>0</v>
      </c>
      <c r="BH12">
        <f t="shared" ref="BH12:BH38" si="17">I12*E12</f>
        <v>0</v>
      </c>
      <c r="BI12">
        <f t="shared" ref="BI12:BI38" si="18">IF(SUM(BJ12:BR12)=0,0,SUM(BJ12:BR12)/SUM(BJ$39:BR$39))*J$53</f>
        <v>0</v>
      </c>
      <c r="BJ12">
        <f t="shared" ref="BJ12:BJ38" si="19">AZ12*AM$51</f>
        <v>0</v>
      </c>
      <c r="BK12">
        <f t="shared" ref="BK12:BK38" si="20">BA12*AN$51</f>
        <v>0</v>
      </c>
      <c r="BL12">
        <f t="shared" ref="BL12:BL38" si="21">BB12*AO$51</f>
        <v>0</v>
      </c>
      <c r="BM12">
        <f t="shared" ref="BM12:BM38" si="22">BC12*AP$51</f>
        <v>0</v>
      </c>
      <c r="BN12">
        <f t="shared" ref="BN12:BN38" si="23">BD12*AQ$51</f>
        <v>0</v>
      </c>
      <c r="BO12">
        <f t="shared" ref="BO12:BO38" si="24">BE12*AR$51</f>
        <v>0</v>
      </c>
      <c r="BP12">
        <f t="shared" ref="BP12:BP38" si="25">BF12*AS$51</f>
        <v>0</v>
      </c>
      <c r="BQ12">
        <f t="shared" ref="BQ12:BQ38" si="26">BG12*AT$51</f>
        <v>0</v>
      </c>
      <c r="BR12">
        <f t="shared" ref="BR12:BR38" si="27">BH12*AR$45</f>
        <v>0</v>
      </c>
      <c r="BS12">
        <f>AT12*Pricing!F$2*IF($T$41="N",(1+$V$41),1)</f>
        <v>0</v>
      </c>
      <c r="BT12">
        <f>AU12*Pricing!G$2*IF($T$41="N",(1+$V$41),1)</f>
        <v>0</v>
      </c>
      <c r="BU12">
        <f>AV12*Pricing!H$2*IF($T$41="N",(1+$V$41),1)</f>
        <v>0</v>
      </c>
      <c r="BV12">
        <f>AW12*Pricing!I$2*IF($T$41="N",(1+$V$41),1)</f>
        <v>0</v>
      </c>
      <c r="BW12">
        <f>AX12*Pricing!J$2*IF($T$41="N",(1+$V$41),1)</f>
        <v>0</v>
      </c>
      <c r="BX12">
        <f>AY12*Pricing!K$2*IF($T$41="N",(1+$V$41),1)</f>
        <v>0</v>
      </c>
      <c r="BY12">
        <f t="shared" ref="BY12:BY38" si="28">IF(E12=0,0,R12*G$52*IF($T$41="n",(1+$V$41),1))</f>
        <v>0</v>
      </c>
      <c r="BZ12">
        <f t="shared" ref="BZ12:BZ38" si="29">R12/2000*E$59+H$56*E12</f>
        <v>0</v>
      </c>
      <c r="CA12">
        <f t="shared" ref="CA12:CA38" si="30">IF(E$39=0,0,(O$60+W$83)/E$39*E12)</f>
        <v>0</v>
      </c>
      <c r="CB12">
        <f t="shared" ref="CB12:CB38" si="31">IF(E$39=0,0,SUM(O$63:P$67)/E$39*E12)</f>
        <v>0</v>
      </c>
      <c r="CC12">
        <f t="shared" ref="CC12:CC38" si="32">IF(E$39=0,0,SUM(O$69:P$74)/E$39*E12)</f>
        <v>0</v>
      </c>
      <c r="CD12">
        <f t="shared" ref="CD12:CD38" si="33">IF(E$39=0,0,SUM(O$76:P$81)/E$39*E12)</f>
        <v>0</v>
      </c>
      <c r="CF12">
        <f t="shared" ref="CF12:CF38" si="34">T12*E12</f>
        <v>0</v>
      </c>
      <c r="IV12" s="298"/>
    </row>
    <row r="13" spans="2:256" ht="20.149999999999999" customHeight="1" x14ac:dyDescent="0.35">
      <c r="B13" s="1979" t="s">
        <v>1090</v>
      </c>
      <c r="C13" s="1980"/>
      <c r="D13" s="121">
        <v>1</v>
      </c>
      <c r="E13" s="1096"/>
      <c r="F13" s="542"/>
      <c r="G13" s="542"/>
      <c r="H13" s="542"/>
      <c r="I13" s="139"/>
      <c r="J13" s="1107">
        <f>G13+H13</f>
        <v>0</v>
      </c>
      <c r="K13" s="106"/>
      <c r="L13" s="140"/>
      <c r="M13" s="106"/>
      <c r="N13" s="140"/>
      <c r="O13" s="141"/>
      <c r="P13" s="106"/>
      <c r="Q13" s="139"/>
      <c r="R13" s="1109">
        <f t="shared" si="1"/>
        <v>0</v>
      </c>
      <c r="S13" s="1109">
        <f t="shared" si="2"/>
        <v>0</v>
      </c>
      <c r="T13" s="1110">
        <f>(IF(E13=0,0,IF(J$53=0,SUM(BJ13:CD13)/E13,(SUM(BS13:CD13)+BI13)/E13)))*(1+M$42+Summary!P$64)</f>
        <v>0</v>
      </c>
      <c r="U13" s="153">
        <f t="shared" si="3"/>
        <v>0</v>
      </c>
      <c r="V13" s="154">
        <f t="shared" si="4"/>
        <v>0</v>
      </c>
      <c r="W13" s="155">
        <f t="shared" si="5"/>
        <v>0</v>
      </c>
      <c r="AG13">
        <f t="shared" si="6"/>
        <v>0</v>
      </c>
      <c r="AH13">
        <f t="shared" si="7"/>
        <v>0</v>
      </c>
      <c r="AI13">
        <f t="shared" si="8"/>
        <v>0</v>
      </c>
      <c r="AJ13">
        <f t="shared" si="9"/>
        <v>0</v>
      </c>
      <c r="AK13">
        <f t="shared" ref="AK13:AK38" si="35">AH13*1.4*4</f>
        <v>0</v>
      </c>
      <c r="AL13">
        <f t="shared" si="10"/>
        <v>0</v>
      </c>
      <c r="AM13">
        <f t="shared" si="11"/>
        <v>0</v>
      </c>
      <c r="AN13">
        <f t="shared" si="12"/>
        <v>0</v>
      </c>
      <c r="AO13">
        <f t="shared" si="13"/>
        <v>0</v>
      </c>
      <c r="AP13">
        <v>3</v>
      </c>
      <c r="AQ13">
        <f t="shared" si="14"/>
        <v>0</v>
      </c>
      <c r="AR13">
        <f t="shared" si="15"/>
        <v>0</v>
      </c>
      <c r="AS13">
        <f t="shared" ref="AS13:AS38" si="36">AI13*1.3*4</f>
        <v>0</v>
      </c>
      <c r="AT13">
        <f t="shared" ref="AT13:AT38" si="37">IF($D13=1,S13,0)</f>
        <v>0</v>
      </c>
      <c r="AU13">
        <f t="shared" ref="AU13:AU38" si="38">IF($D13=2,S13,0)</f>
        <v>0</v>
      </c>
      <c r="AV13">
        <f t="shared" ref="AV13:AV38" si="39">IF($D13=3,S13,0)</f>
        <v>0</v>
      </c>
      <c r="AW13">
        <f t="shared" ref="AW13:AW38" si="40">IF($D13=4,S13,0)</f>
        <v>0</v>
      </c>
      <c r="AX13">
        <f t="shared" ref="AX13:AX38" si="41">IF($D13=5,S13,0)</f>
        <v>0</v>
      </c>
      <c r="AY13">
        <f t="shared" ref="AY13:AY38" si="42">IF($D13=6,S13,0)</f>
        <v>0</v>
      </c>
      <c r="AZ13">
        <f t="shared" ref="AZ13:AZ38" si="43">IF(F13&gt;0,IF(F13&lt;=AZ$11,E13*$J13,0),0)</f>
        <v>0</v>
      </c>
      <c r="BA13">
        <f t="shared" si="16"/>
        <v>0</v>
      </c>
      <c r="BB13">
        <f t="shared" si="16"/>
        <v>0</v>
      </c>
      <c r="BC13">
        <f t="shared" si="16"/>
        <v>0</v>
      </c>
      <c r="BD13">
        <f t="shared" si="16"/>
        <v>0</v>
      </c>
      <c r="BE13">
        <f t="shared" si="16"/>
        <v>0</v>
      </c>
      <c r="BF13">
        <f t="shared" si="16"/>
        <v>0</v>
      </c>
      <c r="BG13">
        <f t="shared" si="16"/>
        <v>0</v>
      </c>
      <c r="BH13">
        <f t="shared" si="17"/>
        <v>0</v>
      </c>
      <c r="BI13">
        <f t="shared" si="18"/>
        <v>0</v>
      </c>
      <c r="BJ13">
        <f t="shared" si="19"/>
        <v>0</v>
      </c>
      <c r="BK13">
        <f t="shared" si="20"/>
        <v>0</v>
      </c>
      <c r="BL13">
        <f t="shared" si="21"/>
        <v>0</v>
      </c>
      <c r="BM13">
        <f t="shared" si="22"/>
        <v>0</v>
      </c>
      <c r="BN13">
        <f t="shared" si="23"/>
        <v>0</v>
      </c>
      <c r="BO13">
        <f t="shared" si="24"/>
        <v>0</v>
      </c>
      <c r="BP13">
        <f t="shared" si="25"/>
        <v>0</v>
      </c>
      <c r="BQ13">
        <f t="shared" si="26"/>
        <v>0</v>
      </c>
      <c r="BR13">
        <f t="shared" si="27"/>
        <v>0</v>
      </c>
      <c r="BS13">
        <f>AT13*Pricing!F$2*IF($T$41="N",(1+$V$41),1)</f>
        <v>0</v>
      </c>
      <c r="BT13">
        <f>AU13*Pricing!G$2*IF($T$41="N",(1+$V$41),1)</f>
        <v>0</v>
      </c>
      <c r="BU13">
        <f>AV13*Pricing!H$2*IF($T$41="N",(1+$V$41),1)</f>
        <v>0</v>
      </c>
      <c r="BV13">
        <f>AW13*Pricing!I$2*IF($T$41="N",(1+$V$41),1)</f>
        <v>0</v>
      </c>
      <c r="BW13">
        <f>AX13*Pricing!J$2*IF($T$41="N",(1+$V$41),1)</f>
        <v>0</v>
      </c>
      <c r="BX13">
        <f>AY13*Pricing!K$2*IF($T$41="N",(1+$V$41),1)</f>
        <v>0</v>
      </c>
      <c r="BY13">
        <f t="shared" si="28"/>
        <v>0</v>
      </c>
      <c r="BZ13">
        <f t="shared" si="29"/>
        <v>0</v>
      </c>
      <c r="CA13">
        <f t="shared" si="30"/>
        <v>0</v>
      </c>
      <c r="CB13">
        <f t="shared" si="31"/>
        <v>0</v>
      </c>
      <c r="CC13">
        <f t="shared" si="32"/>
        <v>0</v>
      </c>
      <c r="CD13">
        <f t="shared" si="33"/>
        <v>0</v>
      </c>
      <c r="CF13">
        <f t="shared" si="34"/>
        <v>0</v>
      </c>
      <c r="IV13" s="298"/>
    </row>
    <row r="14" spans="2:256" ht="20.149999999999999" customHeight="1" x14ac:dyDescent="0.35">
      <c r="B14" s="1979" t="s">
        <v>1091</v>
      </c>
      <c r="C14" s="1980"/>
      <c r="D14" s="121">
        <v>1</v>
      </c>
      <c r="E14" s="1096"/>
      <c r="F14" s="542"/>
      <c r="G14" s="542"/>
      <c r="H14" s="542"/>
      <c r="I14" s="139"/>
      <c r="J14" s="1107">
        <f>G14+H14</f>
        <v>0</v>
      </c>
      <c r="K14" s="106"/>
      <c r="L14" s="140"/>
      <c r="M14" s="106"/>
      <c r="N14" s="140"/>
      <c r="O14" s="141"/>
      <c r="P14" s="106"/>
      <c r="Q14" s="139"/>
      <c r="R14" s="1109">
        <f t="shared" si="1"/>
        <v>0</v>
      </c>
      <c r="S14" s="1109">
        <f t="shared" si="2"/>
        <v>0</v>
      </c>
      <c r="T14" s="1110">
        <f>(IF(E14=0,0,IF(J$53=0,SUM(BJ14:CD14)/E14,(SUM(BS14:CD14)+BI14)/E14)))*(1+M$42+Summary!P$64)</f>
        <v>0</v>
      </c>
      <c r="U14" s="153">
        <f t="shared" si="3"/>
        <v>0</v>
      </c>
      <c r="V14" s="154">
        <f t="shared" si="4"/>
        <v>0</v>
      </c>
      <c r="W14" s="155">
        <f t="shared" si="5"/>
        <v>0</v>
      </c>
      <c r="AG14">
        <f t="shared" si="6"/>
        <v>0</v>
      </c>
      <c r="AH14">
        <f t="shared" si="7"/>
        <v>0</v>
      </c>
      <c r="AI14">
        <f t="shared" si="8"/>
        <v>0</v>
      </c>
      <c r="AJ14">
        <f t="shared" si="9"/>
        <v>0</v>
      </c>
      <c r="AK14">
        <f t="shared" si="35"/>
        <v>0</v>
      </c>
      <c r="AL14">
        <f t="shared" si="10"/>
        <v>0</v>
      </c>
      <c r="AM14">
        <f t="shared" si="11"/>
        <v>0</v>
      </c>
      <c r="AN14">
        <f t="shared" si="12"/>
        <v>0</v>
      </c>
      <c r="AO14">
        <f t="shared" si="13"/>
        <v>0</v>
      </c>
      <c r="AP14">
        <v>3</v>
      </c>
      <c r="AQ14">
        <f t="shared" si="14"/>
        <v>0</v>
      </c>
      <c r="AR14">
        <f t="shared" si="15"/>
        <v>0</v>
      </c>
      <c r="AS14">
        <f t="shared" si="36"/>
        <v>0</v>
      </c>
      <c r="AT14">
        <f t="shared" si="37"/>
        <v>0</v>
      </c>
      <c r="AU14">
        <f t="shared" si="38"/>
        <v>0</v>
      </c>
      <c r="AV14">
        <f t="shared" si="39"/>
        <v>0</v>
      </c>
      <c r="AW14">
        <f t="shared" si="40"/>
        <v>0</v>
      </c>
      <c r="AX14">
        <f t="shared" si="41"/>
        <v>0</v>
      </c>
      <c r="AY14">
        <f t="shared" si="42"/>
        <v>0</v>
      </c>
      <c r="AZ14">
        <f t="shared" si="43"/>
        <v>0</v>
      </c>
      <c r="BA14">
        <f t="shared" si="16"/>
        <v>0</v>
      </c>
      <c r="BB14">
        <f t="shared" si="16"/>
        <v>0</v>
      </c>
      <c r="BC14">
        <f t="shared" si="16"/>
        <v>0</v>
      </c>
      <c r="BD14">
        <f t="shared" si="16"/>
        <v>0</v>
      </c>
      <c r="BE14">
        <f t="shared" si="16"/>
        <v>0</v>
      </c>
      <c r="BF14">
        <f t="shared" si="16"/>
        <v>0</v>
      </c>
      <c r="BG14">
        <f t="shared" si="16"/>
        <v>0</v>
      </c>
      <c r="BH14">
        <f t="shared" si="17"/>
        <v>0</v>
      </c>
      <c r="BI14">
        <f t="shared" si="18"/>
        <v>0</v>
      </c>
      <c r="BJ14">
        <f t="shared" si="19"/>
        <v>0</v>
      </c>
      <c r="BK14">
        <f t="shared" si="20"/>
        <v>0</v>
      </c>
      <c r="BL14">
        <f t="shared" si="21"/>
        <v>0</v>
      </c>
      <c r="BM14">
        <f t="shared" si="22"/>
        <v>0</v>
      </c>
      <c r="BN14">
        <f t="shared" si="23"/>
        <v>0</v>
      </c>
      <c r="BO14">
        <f t="shared" si="24"/>
        <v>0</v>
      </c>
      <c r="BP14">
        <f t="shared" si="25"/>
        <v>0</v>
      </c>
      <c r="BQ14">
        <f t="shared" si="26"/>
        <v>0</v>
      </c>
      <c r="BR14">
        <f t="shared" si="27"/>
        <v>0</v>
      </c>
      <c r="BS14">
        <f>AT14*Pricing!F$2*IF($T$41="N",(1+$V$41),1)</f>
        <v>0</v>
      </c>
      <c r="BT14">
        <f>AU14*Pricing!G$2*IF($T$41="N",(1+$V$41),1)</f>
        <v>0</v>
      </c>
      <c r="BU14">
        <f>AV14*Pricing!H$2*IF($T$41="N",(1+$V$41),1)</f>
        <v>0</v>
      </c>
      <c r="BV14">
        <f>AW14*Pricing!I$2*IF($T$41="N",(1+$V$41),1)</f>
        <v>0</v>
      </c>
      <c r="BW14">
        <f>AX14*Pricing!J$2*IF($T$41="N",(1+$V$41),1)</f>
        <v>0</v>
      </c>
      <c r="BX14">
        <f>AY14*Pricing!K$2*IF($T$41="N",(1+$V$41),1)</f>
        <v>0</v>
      </c>
      <c r="BY14">
        <f t="shared" si="28"/>
        <v>0</v>
      </c>
      <c r="BZ14">
        <f t="shared" si="29"/>
        <v>0</v>
      </c>
      <c r="CA14">
        <f t="shared" si="30"/>
        <v>0</v>
      </c>
      <c r="CB14">
        <f t="shared" si="31"/>
        <v>0</v>
      </c>
      <c r="CC14">
        <f t="shared" si="32"/>
        <v>0</v>
      </c>
      <c r="CD14">
        <f t="shared" si="33"/>
        <v>0</v>
      </c>
      <c r="CF14">
        <f t="shared" si="34"/>
        <v>0</v>
      </c>
      <c r="IV14" s="298"/>
    </row>
    <row r="15" spans="2:256" ht="20.149999999999999" customHeight="1" x14ac:dyDescent="0.35">
      <c r="B15" s="1979" t="s">
        <v>1092</v>
      </c>
      <c r="C15" s="1980"/>
      <c r="D15" s="121">
        <v>1</v>
      </c>
      <c r="E15" s="1096"/>
      <c r="F15" s="542"/>
      <c r="G15" s="542"/>
      <c r="H15" s="542"/>
      <c r="I15" s="139"/>
      <c r="J15" s="1107">
        <f>G15+H15</f>
        <v>0</v>
      </c>
      <c r="K15" s="106"/>
      <c r="L15" s="140"/>
      <c r="M15" s="106"/>
      <c r="N15" s="140"/>
      <c r="O15" s="141"/>
      <c r="P15" s="106"/>
      <c r="Q15" s="139"/>
      <c r="R15" s="1109">
        <f t="shared" si="1"/>
        <v>0</v>
      </c>
      <c r="S15" s="1109">
        <f t="shared" si="2"/>
        <v>0</v>
      </c>
      <c r="T15" s="1110">
        <f>(IF(E15=0,0,IF(J$53=0,SUM(BJ15:CD15)/E15,(SUM(BS15:CD15)+BI15)/E15)))*(1+M$42+Summary!P$64)</f>
        <v>0</v>
      </c>
      <c r="U15" s="153">
        <f t="shared" si="3"/>
        <v>0</v>
      </c>
      <c r="V15" s="154">
        <f t="shared" si="4"/>
        <v>0</v>
      </c>
      <c r="W15" s="155">
        <f t="shared" si="5"/>
        <v>0</v>
      </c>
      <c r="AG15">
        <f t="shared" si="6"/>
        <v>0</v>
      </c>
      <c r="AH15">
        <f t="shared" si="7"/>
        <v>0</v>
      </c>
      <c r="AI15">
        <f t="shared" si="8"/>
        <v>0</v>
      </c>
      <c r="AJ15">
        <f t="shared" si="9"/>
        <v>0</v>
      </c>
      <c r="AK15">
        <f t="shared" si="35"/>
        <v>0</v>
      </c>
      <c r="AL15">
        <f t="shared" si="10"/>
        <v>0</v>
      </c>
      <c r="AM15">
        <f t="shared" si="11"/>
        <v>0</v>
      </c>
      <c r="AN15">
        <f t="shared" si="12"/>
        <v>0</v>
      </c>
      <c r="AO15">
        <f t="shared" si="13"/>
        <v>0</v>
      </c>
      <c r="AP15">
        <v>3</v>
      </c>
      <c r="AQ15">
        <f t="shared" si="14"/>
        <v>0</v>
      </c>
      <c r="AR15">
        <f t="shared" si="15"/>
        <v>0</v>
      </c>
      <c r="AS15">
        <f t="shared" si="36"/>
        <v>0</v>
      </c>
      <c r="AT15">
        <f t="shared" si="37"/>
        <v>0</v>
      </c>
      <c r="AU15">
        <f t="shared" si="38"/>
        <v>0</v>
      </c>
      <c r="AV15">
        <f t="shared" si="39"/>
        <v>0</v>
      </c>
      <c r="AW15">
        <f t="shared" si="40"/>
        <v>0</v>
      </c>
      <c r="AX15">
        <f t="shared" si="41"/>
        <v>0</v>
      </c>
      <c r="AY15">
        <f t="shared" si="42"/>
        <v>0</v>
      </c>
      <c r="AZ15">
        <f t="shared" si="43"/>
        <v>0</v>
      </c>
      <c r="BA15">
        <f t="shared" si="16"/>
        <v>0</v>
      </c>
      <c r="BB15">
        <f t="shared" si="16"/>
        <v>0</v>
      </c>
      <c r="BC15">
        <f t="shared" si="16"/>
        <v>0</v>
      </c>
      <c r="BD15">
        <f t="shared" si="16"/>
        <v>0</v>
      </c>
      <c r="BE15">
        <f t="shared" si="16"/>
        <v>0</v>
      </c>
      <c r="BF15">
        <f t="shared" si="16"/>
        <v>0</v>
      </c>
      <c r="BG15">
        <f t="shared" si="16"/>
        <v>0</v>
      </c>
      <c r="BH15">
        <f t="shared" si="17"/>
        <v>0</v>
      </c>
      <c r="BI15">
        <f t="shared" si="18"/>
        <v>0</v>
      </c>
      <c r="BJ15">
        <f t="shared" si="19"/>
        <v>0</v>
      </c>
      <c r="BK15">
        <f t="shared" si="20"/>
        <v>0</v>
      </c>
      <c r="BL15">
        <f t="shared" si="21"/>
        <v>0</v>
      </c>
      <c r="BM15">
        <f t="shared" si="22"/>
        <v>0</v>
      </c>
      <c r="BN15">
        <f t="shared" si="23"/>
        <v>0</v>
      </c>
      <c r="BO15">
        <f t="shared" si="24"/>
        <v>0</v>
      </c>
      <c r="BP15">
        <f t="shared" si="25"/>
        <v>0</v>
      </c>
      <c r="BQ15">
        <f t="shared" si="26"/>
        <v>0</v>
      </c>
      <c r="BR15">
        <f t="shared" si="27"/>
        <v>0</v>
      </c>
      <c r="BS15">
        <f>AT15*Pricing!F$2*IF($T$41="N",(1+$V$41),1)</f>
        <v>0</v>
      </c>
      <c r="BT15">
        <f>AU15*Pricing!G$2*IF($T$41="N",(1+$V$41),1)</f>
        <v>0</v>
      </c>
      <c r="BU15">
        <f>AV15*Pricing!H$2*IF($T$41="N",(1+$V$41),1)</f>
        <v>0</v>
      </c>
      <c r="BV15">
        <f>AW15*Pricing!I$2*IF($T$41="N",(1+$V$41),1)</f>
        <v>0</v>
      </c>
      <c r="BW15">
        <f>AX15*Pricing!J$2*IF($T$41="N",(1+$V$41),1)</f>
        <v>0</v>
      </c>
      <c r="BX15">
        <f>AY15*Pricing!K$2*IF($T$41="N",(1+$V$41),1)</f>
        <v>0</v>
      </c>
      <c r="BY15">
        <f t="shared" si="28"/>
        <v>0</v>
      </c>
      <c r="BZ15">
        <f t="shared" si="29"/>
        <v>0</v>
      </c>
      <c r="CA15">
        <f t="shared" si="30"/>
        <v>0</v>
      </c>
      <c r="CB15">
        <f t="shared" si="31"/>
        <v>0</v>
      </c>
      <c r="CC15">
        <f t="shared" si="32"/>
        <v>0</v>
      </c>
      <c r="CD15">
        <f t="shared" si="33"/>
        <v>0</v>
      </c>
      <c r="CF15">
        <f t="shared" si="34"/>
        <v>0</v>
      </c>
      <c r="IV15" s="298"/>
    </row>
    <row r="16" spans="2:256" ht="20.149999999999999" customHeight="1" x14ac:dyDescent="0.35">
      <c r="B16" s="1979" t="s">
        <v>1093</v>
      </c>
      <c r="C16" s="1980"/>
      <c r="D16" s="121">
        <v>1</v>
      </c>
      <c r="E16" s="1096"/>
      <c r="F16" s="542"/>
      <c r="G16" s="542"/>
      <c r="H16" s="542"/>
      <c r="I16" s="139"/>
      <c r="J16" s="1107">
        <f>G16+H16</f>
        <v>0</v>
      </c>
      <c r="K16" s="106"/>
      <c r="L16" s="140"/>
      <c r="M16" s="106"/>
      <c r="N16" s="140"/>
      <c r="O16" s="141"/>
      <c r="P16" s="106"/>
      <c r="Q16" s="139"/>
      <c r="R16" s="1109">
        <f t="shared" si="1"/>
        <v>0</v>
      </c>
      <c r="S16" s="1109">
        <f t="shared" si="2"/>
        <v>0</v>
      </c>
      <c r="T16" s="1110">
        <f>(IF(E16=0,0,IF(J$53=0,SUM(BJ16:CD16)/E16,(SUM(BS16:CD16)+BI16)/E16)))*(1+M$42+Summary!P$64)</f>
        <v>0</v>
      </c>
      <c r="U16" s="153">
        <f t="shared" si="3"/>
        <v>0</v>
      </c>
      <c r="V16" s="154">
        <f t="shared" si="4"/>
        <v>0</v>
      </c>
      <c r="W16" s="155">
        <f t="shared" si="5"/>
        <v>0</v>
      </c>
      <c r="AG16">
        <f t="shared" si="6"/>
        <v>0</v>
      </c>
      <c r="AH16">
        <f t="shared" si="7"/>
        <v>0</v>
      </c>
      <c r="AI16">
        <f t="shared" si="8"/>
        <v>0</v>
      </c>
      <c r="AJ16">
        <f t="shared" si="9"/>
        <v>0</v>
      </c>
      <c r="AK16">
        <f t="shared" si="35"/>
        <v>0</v>
      </c>
      <c r="AL16">
        <f t="shared" si="10"/>
        <v>0</v>
      </c>
      <c r="AM16">
        <f t="shared" si="11"/>
        <v>0</v>
      </c>
      <c r="AN16">
        <f t="shared" si="12"/>
        <v>0</v>
      </c>
      <c r="AO16">
        <f t="shared" si="13"/>
        <v>0</v>
      </c>
      <c r="AP16">
        <v>3</v>
      </c>
      <c r="AQ16">
        <f t="shared" si="14"/>
        <v>0</v>
      </c>
      <c r="AR16">
        <f t="shared" si="15"/>
        <v>0</v>
      </c>
      <c r="AS16">
        <f t="shared" si="36"/>
        <v>0</v>
      </c>
      <c r="AT16">
        <f t="shared" si="37"/>
        <v>0</v>
      </c>
      <c r="AU16">
        <f t="shared" si="38"/>
        <v>0</v>
      </c>
      <c r="AV16">
        <f t="shared" si="39"/>
        <v>0</v>
      </c>
      <c r="AW16">
        <f t="shared" si="40"/>
        <v>0</v>
      </c>
      <c r="AX16">
        <f t="shared" si="41"/>
        <v>0</v>
      </c>
      <c r="AY16">
        <f t="shared" si="42"/>
        <v>0</v>
      </c>
      <c r="AZ16">
        <f t="shared" si="43"/>
        <v>0</v>
      </c>
      <c r="BA16">
        <f t="shared" si="16"/>
        <v>0</v>
      </c>
      <c r="BB16">
        <f t="shared" si="16"/>
        <v>0</v>
      </c>
      <c r="BC16">
        <f t="shared" si="16"/>
        <v>0</v>
      </c>
      <c r="BD16">
        <f t="shared" si="16"/>
        <v>0</v>
      </c>
      <c r="BE16">
        <f t="shared" si="16"/>
        <v>0</v>
      </c>
      <c r="BF16">
        <f t="shared" si="16"/>
        <v>0</v>
      </c>
      <c r="BG16">
        <f t="shared" si="16"/>
        <v>0</v>
      </c>
      <c r="BH16">
        <f t="shared" si="17"/>
        <v>0</v>
      </c>
      <c r="BI16">
        <f t="shared" si="18"/>
        <v>0</v>
      </c>
      <c r="BJ16">
        <f t="shared" si="19"/>
        <v>0</v>
      </c>
      <c r="BK16">
        <f t="shared" si="20"/>
        <v>0</v>
      </c>
      <c r="BL16">
        <f t="shared" si="21"/>
        <v>0</v>
      </c>
      <c r="BM16">
        <f t="shared" si="22"/>
        <v>0</v>
      </c>
      <c r="BN16">
        <f t="shared" si="23"/>
        <v>0</v>
      </c>
      <c r="BO16">
        <f t="shared" si="24"/>
        <v>0</v>
      </c>
      <c r="BP16">
        <f t="shared" si="25"/>
        <v>0</v>
      </c>
      <c r="BQ16">
        <f t="shared" si="26"/>
        <v>0</v>
      </c>
      <c r="BR16">
        <f t="shared" si="27"/>
        <v>0</v>
      </c>
      <c r="BS16">
        <f>AT16*Pricing!F$2*IF($T$41="N",(1+$V$41),1)</f>
        <v>0</v>
      </c>
      <c r="BT16">
        <f>AU16*Pricing!G$2*IF($T$41="N",(1+$V$41),1)</f>
        <v>0</v>
      </c>
      <c r="BU16">
        <f>AV16*Pricing!H$2*IF($T$41="N",(1+$V$41),1)</f>
        <v>0</v>
      </c>
      <c r="BV16">
        <f>AW16*Pricing!I$2*IF($T$41="N",(1+$V$41),1)</f>
        <v>0</v>
      </c>
      <c r="BW16">
        <f>AX16*Pricing!J$2*IF($T$41="N",(1+$V$41),1)</f>
        <v>0</v>
      </c>
      <c r="BX16">
        <f>AY16*Pricing!K$2*IF($T$41="N",(1+$V$41),1)</f>
        <v>0</v>
      </c>
      <c r="BY16">
        <f t="shared" si="28"/>
        <v>0</v>
      </c>
      <c r="BZ16">
        <f t="shared" si="29"/>
        <v>0</v>
      </c>
      <c r="CA16">
        <f t="shared" si="30"/>
        <v>0</v>
      </c>
      <c r="CB16">
        <f t="shared" si="31"/>
        <v>0</v>
      </c>
      <c r="CC16">
        <f t="shared" si="32"/>
        <v>0</v>
      </c>
      <c r="CD16">
        <f t="shared" si="33"/>
        <v>0</v>
      </c>
      <c r="CF16">
        <f t="shared" si="34"/>
        <v>0</v>
      </c>
      <c r="IV16" s="298"/>
    </row>
    <row r="17" spans="2:256" ht="20.149999999999999" customHeight="1" x14ac:dyDescent="0.35">
      <c r="B17" s="1979" t="s">
        <v>1094</v>
      </c>
      <c r="C17" s="1980"/>
      <c r="D17" s="121">
        <v>1</v>
      </c>
      <c r="E17" s="1096"/>
      <c r="F17" s="542"/>
      <c r="G17" s="542"/>
      <c r="H17" s="542"/>
      <c r="I17" s="139"/>
      <c r="J17" s="1107">
        <f t="shared" ref="J17:J22" si="44">G17+H17</f>
        <v>0</v>
      </c>
      <c r="K17" s="106"/>
      <c r="L17" s="140"/>
      <c r="M17" s="106"/>
      <c r="N17" s="140"/>
      <c r="O17" s="141"/>
      <c r="P17" s="106"/>
      <c r="Q17" s="139"/>
      <c r="R17" s="1109">
        <f t="shared" si="1"/>
        <v>0</v>
      </c>
      <c r="S17" s="1109">
        <f t="shared" si="2"/>
        <v>0</v>
      </c>
      <c r="T17" s="1110">
        <f>(IF(E17=0,0,IF(J$53=0,SUM(BJ17:CD17)/E17,(SUM(BS17:CD17)+BI17)/E17)))*(1+M$42+Summary!P$64)</f>
        <v>0</v>
      </c>
      <c r="U17" s="153">
        <f t="shared" si="3"/>
        <v>0</v>
      </c>
      <c r="V17" s="154">
        <f t="shared" si="4"/>
        <v>0</v>
      </c>
      <c r="W17" s="155">
        <f t="shared" si="5"/>
        <v>0</v>
      </c>
      <c r="AG17">
        <f t="shared" si="6"/>
        <v>0</v>
      </c>
      <c r="AH17">
        <f t="shared" si="7"/>
        <v>0</v>
      </c>
      <c r="AI17">
        <f t="shared" si="8"/>
        <v>0</v>
      </c>
      <c r="AJ17">
        <f t="shared" si="9"/>
        <v>0</v>
      </c>
      <c r="AK17">
        <f t="shared" si="35"/>
        <v>0</v>
      </c>
      <c r="AL17">
        <f t="shared" si="10"/>
        <v>0</v>
      </c>
      <c r="AM17">
        <f t="shared" si="11"/>
        <v>0</v>
      </c>
      <c r="AN17">
        <f t="shared" si="12"/>
        <v>0</v>
      </c>
      <c r="AO17">
        <f t="shared" si="13"/>
        <v>0</v>
      </c>
      <c r="AP17">
        <v>3</v>
      </c>
      <c r="AQ17">
        <f t="shared" si="14"/>
        <v>0</v>
      </c>
      <c r="AR17">
        <f t="shared" si="15"/>
        <v>0</v>
      </c>
      <c r="AS17">
        <f t="shared" si="36"/>
        <v>0</v>
      </c>
      <c r="AT17">
        <f t="shared" si="37"/>
        <v>0</v>
      </c>
      <c r="AU17">
        <f t="shared" si="38"/>
        <v>0</v>
      </c>
      <c r="AV17">
        <f t="shared" si="39"/>
        <v>0</v>
      </c>
      <c r="AW17">
        <f t="shared" si="40"/>
        <v>0</v>
      </c>
      <c r="AX17">
        <f t="shared" si="41"/>
        <v>0</v>
      </c>
      <c r="AY17">
        <f t="shared" si="42"/>
        <v>0</v>
      </c>
      <c r="AZ17">
        <f t="shared" si="43"/>
        <v>0</v>
      </c>
      <c r="BA17">
        <f t="shared" si="16"/>
        <v>0</v>
      </c>
      <c r="BB17">
        <f t="shared" si="16"/>
        <v>0</v>
      </c>
      <c r="BC17">
        <f t="shared" si="16"/>
        <v>0</v>
      </c>
      <c r="BD17">
        <f t="shared" si="16"/>
        <v>0</v>
      </c>
      <c r="BE17">
        <f t="shared" si="16"/>
        <v>0</v>
      </c>
      <c r="BF17">
        <f t="shared" si="16"/>
        <v>0</v>
      </c>
      <c r="BG17">
        <f t="shared" si="16"/>
        <v>0</v>
      </c>
      <c r="BH17">
        <f t="shared" si="17"/>
        <v>0</v>
      </c>
      <c r="BI17">
        <f t="shared" si="18"/>
        <v>0</v>
      </c>
      <c r="BJ17">
        <f t="shared" si="19"/>
        <v>0</v>
      </c>
      <c r="BK17">
        <f t="shared" si="20"/>
        <v>0</v>
      </c>
      <c r="BL17">
        <f t="shared" si="21"/>
        <v>0</v>
      </c>
      <c r="BM17">
        <f t="shared" si="22"/>
        <v>0</v>
      </c>
      <c r="BN17">
        <f t="shared" si="23"/>
        <v>0</v>
      </c>
      <c r="BO17">
        <f t="shared" si="24"/>
        <v>0</v>
      </c>
      <c r="BP17">
        <f t="shared" si="25"/>
        <v>0</v>
      </c>
      <c r="BQ17">
        <f t="shared" si="26"/>
        <v>0</v>
      </c>
      <c r="BR17">
        <f t="shared" si="27"/>
        <v>0</v>
      </c>
      <c r="BS17">
        <f>AT17*Pricing!F$2*IF($T$41="N",(1+$V$41),1)</f>
        <v>0</v>
      </c>
      <c r="BT17">
        <f>AU17*Pricing!G$2*IF($T$41="N",(1+$V$41),1)</f>
        <v>0</v>
      </c>
      <c r="BU17">
        <f>AV17*Pricing!H$2*IF($T$41="N",(1+$V$41),1)</f>
        <v>0</v>
      </c>
      <c r="BV17">
        <f>AW17*Pricing!I$2*IF($T$41="N",(1+$V$41),1)</f>
        <v>0</v>
      </c>
      <c r="BW17">
        <f>AX17*Pricing!J$2*IF($T$41="N",(1+$V$41),1)</f>
        <v>0</v>
      </c>
      <c r="BX17">
        <f>AY17*Pricing!K$2*IF($T$41="N",(1+$V$41),1)</f>
        <v>0</v>
      </c>
      <c r="BY17">
        <f t="shared" si="28"/>
        <v>0</v>
      </c>
      <c r="BZ17">
        <f t="shared" si="29"/>
        <v>0</v>
      </c>
      <c r="CA17">
        <f t="shared" si="30"/>
        <v>0</v>
      </c>
      <c r="CB17">
        <f t="shared" si="31"/>
        <v>0</v>
      </c>
      <c r="CC17">
        <f t="shared" si="32"/>
        <v>0</v>
      </c>
      <c r="CD17">
        <f t="shared" si="33"/>
        <v>0</v>
      </c>
      <c r="CF17">
        <f t="shared" si="34"/>
        <v>0</v>
      </c>
      <c r="IV17" s="298"/>
    </row>
    <row r="18" spans="2:256" ht="20.149999999999999" customHeight="1" x14ac:dyDescent="0.35">
      <c r="B18" s="1979" t="s">
        <v>1095</v>
      </c>
      <c r="C18" s="1980"/>
      <c r="D18" s="121">
        <v>1</v>
      </c>
      <c r="E18" s="1096"/>
      <c r="F18" s="542"/>
      <c r="G18" s="542"/>
      <c r="H18" s="542"/>
      <c r="I18" s="139"/>
      <c r="J18" s="1107">
        <f t="shared" si="44"/>
        <v>0</v>
      </c>
      <c r="K18" s="106"/>
      <c r="L18" s="140"/>
      <c r="M18" s="106"/>
      <c r="N18" s="140"/>
      <c r="O18" s="141"/>
      <c r="P18" s="106"/>
      <c r="Q18" s="139"/>
      <c r="R18" s="1109">
        <f t="shared" si="1"/>
        <v>0</v>
      </c>
      <c r="S18" s="1109">
        <f t="shared" si="2"/>
        <v>0</v>
      </c>
      <c r="T18" s="1110">
        <f>(IF(E18=0,0,IF(J$53=0,SUM(BJ18:CD18)/E18,(SUM(BS18:CD18)+BI18)/E18)))*(1+M$42+Summary!P$64)</f>
        <v>0</v>
      </c>
      <c r="U18" s="153">
        <f t="shared" si="3"/>
        <v>0</v>
      </c>
      <c r="V18" s="154">
        <f t="shared" si="4"/>
        <v>0</v>
      </c>
      <c r="W18" s="155">
        <f t="shared" si="5"/>
        <v>0</v>
      </c>
      <c r="AG18">
        <f t="shared" si="6"/>
        <v>0</v>
      </c>
      <c r="AH18">
        <f t="shared" si="7"/>
        <v>0</v>
      </c>
      <c r="AI18">
        <f t="shared" si="8"/>
        <v>0</v>
      </c>
      <c r="AJ18">
        <f t="shared" si="9"/>
        <v>0</v>
      </c>
      <c r="AK18">
        <f t="shared" si="35"/>
        <v>0</v>
      </c>
      <c r="AL18">
        <f t="shared" si="10"/>
        <v>0</v>
      </c>
      <c r="AM18">
        <f t="shared" si="11"/>
        <v>0</v>
      </c>
      <c r="AN18">
        <f t="shared" si="12"/>
        <v>0</v>
      </c>
      <c r="AO18">
        <f t="shared" si="13"/>
        <v>0</v>
      </c>
      <c r="AP18">
        <v>3</v>
      </c>
      <c r="AQ18">
        <f t="shared" si="14"/>
        <v>0</v>
      </c>
      <c r="AR18">
        <f t="shared" si="15"/>
        <v>0</v>
      </c>
      <c r="AS18">
        <f t="shared" si="36"/>
        <v>0</v>
      </c>
      <c r="AT18">
        <f t="shared" si="37"/>
        <v>0</v>
      </c>
      <c r="AU18">
        <f t="shared" si="38"/>
        <v>0</v>
      </c>
      <c r="AV18">
        <f t="shared" si="39"/>
        <v>0</v>
      </c>
      <c r="AW18">
        <f t="shared" si="40"/>
        <v>0</v>
      </c>
      <c r="AX18">
        <f t="shared" si="41"/>
        <v>0</v>
      </c>
      <c r="AY18">
        <f t="shared" si="42"/>
        <v>0</v>
      </c>
      <c r="AZ18">
        <f t="shared" si="43"/>
        <v>0</v>
      </c>
      <c r="BA18">
        <f t="shared" si="16"/>
        <v>0</v>
      </c>
      <c r="BB18">
        <f t="shared" si="16"/>
        <v>0</v>
      </c>
      <c r="BC18">
        <f t="shared" si="16"/>
        <v>0</v>
      </c>
      <c r="BD18">
        <f t="shared" si="16"/>
        <v>0</v>
      </c>
      <c r="BE18">
        <f t="shared" si="16"/>
        <v>0</v>
      </c>
      <c r="BF18">
        <f t="shared" si="16"/>
        <v>0</v>
      </c>
      <c r="BG18">
        <f t="shared" si="16"/>
        <v>0</v>
      </c>
      <c r="BH18">
        <f t="shared" si="17"/>
        <v>0</v>
      </c>
      <c r="BI18">
        <f t="shared" si="18"/>
        <v>0</v>
      </c>
      <c r="BJ18">
        <f t="shared" si="19"/>
        <v>0</v>
      </c>
      <c r="BK18">
        <f t="shared" si="20"/>
        <v>0</v>
      </c>
      <c r="BL18">
        <f t="shared" si="21"/>
        <v>0</v>
      </c>
      <c r="BM18">
        <f t="shared" si="22"/>
        <v>0</v>
      </c>
      <c r="BN18">
        <f t="shared" si="23"/>
        <v>0</v>
      </c>
      <c r="BO18">
        <f t="shared" si="24"/>
        <v>0</v>
      </c>
      <c r="BP18">
        <f t="shared" si="25"/>
        <v>0</v>
      </c>
      <c r="BQ18">
        <f t="shared" si="26"/>
        <v>0</v>
      </c>
      <c r="BR18">
        <f t="shared" si="27"/>
        <v>0</v>
      </c>
      <c r="BS18">
        <f>AT18*Pricing!F$2*IF($T$41="N",(1+$V$41),1)</f>
        <v>0</v>
      </c>
      <c r="BT18">
        <f>AU18*Pricing!G$2*IF($T$41="N",(1+$V$41),1)</f>
        <v>0</v>
      </c>
      <c r="BU18">
        <f>AV18*Pricing!H$2*IF($T$41="N",(1+$V$41),1)</f>
        <v>0</v>
      </c>
      <c r="BV18">
        <f>AW18*Pricing!I$2*IF($T$41="N",(1+$V$41),1)</f>
        <v>0</v>
      </c>
      <c r="BW18">
        <f>AX18*Pricing!J$2*IF($T$41="N",(1+$V$41),1)</f>
        <v>0</v>
      </c>
      <c r="BX18">
        <f>AY18*Pricing!K$2*IF($T$41="N",(1+$V$41),1)</f>
        <v>0</v>
      </c>
      <c r="BY18">
        <f t="shared" si="28"/>
        <v>0</v>
      </c>
      <c r="BZ18">
        <f t="shared" si="29"/>
        <v>0</v>
      </c>
      <c r="CA18">
        <f t="shared" si="30"/>
        <v>0</v>
      </c>
      <c r="CB18">
        <f t="shared" si="31"/>
        <v>0</v>
      </c>
      <c r="CC18">
        <f t="shared" si="32"/>
        <v>0</v>
      </c>
      <c r="CD18">
        <f t="shared" si="33"/>
        <v>0</v>
      </c>
      <c r="CF18">
        <f t="shared" si="34"/>
        <v>0</v>
      </c>
      <c r="IV18" s="298"/>
    </row>
    <row r="19" spans="2:256" ht="20.149999999999999" customHeight="1" x14ac:dyDescent="0.35">
      <c r="B19" s="1979" t="s">
        <v>1096</v>
      </c>
      <c r="C19" s="1980"/>
      <c r="D19" s="121">
        <v>1</v>
      </c>
      <c r="E19" s="1096"/>
      <c r="F19" s="542"/>
      <c r="G19" s="542"/>
      <c r="H19" s="542"/>
      <c r="I19" s="139"/>
      <c r="J19" s="1107">
        <f t="shared" si="44"/>
        <v>0</v>
      </c>
      <c r="K19" s="106"/>
      <c r="L19" s="140"/>
      <c r="M19" s="106"/>
      <c r="N19" s="140"/>
      <c r="O19" s="141"/>
      <c r="P19" s="106"/>
      <c r="Q19" s="139"/>
      <c r="R19" s="1109">
        <f t="shared" si="1"/>
        <v>0</v>
      </c>
      <c r="S19" s="1109">
        <f t="shared" si="2"/>
        <v>0</v>
      </c>
      <c r="T19" s="1110">
        <f>(IF(E19=0,0,IF(J$53=0,SUM(BJ19:CD19)/E19,(SUM(BS19:CD19)+BI19)/E19)))*(1+M$42+Summary!P$64)</f>
        <v>0</v>
      </c>
      <c r="U19" s="153">
        <f t="shared" si="3"/>
        <v>0</v>
      </c>
      <c r="V19" s="154">
        <f t="shared" si="4"/>
        <v>0</v>
      </c>
      <c r="W19" s="155">
        <f t="shared" si="5"/>
        <v>0</v>
      </c>
      <c r="AG19">
        <f t="shared" si="6"/>
        <v>0</v>
      </c>
      <c r="AH19">
        <f t="shared" si="7"/>
        <v>0</v>
      </c>
      <c r="AI19">
        <f t="shared" si="8"/>
        <v>0</v>
      </c>
      <c r="AJ19">
        <f t="shared" si="9"/>
        <v>0</v>
      </c>
      <c r="AK19">
        <f t="shared" si="35"/>
        <v>0</v>
      </c>
      <c r="AL19">
        <f t="shared" si="10"/>
        <v>0</v>
      </c>
      <c r="AM19">
        <f t="shared" si="11"/>
        <v>0</v>
      </c>
      <c r="AN19">
        <f t="shared" si="12"/>
        <v>0</v>
      </c>
      <c r="AO19">
        <f t="shared" si="13"/>
        <v>0</v>
      </c>
      <c r="AP19">
        <v>3</v>
      </c>
      <c r="AQ19">
        <f t="shared" si="14"/>
        <v>0</v>
      </c>
      <c r="AR19">
        <f t="shared" si="15"/>
        <v>0</v>
      </c>
      <c r="AS19">
        <f t="shared" si="36"/>
        <v>0</v>
      </c>
      <c r="AT19">
        <f t="shared" si="37"/>
        <v>0</v>
      </c>
      <c r="AU19">
        <f t="shared" si="38"/>
        <v>0</v>
      </c>
      <c r="AV19">
        <f t="shared" si="39"/>
        <v>0</v>
      </c>
      <c r="AW19">
        <f t="shared" si="40"/>
        <v>0</v>
      </c>
      <c r="AX19">
        <f t="shared" si="41"/>
        <v>0</v>
      </c>
      <c r="AY19">
        <f t="shared" si="42"/>
        <v>0</v>
      </c>
      <c r="AZ19">
        <f t="shared" si="43"/>
        <v>0</v>
      </c>
      <c r="BA19">
        <f t="shared" si="16"/>
        <v>0</v>
      </c>
      <c r="BB19">
        <f t="shared" si="16"/>
        <v>0</v>
      </c>
      <c r="BC19">
        <f t="shared" si="16"/>
        <v>0</v>
      </c>
      <c r="BD19">
        <f t="shared" si="16"/>
        <v>0</v>
      </c>
      <c r="BE19">
        <f t="shared" si="16"/>
        <v>0</v>
      </c>
      <c r="BF19">
        <f t="shared" si="16"/>
        <v>0</v>
      </c>
      <c r="BG19">
        <f t="shared" si="16"/>
        <v>0</v>
      </c>
      <c r="BH19">
        <f t="shared" si="17"/>
        <v>0</v>
      </c>
      <c r="BI19">
        <f t="shared" si="18"/>
        <v>0</v>
      </c>
      <c r="BJ19">
        <f t="shared" si="19"/>
        <v>0</v>
      </c>
      <c r="BK19">
        <f t="shared" si="20"/>
        <v>0</v>
      </c>
      <c r="BL19">
        <f t="shared" si="21"/>
        <v>0</v>
      </c>
      <c r="BM19">
        <f t="shared" si="22"/>
        <v>0</v>
      </c>
      <c r="BN19">
        <f t="shared" si="23"/>
        <v>0</v>
      </c>
      <c r="BO19">
        <f t="shared" si="24"/>
        <v>0</v>
      </c>
      <c r="BP19">
        <f t="shared" si="25"/>
        <v>0</v>
      </c>
      <c r="BQ19">
        <f t="shared" si="26"/>
        <v>0</v>
      </c>
      <c r="BR19">
        <f t="shared" si="27"/>
        <v>0</v>
      </c>
      <c r="BS19">
        <f>AT19*Pricing!F$2*IF($T$41="N",(1+$V$41),1)</f>
        <v>0</v>
      </c>
      <c r="BT19">
        <f>AU19*Pricing!G$2*IF($T$41="N",(1+$V$41),1)</f>
        <v>0</v>
      </c>
      <c r="BU19">
        <f>AV19*Pricing!H$2*IF($T$41="N",(1+$V$41),1)</f>
        <v>0</v>
      </c>
      <c r="BV19">
        <f>AW19*Pricing!I$2*IF($T$41="N",(1+$V$41),1)</f>
        <v>0</v>
      </c>
      <c r="BW19">
        <f>AX19*Pricing!J$2*IF($T$41="N",(1+$V$41),1)</f>
        <v>0</v>
      </c>
      <c r="BX19">
        <f>AY19*Pricing!K$2*IF($T$41="N",(1+$V$41),1)</f>
        <v>0</v>
      </c>
      <c r="BY19">
        <f t="shared" si="28"/>
        <v>0</v>
      </c>
      <c r="BZ19">
        <f t="shared" si="29"/>
        <v>0</v>
      </c>
      <c r="CA19">
        <f t="shared" si="30"/>
        <v>0</v>
      </c>
      <c r="CB19">
        <f t="shared" si="31"/>
        <v>0</v>
      </c>
      <c r="CC19">
        <f t="shared" si="32"/>
        <v>0</v>
      </c>
      <c r="CD19">
        <f t="shared" si="33"/>
        <v>0</v>
      </c>
      <c r="CF19">
        <f t="shared" si="34"/>
        <v>0</v>
      </c>
      <c r="IV19" s="298"/>
    </row>
    <row r="20" spans="2:256" ht="20.149999999999999" customHeight="1" x14ac:dyDescent="0.35">
      <c r="B20" s="1979" t="s">
        <v>1097</v>
      </c>
      <c r="C20" s="1980"/>
      <c r="D20" s="121">
        <v>1</v>
      </c>
      <c r="E20" s="1096"/>
      <c r="F20" s="542"/>
      <c r="G20" s="542"/>
      <c r="H20" s="542"/>
      <c r="I20" s="139"/>
      <c r="J20" s="1107">
        <f t="shared" si="44"/>
        <v>0</v>
      </c>
      <c r="K20" s="106"/>
      <c r="L20" s="140"/>
      <c r="M20" s="106"/>
      <c r="N20" s="140"/>
      <c r="O20" s="141"/>
      <c r="P20" s="106"/>
      <c r="Q20" s="139"/>
      <c r="R20" s="1109">
        <f t="shared" si="1"/>
        <v>0</v>
      </c>
      <c r="S20" s="1109">
        <f t="shared" si="2"/>
        <v>0</v>
      </c>
      <c r="T20" s="1110">
        <f>(IF(E20=0,0,IF(J$53=0,SUM(BJ20:CD20)/E20,(SUM(BS20:CD20)+BI20)/E20)))*(1+M$42+Summary!P$64)</f>
        <v>0</v>
      </c>
      <c r="U20" s="153">
        <f t="shared" si="3"/>
        <v>0</v>
      </c>
      <c r="V20" s="154">
        <f t="shared" si="4"/>
        <v>0</v>
      </c>
      <c r="W20" s="155">
        <f t="shared" si="5"/>
        <v>0</v>
      </c>
      <c r="AG20">
        <f t="shared" si="6"/>
        <v>0</v>
      </c>
      <c r="AH20">
        <f t="shared" si="7"/>
        <v>0</v>
      </c>
      <c r="AI20">
        <f t="shared" si="8"/>
        <v>0</v>
      </c>
      <c r="AJ20">
        <f t="shared" si="9"/>
        <v>0</v>
      </c>
      <c r="AK20">
        <f t="shared" si="35"/>
        <v>0</v>
      </c>
      <c r="AL20">
        <f t="shared" si="10"/>
        <v>0</v>
      </c>
      <c r="AM20">
        <f t="shared" si="11"/>
        <v>0</v>
      </c>
      <c r="AN20">
        <f t="shared" si="12"/>
        <v>0</v>
      </c>
      <c r="AO20">
        <f t="shared" si="13"/>
        <v>0</v>
      </c>
      <c r="AP20">
        <v>3</v>
      </c>
      <c r="AQ20">
        <f t="shared" si="14"/>
        <v>0</v>
      </c>
      <c r="AR20">
        <f t="shared" si="15"/>
        <v>0</v>
      </c>
      <c r="AS20">
        <f t="shared" si="36"/>
        <v>0</v>
      </c>
      <c r="AT20">
        <f t="shared" si="37"/>
        <v>0</v>
      </c>
      <c r="AU20">
        <f t="shared" si="38"/>
        <v>0</v>
      </c>
      <c r="AV20">
        <f t="shared" si="39"/>
        <v>0</v>
      </c>
      <c r="AW20">
        <f t="shared" si="40"/>
        <v>0</v>
      </c>
      <c r="AX20">
        <f t="shared" si="41"/>
        <v>0</v>
      </c>
      <c r="AY20">
        <f t="shared" si="42"/>
        <v>0</v>
      </c>
      <c r="AZ20">
        <f t="shared" si="43"/>
        <v>0</v>
      </c>
      <c r="BA20">
        <f t="shared" si="16"/>
        <v>0</v>
      </c>
      <c r="BB20">
        <f t="shared" si="16"/>
        <v>0</v>
      </c>
      <c r="BC20">
        <f t="shared" si="16"/>
        <v>0</v>
      </c>
      <c r="BD20">
        <f t="shared" si="16"/>
        <v>0</v>
      </c>
      <c r="BE20">
        <f t="shared" si="16"/>
        <v>0</v>
      </c>
      <c r="BF20">
        <f t="shared" si="16"/>
        <v>0</v>
      </c>
      <c r="BG20">
        <f t="shared" si="16"/>
        <v>0</v>
      </c>
      <c r="BH20">
        <f t="shared" si="17"/>
        <v>0</v>
      </c>
      <c r="BI20">
        <f t="shared" si="18"/>
        <v>0</v>
      </c>
      <c r="BJ20">
        <f t="shared" si="19"/>
        <v>0</v>
      </c>
      <c r="BK20">
        <f t="shared" si="20"/>
        <v>0</v>
      </c>
      <c r="BL20">
        <f t="shared" si="21"/>
        <v>0</v>
      </c>
      <c r="BM20">
        <f t="shared" si="22"/>
        <v>0</v>
      </c>
      <c r="BN20">
        <f t="shared" si="23"/>
        <v>0</v>
      </c>
      <c r="BO20">
        <f t="shared" si="24"/>
        <v>0</v>
      </c>
      <c r="BP20">
        <f t="shared" si="25"/>
        <v>0</v>
      </c>
      <c r="BQ20">
        <f t="shared" si="26"/>
        <v>0</v>
      </c>
      <c r="BR20">
        <f t="shared" si="27"/>
        <v>0</v>
      </c>
      <c r="BS20">
        <f>AT20*Pricing!F$2*IF($T$41="N",(1+$V$41),1)</f>
        <v>0</v>
      </c>
      <c r="BT20">
        <f>AU20*Pricing!G$2*IF($T$41="N",(1+$V$41),1)</f>
        <v>0</v>
      </c>
      <c r="BU20">
        <f>AV20*Pricing!H$2*IF($T$41="N",(1+$V$41),1)</f>
        <v>0</v>
      </c>
      <c r="BV20">
        <f>AW20*Pricing!I$2*IF($T$41="N",(1+$V$41),1)</f>
        <v>0</v>
      </c>
      <c r="BW20">
        <f>AX20*Pricing!J$2*IF($T$41="N",(1+$V$41),1)</f>
        <v>0</v>
      </c>
      <c r="BX20">
        <f>AY20*Pricing!K$2*IF($T$41="N",(1+$V$41),1)</f>
        <v>0</v>
      </c>
      <c r="BY20">
        <f t="shared" si="28"/>
        <v>0</v>
      </c>
      <c r="BZ20">
        <f t="shared" si="29"/>
        <v>0</v>
      </c>
      <c r="CA20">
        <f t="shared" si="30"/>
        <v>0</v>
      </c>
      <c r="CB20">
        <f t="shared" si="31"/>
        <v>0</v>
      </c>
      <c r="CC20">
        <f t="shared" si="32"/>
        <v>0</v>
      </c>
      <c r="CD20">
        <f t="shared" si="33"/>
        <v>0</v>
      </c>
      <c r="CF20">
        <f t="shared" si="34"/>
        <v>0</v>
      </c>
      <c r="IV20" s="298"/>
    </row>
    <row r="21" spans="2:256" ht="20.149999999999999" customHeight="1" x14ac:dyDescent="0.35">
      <c r="B21" s="1979" t="s">
        <v>1098</v>
      </c>
      <c r="C21" s="1980"/>
      <c r="D21" s="121">
        <v>1</v>
      </c>
      <c r="E21" s="1096"/>
      <c r="F21" s="542"/>
      <c r="G21" s="542"/>
      <c r="H21" s="542"/>
      <c r="I21" s="139"/>
      <c r="J21" s="1107">
        <f t="shared" si="44"/>
        <v>0</v>
      </c>
      <c r="K21" s="106"/>
      <c r="L21" s="140"/>
      <c r="M21" s="106"/>
      <c r="N21" s="140"/>
      <c r="O21" s="141"/>
      <c r="P21" s="106"/>
      <c r="Q21" s="139"/>
      <c r="R21" s="1109">
        <f t="shared" si="1"/>
        <v>0</v>
      </c>
      <c r="S21" s="1109">
        <f t="shared" si="2"/>
        <v>0</v>
      </c>
      <c r="T21" s="1110">
        <f>(IF(E21=0,0,IF(J$53=0,SUM(BJ21:CD21)/E21,(SUM(BS21:CD21)+BI21)/E21)))*(1+M$42+Summary!P$64)</f>
        <v>0</v>
      </c>
      <c r="U21" s="153">
        <f t="shared" si="3"/>
        <v>0</v>
      </c>
      <c r="V21" s="154">
        <f t="shared" si="4"/>
        <v>0</v>
      </c>
      <c r="W21" s="155">
        <f t="shared" si="5"/>
        <v>0</v>
      </c>
      <c r="AG21">
        <f t="shared" si="6"/>
        <v>0</v>
      </c>
      <c r="AH21">
        <f t="shared" si="7"/>
        <v>0</v>
      </c>
      <c r="AI21">
        <f t="shared" si="8"/>
        <v>0</v>
      </c>
      <c r="AJ21">
        <f t="shared" si="9"/>
        <v>0</v>
      </c>
      <c r="AK21">
        <f t="shared" si="35"/>
        <v>0</v>
      </c>
      <c r="AL21">
        <f t="shared" si="10"/>
        <v>0</v>
      </c>
      <c r="AM21">
        <f t="shared" si="11"/>
        <v>0</v>
      </c>
      <c r="AN21">
        <f t="shared" si="12"/>
        <v>0</v>
      </c>
      <c r="AO21">
        <f t="shared" si="13"/>
        <v>0</v>
      </c>
      <c r="AP21">
        <v>3</v>
      </c>
      <c r="AQ21">
        <f t="shared" si="14"/>
        <v>0</v>
      </c>
      <c r="AR21">
        <f t="shared" si="15"/>
        <v>0</v>
      </c>
      <c r="AS21">
        <f t="shared" si="36"/>
        <v>0</v>
      </c>
      <c r="AT21">
        <f t="shared" si="37"/>
        <v>0</v>
      </c>
      <c r="AU21">
        <f t="shared" si="38"/>
        <v>0</v>
      </c>
      <c r="AV21">
        <f t="shared" si="39"/>
        <v>0</v>
      </c>
      <c r="AW21">
        <f t="shared" si="40"/>
        <v>0</v>
      </c>
      <c r="AX21">
        <f t="shared" si="41"/>
        <v>0</v>
      </c>
      <c r="AY21">
        <f t="shared" si="42"/>
        <v>0</v>
      </c>
      <c r="AZ21">
        <f t="shared" si="43"/>
        <v>0</v>
      </c>
      <c r="BA21">
        <f t="shared" si="16"/>
        <v>0</v>
      </c>
      <c r="BB21">
        <f t="shared" si="16"/>
        <v>0</v>
      </c>
      <c r="BC21">
        <f t="shared" si="16"/>
        <v>0</v>
      </c>
      <c r="BD21">
        <f t="shared" si="16"/>
        <v>0</v>
      </c>
      <c r="BE21">
        <f t="shared" si="16"/>
        <v>0</v>
      </c>
      <c r="BF21">
        <f t="shared" si="16"/>
        <v>0</v>
      </c>
      <c r="BG21">
        <f t="shared" si="16"/>
        <v>0</v>
      </c>
      <c r="BH21">
        <f t="shared" si="17"/>
        <v>0</v>
      </c>
      <c r="BI21">
        <f t="shared" si="18"/>
        <v>0</v>
      </c>
      <c r="BJ21">
        <f t="shared" si="19"/>
        <v>0</v>
      </c>
      <c r="BK21">
        <f t="shared" si="20"/>
        <v>0</v>
      </c>
      <c r="BL21">
        <f t="shared" si="21"/>
        <v>0</v>
      </c>
      <c r="BM21">
        <f t="shared" si="22"/>
        <v>0</v>
      </c>
      <c r="BN21">
        <f t="shared" si="23"/>
        <v>0</v>
      </c>
      <c r="BO21">
        <f t="shared" si="24"/>
        <v>0</v>
      </c>
      <c r="BP21">
        <f t="shared" si="25"/>
        <v>0</v>
      </c>
      <c r="BQ21">
        <f t="shared" si="26"/>
        <v>0</v>
      </c>
      <c r="BR21">
        <f t="shared" si="27"/>
        <v>0</v>
      </c>
      <c r="BS21">
        <f>AT21*Pricing!F$2*IF($T$41="N",(1+$V$41),1)</f>
        <v>0</v>
      </c>
      <c r="BT21">
        <f>AU21*Pricing!G$2*IF($T$41="N",(1+$V$41),1)</f>
        <v>0</v>
      </c>
      <c r="BU21">
        <f>AV21*Pricing!H$2*IF($T$41="N",(1+$V$41),1)</f>
        <v>0</v>
      </c>
      <c r="BV21">
        <f>AW21*Pricing!I$2*IF($T$41="N",(1+$V$41),1)</f>
        <v>0</v>
      </c>
      <c r="BW21">
        <f>AX21*Pricing!J$2*IF($T$41="N",(1+$V$41),1)</f>
        <v>0</v>
      </c>
      <c r="BX21">
        <f>AY21*Pricing!K$2*IF($T$41="N",(1+$V$41),1)</f>
        <v>0</v>
      </c>
      <c r="BY21">
        <f t="shared" si="28"/>
        <v>0</v>
      </c>
      <c r="BZ21">
        <f t="shared" si="29"/>
        <v>0</v>
      </c>
      <c r="CA21">
        <f t="shared" si="30"/>
        <v>0</v>
      </c>
      <c r="CB21">
        <f t="shared" si="31"/>
        <v>0</v>
      </c>
      <c r="CC21">
        <f t="shared" si="32"/>
        <v>0</v>
      </c>
      <c r="CD21">
        <f t="shared" si="33"/>
        <v>0</v>
      </c>
      <c r="CF21">
        <f t="shared" si="34"/>
        <v>0</v>
      </c>
      <c r="IV21" s="298"/>
    </row>
    <row r="22" spans="2:256" ht="20.149999999999999" customHeight="1" x14ac:dyDescent="0.35">
      <c r="B22" s="1979" t="s">
        <v>1099</v>
      </c>
      <c r="C22" s="1980"/>
      <c r="D22" s="121">
        <v>1</v>
      </c>
      <c r="E22" s="1096"/>
      <c r="F22" s="542"/>
      <c r="G22" s="542"/>
      <c r="H22" s="542"/>
      <c r="I22" s="139"/>
      <c r="J22" s="1107">
        <f t="shared" si="44"/>
        <v>0</v>
      </c>
      <c r="K22" s="106"/>
      <c r="L22" s="140"/>
      <c r="M22" s="106"/>
      <c r="N22" s="140"/>
      <c r="O22" s="141"/>
      <c r="P22" s="106"/>
      <c r="Q22" s="139"/>
      <c r="R22" s="1109">
        <f t="shared" si="1"/>
        <v>0</v>
      </c>
      <c r="S22" s="1109">
        <f t="shared" si="2"/>
        <v>0</v>
      </c>
      <c r="T22" s="1110">
        <f>(IF(E22=0,0,IF(J$53=0,SUM(BJ22:CD22)/E22,(SUM(BS22:CD22)+BI22)/E22)))*(1+M$42+Summary!P$64)</f>
        <v>0</v>
      </c>
      <c r="U22" s="153">
        <f t="shared" si="3"/>
        <v>0</v>
      </c>
      <c r="V22" s="154">
        <f t="shared" ref="V22:V29" si="45">AM22+AR22</f>
        <v>0</v>
      </c>
      <c r="W22" s="155">
        <f t="shared" si="5"/>
        <v>0</v>
      </c>
      <c r="AG22">
        <f t="shared" ref="AG22:AG29" si="46">J22*E22</f>
        <v>0</v>
      </c>
      <c r="AH22">
        <f t="shared" si="7"/>
        <v>0</v>
      </c>
      <c r="AI22">
        <f t="shared" si="8"/>
        <v>0</v>
      </c>
      <c r="AJ22">
        <f t="shared" ref="AJ22:AJ29" si="47">IF(E22=0,0,R22/E22/J22)</f>
        <v>0</v>
      </c>
      <c r="AK22">
        <f t="shared" ref="AK22:AK29" si="48">AH22*1.4*4</f>
        <v>0</v>
      </c>
      <c r="AL22">
        <f t="shared" ref="AL22:AL29" si="49">IF(SUM(AT22:AY22)=0,0,(SUM(BS22:BX22)/SUM(AT22:AY22)*AH22))</f>
        <v>0</v>
      </c>
      <c r="AM22">
        <f t="shared" si="11"/>
        <v>0</v>
      </c>
      <c r="AN22">
        <f t="shared" si="12"/>
        <v>0</v>
      </c>
      <c r="AO22">
        <f t="shared" ref="AO22:AO29" si="50">IF(E22=0,0,SUM(BJ22:BQ22)/(E22*J22))</f>
        <v>0</v>
      </c>
      <c r="AP22">
        <v>3</v>
      </c>
      <c r="AQ22">
        <f t="shared" si="14"/>
        <v>0</v>
      </c>
      <c r="AR22">
        <f t="shared" ref="AR22:AR29" si="51">IF(SUM(AT22:AY22)=0,0,SUM(BS22:BX22)/SUM(AT22:AY22)*AI22)</f>
        <v>0</v>
      </c>
      <c r="AS22">
        <f t="shared" ref="AS22:AS29" si="52">AI22*1.3*4</f>
        <v>0</v>
      </c>
      <c r="AT22">
        <f t="shared" ref="AT22:AT29" si="53">IF($D22=1,S22,0)</f>
        <v>0</v>
      </c>
      <c r="AU22">
        <f t="shared" ref="AU22:AU29" si="54">IF($D22=2,S22,0)</f>
        <v>0</v>
      </c>
      <c r="AV22">
        <f t="shared" ref="AV22:AV29" si="55">IF($D22=3,S22,0)</f>
        <v>0</v>
      </c>
      <c r="AW22">
        <f t="shared" ref="AW22:AW29" si="56">IF($D22=4,S22,0)</f>
        <v>0</v>
      </c>
      <c r="AX22">
        <f t="shared" ref="AX22:AX29" si="57">IF($D22=5,S22,0)</f>
        <v>0</v>
      </c>
      <c r="AY22">
        <f t="shared" ref="AY22:AY29" si="58">IF($D22=6,S22,0)</f>
        <v>0</v>
      </c>
      <c r="AZ22">
        <f t="shared" ref="AZ22:AZ29" si="59">IF(F22&gt;0,IF(F22&lt;=AZ$11,E22*$J22,0),0)</f>
        <v>0</v>
      </c>
      <c r="BA22">
        <f t="shared" ref="BA22:BG22" si="60">IF($F22&gt;AZ$11,IF($F22&lt;=BA$11,$E22*$J22,0),0)</f>
        <v>0</v>
      </c>
      <c r="BB22">
        <f t="shared" si="60"/>
        <v>0</v>
      </c>
      <c r="BC22">
        <f t="shared" si="60"/>
        <v>0</v>
      </c>
      <c r="BD22">
        <f t="shared" si="60"/>
        <v>0</v>
      </c>
      <c r="BE22">
        <f t="shared" si="60"/>
        <v>0</v>
      </c>
      <c r="BF22">
        <f t="shared" si="60"/>
        <v>0</v>
      </c>
      <c r="BG22">
        <f t="shared" si="60"/>
        <v>0</v>
      </c>
      <c r="BH22">
        <f t="shared" ref="BH22:BH29" si="61">I22*E22</f>
        <v>0</v>
      </c>
      <c r="BI22">
        <f t="shared" si="18"/>
        <v>0</v>
      </c>
      <c r="BJ22">
        <f t="shared" si="19"/>
        <v>0</v>
      </c>
      <c r="BK22">
        <f t="shared" si="20"/>
        <v>0</v>
      </c>
      <c r="BL22">
        <f t="shared" si="21"/>
        <v>0</v>
      </c>
      <c r="BM22">
        <f t="shared" si="22"/>
        <v>0</v>
      </c>
      <c r="BN22">
        <f t="shared" si="23"/>
        <v>0</v>
      </c>
      <c r="BO22">
        <f t="shared" si="24"/>
        <v>0</v>
      </c>
      <c r="BP22">
        <f t="shared" si="25"/>
        <v>0</v>
      </c>
      <c r="BQ22">
        <f t="shared" si="26"/>
        <v>0</v>
      </c>
      <c r="BR22">
        <f t="shared" si="27"/>
        <v>0</v>
      </c>
      <c r="BS22">
        <f>AT22*Pricing!F$2*IF($T$41="N",(1+$V$41),1)</f>
        <v>0</v>
      </c>
      <c r="BT22">
        <f>AU22*Pricing!G$2*IF($T$41="N",(1+$V$41),1)</f>
        <v>0</v>
      </c>
      <c r="BU22">
        <f>AV22*Pricing!H$2*IF($T$41="N",(1+$V$41),1)</f>
        <v>0</v>
      </c>
      <c r="BV22">
        <f>AW22*Pricing!I$2*IF($T$41="N",(1+$V$41),1)</f>
        <v>0</v>
      </c>
      <c r="BW22">
        <f>AX22*Pricing!J$2*IF($T$41="N",(1+$V$41),1)</f>
        <v>0</v>
      </c>
      <c r="BX22">
        <f>AY22*Pricing!K$2*IF($T$41="N",(1+$V$41),1)</f>
        <v>0</v>
      </c>
      <c r="BY22">
        <f t="shared" si="28"/>
        <v>0</v>
      </c>
      <c r="BZ22">
        <f t="shared" si="29"/>
        <v>0</v>
      </c>
      <c r="CA22">
        <f t="shared" si="30"/>
        <v>0</v>
      </c>
      <c r="CB22">
        <f t="shared" si="31"/>
        <v>0</v>
      </c>
      <c r="CC22">
        <f t="shared" si="32"/>
        <v>0</v>
      </c>
      <c r="CD22">
        <f t="shared" si="33"/>
        <v>0</v>
      </c>
      <c r="CF22">
        <f t="shared" ref="CF22:CF29" si="62">T22*E22</f>
        <v>0</v>
      </c>
      <c r="IV22" s="298"/>
    </row>
    <row r="23" spans="2:256" ht="20.149999999999999" customHeight="1" x14ac:dyDescent="0.35">
      <c r="B23" s="1979" t="s">
        <v>1100</v>
      </c>
      <c r="C23" s="1980"/>
      <c r="D23" s="121">
        <v>1</v>
      </c>
      <c r="E23" s="1096"/>
      <c r="F23" s="542"/>
      <c r="G23" s="542"/>
      <c r="H23" s="542"/>
      <c r="I23" s="139"/>
      <c r="J23" s="1107">
        <f>G23+H23</f>
        <v>0</v>
      </c>
      <c r="K23" s="106"/>
      <c r="L23" s="140"/>
      <c r="M23" s="106"/>
      <c r="N23" s="140"/>
      <c r="O23" s="141"/>
      <c r="P23" s="106"/>
      <c r="Q23" s="139"/>
      <c r="R23" s="1109">
        <f t="shared" si="1"/>
        <v>0</v>
      </c>
      <c r="S23" s="1109">
        <f t="shared" si="2"/>
        <v>0</v>
      </c>
      <c r="T23" s="1110">
        <f>(IF(E23=0,0,IF(J$53=0,SUM(BJ23:CD23)/E23,(SUM(BS23:CD23)+BI23)/E23)))*(1+M$42+Summary!P$64)</f>
        <v>0</v>
      </c>
      <c r="U23" s="153">
        <f t="shared" si="3"/>
        <v>0</v>
      </c>
      <c r="V23" s="154">
        <f t="shared" si="45"/>
        <v>0</v>
      </c>
      <c r="W23" s="155">
        <f t="shared" si="5"/>
        <v>0</v>
      </c>
      <c r="AG23">
        <f t="shared" si="46"/>
        <v>0</v>
      </c>
      <c r="AH23">
        <f t="shared" si="7"/>
        <v>0</v>
      </c>
      <c r="AI23">
        <f t="shared" si="8"/>
        <v>0</v>
      </c>
      <c r="AJ23">
        <f t="shared" si="47"/>
        <v>0</v>
      </c>
      <c r="AK23">
        <f t="shared" si="48"/>
        <v>0</v>
      </c>
      <c r="AL23">
        <f t="shared" si="49"/>
        <v>0</v>
      </c>
      <c r="AM23">
        <f t="shared" si="11"/>
        <v>0</v>
      </c>
      <c r="AN23">
        <f t="shared" si="12"/>
        <v>0</v>
      </c>
      <c r="AO23">
        <f t="shared" si="50"/>
        <v>0</v>
      </c>
      <c r="AP23">
        <v>3</v>
      </c>
      <c r="AQ23">
        <f t="shared" si="14"/>
        <v>0</v>
      </c>
      <c r="AR23">
        <f t="shared" si="51"/>
        <v>0</v>
      </c>
      <c r="AS23">
        <f t="shared" si="52"/>
        <v>0</v>
      </c>
      <c r="AT23">
        <f t="shared" si="53"/>
        <v>0</v>
      </c>
      <c r="AU23">
        <f t="shared" si="54"/>
        <v>0</v>
      </c>
      <c r="AV23">
        <f t="shared" si="55"/>
        <v>0</v>
      </c>
      <c r="AW23">
        <f t="shared" si="56"/>
        <v>0</v>
      </c>
      <c r="AX23">
        <f t="shared" si="57"/>
        <v>0</v>
      </c>
      <c r="AY23">
        <f t="shared" si="58"/>
        <v>0</v>
      </c>
      <c r="AZ23">
        <f t="shared" si="59"/>
        <v>0</v>
      </c>
      <c r="BA23">
        <f t="shared" ref="BA23:BG23" si="63">IF($F23&gt;AZ$11,IF($F23&lt;=BA$11,$E23*$J23,0),0)</f>
        <v>0</v>
      </c>
      <c r="BB23">
        <f t="shared" si="63"/>
        <v>0</v>
      </c>
      <c r="BC23">
        <f t="shared" si="63"/>
        <v>0</v>
      </c>
      <c r="BD23">
        <f t="shared" si="63"/>
        <v>0</v>
      </c>
      <c r="BE23">
        <f t="shared" si="63"/>
        <v>0</v>
      </c>
      <c r="BF23">
        <f t="shared" si="63"/>
        <v>0</v>
      </c>
      <c r="BG23">
        <f t="shared" si="63"/>
        <v>0</v>
      </c>
      <c r="BH23">
        <f t="shared" si="61"/>
        <v>0</v>
      </c>
      <c r="BI23">
        <f t="shared" si="18"/>
        <v>0</v>
      </c>
      <c r="BJ23">
        <f t="shared" si="19"/>
        <v>0</v>
      </c>
      <c r="BK23">
        <f t="shared" si="20"/>
        <v>0</v>
      </c>
      <c r="BL23">
        <f t="shared" si="21"/>
        <v>0</v>
      </c>
      <c r="BM23">
        <f t="shared" si="22"/>
        <v>0</v>
      </c>
      <c r="BN23">
        <f t="shared" si="23"/>
        <v>0</v>
      </c>
      <c r="BO23">
        <f t="shared" si="24"/>
        <v>0</v>
      </c>
      <c r="BP23">
        <f t="shared" si="25"/>
        <v>0</v>
      </c>
      <c r="BQ23">
        <f t="shared" si="26"/>
        <v>0</v>
      </c>
      <c r="BR23">
        <f t="shared" si="27"/>
        <v>0</v>
      </c>
      <c r="BS23">
        <f>AT23*Pricing!F$2*IF($T$41="N",(1+$V$41),1)</f>
        <v>0</v>
      </c>
      <c r="BT23">
        <f>AU23*Pricing!G$2*IF($T$41="N",(1+$V$41),1)</f>
        <v>0</v>
      </c>
      <c r="BU23">
        <f>AV23*Pricing!H$2*IF($T$41="N",(1+$V$41),1)</f>
        <v>0</v>
      </c>
      <c r="BV23">
        <f>AW23*Pricing!I$2*IF($T$41="N",(1+$V$41),1)</f>
        <v>0</v>
      </c>
      <c r="BW23">
        <f>AX23*Pricing!J$2*IF($T$41="N",(1+$V$41),1)</f>
        <v>0</v>
      </c>
      <c r="BX23">
        <f>AY23*Pricing!K$2*IF($T$41="N",(1+$V$41),1)</f>
        <v>0</v>
      </c>
      <c r="BY23">
        <f t="shared" si="28"/>
        <v>0</v>
      </c>
      <c r="BZ23">
        <f t="shared" si="29"/>
        <v>0</v>
      </c>
      <c r="CA23">
        <f t="shared" si="30"/>
        <v>0</v>
      </c>
      <c r="CB23">
        <f t="shared" si="31"/>
        <v>0</v>
      </c>
      <c r="CC23">
        <f t="shared" si="32"/>
        <v>0</v>
      </c>
      <c r="CD23">
        <f t="shared" si="33"/>
        <v>0</v>
      </c>
      <c r="CF23">
        <f t="shared" si="62"/>
        <v>0</v>
      </c>
      <c r="IV23" s="298"/>
    </row>
    <row r="24" spans="2:256" ht="20.149999999999999" customHeight="1" x14ac:dyDescent="0.35">
      <c r="B24" s="1979" t="s">
        <v>1101</v>
      </c>
      <c r="C24" s="1980"/>
      <c r="D24" s="121">
        <v>1</v>
      </c>
      <c r="E24" s="1096"/>
      <c r="F24" s="542"/>
      <c r="G24" s="542"/>
      <c r="H24" s="542"/>
      <c r="I24" s="139"/>
      <c r="J24" s="1107">
        <f t="shared" ref="J24:J31" si="64">G24+H24</f>
        <v>0</v>
      </c>
      <c r="K24" s="106"/>
      <c r="L24" s="140"/>
      <c r="M24" s="106"/>
      <c r="N24" s="140"/>
      <c r="O24" s="141"/>
      <c r="P24" s="106"/>
      <c r="Q24" s="139"/>
      <c r="R24" s="1109">
        <f t="shared" si="1"/>
        <v>0</v>
      </c>
      <c r="S24" s="1109">
        <f t="shared" si="2"/>
        <v>0</v>
      </c>
      <c r="T24" s="1110">
        <f>(IF(E24=0,0,IF(J$53=0,SUM(BJ24:CD24)/E24,(SUM(BS24:CD24)+BI24)/E24)))*(1+M$42+Summary!P$64)</f>
        <v>0</v>
      </c>
      <c r="U24" s="153">
        <f t="shared" si="3"/>
        <v>0</v>
      </c>
      <c r="V24" s="154">
        <f t="shared" si="45"/>
        <v>0</v>
      </c>
      <c r="W24" s="155">
        <f t="shared" si="5"/>
        <v>0</v>
      </c>
      <c r="AG24">
        <f t="shared" si="46"/>
        <v>0</v>
      </c>
      <c r="AH24">
        <f t="shared" si="7"/>
        <v>0</v>
      </c>
      <c r="AI24">
        <f t="shared" si="8"/>
        <v>0</v>
      </c>
      <c r="AJ24">
        <f t="shared" si="47"/>
        <v>0</v>
      </c>
      <c r="AK24">
        <f t="shared" si="48"/>
        <v>0</v>
      </c>
      <c r="AL24">
        <f t="shared" si="49"/>
        <v>0</v>
      </c>
      <c r="AM24">
        <f t="shared" si="11"/>
        <v>0</v>
      </c>
      <c r="AN24">
        <f t="shared" si="12"/>
        <v>0</v>
      </c>
      <c r="AO24">
        <f t="shared" si="50"/>
        <v>0</v>
      </c>
      <c r="AP24">
        <v>3</v>
      </c>
      <c r="AQ24">
        <f t="shared" si="14"/>
        <v>0</v>
      </c>
      <c r="AR24">
        <f t="shared" si="51"/>
        <v>0</v>
      </c>
      <c r="AS24">
        <f t="shared" si="52"/>
        <v>0</v>
      </c>
      <c r="AT24">
        <f t="shared" si="53"/>
        <v>0</v>
      </c>
      <c r="AU24">
        <f t="shared" si="54"/>
        <v>0</v>
      </c>
      <c r="AV24">
        <f t="shared" si="55"/>
        <v>0</v>
      </c>
      <c r="AW24">
        <f t="shared" si="56"/>
        <v>0</v>
      </c>
      <c r="AX24">
        <f t="shared" si="57"/>
        <v>0</v>
      </c>
      <c r="AY24">
        <f t="shared" si="58"/>
        <v>0</v>
      </c>
      <c r="AZ24">
        <f t="shared" si="59"/>
        <v>0</v>
      </c>
      <c r="BA24">
        <f t="shared" ref="BA24:BG24" si="65">IF($F24&gt;AZ$11,IF($F24&lt;=BA$11,$E24*$J24,0),0)</f>
        <v>0</v>
      </c>
      <c r="BB24">
        <f t="shared" si="65"/>
        <v>0</v>
      </c>
      <c r="BC24">
        <f t="shared" si="65"/>
        <v>0</v>
      </c>
      <c r="BD24">
        <f t="shared" si="65"/>
        <v>0</v>
      </c>
      <c r="BE24">
        <f t="shared" si="65"/>
        <v>0</v>
      </c>
      <c r="BF24">
        <f t="shared" si="65"/>
        <v>0</v>
      </c>
      <c r="BG24">
        <f t="shared" si="65"/>
        <v>0</v>
      </c>
      <c r="BH24">
        <f t="shared" si="61"/>
        <v>0</v>
      </c>
      <c r="BI24">
        <f t="shared" si="18"/>
        <v>0</v>
      </c>
      <c r="BJ24">
        <f t="shared" si="19"/>
        <v>0</v>
      </c>
      <c r="BK24">
        <f t="shared" si="20"/>
        <v>0</v>
      </c>
      <c r="BL24">
        <f t="shared" si="21"/>
        <v>0</v>
      </c>
      <c r="BM24">
        <f t="shared" si="22"/>
        <v>0</v>
      </c>
      <c r="BN24">
        <f t="shared" si="23"/>
        <v>0</v>
      </c>
      <c r="BO24">
        <f t="shared" si="24"/>
        <v>0</v>
      </c>
      <c r="BP24">
        <f t="shared" si="25"/>
        <v>0</v>
      </c>
      <c r="BQ24">
        <f t="shared" si="26"/>
        <v>0</v>
      </c>
      <c r="BR24">
        <f t="shared" si="27"/>
        <v>0</v>
      </c>
      <c r="BS24">
        <f>AT24*Pricing!F$2*IF($T$41="N",(1+$V$41),1)</f>
        <v>0</v>
      </c>
      <c r="BT24">
        <f>AU24*Pricing!G$2*IF($T$41="N",(1+$V$41),1)</f>
        <v>0</v>
      </c>
      <c r="BU24">
        <f>AV24*Pricing!H$2*IF($T$41="N",(1+$V$41),1)</f>
        <v>0</v>
      </c>
      <c r="BV24">
        <f>AW24*Pricing!I$2*IF($T$41="N",(1+$V$41),1)</f>
        <v>0</v>
      </c>
      <c r="BW24">
        <f>AX24*Pricing!J$2*IF($T$41="N",(1+$V$41),1)</f>
        <v>0</v>
      </c>
      <c r="BX24">
        <f>AY24*Pricing!K$2*IF($T$41="N",(1+$V$41),1)</f>
        <v>0</v>
      </c>
      <c r="BY24">
        <f t="shared" si="28"/>
        <v>0</v>
      </c>
      <c r="BZ24">
        <f t="shared" si="29"/>
        <v>0</v>
      </c>
      <c r="CA24">
        <f t="shared" si="30"/>
        <v>0</v>
      </c>
      <c r="CB24">
        <f t="shared" si="31"/>
        <v>0</v>
      </c>
      <c r="CC24">
        <f t="shared" si="32"/>
        <v>0</v>
      </c>
      <c r="CD24">
        <f t="shared" si="33"/>
        <v>0</v>
      </c>
      <c r="CF24">
        <f t="shared" si="62"/>
        <v>0</v>
      </c>
      <c r="IV24" s="298"/>
    </row>
    <row r="25" spans="2:256" ht="20.149999999999999" customHeight="1" x14ac:dyDescent="0.35">
      <c r="B25" s="1979" t="s">
        <v>1102</v>
      </c>
      <c r="C25" s="1980"/>
      <c r="D25" s="121">
        <v>1</v>
      </c>
      <c r="E25" s="1096"/>
      <c r="F25" s="542"/>
      <c r="G25" s="542"/>
      <c r="H25" s="542"/>
      <c r="I25" s="139"/>
      <c r="J25" s="1107">
        <f t="shared" si="64"/>
        <v>0</v>
      </c>
      <c r="K25" s="106"/>
      <c r="L25" s="140"/>
      <c r="M25" s="106"/>
      <c r="N25" s="140"/>
      <c r="O25" s="141"/>
      <c r="P25" s="106"/>
      <c r="Q25" s="139"/>
      <c r="R25" s="1109">
        <f t="shared" si="1"/>
        <v>0</v>
      </c>
      <c r="S25" s="1109">
        <f t="shared" si="2"/>
        <v>0</v>
      </c>
      <c r="T25" s="1110">
        <f>(IF(E25=0,0,IF(J$53=0,SUM(BJ25:CD25)/E25,(SUM(BS25:CD25)+BI25)/E25)))*(1+M$42+Summary!P$64)</f>
        <v>0</v>
      </c>
      <c r="U25" s="153">
        <f t="shared" si="3"/>
        <v>0</v>
      </c>
      <c r="V25" s="154">
        <f t="shared" si="45"/>
        <v>0</v>
      </c>
      <c r="W25" s="155">
        <f t="shared" si="5"/>
        <v>0</v>
      </c>
      <c r="AG25">
        <f t="shared" si="46"/>
        <v>0</v>
      </c>
      <c r="AH25">
        <f t="shared" si="7"/>
        <v>0</v>
      </c>
      <c r="AI25">
        <f t="shared" si="8"/>
        <v>0</v>
      </c>
      <c r="AJ25">
        <f t="shared" si="47"/>
        <v>0</v>
      </c>
      <c r="AK25">
        <f t="shared" si="48"/>
        <v>0</v>
      </c>
      <c r="AL25">
        <f t="shared" si="49"/>
        <v>0</v>
      </c>
      <c r="AM25">
        <f t="shared" si="11"/>
        <v>0</v>
      </c>
      <c r="AN25">
        <f t="shared" si="12"/>
        <v>0</v>
      </c>
      <c r="AO25">
        <f t="shared" si="50"/>
        <v>0</v>
      </c>
      <c r="AP25">
        <v>3</v>
      </c>
      <c r="AQ25">
        <f t="shared" si="14"/>
        <v>0</v>
      </c>
      <c r="AR25">
        <f t="shared" si="51"/>
        <v>0</v>
      </c>
      <c r="AS25">
        <f t="shared" si="52"/>
        <v>0</v>
      </c>
      <c r="AT25">
        <f t="shared" si="53"/>
        <v>0</v>
      </c>
      <c r="AU25">
        <f t="shared" si="54"/>
        <v>0</v>
      </c>
      <c r="AV25">
        <f t="shared" si="55"/>
        <v>0</v>
      </c>
      <c r="AW25">
        <f t="shared" si="56"/>
        <v>0</v>
      </c>
      <c r="AX25">
        <f t="shared" si="57"/>
        <v>0</v>
      </c>
      <c r="AY25">
        <f t="shared" si="58"/>
        <v>0</v>
      </c>
      <c r="AZ25">
        <f t="shared" si="59"/>
        <v>0</v>
      </c>
      <c r="BA25">
        <f t="shared" ref="BA25:BG25" si="66">IF($F25&gt;AZ$11,IF($F25&lt;=BA$11,$E25*$J25,0),0)</f>
        <v>0</v>
      </c>
      <c r="BB25">
        <f t="shared" si="66"/>
        <v>0</v>
      </c>
      <c r="BC25">
        <f t="shared" si="66"/>
        <v>0</v>
      </c>
      <c r="BD25">
        <f t="shared" si="66"/>
        <v>0</v>
      </c>
      <c r="BE25">
        <f t="shared" si="66"/>
        <v>0</v>
      </c>
      <c r="BF25">
        <f t="shared" si="66"/>
        <v>0</v>
      </c>
      <c r="BG25">
        <f t="shared" si="66"/>
        <v>0</v>
      </c>
      <c r="BH25">
        <f t="shared" si="61"/>
        <v>0</v>
      </c>
      <c r="BI25">
        <f t="shared" si="18"/>
        <v>0</v>
      </c>
      <c r="BJ25">
        <f t="shared" si="19"/>
        <v>0</v>
      </c>
      <c r="BK25">
        <f t="shared" si="20"/>
        <v>0</v>
      </c>
      <c r="BL25">
        <f t="shared" si="21"/>
        <v>0</v>
      </c>
      <c r="BM25">
        <f t="shared" si="22"/>
        <v>0</v>
      </c>
      <c r="BN25">
        <f t="shared" si="23"/>
        <v>0</v>
      </c>
      <c r="BO25">
        <f t="shared" si="24"/>
        <v>0</v>
      </c>
      <c r="BP25">
        <f t="shared" si="25"/>
        <v>0</v>
      </c>
      <c r="BQ25">
        <f t="shared" si="26"/>
        <v>0</v>
      </c>
      <c r="BR25">
        <f t="shared" si="27"/>
        <v>0</v>
      </c>
      <c r="BS25">
        <f>AT25*Pricing!F$2*IF($T$41="N",(1+$V$41),1)</f>
        <v>0</v>
      </c>
      <c r="BT25">
        <f>AU25*Pricing!G$2*IF($T$41="N",(1+$V$41),1)</f>
        <v>0</v>
      </c>
      <c r="BU25">
        <f>AV25*Pricing!H$2*IF($T$41="N",(1+$V$41),1)</f>
        <v>0</v>
      </c>
      <c r="BV25">
        <f>AW25*Pricing!I$2*IF($T$41="N",(1+$V$41),1)</f>
        <v>0</v>
      </c>
      <c r="BW25">
        <f>AX25*Pricing!J$2*IF($T$41="N",(1+$V$41),1)</f>
        <v>0</v>
      </c>
      <c r="BX25">
        <f>AY25*Pricing!K$2*IF($T$41="N",(1+$V$41),1)</f>
        <v>0</v>
      </c>
      <c r="BY25">
        <f t="shared" si="28"/>
        <v>0</v>
      </c>
      <c r="BZ25">
        <f t="shared" si="29"/>
        <v>0</v>
      </c>
      <c r="CA25">
        <f t="shared" si="30"/>
        <v>0</v>
      </c>
      <c r="CB25">
        <f t="shared" si="31"/>
        <v>0</v>
      </c>
      <c r="CC25">
        <f t="shared" si="32"/>
        <v>0</v>
      </c>
      <c r="CD25">
        <f t="shared" si="33"/>
        <v>0</v>
      </c>
      <c r="CF25">
        <f t="shared" si="62"/>
        <v>0</v>
      </c>
      <c r="IV25" s="298"/>
    </row>
    <row r="26" spans="2:256" ht="20.149999999999999" customHeight="1" x14ac:dyDescent="0.35">
      <c r="B26" s="1979" t="s">
        <v>1103</v>
      </c>
      <c r="C26" s="1980"/>
      <c r="D26" s="121">
        <v>1</v>
      </c>
      <c r="E26" s="1096"/>
      <c r="F26" s="542"/>
      <c r="G26" s="542"/>
      <c r="H26" s="542"/>
      <c r="I26" s="139"/>
      <c r="J26" s="1107">
        <f t="shared" si="64"/>
        <v>0</v>
      </c>
      <c r="K26" s="106"/>
      <c r="L26" s="140"/>
      <c r="M26" s="106"/>
      <c r="N26" s="140"/>
      <c r="O26" s="141"/>
      <c r="P26" s="106"/>
      <c r="Q26" s="139"/>
      <c r="R26" s="1109">
        <f t="shared" si="1"/>
        <v>0</v>
      </c>
      <c r="S26" s="1109">
        <f t="shared" si="2"/>
        <v>0</v>
      </c>
      <c r="T26" s="1110">
        <f>(IF(E26=0,0,IF(J$53=0,SUM(BJ26:CD26)/E26,(SUM(BS26:CD26)+BI26)/E26)))*(1+M$42+Summary!P$64)</f>
        <v>0</v>
      </c>
      <c r="U26" s="153">
        <f t="shared" si="3"/>
        <v>0</v>
      </c>
      <c r="V26" s="154">
        <f t="shared" si="45"/>
        <v>0</v>
      </c>
      <c r="W26" s="155">
        <f t="shared" si="5"/>
        <v>0</v>
      </c>
      <c r="AG26">
        <f t="shared" si="46"/>
        <v>0</v>
      </c>
      <c r="AH26">
        <f t="shared" si="7"/>
        <v>0</v>
      </c>
      <c r="AI26">
        <f t="shared" si="8"/>
        <v>0</v>
      </c>
      <c r="AJ26">
        <f t="shared" si="47"/>
        <v>0</v>
      </c>
      <c r="AK26">
        <f t="shared" si="48"/>
        <v>0</v>
      </c>
      <c r="AL26">
        <f t="shared" si="49"/>
        <v>0</v>
      </c>
      <c r="AM26">
        <f t="shared" si="11"/>
        <v>0</v>
      </c>
      <c r="AN26">
        <f t="shared" si="12"/>
        <v>0</v>
      </c>
      <c r="AO26">
        <f t="shared" si="50"/>
        <v>0</v>
      </c>
      <c r="AP26">
        <v>3</v>
      </c>
      <c r="AQ26">
        <f t="shared" si="14"/>
        <v>0</v>
      </c>
      <c r="AR26">
        <f t="shared" si="51"/>
        <v>0</v>
      </c>
      <c r="AS26">
        <f t="shared" si="52"/>
        <v>0</v>
      </c>
      <c r="AT26">
        <f t="shared" si="53"/>
        <v>0</v>
      </c>
      <c r="AU26">
        <f t="shared" si="54"/>
        <v>0</v>
      </c>
      <c r="AV26">
        <f t="shared" si="55"/>
        <v>0</v>
      </c>
      <c r="AW26">
        <f t="shared" si="56"/>
        <v>0</v>
      </c>
      <c r="AX26">
        <f t="shared" si="57"/>
        <v>0</v>
      </c>
      <c r="AY26">
        <f t="shared" si="58"/>
        <v>0</v>
      </c>
      <c r="AZ26">
        <f t="shared" si="59"/>
        <v>0</v>
      </c>
      <c r="BA26">
        <f t="shared" ref="BA26:BG26" si="67">IF($F26&gt;AZ$11,IF($F26&lt;=BA$11,$E26*$J26,0),0)</f>
        <v>0</v>
      </c>
      <c r="BB26">
        <f t="shared" si="67"/>
        <v>0</v>
      </c>
      <c r="BC26">
        <f t="shared" si="67"/>
        <v>0</v>
      </c>
      <c r="BD26">
        <f t="shared" si="67"/>
        <v>0</v>
      </c>
      <c r="BE26">
        <f t="shared" si="67"/>
        <v>0</v>
      </c>
      <c r="BF26">
        <f t="shared" si="67"/>
        <v>0</v>
      </c>
      <c r="BG26">
        <f t="shared" si="67"/>
        <v>0</v>
      </c>
      <c r="BH26">
        <f t="shared" si="61"/>
        <v>0</v>
      </c>
      <c r="BI26">
        <f t="shared" si="18"/>
        <v>0</v>
      </c>
      <c r="BJ26">
        <f t="shared" si="19"/>
        <v>0</v>
      </c>
      <c r="BK26">
        <f t="shared" si="20"/>
        <v>0</v>
      </c>
      <c r="BL26">
        <f t="shared" si="21"/>
        <v>0</v>
      </c>
      <c r="BM26">
        <f t="shared" si="22"/>
        <v>0</v>
      </c>
      <c r="BN26">
        <f t="shared" si="23"/>
        <v>0</v>
      </c>
      <c r="BO26">
        <f t="shared" si="24"/>
        <v>0</v>
      </c>
      <c r="BP26">
        <f t="shared" si="25"/>
        <v>0</v>
      </c>
      <c r="BQ26">
        <f t="shared" si="26"/>
        <v>0</v>
      </c>
      <c r="BR26">
        <f t="shared" si="27"/>
        <v>0</v>
      </c>
      <c r="BS26">
        <f>AT26*Pricing!F$2*IF($T$41="N",(1+$V$41),1)</f>
        <v>0</v>
      </c>
      <c r="BT26">
        <f>AU26*Pricing!G$2*IF($T$41="N",(1+$V$41),1)</f>
        <v>0</v>
      </c>
      <c r="BU26">
        <f>AV26*Pricing!H$2*IF($T$41="N",(1+$V$41),1)</f>
        <v>0</v>
      </c>
      <c r="BV26">
        <f>AW26*Pricing!I$2*IF($T$41="N",(1+$V$41),1)</f>
        <v>0</v>
      </c>
      <c r="BW26">
        <f>AX26*Pricing!J$2*IF($T$41="N",(1+$V$41),1)</f>
        <v>0</v>
      </c>
      <c r="BX26">
        <f>AY26*Pricing!K$2*IF($T$41="N",(1+$V$41),1)</f>
        <v>0</v>
      </c>
      <c r="BY26">
        <f t="shared" si="28"/>
        <v>0</v>
      </c>
      <c r="BZ26">
        <f t="shared" si="29"/>
        <v>0</v>
      </c>
      <c r="CA26">
        <f t="shared" si="30"/>
        <v>0</v>
      </c>
      <c r="CB26">
        <f t="shared" si="31"/>
        <v>0</v>
      </c>
      <c r="CC26">
        <f t="shared" si="32"/>
        <v>0</v>
      </c>
      <c r="CD26">
        <f t="shared" si="33"/>
        <v>0</v>
      </c>
      <c r="CF26">
        <f t="shared" si="62"/>
        <v>0</v>
      </c>
      <c r="IV26" s="298"/>
    </row>
    <row r="27" spans="2:256" ht="20.149999999999999" customHeight="1" x14ac:dyDescent="0.35">
      <c r="B27" s="1979" t="s">
        <v>1104</v>
      </c>
      <c r="C27" s="1980"/>
      <c r="D27" s="121">
        <v>1</v>
      </c>
      <c r="E27" s="1096"/>
      <c r="F27" s="542"/>
      <c r="G27" s="542"/>
      <c r="H27" s="542"/>
      <c r="I27" s="139"/>
      <c r="J27" s="1107">
        <f t="shared" si="64"/>
        <v>0</v>
      </c>
      <c r="K27" s="106"/>
      <c r="L27" s="140"/>
      <c r="M27" s="106"/>
      <c r="N27" s="140"/>
      <c r="O27" s="141"/>
      <c r="P27" s="106"/>
      <c r="Q27" s="139"/>
      <c r="R27" s="1109">
        <f t="shared" si="1"/>
        <v>0</v>
      </c>
      <c r="S27" s="1109">
        <f t="shared" si="2"/>
        <v>0</v>
      </c>
      <c r="T27" s="1110">
        <f>(IF(E27=0,0,IF(J$53=0,SUM(BJ27:CD27)/E27,(SUM(BS27:CD27)+BI27)/E27)))*(1+M$42+Summary!P$64)</f>
        <v>0</v>
      </c>
      <c r="U27" s="153">
        <f t="shared" si="3"/>
        <v>0</v>
      </c>
      <c r="V27" s="154">
        <f t="shared" si="45"/>
        <v>0</v>
      </c>
      <c r="W27" s="155">
        <f t="shared" si="5"/>
        <v>0</v>
      </c>
      <c r="AG27">
        <f t="shared" si="46"/>
        <v>0</v>
      </c>
      <c r="AH27">
        <f t="shared" si="7"/>
        <v>0</v>
      </c>
      <c r="AI27">
        <f t="shared" si="8"/>
        <v>0</v>
      </c>
      <c r="AJ27">
        <f t="shared" si="47"/>
        <v>0</v>
      </c>
      <c r="AK27">
        <f t="shared" si="48"/>
        <v>0</v>
      </c>
      <c r="AL27">
        <f t="shared" si="49"/>
        <v>0</v>
      </c>
      <c r="AM27">
        <f t="shared" si="11"/>
        <v>0</v>
      </c>
      <c r="AN27">
        <f t="shared" si="12"/>
        <v>0</v>
      </c>
      <c r="AO27">
        <f t="shared" si="50"/>
        <v>0</v>
      </c>
      <c r="AP27">
        <v>3</v>
      </c>
      <c r="AQ27">
        <f t="shared" si="14"/>
        <v>0</v>
      </c>
      <c r="AR27">
        <f t="shared" si="51"/>
        <v>0</v>
      </c>
      <c r="AS27">
        <f t="shared" si="52"/>
        <v>0</v>
      </c>
      <c r="AT27">
        <f t="shared" si="53"/>
        <v>0</v>
      </c>
      <c r="AU27">
        <f t="shared" si="54"/>
        <v>0</v>
      </c>
      <c r="AV27">
        <f t="shared" si="55"/>
        <v>0</v>
      </c>
      <c r="AW27">
        <f t="shared" si="56"/>
        <v>0</v>
      </c>
      <c r="AX27">
        <f t="shared" si="57"/>
        <v>0</v>
      </c>
      <c r="AY27">
        <f t="shared" si="58"/>
        <v>0</v>
      </c>
      <c r="AZ27">
        <f t="shared" si="59"/>
        <v>0</v>
      </c>
      <c r="BA27">
        <f t="shared" ref="BA27:BG27" si="68">IF($F27&gt;AZ$11,IF($F27&lt;=BA$11,$E27*$J27,0),0)</f>
        <v>0</v>
      </c>
      <c r="BB27">
        <f t="shared" si="68"/>
        <v>0</v>
      </c>
      <c r="BC27">
        <f t="shared" si="68"/>
        <v>0</v>
      </c>
      <c r="BD27">
        <f t="shared" si="68"/>
        <v>0</v>
      </c>
      <c r="BE27">
        <f t="shared" si="68"/>
        <v>0</v>
      </c>
      <c r="BF27">
        <f t="shared" si="68"/>
        <v>0</v>
      </c>
      <c r="BG27">
        <f t="shared" si="68"/>
        <v>0</v>
      </c>
      <c r="BH27">
        <f t="shared" si="61"/>
        <v>0</v>
      </c>
      <c r="BI27">
        <f t="shared" si="18"/>
        <v>0</v>
      </c>
      <c r="BJ27">
        <f t="shared" si="19"/>
        <v>0</v>
      </c>
      <c r="BK27">
        <f t="shared" si="20"/>
        <v>0</v>
      </c>
      <c r="BL27">
        <f t="shared" si="21"/>
        <v>0</v>
      </c>
      <c r="BM27">
        <f t="shared" si="22"/>
        <v>0</v>
      </c>
      <c r="BN27">
        <f t="shared" si="23"/>
        <v>0</v>
      </c>
      <c r="BO27">
        <f t="shared" si="24"/>
        <v>0</v>
      </c>
      <c r="BP27">
        <f t="shared" si="25"/>
        <v>0</v>
      </c>
      <c r="BQ27">
        <f t="shared" si="26"/>
        <v>0</v>
      </c>
      <c r="BR27">
        <f t="shared" si="27"/>
        <v>0</v>
      </c>
      <c r="BS27">
        <f>AT27*Pricing!F$2*IF($T$41="N",(1+$V$41),1)</f>
        <v>0</v>
      </c>
      <c r="BT27">
        <f>AU27*Pricing!G$2*IF($T$41="N",(1+$V$41),1)</f>
        <v>0</v>
      </c>
      <c r="BU27">
        <f>AV27*Pricing!H$2*IF($T$41="N",(1+$V$41),1)</f>
        <v>0</v>
      </c>
      <c r="BV27">
        <f>AW27*Pricing!I$2*IF($T$41="N",(1+$V$41),1)</f>
        <v>0</v>
      </c>
      <c r="BW27">
        <f>AX27*Pricing!J$2*IF($T$41="N",(1+$V$41),1)</f>
        <v>0</v>
      </c>
      <c r="BX27">
        <f>AY27*Pricing!K$2*IF($T$41="N",(1+$V$41),1)</f>
        <v>0</v>
      </c>
      <c r="BY27">
        <f t="shared" si="28"/>
        <v>0</v>
      </c>
      <c r="BZ27">
        <f t="shared" si="29"/>
        <v>0</v>
      </c>
      <c r="CA27">
        <f t="shared" si="30"/>
        <v>0</v>
      </c>
      <c r="CB27">
        <f t="shared" si="31"/>
        <v>0</v>
      </c>
      <c r="CC27">
        <f t="shared" si="32"/>
        <v>0</v>
      </c>
      <c r="CD27">
        <f t="shared" si="33"/>
        <v>0</v>
      </c>
      <c r="CF27">
        <f t="shared" si="62"/>
        <v>0</v>
      </c>
      <c r="IV27" s="298"/>
    </row>
    <row r="28" spans="2:256" ht="20.149999999999999" customHeight="1" x14ac:dyDescent="0.35">
      <c r="B28" s="1979" t="s">
        <v>1105</v>
      </c>
      <c r="C28" s="1980"/>
      <c r="D28" s="121">
        <v>1</v>
      </c>
      <c r="E28" s="1096"/>
      <c r="F28" s="542"/>
      <c r="G28" s="542"/>
      <c r="H28" s="542"/>
      <c r="I28" s="139"/>
      <c r="J28" s="1107">
        <f t="shared" si="64"/>
        <v>0</v>
      </c>
      <c r="K28" s="106"/>
      <c r="L28" s="140"/>
      <c r="M28" s="106"/>
      <c r="N28" s="140"/>
      <c r="O28" s="141"/>
      <c r="P28" s="106"/>
      <c r="Q28" s="139"/>
      <c r="R28" s="1109">
        <f t="shared" si="1"/>
        <v>0</v>
      </c>
      <c r="S28" s="1109">
        <f t="shared" si="2"/>
        <v>0</v>
      </c>
      <c r="T28" s="1110">
        <f>(IF(E28=0,0,IF(J$53=0,SUM(BJ28:CD28)/E28,(SUM(BS28:CD28)+BI28)/E28)))*(1+M$42+Summary!P$64)</f>
        <v>0</v>
      </c>
      <c r="U28" s="153">
        <f t="shared" si="3"/>
        <v>0</v>
      </c>
      <c r="V28" s="154">
        <f t="shared" si="45"/>
        <v>0</v>
      </c>
      <c r="W28" s="155">
        <f t="shared" si="5"/>
        <v>0</v>
      </c>
      <c r="AG28">
        <f t="shared" si="46"/>
        <v>0</v>
      </c>
      <c r="AH28">
        <f t="shared" si="7"/>
        <v>0</v>
      </c>
      <c r="AI28">
        <f t="shared" si="8"/>
        <v>0</v>
      </c>
      <c r="AJ28">
        <f t="shared" si="47"/>
        <v>0</v>
      </c>
      <c r="AK28">
        <f t="shared" si="48"/>
        <v>0</v>
      </c>
      <c r="AL28">
        <f t="shared" si="49"/>
        <v>0</v>
      </c>
      <c r="AM28">
        <f t="shared" si="11"/>
        <v>0</v>
      </c>
      <c r="AN28">
        <f t="shared" si="12"/>
        <v>0</v>
      </c>
      <c r="AO28">
        <f t="shared" si="50"/>
        <v>0</v>
      </c>
      <c r="AP28">
        <v>3</v>
      </c>
      <c r="AQ28">
        <f t="shared" si="14"/>
        <v>0</v>
      </c>
      <c r="AR28">
        <f t="shared" si="51"/>
        <v>0</v>
      </c>
      <c r="AS28">
        <f t="shared" si="52"/>
        <v>0</v>
      </c>
      <c r="AT28">
        <f t="shared" si="53"/>
        <v>0</v>
      </c>
      <c r="AU28">
        <f t="shared" si="54"/>
        <v>0</v>
      </c>
      <c r="AV28">
        <f t="shared" si="55"/>
        <v>0</v>
      </c>
      <c r="AW28">
        <f t="shared" si="56"/>
        <v>0</v>
      </c>
      <c r="AX28">
        <f t="shared" si="57"/>
        <v>0</v>
      </c>
      <c r="AY28">
        <f t="shared" si="58"/>
        <v>0</v>
      </c>
      <c r="AZ28">
        <f t="shared" si="59"/>
        <v>0</v>
      </c>
      <c r="BA28">
        <f t="shared" ref="BA28:BG28" si="69">IF($F28&gt;AZ$11,IF($F28&lt;=BA$11,$E28*$J28,0),0)</f>
        <v>0</v>
      </c>
      <c r="BB28">
        <f t="shared" si="69"/>
        <v>0</v>
      </c>
      <c r="BC28">
        <f t="shared" si="69"/>
        <v>0</v>
      </c>
      <c r="BD28">
        <f t="shared" si="69"/>
        <v>0</v>
      </c>
      <c r="BE28">
        <f t="shared" si="69"/>
        <v>0</v>
      </c>
      <c r="BF28">
        <f t="shared" si="69"/>
        <v>0</v>
      </c>
      <c r="BG28">
        <f t="shared" si="69"/>
        <v>0</v>
      </c>
      <c r="BH28">
        <f t="shared" si="61"/>
        <v>0</v>
      </c>
      <c r="BI28">
        <f t="shared" si="18"/>
        <v>0</v>
      </c>
      <c r="BJ28">
        <f t="shared" si="19"/>
        <v>0</v>
      </c>
      <c r="BK28">
        <f t="shared" si="20"/>
        <v>0</v>
      </c>
      <c r="BL28">
        <f t="shared" si="21"/>
        <v>0</v>
      </c>
      <c r="BM28">
        <f t="shared" si="22"/>
        <v>0</v>
      </c>
      <c r="BN28">
        <f t="shared" si="23"/>
        <v>0</v>
      </c>
      <c r="BO28">
        <f t="shared" si="24"/>
        <v>0</v>
      </c>
      <c r="BP28">
        <f t="shared" si="25"/>
        <v>0</v>
      </c>
      <c r="BQ28">
        <f t="shared" si="26"/>
        <v>0</v>
      </c>
      <c r="BR28">
        <f t="shared" si="27"/>
        <v>0</v>
      </c>
      <c r="BS28">
        <f>AT28*Pricing!F$2*IF($T$41="N",(1+$V$41),1)</f>
        <v>0</v>
      </c>
      <c r="BT28">
        <f>AU28*Pricing!G$2*IF($T$41="N",(1+$V$41),1)</f>
        <v>0</v>
      </c>
      <c r="BU28">
        <f>AV28*Pricing!H$2*IF($T$41="N",(1+$V$41),1)</f>
        <v>0</v>
      </c>
      <c r="BV28">
        <f>AW28*Pricing!I$2*IF($T$41="N",(1+$V$41),1)</f>
        <v>0</v>
      </c>
      <c r="BW28">
        <f>AX28*Pricing!J$2*IF($T$41="N",(1+$V$41),1)</f>
        <v>0</v>
      </c>
      <c r="BX28">
        <f>AY28*Pricing!K$2*IF($T$41="N",(1+$V$41),1)</f>
        <v>0</v>
      </c>
      <c r="BY28">
        <f t="shared" si="28"/>
        <v>0</v>
      </c>
      <c r="BZ28">
        <f t="shared" si="29"/>
        <v>0</v>
      </c>
      <c r="CA28">
        <f t="shared" si="30"/>
        <v>0</v>
      </c>
      <c r="CB28">
        <f t="shared" si="31"/>
        <v>0</v>
      </c>
      <c r="CC28">
        <f t="shared" si="32"/>
        <v>0</v>
      </c>
      <c r="CD28">
        <f t="shared" si="33"/>
        <v>0</v>
      </c>
      <c r="CF28">
        <f t="shared" si="62"/>
        <v>0</v>
      </c>
      <c r="IV28" s="298"/>
    </row>
    <row r="29" spans="2:256" ht="20.149999999999999" customHeight="1" x14ac:dyDescent="0.35">
      <c r="B29" s="1979" t="s">
        <v>1106</v>
      </c>
      <c r="C29" s="1980"/>
      <c r="D29" s="121">
        <v>1</v>
      </c>
      <c r="E29" s="1096"/>
      <c r="F29" s="542"/>
      <c r="G29" s="542"/>
      <c r="H29" s="542"/>
      <c r="I29" s="139"/>
      <c r="J29" s="1107">
        <f t="shared" si="64"/>
        <v>0</v>
      </c>
      <c r="K29" s="106"/>
      <c r="L29" s="140"/>
      <c r="M29" s="106"/>
      <c r="N29" s="140"/>
      <c r="O29" s="141"/>
      <c r="P29" s="106"/>
      <c r="Q29" s="139"/>
      <c r="R29" s="1109">
        <f t="shared" si="1"/>
        <v>0</v>
      </c>
      <c r="S29" s="1109">
        <f t="shared" si="2"/>
        <v>0</v>
      </c>
      <c r="T29" s="1110">
        <f>(IF(E29=0,0,IF(J$53=0,SUM(BJ29:CD29)/E29,(SUM(BS29:CD29)+BI29)/E29)))*(1+M$42+Summary!P$64)</f>
        <v>0</v>
      </c>
      <c r="U29" s="153">
        <f t="shared" si="3"/>
        <v>0</v>
      </c>
      <c r="V29" s="154">
        <f t="shared" si="45"/>
        <v>0</v>
      </c>
      <c r="W29" s="155">
        <f t="shared" si="5"/>
        <v>0</v>
      </c>
      <c r="AG29">
        <f t="shared" si="46"/>
        <v>0</v>
      </c>
      <c r="AH29">
        <f t="shared" si="7"/>
        <v>0</v>
      </c>
      <c r="AI29">
        <f t="shared" si="8"/>
        <v>0</v>
      </c>
      <c r="AJ29">
        <f t="shared" si="47"/>
        <v>0</v>
      </c>
      <c r="AK29">
        <f t="shared" si="48"/>
        <v>0</v>
      </c>
      <c r="AL29">
        <f t="shared" si="49"/>
        <v>0</v>
      </c>
      <c r="AM29">
        <f t="shared" si="11"/>
        <v>0</v>
      </c>
      <c r="AN29">
        <f t="shared" si="12"/>
        <v>0</v>
      </c>
      <c r="AO29">
        <f t="shared" si="50"/>
        <v>0</v>
      </c>
      <c r="AP29">
        <v>3</v>
      </c>
      <c r="AQ29">
        <f t="shared" si="14"/>
        <v>0</v>
      </c>
      <c r="AR29">
        <f t="shared" si="51"/>
        <v>0</v>
      </c>
      <c r="AS29">
        <f t="shared" si="52"/>
        <v>0</v>
      </c>
      <c r="AT29">
        <f t="shared" si="53"/>
        <v>0</v>
      </c>
      <c r="AU29">
        <f t="shared" si="54"/>
        <v>0</v>
      </c>
      <c r="AV29">
        <f t="shared" si="55"/>
        <v>0</v>
      </c>
      <c r="AW29">
        <f t="shared" si="56"/>
        <v>0</v>
      </c>
      <c r="AX29">
        <f t="shared" si="57"/>
        <v>0</v>
      </c>
      <c r="AY29">
        <f t="shared" si="58"/>
        <v>0</v>
      </c>
      <c r="AZ29">
        <f t="shared" si="59"/>
        <v>0</v>
      </c>
      <c r="BA29">
        <f t="shared" ref="BA29:BG29" si="70">IF($F29&gt;AZ$11,IF($F29&lt;=BA$11,$E29*$J29,0),0)</f>
        <v>0</v>
      </c>
      <c r="BB29">
        <f t="shared" si="70"/>
        <v>0</v>
      </c>
      <c r="BC29">
        <f t="shared" si="70"/>
        <v>0</v>
      </c>
      <c r="BD29">
        <f t="shared" si="70"/>
        <v>0</v>
      </c>
      <c r="BE29">
        <f t="shared" si="70"/>
        <v>0</v>
      </c>
      <c r="BF29">
        <f t="shared" si="70"/>
        <v>0</v>
      </c>
      <c r="BG29">
        <f t="shared" si="70"/>
        <v>0</v>
      </c>
      <c r="BH29">
        <f t="shared" si="61"/>
        <v>0</v>
      </c>
      <c r="BI29">
        <f t="shared" si="18"/>
        <v>0</v>
      </c>
      <c r="BJ29">
        <f t="shared" si="19"/>
        <v>0</v>
      </c>
      <c r="BK29">
        <f t="shared" si="20"/>
        <v>0</v>
      </c>
      <c r="BL29">
        <f t="shared" si="21"/>
        <v>0</v>
      </c>
      <c r="BM29">
        <f t="shared" si="22"/>
        <v>0</v>
      </c>
      <c r="BN29">
        <f t="shared" si="23"/>
        <v>0</v>
      </c>
      <c r="BO29">
        <f t="shared" si="24"/>
        <v>0</v>
      </c>
      <c r="BP29">
        <f t="shared" si="25"/>
        <v>0</v>
      </c>
      <c r="BQ29">
        <f t="shared" si="26"/>
        <v>0</v>
      </c>
      <c r="BR29">
        <f t="shared" si="27"/>
        <v>0</v>
      </c>
      <c r="BS29">
        <f>AT29*Pricing!F$2*IF($T$41="N",(1+$V$41),1)</f>
        <v>0</v>
      </c>
      <c r="BT29">
        <f>AU29*Pricing!G$2*IF($T$41="N",(1+$V$41),1)</f>
        <v>0</v>
      </c>
      <c r="BU29">
        <f>AV29*Pricing!H$2*IF($T$41="N",(1+$V$41),1)</f>
        <v>0</v>
      </c>
      <c r="BV29">
        <f>AW29*Pricing!I$2*IF($T$41="N",(1+$V$41),1)</f>
        <v>0</v>
      </c>
      <c r="BW29">
        <f>AX29*Pricing!J$2*IF($T$41="N",(1+$V$41),1)</f>
        <v>0</v>
      </c>
      <c r="BX29">
        <f>AY29*Pricing!K$2*IF($T$41="N",(1+$V$41),1)</f>
        <v>0</v>
      </c>
      <c r="BY29">
        <f t="shared" si="28"/>
        <v>0</v>
      </c>
      <c r="BZ29">
        <f t="shared" si="29"/>
        <v>0</v>
      </c>
      <c r="CA29">
        <f t="shared" si="30"/>
        <v>0</v>
      </c>
      <c r="CB29">
        <f t="shared" si="31"/>
        <v>0</v>
      </c>
      <c r="CC29">
        <f t="shared" si="32"/>
        <v>0</v>
      </c>
      <c r="CD29">
        <f t="shared" si="33"/>
        <v>0</v>
      </c>
      <c r="CF29">
        <f t="shared" si="62"/>
        <v>0</v>
      </c>
      <c r="IV29" s="298"/>
    </row>
    <row r="30" spans="2:256" ht="20.149999999999999" customHeight="1" x14ac:dyDescent="0.35">
      <c r="B30" s="1979" t="s">
        <v>1107</v>
      </c>
      <c r="C30" s="1980"/>
      <c r="D30" s="121">
        <v>1</v>
      </c>
      <c r="E30" s="1096"/>
      <c r="F30" s="542"/>
      <c r="G30" s="542"/>
      <c r="H30" s="542"/>
      <c r="I30" s="139"/>
      <c r="J30" s="1107">
        <f t="shared" si="64"/>
        <v>0</v>
      </c>
      <c r="K30" s="106"/>
      <c r="L30" s="140"/>
      <c r="M30" s="106"/>
      <c r="N30" s="140"/>
      <c r="O30" s="141"/>
      <c r="P30" s="106"/>
      <c r="Q30" s="139"/>
      <c r="R30" s="1109">
        <f t="shared" si="1"/>
        <v>0</v>
      </c>
      <c r="S30" s="1109">
        <f t="shared" si="2"/>
        <v>0</v>
      </c>
      <c r="T30" s="1110">
        <f>(IF(E30=0,0,IF(J$53=0,SUM(BJ30:CD30)/E30,(SUM(BS30:CD30)+BI30)/E30)))*(1+M$42+Summary!P$64)</f>
        <v>0</v>
      </c>
      <c r="U30" s="153">
        <f t="shared" si="3"/>
        <v>0</v>
      </c>
      <c r="V30" s="154">
        <f t="shared" si="4"/>
        <v>0</v>
      </c>
      <c r="W30" s="155">
        <f t="shared" si="5"/>
        <v>0</v>
      </c>
      <c r="AG30">
        <f t="shared" si="6"/>
        <v>0</v>
      </c>
      <c r="AH30">
        <f t="shared" si="7"/>
        <v>0</v>
      </c>
      <c r="AI30">
        <f t="shared" si="8"/>
        <v>0</v>
      </c>
      <c r="AJ30">
        <f t="shared" si="9"/>
        <v>0</v>
      </c>
      <c r="AK30">
        <f t="shared" si="35"/>
        <v>0</v>
      </c>
      <c r="AL30">
        <f t="shared" si="10"/>
        <v>0</v>
      </c>
      <c r="AM30">
        <f t="shared" si="11"/>
        <v>0</v>
      </c>
      <c r="AN30">
        <f t="shared" si="12"/>
        <v>0</v>
      </c>
      <c r="AO30">
        <f t="shared" si="13"/>
        <v>0</v>
      </c>
      <c r="AP30">
        <v>3</v>
      </c>
      <c r="AQ30">
        <f t="shared" si="14"/>
        <v>0</v>
      </c>
      <c r="AR30">
        <f t="shared" si="15"/>
        <v>0</v>
      </c>
      <c r="AS30">
        <f t="shared" si="36"/>
        <v>0</v>
      </c>
      <c r="AT30">
        <f t="shared" si="37"/>
        <v>0</v>
      </c>
      <c r="AU30">
        <f t="shared" si="38"/>
        <v>0</v>
      </c>
      <c r="AV30">
        <f t="shared" si="39"/>
        <v>0</v>
      </c>
      <c r="AW30">
        <f t="shared" si="40"/>
        <v>0</v>
      </c>
      <c r="AX30">
        <f t="shared" si="41"/>
        <v>0</v>
      </c>
      <c r="AY30">
        <f t="shared" si="42"/>
        <v>0</v>
      </c>
      <c r="AZ30">
        <f t="shared" si="43"/>
        <v>0</v>
      </c>
      <c r="BA30">
        <f t="shared" ref="BA30:BG37" si="71">IF($F30&gt;AZ$11,IF($F30&lt;=BA$11,$E30*$J30,0),0)</f>
        <v>0</v>
      </c>
      <c r="BB30">
        <f t="shared" si="71"/>
        <v>0</v>
      </c>
      <c r="BC30">
        <f t="shared" si="71"/>
        <v>0</v>
      </c>
      <c r="BD30">
        <f t="shared" si="71"/>
        <v>0</v>
      </c>
      <c r="BE30">
        <f t="shared" si="71"/>
        <v>0</v>
      </c>
      <c r="BF30">
        <f t="shared" si="71"/>
        <v>0</v>
      </c>
      <c r="BG30">
        <f t="shared" si="71"/>
        <v>0</v>
      </c>
      <c r="BH30">
        <f t="shared" si="17"/>
        <v>0</v>
      </c>
      <c r="BI30">
        <f t="shared" si="18"/>
        <v>0</v>
      </c>
      <c r="BJ30">
        <f t="shared" si="19"/>
        <v>0</v>
      </c>
      <c r="BK30">
        <f t="shared" si="20"/>
        <v>0</v>
      </c>
      <c r="BL30">
        <f t="shared" si="21"/>
        <v>0</v>
      </c>
      <c r="BM30">
        <f t="shared" si="22"/>
        <v>0</v>
      </c>
      <c r="BN30">
        <f t="shared" si="23"/>
        <v>0</v>
      </c>
      <c r="BO30">
        <f t="shared" si="24"/>
        <v>0</v>
      </c>
      <c r="BP30">
        <f t="shared" si="25"/>
        <v>0</v>
      </c>
      <c r="BQ30">
        <f t="shared" si="26"/>
        <v>0</v>
      </c>
      <c r="BR30">
        <f t="shared" si="27"/>
        <v>0</v>
      </c>
      <c r="BS30">
        <f>AT30*Pricing!F$2*IF($T$41="N",(1+$V$41),1)</f>
        <v>0</v>
      </c>
      <c r="BT30">
        <f>AU30*Pricing!G$2*IF($T$41="N",(1+$V$41),1)</f>
        <v>0</v>
      </c>
      <c r="BU30">
        <f>AV30*Pricing!H$2*IF($T$41="N",(1+$V$41),1)</f>
        <v>0</v>
      </c>
      <c r="BV30">
        <f>AW30*Pricing!I$2*IF($T$41="N",(1+$V$41),1)</f>
        <v>0</v>
      </c>
      <c r="BW30">
        <f>AX30*Pricing!J$2*IF($T$41="N",(1+$V$41),1)</f>
        <v>0</v>
      </c>
      <c r="BX30">
        <f>AY30*Pricing!K$2*IF($T$41="N",(1+$V$41),1)</f>
        <v>0</v>
      </c>
      <c r="BY30">
        <f t="shared" si="28"/>
        <v>0</v>
      </c>
      <c r="BZ30">
        <f t="shared" si="29"/>
        <v>0</v>
      </c>
      <c r="CA30">
        <f t="shared" si="30"/>
        <v>0</v>
      </c>
      <c r="CB30">
        <f t="shared" si="31"/>
        <v>0</v>
      </c>
      <c r="CC30">
        <f t="shared" si="32"/>
        <v>0</v>
      </c>
      <c r="CD30">
        <f t="shared" si="33"/>
        <v>0</v>
      </c>
      <c r="CF30">
        <f t="shared" si="34"/>
        <v>0</v>
      </c>
      <c r="IV30" s="298"/>
    </row>
    <row r="31" spans="2:256" ht="20.149999999999999" customHeight="1" x14ac:dyDescent="0.35">
      <c r="B31" s="1979" t="s">
        <v>1108</v>
      </c>
      <c r="C31" s="1980"/>
      <c r="D31" s="121">
        <v>1</v>
      </c>
      <c r="E31" s="1096"/>
      <c r="F31" s="542"/>
      <c r="G31" s="542"/>
      <c r="H31" s="542"/>
      <c r="I31" s="139"/>
      <c r="J31" s="1107">
        <f t="shared" si="64"/>
        <v>0</v>
      </c>
      <c r="K31" s="106"/>
      <c r="L31" s="140"/>
      <c r="M31" s="106"/>
      <c r="N31" s="140"/>
      <c r="O31" s="141"/>
      <c r="P31" s="106"/>
      <c r="Q31" s="139"/>
      <c r="R31" s="1109">
        <f t="shared" si="1"/>
        <v>0</v>
      </c>
      <c r="S31" s="1109">
        <f t="shared" si="2"/>
        <v>0</v>
      </c>
      <c r="T31" s="1110">
        <f>(IF(E31=0,0,IF(J$53=0,SUM(BJ31:CD31)/E31,(SUM(BS31:CD31)+BI31)/E31)))*(1+M$42+Summary!P$64)</f>
        <v>0</v>
      </c>
      <c r="U31" s="153">
        <f t="shared" si="3"/>
        <v>0</v>
      </c>
      <c r="V31" s="154">
        <f t="shared" si="4"/>
        <v>0</v>
      </c>
      <c r="W31" s="155">
        <f t="shared" si="5"/>
        <v>0</v>
      </c>
      <c r="AG31">
        <f t="shared" si="6"/>
        <v>0</v>
      </c>
      <c r="AH31">
        <f t="shared" si="7"/>
        <v>0</v>
      </c>
      <c r="AI31">
        <f t="shared" si="8"/>
        <v>0</v>
      </c>
      <c r="AJ31">
        <f t="shared" si="9"/>
        <v>0</v>
      </c>
      <c r="AK31">
        <f t="shared" si="35"/>
        <v>0</v>
      </c>
      <c r="AL31">
        <f t="shared" si="10"/>
        <v>0</v>
      </c>
      <c r="AM31">
        <f t="shared" si="11"/>
        <v>0</v>
      </c>
      <c r="AN31">
        <f t="shared" si="12"/>
        <v>0</v>
      </c>
      <c r="AO31">
        <f t="shared" si="13"/>
        <v>0</v>
      </c>
      <c r="AP31">
        <v>3</v>
      </c>
      <c r="AQ31">
        <f t="shared" si="14"/>
        <v>0</v>
      </c>
      <c r="AR31">
        <f t="shared" si="15"/>
        <v>0</v>
      </c>
      <c r="AS31">
        <f t="shared" si="36"/>
        <v>0</v>
      </c>
      <c r="AT31">
        <f t="shared" si="37"/>
        <v>0</v>
      </c>
      <c r="AU31">
        <f t="shared" si="38"/>
        <v>0</v>
      </c>
      <c r="AV31">
        <f t="shared" si="39"/>
        <v>0</v>
      </c>
      <c r="AW31">
        <f t="shared" si="40"/>
        <v>0</v>
      </c>
      <c r="AX31">
        <f t="shared" si="41"/>
        <v>0</v>
      </c>
      <c r="AY31">
        <f t="shared" si="42"/>
        <v>0</v>
      </c>
      <c r="AZ31">
        <f t="shared" si="43"/>
        <v>0</v>
      </c>
      <c r="BA31">
        <f t="shared" si="71"/>
        <v>0</v>
      </c>
      <c r="BB31">
        <f t="shared" si="71"/>
        <v>0</v>
      </c>
      <c r="BC31">
        <f t="shared" si="71"/>
        <v>0</v>
      </c>
      <c r="BD31">
        <f t="shared" si="71"/>
        <v>0</v>
      </c>
      <c r="BE31">
        <f t="shared" si="71"/>
        <v>0</v>
      </c>
      <c r="BF31">
        <f t="shared" si="71"/>
        <v>0</v>
      </c>
      <c r="BG31">
        <f t="shared" si="71"/>
        <v>0</v>
      </c>
      <c r="BH31">
        <f t="shared" si="17"/>
        <v>0</v>
      </c>
      <c r="BI31">
        <f t="shared" si="18"/>
        <v>0</v>
      </c>
      <c r="BJ31">
        <f t="shared" si="19"/>
        <v>0</v>
      </c>
      <c r="BK31">
        <f t="shared" si="20"/>
        <v>0</v>
      </c>
      <c r="BL31">
        <f t="shared" si="21"/>
        <v>0</v>
      </c>
      <c r="BM31">
        <f t="shared" si="22"/>
        <v>0</v>
      </c>
      <c r="BN31">
        <f t="shared" si="23"/>
        <v>0</v>
      </c>
      <c r="BO31">
        <f t="shared" si="24"/>
        <v>0</v>
      </c>
      <c r="BP31">
        <f t="shared" si="25"/>
        <v>0</v>
      </c>
      <c r="BQ31">
        <f t="shared" si="26"/>
        <v>0</v>
      </c>
      <c r="BR31">
        <f t="shared" si="27"/>
        <v>0</v>
      </c>
      <c r="BS31">
        <f>AT31*Pricing!F$2*IF($T$41="N",(1+$V$41),1)</f>
        <v>0</v>
      </c>
      <c r="BT31">
        <f>AU31*Pricing!G$2*IF($T$41="N",(1+$V$41),1)</f>
        <v>0</v>
      </c>
      <c r="BU31">
        <f>AV31*Pricing!H$2*IF($T$41="N",(1+$V$41),1)</f>
        <v>0</v>
      </c>
      <c r="BV31">
        <f>AW31*Pricing!I$2*IF($T$41="N",(1+$V$41),1)</f>
        <v>0</v>
      </c>
      <c r="BW31">
        <f>AX31*Pricing!J$2*IF($T$41="N",(1+$V$41),1)</f>
        <v>0</v>
      </c>
      <c r="BX31">
        <f>AY31*Pricing!K$2*IF($T$41="N",(1+$V$41),1)</f>
        <v>0</v>
      </c>
      <c r="BY31">
        <f t="shared" si="28"/>
        <v>0</v>
      </c>
      <c r="BZ31">
        <f t="shared" si="29"/>
        <v>0</v>
      </c>
      <c r="CA31">
        <f t="shared" si="30"/>
        <v>0</v>
      </c>
      <c r="CB31">
        <f t="shared" si="31"/>
        <v>0</v>
      </c>
      <c r="CC31">
        <f t="shared" si="32"/>
        <v>0</v>
      </c>
      <c r="CD31">
        <f t="shared" si="33"/>
        <v>0</v>
      </c>
      <c r="CF31">
        <f t="shared" si="34"/>
        <v>0</v>
      </c>
      <c r="IV31" s="298"/>
    </row>
    <row r="32" spans="2:256" ht="20.149999999999999" customHeight="1" x14ac:dyDescent="0.35">
      <c r="B32" s="1979" t="s">
        <v>1109</v>
      </c>
      <c r="C32" s="1980"/>
      <c r="D32" s="121">
        <v>1</v>
      </c>
      <c r="E32" s="1096"/>
      <c r="F32" s="542"/>
      <c r="G32" s="542"/>
      <c r="H32" s="542"/>
      <c r="I32" s="139"/>
      <c r="J32" s="1107">
        <f>G32+H32</f>
        <v>0</v>
      </c>
      <c r="K32" s="106"/>
      <c r="L32" s="140"/>
      <c r="M32" s="106"/>
      <c r="N32" s="140"/>
      <c r="O32" s="141"/>
      <c r="P32" s="106"/>
      <c r="Q32" s="139"/>
      <c r="R32" s="1109">
        <f t="shared" si="1"/>
        <v>0</v>
      </c>
      <c r="S32" s="1109">
        <f t="shared" si="2"/>
        <v>0</v>
      </c>
      <c r="T32" s="1110">
        <f>(IF(E32=0,0,IF(J$53=0,SUM(BJ32:CD32)/E32,(SUM(BS32:CD32)+BI32)/E32)))*(1+M$42+Summary!P$64)</f>
        <v>0</v>
      </c>
      <c r="U32" s="153">
        <f t="shared" si="3"/>
        <v>0</v>
      </c>
      <c r="V32" s="154">
        <f t="shared" si="4"/>
        <v>0</v>
      </c>
      <c r="W32" s="155">
        <f t="shared" si="5"/>
        <v>0</v>
      </c>
      <c r="AG32">
        <f t="shared" si="6"/>
        <v>0</v>
      </c>
      <c r="AH32">
        <f t="shared" si="7"/>
        <v>0</v>
      </c>
      <c r="AI32">
        <f t="shared" si="8"/>
        <v>0</v>
      </c>
      <c r="AJ32">
        <f t="shared" si="9"/>
        <v>0</v>
      </c>
      <c r="AK32">
        <f t="shared" si="35"/>
        <v>0</v>
      </c>
      <c r="AL32">
        <f>IF(SUM(AT32:AY32)=0,0,(SUM(BS32:BX32)/SUM(AT32:AY32)*AH32))</f>
        <v>0</v>
      </c>
      <c r="AM32">
        <f t="shared" si="11"/>
        <v>0</v>
      </c>
      <c r="AN32">
        <f t="shared" si="12"/>
        <v>0</v>
      </c>
      <c r="AO32">
        <f t="shared" si="13"/>
        <v>0</v>
      </c>
      <c r="AP32">
        <v>3</v>
      </c>
      <c r="AQ32">
        <f t="shared" si="14"/>
        <v>0</v>
      </c>
      <c r="AR32">
        <f>IF(SUM(AT32:AY32)=0,0,SUM(BS32:BX32)/SUM(AT32:AY32)*AI32)</f>
        <v>0</v>
      </c>
      <c r="AS32">
        <f t="shared" si="36"/>
        <v>0</v>
      </c>
      <c r="AT32">
        <f t="shared" si="37"/>
        <v>0</v>
      </c>
      <c r="AU32">
        <f t="shared" si="38"/>
        <v>0</v>
      </c>
      <c r="AV32">
        <f t="shared" si="39"/>
        <v>0</v>
      </c>
      <c r="AW32">
        <f t="shared" si="40"/>
        <v>0</v>
      </c>
      <c r="AX32">
        <f t="shared" si="41"/>
        <v>0</v>
      </c>
      <c r="AY32">
        <f t="shared" si="42"/>
        <v>0</v>
      </c>
      <c r="AZ32">
        <f t="shared" si="43"/>
        <v>0</v>
      </c>
      <c r="BA32">
        <f t="shared" si="71"/>
        <v>0</v>
      </c>
      <c r="BB32">
        <f t="shared" si="71"/>
        <v>0</v>
      </c>
      <c r="BC32">
        <f t="shared" si="71"/>
        <v>0</v>
      </c>
      <c r="BD32">
        <f t="shared" si="71"/>
        <v>0</v>
      </c>
      <c r="BE32">
        <f t="shared" si="71"/>
        <v>0</v>
      </c>
      <c r="BF32">
        <f t="shared" si="71"/>
        <v>0</v>
      </c>
      <c r="BG32">
        <f t="shared" si="71"/>
        <v>0</v>
      </c>
      <c r="BH32">
        <f t="shared" si="17"/>
        <v>0</v>
      </c>
      <c r="BI32">
        <f t="shared" si="18"/>
        <v>0</v>
      </c>
      <c r="BJ32">
        <f t="shared" si="19"/>
        <v>0</v>
      </c>
      <c r="BK32">
        <f t="shared" si="20"/>
        <v>0</v>
      </c>
      <c r="BL32">
        <f t="shared" si="21"/>
        <v>0</v>
      </c>
      <c r="BM32">
        <f t="shared" si="22"/>
        <v>0</v>
      </c>
      <c r="BN32">
        <f t="shared" si="23"/>
        <v>0</v>
      </c>
      <c r="BO32">
        <f t="shared" si="24"/>
        <v>0</v>
      </c>
      <c r="BP32">
        <f t="shared" si="25"/>
        <v>0</v>
      </c>
      <c r="BQ32">
        <f t="shared" si="26"/>
        <v>0</v>
      </c>
      <c r="BR32">
        <f t="shared" si="27"/>
        <v>0</v>
      </c>
      <c r="BS32">
        <f>AT32*Pricing!F$2*IF($T$41="N",(1+$V$41),1)</f>
        <v>0</v>
      </c>
      <c r="BT32">
        <f>AU32*Pricing!G$2*IF($T$41="N",(1+$V$41),1)</f>
        <v>0</v>
      </c>
      <c r="BU32">
        <f>AV32*Pricing!H$2*IF($T$41="N",(1+$V$41),1)</f>
        <v>0</v>
      </c>
      <c r="BV32">
        <f>AW32*Pricing!I$2*IF($T$41="N",(1+$V$41),1)</f>
        <v>0</v>
      </c>
      <c r="BW32">
        <f>AX32*Pricing!J$2*IF($T$41="N",(1+$V$41),1)</f>
        <v>0</v>
      </c>
      <c r="BX32">
        <f>AY32*Pricing!K$2*IF($T$41="N",(1+$V$41),1)</f>
        <v>0</v>
      </c>
      <c r="BY32">
        <f t="shared" si="28"/>
        <v>0</v>
      </c>
      <c r="BZ32">
        <f t="shared" si="29"/>
        <v>0</v>
      </c>
      <c r="CA32">
        <f t="shared" si="30"/>
        <v>0</v>
      </c>
      <c r="CB32">
        <f t="shared" si="31"/>
        <v>0</v>
      </c>
      <c r="CC32">
        <f t="shared" si="32"/>
        <v>0</v>
      </c>
      <c r="CD32">
        <f t="shared" si="33"/>
        <v>0</v>
      </c>
      <c r="CF32">
        <f t="shared" si="34"/>
        <v>0</v>
      </c>
      <c r="IV32" s="298"/>
    </row>
    <row r="33" spans="2:256" ht="20.149999999999999" customHeight="1" x14ac:dyDescent="0.35">
      <c r="B33" s="1979" t="s">
        <v>1110</v>
      </c>
      <c r="C33" s="1980"/>
      <c r="D33" s="121">
        <v>1</v>
      </c>
      <c r="E33" s="1096"/>
      <c r="F33" s="542"/>
      <c r="G33" s="542"/>
      <c r="H33" s="542"/>
      <c r="I33" s="139"/>
      <c r="J33" s="1107">
        <f>G33+H33</f>
        <v>0</v>
      </c>
      <c r="K33" s="106"/>
      <c r="L33" s="140"/>
      <c r="M33" s="106"/>
      <c r="N33" s="140"/>
      <c r="O33" s="141"/>
      <c r="P33" s="106"/>
      <c r="Q33" s="139"/>
      <c r="R33" s="1109">
        <f t="shared" si="1"/>
        <v>0</v>
      </c>
      <c r="S33" s="1109">
        <f t="shared" si="2"/>
        <v>0</v>
      </c>
      <c r="T33" s="1110">
        <f>(IF(E33=0,0,IF(J$53=0,SUM(BJ33:CD33)/E33,(SUM(BS33:CD33)+BI33)/E33)))*(1+M$42+Summary!P$64)</f>
        <v>0</v>
      </c>
      <c r="U33" s="153">
        <f t="shared" si="3"/>
        <v>0</v>
      </c>
      <c r="V33" s="154">
        <f t="shared" si="4"/>
        <v>0</v>
      </c>
      <c r="W33" s="155">
        <f t="shared" si="5"/>
        <v>0</v>
      </c>
      <c r="AG33">
        <f t="shared" si="6"/>
        <v>0</v>
      </c>
      <c r="AH33">
        <f t="shared" si="7"/>
        <v>0</v>
      </c>
      <c r="AI33">
        <f t="shared" si="8"/>
        <v>0</v>
      </c>
      <c r="AJ33">
        <f t="shared" si="9"/>
        <v>0</v>
      </c>
      <c r="AK33">
        <f t="shared" si="35"/>
        <v>0</v>
      </c>
      <c r="AL33">
        <f>IF(SUM(AT33:AY33)=0,0,(SUM(BS33:BX33)/SUM(AT33:AY33)*AH33))</f>
        <v>0</v>
      </c>
      <c r="AM33">
        <f t="shared" si="11"/>
        <v>0</v>
      </c>
      <c r="AN33">
        <f t="shared" si="12"/>
        <v>0</v>
      </c>
      <c r="AO33">
        <f t="shared" si="13"/>
        <v>0</v>
      </c>
      <c r="AP33">
        <v>3</v>
      </c>
      <c r="AQ33">
        <f t="shared" si="14"/>
        <v>0</v>
      </c>
      <c r="AR33">
        <f>IF(SUM(AT33:AY33)=0,0,SUM(BS33:BX33)/SUM(AT33:AY33)*AI33)</f>
        <v>0</v>
      </c>
      <c r="AS33">
        <f t="shared" si="36"/>
        <v>0</v>
      </c>
      <c r="AT33">
        <f t="shared" si="37"/>
        <v>0</v>
      </c>
      <c r="AU33">
        <f t="shared" si="38"/>
        <v>0</v>
      </c>
      <c r="AV33">
        <f t="shared" si="39"/>
        <v>0</v>
      </c>
      <c r="AW33">
        <f t="shared" si="40"/>
        <v>0</v>
      </c>
      <c r="AX33">
        <f t="shared" si="41"/>
        <v>0</v>
      </c>
      <c r="AY33">
        <f t="shared" si="42"/>
        <v>0</v>
      </c>
      <c r="AZ33">
        <f t="shared" si="43"/>
        <v>0</v>
      </c>
      <c r="BA33">
        <f t="shared" si="71"/>
        <v>0</v>
      </c>
      <c r="BB33">
        <f t="shared" si="71"/>
        <v>0</v>
      </c>
      <c r="BC33">
        <f t="shared" si="71"/>
        <v>0</v>
      </c>
      <c r="BD33">
        <f t="shared" si="71"/>
        <v>0</v>
      </c>
      <c r="BE33">
        <f t="shared" si="71"/>
        <v>0</v>
      </c>
      <c r="BF33">
        <f t="shared" si="71"/>
        <v>0</v>
      </c>
      <c r="BG33">
        <f t="shared" si="71"/>
        <v>0</v>
      </c>
      <c r="BH33">
        <f t="shared" si="17"/>
        <v>0</v>
      </c>
      <c r="BI33">
        <f t="shared" si="18"/>
        <v>0</v>
      </c>
      <c r="BJ33">
        <f t="shared" si="19"/>
        <v>0</v>
      </c>
      <c r="BK33">
        <f t="shared" si="20"/>
        <v>0</v>
      </c>
      <c r="BL33">
        <f t="shared" si="21"/>
        <v>0</v>
      </c>
      <c r="BM33">
        <f t="shared" si="22"/>
        <v>0</v>
      </c>
      <c r="BN33">
        <f t="shared" si="23"/>
        <v>0</v>
      </c>
      <c r="BO33">
        <f t="shared" si="24"/>
        <v>0</v>
      </c>
      <c r="BP33">
        <f t="shared" si="25"/>
        <v>0</v>
      </c>
      <c r="BQ33">
        <f t="shared" si="26"/>
        <v>0</v>
      </c>
      <c r="BR33">
        <f t="shared" si="27"/>
        <v>0</v>
      </c>
      <c r="BS33">
        <f>AT33*Pricing!F$2*IF($T$41="N",(1+$V$41),1)</f>
        <v>0</v>
      </c>
      <c r="BT33">
        <f>AU33*Pricing!G$2*IF($T$41="N",(1+$V$41),1)</f>
        <v>0</v>
      </c>
      <c r="BU33">
        <f>AV33*Pricing!H$2*IF($T$41="N",(1+$V$41),1)</f>
        <v>0</v>
      </c>
      <c r="BV33">
        <f>AW33*Pricing!I$2*IF($T$41="N",(1+$V$41),1)</f>
        <v>0</v>
      </c>
      <c r="BW33">
        <f>AX33*Pricing!J$2*IF($T$41="N",(1+$V$41),1)</f>
        <v>0</v>
      </c>
      <c r="BX33">
        <f>AY33*Pricing!K$2*IF($T$41="N",(1+$V$41),1)</f>
        <v>0</v>
      </c>
      <c r="BY33">
        <f t="shared" si="28"/>
        <v>0</v>
      </c>
      <c r="BZ33">
        <f t="shared" si="29"/>
        <v>0</v>
      </c>
      <c r="CA33">
        <f t="shared" si="30"/>
        <v>0</v>
      </c>
      <c r="CB33">
        <f t="shared" si="31"/>
        <v>0</v>
      </c>
      <c r="CC33">
        <f t="shared" si="32"/>
        <v>0</v>
      </c>
      <c r="CD33">
        <f t="shared" si="33"/>
        <v>0</v>
      </c>
      <c r="CF33">
        <f t="shared" si="34"/>
        <v>0</v>
      </c>
      <c r="IV33" s="298"/>
    </row>
    <row r="34" spans="2:256" ht="20.149999999999999" customHeight="1" x14ac:dyDescent="0.35">
      <c r="B34" s="1979" t="s">
        <v>1111</v>
      </c>
      <c r="C34" s="1980"/>
      <c r="D34" s="121">
        <v>1</v>
      </c>
      <c r="E34" s="1096"/>
      <c r="F34" s="542"/>
      <c r="G34" s="542"/>
      <c r="H34" s="542"/>
      <c r="I34" s="139"/>
      <c r="J34" s="1107">
        <f>G34+H34</f>
        <v>0</v>
      </c>
      <c r="K34" s="106"/>
      <c r="L34" s="140"/>
      <c r="M34" s="106"/>
      <c r="N34" s="140"/>
      <c r="O34" s="141"/>
      <c r="P34" s="106"/>
      <c r="Q34" s="139"/>
      <c r="R34" s="1109">
        <f t="shared" si="1"/>
        <v>0</v>
      </c>
      <c r="S34" s="1109">
        <f t="shared" si="2"/>
        <v>0</v>
      </c>
      <c r="T34" s="1110">
        <f>(IF(E34=0,0,IF(J$53=0,SUM(BJ34:CD34)/E34,(SUM(BS34:CD34)+BI34)/E34)))*(1+M$42+Summary!P$64)</f>
        <v>0</v>
      </c>
      <c r="U34" s="153">
        <f t="shared" si="3"/>
        <v>0</v>
      </c>
      <c r="V34" s="154">
        <f>AM34+AR34</f>
        <v>0</v>
      </c>
      <c r="W34" s="155">
        <f t="shared" si="5"/>
        <v>0</v>
      </c>
      <c r="AG34">
        <f>J34*E34</f>
        <v>0</v>
      </c>
      <c r="AH34">
        <f t="shared" si="7"/>
        <v>0</v>
      </c>
      <c r="AI34">
        <f t="shared" si="8"/>
        <v>0</v>
      </c>
      <c r="AJ34">
        <f>IF(E34=0,0,R34/E34/J34)</f>
        <v>0</v>
      </c>
      <c r="AK34">
        <f>AH34*1.4*4</f>
        <v>0</v>
      </c>
      <c r="AL34">
        <f>IF(SUM(AT34:AY34)=0,0,(SUM(BS34:BX34)/SUM(AT34:AY34)*AH34))</f>
        <v>0</v>
      </c>
      <c r="AM34">
        <f t="shared" si="11"/>
        <v>0</v>
      </c>
      <c r="AN34">
        <f t="shared" si="12"/>
        <v>0</v>
      </c>
      <c r="AO34">
        <f>IF(E34=0,0,SUM(BJ34:BQ34)/(E34*J34))</f>
        <v>0</v>
      </c>
      <c r="AP34">
        <v>3</v>
      </c>
      <c r="AQ34">
        <f t="shared" si="14"/>
        <v>0</v>
      </c>
      <c r="AR34">
        <f>IF(SUM(AT34:AY34)=0,0,SUM(BS34:BX34)/SUM(AT34:AY34)*AI34)</f>
        <v>0</v>
      </c>
      <c r="AS34">
        <f>AI34*1.3*4</f>
        <v>0</v>
      </c>
      <c r="AT34">
        <f>IF($D34=1,S34,0)</f>
        <v>0</v>
      </c>
      <c r="AU34">
        <f>IF($D34=2,S34,0)</f>
        <v>0</v>
      </c>
      <c r="AV34">
        <f>IF($D34=3,S34,0)</f>
        <v>0</v>
      </c>
      <c r="AW34">
        <f>IF($D34=4,S34,0)</f>
        <v>0</v>
      </c>
      <c r="AX34">
        <f>IF($D34=5,S34,0)</f>
        <v>0</v>
      </c>
      <c r="AY34">
        <f>IF($D34=6,S34,0)</f>
        <v>0</v>
      </c>
      <c r="AZ34">
        <f>IF(F34&gt;0,IF(F34&lt;=AZ$11,E34*$J34,0),0)</f>
        <v>0</v>
      </c>
      <c r="BA34">
        <f t="shared" ref="BA34:BG35" si="72">IF($F34&gt;AZ$11,IF($F34&lt;=BA$11,$E34*$J34,0),0)</f>
        <v>0</v>
      </c>
      <c r="BB34">
        <f t="shared" si="72"/>
        <v>0</v>
      </c>
      <c r="BC34">
        <f t="shared" si="72"/>
        <v>0</v>
      </c>
      <c r="BD34">
        <f t="shared" si="72"/>
        <v>0</v>
      </c>
      <c r="BE34">
        <f t="shared" si="72"/>
        <v>0</v>
      </c>
      <c r="BF34">
        <f t="shared" si="72"/>
        <v>0</v>
      </c>
      <c r="BG34">
        <f t="shared" si="72"/>
        <v>0</v>
      </c>
      <c r="BH34">
        <f>I34*E34</f>
        <v>0</v>
      </c>
      <c r="BI34">
        <f t="shared" si="18"/>
        <v>0</v>
      </c>
      <c r="BJ34">
        <f t="shared" si="19"/>
        <v>0</v>
      </c>
      <c r="BK34">
        <f t="shared" si="20"/>
        <v>0</v>
      </c>
      <c r="BL34">
        <f t="shared" si="21"/>
        <v>0</v>
      </c>
      <c r="BM34">
        <f t="shared" si="22"/>
        <v>0</v>
      </c>
      <c r="BN34">
        <f t="shared" si="23"/>
        <v>0</v>
      </c>
      <c r="BO34">
        <f t="shared" si="24"/>
        <v>0</v>
      </c>
      <c r="BP34">
        <f t="shared" si="25"/>
        <v>0</v>
      </c>
      <c r="BQ34">
        <f t="shared" si="26"/>
        <v>0</v>
      </c>
      <c r="BR34">
        <f t="shared" si="27"/>
        <v>0</v>
      </c>
      <c r="BS34">
        <f>AT34*Pricing!F$2*IF($T$41="N",(1+$V$41),1)</f>
        <v>0</v>
      </c>
      <c r="BT34">
        <f>AU34*Pricing!G$2*IF($T$41="N",(1+$V$41),1)</f>
        <v>0</v>
      </c>
      <c r="BU34">
        <f>AV34*Pricing!H$2*IF($T$41="N",(1+$V$41),1)</f>
        <v>0</v>
      </c>
      <c r="BV34">
        <f>AW34*Pricing!I$2*IF($T$41="N",(1+$V$41),1)</f>
        <v>0</v>
      </c>
      <c r="BW34">
        <f>AX34*Pricing!J$2*IF($T$41="N",(1+$V$41),1)</f>
        <v>0</v>
      </c>
      <c r="BX34">
        <f>AY34*Pricing!K$2*IF($T$41="N",(1+$V$41),1)</f>
        <v>0</v>
      </c>
      <c r="BY34">
        <f t="shared" si="28"/>
        <v>0</v>
      </c>
      <c r="BZ34">
        <f t="shared" si="29"/>
        <v>0</v>
      </c>
      <c r="CA34">
        <f t="shared" si="30"/>
        <v>0</v>
      </c>
      <c r="CB34">
        <f t="shared" si="31"/>
        <v>0</v>
      </c>
      <c r="CC34">
        <f t="shared" si="32"/>
        <v>0</v>
      </c>
      <c r="CD34">
        <f t="shared" si="33"/>
        <v>0</v>
      </c>
      <c r="CF34">
        <f>T34*E34</f>
        <v>0</v>
      </c>
      <c r="IV34" s="298"/>
    </row>
    <row r="35" spans="2:256" ht="20.149999999999999" customHeight="1" x14ac:dyDescent="0.35">
      <c r="B35" s="1979" t="s">
        <v>1112</v>
      </c>
      <c r="C35" s="1980"/>
      <c r="D35" s="121">
        <v>1</v>
      </c>
      <c r="E35" s="1096"/>
      <c r="F35" s="542"/>
      <c r="G35" s="542"/>
      <c r="H35" s="542"/>
      <c r="I35" s="139"/>
      <c r="J35" s="1107">
        <f>G35+H35</f>
        <v>0</v>
      </c>
      <c r="K35" s="106"/>
      <c r="L35" s="140"/>
      <c r="M35" s="106"/>
      <c r="N35" s="140"/>
      <c r="O35" s="141"/>
      <c r="P35" s="106"/>
      <c r="Q35" s="139"/>
      <c r="R35" s="1109">
        <f t="shared" si="1"/>
        <v>0</v>
      </c>
      <c r="S35" s="1109">
        <f t="shared" si="2"/>
        <v>0</v>
      </c>
      <c r="T35" s="1110">
        <f>(IF(E35=0,0,IF(J$53=0,SUM(BJ35:CD35)/E35,(SUM(BS35:CD35)+BI35)/E35)))*(1+M$42+Summary!P$64)</f>
        <v>0</v>
      </c>
      <c r="U35" s="153">
        <f t="shared" si="3"/>
        <v>0</v>
      </c>
      <c r="V35" s="154">
        <f>AM35+AR35</f>
        <v>0</v>
      </c>
      <c r="W35" s="155">
        <f t="shared" si="5"/>
        <v>0</v>
      </c>
      <c r="AG35">
        <f>J35*E35</f>
        <v>0</v>
      </c>
      <c r="AH35">
        <f t="shared" si="7"/>
        <v>0</v>
      </c>
      <c r="AI35">
        <f t="shared" si="8"/>
        <v>0</v>
      </c>
      <c r="AJ35">
        <f>IF(E35=0,0,R35/E35/J35)</f>
        <v>0</v>
      </c>
      <c r="AK35">
        <f>AH35*1.4*4</f>
        <v>0</v>
      </c>
      <c r="AL35">
        <f>IF(SUM(AT35:AY35)=0,0,(SUM(BS35:BX35)/SUM(AT35:AY35)*AH35))</f>
        <v>0</v>
      </c>
      <c r="AM35">
        <f t="shared" si="11"/>
        <v>0</v>
      </c>
      <c r="AN35">
        <f t="shared" si="12"/>
        <v>0</v>
      </c>
      <c r="AO35">
        <f>IF(E35=0,0,SUM(BJ35:BQ35)/(E35*J35))</f>
        <v>0</v>
      </c>
      <c r="AP35">
        <v>3</v>
      </c>
      <c r="AQ35">
        <f t="shared" si="14"/>
        <v>0</v>
      </c>
      <c r="AR35">
        <f>IF(SUM(AT35:AY35)=0,0,SUM(BS35:BX35)/SUM(AT35:AY35)*AI35)</f>
        <v>0</v>
      </c>
      <c r="AS35">
        <f>AI35*1.3*4</f>
        <v>0</v>
      </c>
      <c r="AT35">
        <f>IF($D35=1,S35,0)</f>
        <v>0</v>
      </c>
      <c r="AU35">
        <f>IF($D35=2,S35,0)</f>
        <v>0</v>
      </c>
      <c r="AV35">
        <f>IF($D35=3,S35,0)</f>
        <v>0</v>
      </c>
      <c r="AW35">
        <f>IF($D35=4,S35,0)</f>
        <v>0</v>
      </c>
      <c r="AX35">
        <f>IF($D35=5,S35,0)</f>
        <v>0</v>
      </c>
      <c r="AY35">
        <f>IF($D35=6,S35,0)</f>
        <v>0</v>
      </c>
      <c r="AZ35">
        <f>IF(F35&gt;0,IF(F35&lt;=AZ$11,E35*$J35,0),0)</f>
        <v>0</v>
      </c>
      <c r="BA35">
        <f t="shared" si="72"/>
        <v>0</v>
      </c>
      <c r="BB35">
        <f t="shared" si="72"/>
        <v>0</v>
      </c>
      <c r="BC35">
        <f t="shared" si="72"/>
        <v>0</v>
      </c>
      <c r="BD35">
        <f t="shared" si="72"/>
        <v>0</v>
      </c>
      <c r="BE35">
        <f t="shared" si="72"/>
        <v>0</v>
      </c>
      <c r="BF35">
        <f t="shared" si="72"/>
        <v>0</v>
      </c>
      <c r="BG35">
        <f t="shared" si="72"/>
        <v>0</v>
      </c>
      <c r="BH35">
        <f>I35*E35</f>
        <v>0</v>
      </c>
      <c r="BI35">
        <f t="shared" si="18"/>
        <v>0</v>
      </c>
      <c r="BJ35">
        <f t="shared" si="19"/>
        <v>0</v>
      </c>
      <c r="BK35">
        <f t="shared" si="20"/>
        <v>0</v>
      </c>
      <c r="BL35">
        <f t="shared" si="21"/>
        <v>0</v>
      </c>
      <c r="BM35">
        <f t="shared" si="22"/>
        <v>0</v>
      </c>
      <c r="BN35">
        <f t="shared" si="23"/>
        <v>0</v>
      </c>
      <c r="BO35">
        <f t="shared" si="24"/>
        <v>0</v>
      </c>
      <c r="BP35">
        <f t="shared" si="25"/>
        <v>0</v>
      </c>
      <c r="BQ35">
        <f t="shared" si="26"/>
        <v>0</v>
      </c>
      <c r="BR35">
        <f t="shared" si="27"/>
        <v>0</v>
      </c>
      <c r="BS35">
        <f>AT35*Pricing!F$2*IF($T$41="N",(1+$V$41),1)</f>
        <v>0</v>
      </c>
      <c r="BT35">
        <f>AU35*Pricing!G$2*IF($T$41="N",(1+$V$41),1)</f>
        <v>0</v>
      </c>
      <c r="BU35">
        <f>AV35*Pricing!H$2*IF($T$41="N",(1+$V$41),1)</f>
        <v>0</v>
      </c>
      <c r="BV35">
        <f>AW35*Pricing!I$2*IF($T$41="N",(1+$V$41),1)</f>
        <v>0</v>
      </c>
      <c r="BW35">
        <f>AX35*Pricing!J$2*IF($T$41="N",(1+$V$41),1)</f>
        <v>0</v>
      </c>
      <c r="BX35">
        <f>AY35*Pricing!K$2*IF($T$41="N",(1+$V$41),1)</f>
        <v>0</v>
      </c>
      <c r="BY35">
        <f t="shared" si="28"/>
        <v>0</v>
      </c>
      <c r="BZ35">
        <f t="shared" si="29"/>
        <v>0</v>
      </c>
      <c r="CA35">
        <f t="shared" si="30"/>
        <v>0</v>
      </c>
      <c r="CB35">
        <f t="shared" si="31"/>
        <v>0</v>
      </c>
      <c r="CC35">
        <f t="shared" si="32"/>
        <v>0</v>
      </c>
      <c r="CD35">
        <f t="shared" si="33"/>
        <v>0</v>
      </c>
      <c r="CF35">
        <f>T35*E35</f>
        <v>0</v>
      </c>
      <c r="IV35" s="298"/>
    </row>
    <row r="36" spans="2:256" ht="20.149999999999999" customHeight="1" x14ac:dyDescent="0.35">
      <c r="B36" s="1979"/>
      <c r="C36" s="1980"/>
      <c r="D36" s="121"/>
      <c r="E36" s="1087"/>
      <c r="F36" s="106"/>
      <c r="G36" s="106"/>
      <c r="H36" s="106"/>
      <c r="I36" s="139"/>
      <c r="J36" s="1107">
        <f t="shared" ref="J36:J38" si="73">G36+H36</f>
        <v>0</v>
      </c>
      <c r="K36" s="106"/>
      <c r="L36" s="140"/>
      <c r="M36" s="106"/>
      <c r="N36" s="140"/>
      <c r="O36" s="141"/>
      <c r="P36" s="106"/>
      <c r="Q36" s="139"/>
      <c r="R36" s="1109">
        <f t="shared" si="1"/>
        <v>0</v>
      </c>
      <c r="S36" s="1109">
        <f t="shared" si="2"/>
        <v>0</v>
      </c>
      <c r="T36" s="1110">
        <f>(IF(E36=0,0,IF(J$53=0,SUM(BJ36:CD36)/E36,(SUM(BS36:CD36)+BI36)/E36)))*(1+M$42+Summary!P$64)</f>
        <v>0</v>
      </c>
      <c r="U36" s="153">
        <f t="shared" si="3"/>
        <v>0</v>
      </c>
      <c r="V36" s="154">
        <f t="shared" si="4"/>
        <v>0</v>
      </c>
      <c r="W36" s="155">
        <f t="shared" si="5"/>
        <v>0</v>
      </c>
      <c r="AG36">
        <f t="shared" si="6"/>
        <v>0</v>
      </c>
      <c r="AH36">
        <f t="shared" si="7"/>
        <v>0</v>
      </c>
      <c r="AI36">
        <f t="shared" si="8"/>
        <v>0</v>
      </c>
      <c r="AJ36">
        <f t="shared" si="9"/>
        <v>0</v>
      </c>
      <c r="AK36">
        <f t="shared" si="35"/>
        <v>0</v>
      </c>
      <c r="AL36">
        <f t="shared" si="10"/>
        <v>0</v>
      </c>
      <c r="AM36">
        <f t="shared" si="11"/>
        <v>0</v>
      </c>
      <c r="AN36">
        <f t="shared" si="12"/>
        <v>0</v>
      </c>
      <c r="AO36">
        <f t="shared" si="13"/>
        <v>0</v>
      </c>
      <c r="AP36">
        <v>3</v>
      </c>
      <c r="AQ36">
        <f t="shared" si="14"/>
        <v>0</v>
      </c>
      <c r="AR36">
        <f t="shared" si="15"/>
        <v>0</v>
      </c>
      <c r="AS36">
        <f t="shared" si="36"/>
        <v>0</v>
      </c>
      <c r="AT36">
        <f t="shared" si="37"/>
        <v>0</v>
      </c>
      <c r="AU36">
        <f t="shared" si="38"/>
        <v>0</v>
      </c>
      <c r="AV36">
        <f t="shared" si="39"/>
        <v>0</v>
      </c>
      <c r="AW36">
        <f t="shared" si="40"/>
        <v>0</v>
      </c>
      <c r="AX36">
        <f t="shared" si="41"/>
        <v>0</v>
      </c>
      <c r="AY36">
        <f t="shared" si="42"/>
        <v>0</v>
      </c>
      <c r="AZ36">
        <f t="shared" si="43"/>
        <v>0</v>
      </c>
      <c r="BA36">
        <f t="shared" si="71"/>
        <v>0</v>
      </c>
      <c r="BB36">
        <f t="shared" si="71"/>
        <v>0</v>
      </c>
      <c r="BC36">
        <f t="shared" si="71"/>
        <v>0</v>
      </c>
      <c r="BD36">
        <f t="shared" si="71"/>
        <v>0</v>
      </c>
      <c r="BE36">
        <f t="shared" si="71"/>
        <v>0</v>
      </c>
      <c r="BF36">
        <f t="shared" si="71"/>
        <v>0</v>
      </c>
      <c r="BG36">
        <f t="shared" si="71"/>
        <v>0</v>
      </c>
      <c r="BH36">
        <f t="shared" si="17"/>
        <v>0</v>
      </c>
      <c r="BI36">
        <f t="shared" si="18"/>
        <v>0</v>
      </c>
      <c r="BJ36">
        <f t="shared" si="19"/>
        <v>0</v>
      </c>
      <c r="BK36">
        <f t="shared" si="20"/>
        <v>0</v>
      </c>
      <c r="BL36">
        <f t="shared" si="21"/>
        <v>0</v>
      </c>
      <c r="BM36">
        <f t="shared" si="22"/>
        <v>0</v>
      </c>
      <c r="BN36">
        <f t="shared" si="23"/>
        <v>0</v>
      </c>
      <c r="BO36">
        <f t="shared" si="24"/>
        <v>0</v>
      </c>
      <c r="BP36">
        <f t="shared" si="25"/>
        <v>0</v>
      </c>
      <c r="BQ36">
        <f t="shared" si="26"/>
        <v>0</v>
      </c>
      <c r="BR36">
        <f t="shared" si="27"/>
        <v>0</v>
      </c>
      <c r="BS36">
        <f>AT36*Pricing!F$2*IF($T$41="N",(1+$V$41),1)</f>
        <v>0</v>
      </c>
      <c r="BT36">
        <f>AU36*Pricing!G$2*IF($T$41="N",(1+$V$41),1)</f>
        <v>0</v>
      </c>
      <c r="BU36">
        <f>AV36*Pricing!H$2*IF($T$41="N",(1+$V$41),1)</f>
        <v>0</v>
      </c>
      <c r="BV36">
        <f>AW36*Pricing!I$2*IF($T$41="N",(1+$V$41),1)</f>
        <v>0</v>
      </c>
      <c r="BW36">
        <f>AX36*Pricing!J$2*IF($T$41="N",(1+$V$41),1)</f>
        <v>0</v>
      </c>
      <c r="BX36">
        <f>AY36*Pricing!K$2*IF($T$41="N",(1+$V$41),1)</f>
        <v>0</v>
      </c>
      <c r="BY36">
        <f t="shared" si="28"/>
        <v>0</v>
      </c>
      <c r="BZ36">
        <f t="shared" si="29"/>
        <v>0</v>
      </c>
      <c r="CA36">
        <f t="shared" si="30"/>
        <v>0</v>
      </c>
      <c r="CB36">
        <f t="shared" si="31"/>
        <v>0</v>
      </c>
      <c r="CC36">
        <f t="shared" si="32"/>
        <v>0</v>
      </c>
      <c r="CD36">
        <f t="shared" si="33"/>
        <v>0</v>
      </c>
      <c r="CF36">
        <f t="shared" si="34"/>
        <v>0</v>
      </c>
      <c r="IV36" s="298"/>
    </row>
    <row r="37" spans="2:256" ht="20.149999999999999" customHeight="1" x14ac:dyDescent="0.35">
      <c r="B37" s="1979"/>
      <c r="C37" s="1980"/>
      <c r="D37" s="121"/>
      <c r="E37" s="1087"/>
      <c r="F37" s="106"/>
      <c r="G37" s="106"/>
      <c r="H37" s="106"/>
      <c r="I37" s="139"/>
      <c r="J37" s="1107">
        <f t="shared" si="73"/>
        <v>0</v>
      </c>
      <c r="K37" s="106"/>
      <c r="L37" s="140"/>
      <c r="M37" s="106"/>
      <c r="N37" s="140"/>
      <c r="O37" s="141"/>
      <c r="P37" s="106"/>
      <c r="Q37" s="139"/>
      <c r="R37" s="1109">
        <f t="shared" si="1"/>
        <v>0</v>
      </c>
      <c r="S37" s="1109">
        <f t="shared" si="2"/>
        <v>0</v>
      </c>
      <c r="T37" s="1110">
        <f>(IF(E37=0,0,IF(J$53=0,SUM(BJ37:CD37)/E37,(SUM(BS37:CD37)+BI37)/E37)))*(1+M$42+Summary!P$64)</f>
        <v>0</v>
      </c>
      <c r="U37" s="153">
        <f t="shared" si="3"/>
        <v>0</v>
      </c>
      <c r="V37" s="154">
        <f t="shared" si="4"/>
        <v>0</v>
      </c>
      <c r="W37" s="155">
        <f t="shared" si="5"/>
        <v>0</v>
      </c>
      <c r="AG37">
        <f t="shared" si="6"/>
        <v>0</v>
      </c>
      <c r="AH37">
        <f t="shared" si="7"/>
        <v>0</v>
      </c>
      <c r="AI37">
        <f t="shared" si="8"/>
        <v>0</v>
      </c>
      <c r="AJ37">
        <f t="shared" si="9"/>
        <v>0</v>
      </c>
      <c r="AK37">
        <f t="shared" si="35"/>
        <v>0</v>
      </c>
      <c r="AL37">
        <f t="shared" si="10"/>
        <v>0</v>
      </c>
      <c r="AM37">
        <f t="shared" si="11"/>
        <v>0</v>
      </c>
      <c r="AN37">
        <f t="shared" si="12"/>
        <v>0</v>
      </c>
      <c r="AO37">
        <f t="shared" si="13"/>
        <v>0</v>
      </c>
      <c r="AP37">
        <v>3</v>
      </c>
      <c r="AQ37">
        <f t="shared" si="14"/>
        <v>0</v>
      </c>
      <c r="AR37">
        <f t="shared" si="15"/>
        <v>0</v>
      </c>
      <c r="AS37">
        <f t="shared" si="36"/>
        <v>0</v>
      </c>
      <c r="AT37">
        <f t="shared" si="37"/>
        <v>0</v>
      </c>
      <c r="AU37">
        <f t="shared" si="38"/>
        <v>0</v>
      </c>
      <c r="AV37">
        <f t="shared" si="39"/>
        <v>0</v>
      </c>
      <c r="AW37">
        <f t="shared" si="40"/>
        <v>0</v>
      </c>
      <c r="AX37">
        <f t="shared" si="41"/>
        <v>0</v>
      </c>
      <c r="AY37">
        <f t="shared" si="42"/>
        <v>0</v>
      </c>
      <c r="AZ37">
        <f t="shared" si="43"/>
        <v>0</v>
      </c>
      <c r="BA37">
        <f t="shared" si="71"/>
        <v>0</v>
      </c>
      <c r="BB37">
        <f t="shared" si="71"/>
        <v>0</v>
      </c>
      <c r="BC37">
        <f t="shared" si="71"/>
        <v>0</v>
      </c>
      <c r="BD37">
        <f t="shared" si="71"/>
        <v>0</v>
      </c>
      <c r="BE37">
        <f t="shared" si="71"/>
        <v>0</v>
      </c>
      <c r="BF37">
        <f t="shared" si="71"/>
        <v>0</v>
      </c>
      <c r="BG37">
        <f t="shared" si="71"/>
        <v>0</v>
      </c>
      <c r="BH37">
        <f t="shared" si="17"/>
        <v>0</v>
      </c>
      <c r="BI37">
        <f t="shared" si="18"/>
        <v>0</v>
      </c>
      <c r="BJ37">
        <f t="shared" si="19"/>
        <v>0</v>
      </c>
      <c r="BK37">
        <f t="shared" si="20"/>
        <v>0</v>
      </c>
      <c r="BL37">
        <f t="shared" si="21"/>
        <v>0</v>
      </c>
      <c r="BM37">
        <f t="shared" si="22"/>
        <v>0</v>
      </c>
      <c r="BN37">
        <f t="shared" si="23"/>
        <v>0</v>
      </c>
      <c r="BO37">
        <f t="shared" si="24"/>
        <v>0</v>
      </c>
      <c r="BP37">
        <f t="shared" si="25"/>
        <v>0</v>
      </c>
      <c r="BQ37">
        <f t="shared" si="26"/>
        <v>0</v>
      </c>
      <c r="BR37">
        <f t="shared" si="27"/>
        <v>0</v>
      </c>
      <c r="BS37">
        <f>AT37*Pricing!F$2*IF($T$41="N",(1+$V$41),1)</f>
        <v>0</v>
      </c>
      <c r="BT37">
        <f>AU37*Pricing!G$2*IF($T$41="N",(1+$V$41),1)</f>
        <v>0</v>
      </c>
      <c r="BU37">
        <f>AV37*Pricing!H$2*IF($T$41="N",(1+$V$41),1)</f>
        <v>0</v>
      </c>
      <c r="BV37">
        <f>AW37*Pricing!I$2*IF($T$41="N",(1+$V$41),1)</f>
        <v>0</v>
      </c>
      <c r="BW37">
        <f>AX37*Pricing!J$2*IF($T$41="N",(1+$V$41),1)</f>
        <v>0</v>
      </c>
      <c r="BX37">
        <f>AY37*Pricing!K$2*IF($T$41="N",(1+$V$41),1)</f>
        <v>0</v>
      </c>
      <c r="BY37">
        <f t="shared" si="28"/>
        <v>0</v>
      </c>
      <c r="BZ37">
        <f t="shared" si="29"/>
        <v>0</v>
      </c>
      <c r="CA37">
        <f t="shared" si="30"/>
        <v>0</v>
      </c>
      <c r="CB37">
        <f t="shared" si="31"/>
        <v>0</v>
      </c>
      <c r="CC37">
        <f t="shared" si="32"/>
        <v>0</v>
      </c>
      <c r="CD37">
        <f t="shared" si="33"/>
        <v>0</v>
      </c>
      <c r="CF37">
        <f t="shared" si="34"/>
        <v>0</v>
      </c>
      <c r="IV37" s="298"/>
    </row>
    <row r="38" spans="2:256" ht="20.149999999999999" customHeight="1" thickBot="1" x14ac:dyDescent="0.4">
      <c r="B38" s="2069"/>
      <c r="C38" s="2070"/>
      <c r="D38" s="128"/>
      <c r="E38" s="776"/>
      <c r="F38" s="188"/>
      <c r="G38" s="188"/>
      <c r="H38" s="188"/>
      <c r="I38" s="189"/>
      <c r="J38" s="1108">
        <f t="shared" si="73"/>
        <v>0</v>
      </c>
      <c r="K38" s="188"/>
      <c r="L38" s="430"/>
      <c r="M38" s="188"/>
      <c r="N38" s="430"/>
      <c r="O38" s="187"/>
      <c r="P38" s="188"/>
      <c r="Q38" s="189"/>
      <c r="R38" s="1111">
        <f t="shared" si="1"/>
        <v>0</v>
      </c>
      <c r="S38" s="1111">
        <f t="shared" si="2"/>
        <v>0</v>
      </c>
      <c r="T38" s="1112">
        <f>(IF(E38=0,0,IF(J$53=0,SUM(BJ38:CD38)/E38,(SUM(BS38:CD38)+BI38)/E38)))*(1+M$42+Summary!P$64)</f>
        <v>0</v>
      </c>
      <c r="U38" s="162">
        <f t="shared" si="3"/>
        <v>0</v>
      </c>
      <c r="V38" s="163">
        <f t="shared" si="4"/>
        <v>0</v>
      </c>
      <c r="W38" s="543">
        <f t="shared" si="5"/>
        <v>0</v>
      </c>
      <c r="AG38">
        <f t="shared" si="6"/>
        <v>0</v>
      </c>
      <c r="AH38">
        <f t="shared" si="7"/>
        <v>0</v>
      </c>
      <c r="AI38">
        <f t="shared" si="8"/>
        <v>0</v>
      </c>
      <c r="AJ38">
        <f t="shared" si="9"/>
        <v>0</v>
      </c>
      <c r="AK38">
        <f t="shared" si="35"/>
        <v>0</v>
      </c>
      <c r="AL38">
        <f t="shared" si="10"/>
        <v>0</v>
      </c>
      <c r="AM38">
        <f t="shared" si="11"/>
        <v>0</v>
      </c>
      <c r="AN38">
        <f t="shared" si="12"/>
        <v>0</v>
      </c>
      <c r="AO38">
        <f t="shared" si="13"/>
        <v>0</v>
      </c>
      <c r="AP38">
        <v>3</v>
      </c>
      <c r="AQ38">
        <f t="shared" si="14"/>
        <v>0</v>
      </c>
      <c r="AR38">
        <f t="shared" si="15"/>
        <v>0</v>
      </c>
      <c r="AS38">
        <f t="shared" si="36"/>
        <v>0</v>
      </c>
      <c r="AT38">
        <f t="shared" si="37"/>
        <v>0</v>
      </c>
      <c r="AU38">
        <f t="shared" si="38"/>
        <v>0</v>
      </c>
      <c r="AV38">
        <f t="shared" si="39"/>
        <v>0</v>
      </c>
      <c r="AW38">
        <f t="shared" si="40"/>
        <v>0</v>
      </c>
      <c r="AX38">
        <f t="shared" si="41"/>
        <v>0</v>
      </c>
      <c r="AY38">
        <f t="shared" si="42"/>
        <v>0</v>
      </c>
      <c r="AZ38">
        <f t="shared" si="43"/>
        <v>0</v>
      </c>
      <c r="BA38">
        <f t="shared" ref="BA38:BG38" si="74">IF($F38&gt;AZ$11,IF($F38&lt;=BA$11,$E38*$J38,0),0)</f>
        <v>0</v>
      </c>
      <c r="BB38">
        <f t="shared" si="74"/>
        <v>0</v>
      </c>
      <c r="BC38">
        <f t="shared" si="74"/>
        <v>0</v>
      </c>
      <c r="BD38">
        <f t="shared" si="74"/>
        <v>0</v>
      </c>
      <c r="BE38">
        <f t="shared" si="74"/>
        <v>0</v>
      </c>
      <c r="BF38">
        <f t="shared" si="74"/>
        <v>0</v>
      </c>
      <c r="BG38">
        <f t="shared" si="74"/>
        <v>0</v>
      </c>
      <c r="BH38">
        <f t="shared" si="17"/>
        <v>0</v>
      </c>
      <c r="BI38">
        <f t="shared" si="18"/>
        <v>0</v>
      </c>
      <c r="BJ38">
        <f t="shared" si="19"/>
        <v>0</v>
      </c>
      <c r="BK38">
        <f t="shared" si="20"/>
        <v>0</v>
      </c>
      <c r="BL38">
        <f t="shared" si="21"/>
        <v>0</v>
      </c>
      <c r="BM38">
        <f t="shared" si="22"/>
        <v>0</v>
      </c>
      <c r="BN38">
        <f t="shared" si="23"/>
        <v>0</v>
      </c>
      <c r="BO38">
        <f t="shared" si="24"/>
        <v>0</v>
      </c>
      <c r="BP38">
        <f t="shared" si="25"/>
        <v>0</v>
      </c>
      <c r="BQ38">
        <f t="shared" si="26"/>
        <v>0</v>
      </c>
      <c r="BR38">
        <f t="shared" si="27"/>
        <v>0</v>
      </c>
      <c r="BS38">
        <f>AT38*Pricing!F$2*IF($T$41="N",(1+$V$41),1)</f>
        <v>0</v>
      </c>
      <c r="BT38">
        <f>AU38*Pricing!G$2*IF($T$41="N",(1+$V$41),1)</f>
        <v>0</v>
      </c>
      <c r="BU38">
        <f>AV38*Pricing!H$2*IF($T$41="N",(1+$V$41),1)</f>
        <v>0</v>
      </c>
      <c r="BV38">
        <f>AW38*Pricing!I$2*IF($T$41="N",(1+$V$41),1)</f>
        <v>0</v>
      </c>
      <c r="BW38">
        <f>AX38*Pricing!J$2*IF($T$41="N",(1+$V$41),1)</f>
        <v>0</v>
      </c>
      <c r="BX38">
        <f>AY38*Pricing!K$2*IF($T$41="N",(1+$V$41),1)</f>
        <v>0</v>
      </c>
      <c r="BY38">
        <f t="shared" si="28"/>
        <v>0</v>
      </c>
      <c r="BZ38">
        <f t="shared" si="29"/>
        <v>0</v>
      </c>
      <c r="CA38">
        <f t="shared" si="30"/>
        <v>0</v>
      </c>
      <c r="CB38">
        <f t="shared" si="31"/>
        <v>0</v>
      </c>
      <c r="CC38">
        <f t="shared" si="32"/>
        <v>0</v>
      </c>
      <c r="CD38">
        <f t="shared" si="33"/>
        <v>0</v>
      </c>
      <c r="CF38">
        <f t="shared" si="34"/>
        <v>0</v>
      </c>
      <c r="IV38" s="298"/>
    </row>
    <row r="39" spans="2:256" ht="25" customHeight="1" thickBot="1" x14ac:dyDescent="0.4">
      <c r="B39" s="156" t="s">
        <v>41</v>
      </c>
      <c r="C39" s="49"/>
      <c r="D39" s="306"/>
      <c r="E39" s="157">
        <f>SUM(E12:E38)</f>
        <v>0</v>
      </c>
      <c r="F39" s="158" t="s">
        <v>26</v>
      </c>
      <c r="G39" s="337"/>
      <c r="H39" s="337"/>
      <c r="I39" s="325"/>
      <c r="J39" s="175">
        <f>AG39</f>
        <v>0</v>
      </c>
      <c r="K39" s="49" t="s">
        <v>42</v>
      </c>
      <c r="L39" s="338"/>
      <c r="M39" s="306"/>
      <c r="N39" s="338"/>
      <c r="O39" s="339"/>
      <c r="P39" s="49" t="s">
        <v>30</v>
      </c>
      <c r="Q39" s="159"/>
      <c r="R39" s="160">
        <f>SUM(R12:R38)</f>
        <v>0</v>
      </c>
      <c r="S39" s="161">
        <f>SUM(S12:S38)+BJ31</f>
        <v>0</v>
      </c>
      <c r="T39" s="142">
        <f>CF39</f>
        <v>0</v>
      </c>
      <c r="U39" s="162" t="s">
        <v>525</v>
      </c>
      <c r="V39" s="163"/>
      <c r="W39" s="1099">
        <v>0.2</v>
      </c>
      <c r="AG39">
        <f>SUM(AG12:AG38)</f>
        <v>0</v>
      </c>
      <c r="AT39">
        <f t="shared" ref="AT39:AY39" si="75">SUM(AT12:AT38)</f>
        <v>0</v>
      </c>
      <c r="AU39">
        <f t="shared" si="75"/>
        <v>0</v>
      </c>
      <c r="AV39">
        <f t="shared" si="75"/>
        <v>0</v>
      </c>
      <c r="AW39">
        <f t="shared" si="75"/>
        <v>0</v>
      </c>
      <c r="AX39">
        <f t="shared" si="75"/>
        <v>0</v>
      </c>
      <c r="AY39">
        <f t="shared" si="75"/>
        <v>0</v>
      </c>
      <c r="BI39">
        <f t="shared" ref="BI39:CD39" si="76">SUM(BI12:BI38)</f>
        <v>0</v>
      </c>
      <c r="BJ39">
        <f t="shared" si="76"/>
        <v>0</v>
      </c>
      <c r="BK39">
        <f t="shared" si="76"/>
        <v>0</v>
      </c>
      <c r="BL39">
        <f t="shared" si="76"/>
        <v>0</v>
      </c>
      <c r="BM39">
        <f t="shared" si="76"/>
        <v>0</v>
      </c>
      <c r="BN39">
        <f t="shared" si="76"/>
        <v>0</v>
      </c>
      <c r="BO39">
        <f t="shared" si="76"/>
        <v>0</v>
      </c>
      <c r="BP39">
        <f t="shared" si="76"/>
        <v>0</v>
      </c>
      <c r="BQ39">
        <f t="shared" si="76"/>
        <v>0</v>
      </c>
      <c r="BR39">
        <f t="shared" si="76"/>
        <v>0</v>
      </c>
      <c r="BS39">
        <f t="shared" si="76"/>
        <v>0</v>
      </c>
      <c r="BT39">
        <f t="shared" si="76"/>
        <v>0</v>
      </c>
      <c r="BU39">
        <f t="shared" si="76"/>
        <v>0</v>
      </c>
      <c r="BV39">
        <f t="shared" si="76"/>
        <v>0</v>
      </c>
      <c r="BW39">
        <f t="shared" si="76"/>
        <v>0</v>
      </c>
      <c r="BX39">
        <f t="shared" si="76"/>
        <v>0</v>
      </c>
      <c r="BY39">
        <f t="shared" si="76"/>
        <v>0</v>
      </c>
      <c r="BZ39">
        <f t="shared" si="76"/>
        <v>0</v>
      </c>
      <c r="CA39">
        <f t="shared" si="76"/>
        <v>0</v>
      </c>
      <c r="CB39">
        <f t="shared" si="76"/>
        <v>0</v>
      </c>
      <c r="CC39">
        <f t="shared" si="76"/>
        <v>0</v>
      </c>
      <c r="CD39">
        <f t="shared" si="76"/>
        <v>0</v>
      </c>
      <c r="CF39">
        <f>SUM(CF12:CF38)</f>
        <v>0</v>
      </c>
      <c r="IV39" s="298"/>
    </row>
    <row r="40" spans="2:256" ht="17.149999999999999" customHeight="1" thickBot="1" x14ac:dyDescent="0.4">
      <c r="B40" s="898"/>
      <c r="C40" s="899"/>
      <c r="D40" s="899"/>
      <c r="E40" s="899"/>
      <c r="F40" s="899">
        <f>E12*T12+T13*E13+E14*T14</f>
        <v>0</v>
      </c>
      <c r="G40" s="899"/>
      <c r="H40" s="899"/>
      <c r="I40" s="899"/>
      <c r="J40" s="899"/>
      <c r="K40" s="899"/>
      <c r="L40" s="900"/>
      <c r="M40" s="879"/>
      <c r="N40" s="879"/>
      <c r="O40" s="879"/>
      <c r="P40" s="899"/>
      <c r="Q40" s="899"/>
      <c r="R40" s="899"/>
      <c r="S40" s="899"/>
      <c r="T40" s="1114">
        <f>IF(J53=0,SUM(BJ39:CE39),SUM(BS39:CE39)+O53)</f>
        <v>0</v>
      </c>
      <c r="U40" s="899"/>
      <c r="V40" s="899"/>
      <c r="W40" s="1115"/>
      <c r="IV40" s="298"/>
    </row>
    <row r="41" spans="2:256" ht="17.149999999999999" customHeight="1" x14ac:dyDescent="0.35">
      <c r="B41" s="1987" t="s">
        <v>185</v>
      </c>
      <c r="C41" s="2041"/>
      <c r="D41" s="1988"/>
      <c r="E41" s="1987" t="s">
        <v>140</v>
      </c>
      <c r="F41" s="1988"/>
      <c r="G41" s="1987" t="s">
        <v>178</v>
      </c>
      <c r="H41" s="2041"/>
      <c r="I41" s="1988"/>
      <c r="J41" s="1935" t="s">
        <v>184</v>
      </c>
      <c r="K41" s="1936"/>
      <c r="L41" s="1937"/>
      <c r="M41" s="2297" t="s">
        <v>179</v>
      </c>
      <c r="N41" s="2298"/>
      <c r="O41" s="2299"/>
      <c r="P41" s="897"/>
      <c r="Q41" s="43" t="s">
        <v>34</v>
      </c>
      <c r="S41" s="42" t="s">
        <v>758</v>
      </c>
      <c r="T41" s="1098" t="str">
        <f>Summary!P65</f>
        <v>n</v>
      </c>
      <c r="U41" s="73" t="s">
        <v>298</v>
      </c>
      <c r="V41" s="823">
        <f>Summary!R65</f>
        <v>8.2500000000000004E-2</v>
      </c>
      <c r="W41" s="1113"/>
      <c r="IV41" s="298"/>
    </row>
    <row r="42" spans="2:256" ht="17.149999999999999" customHeight="1" thickBot="1" x14ac:dyDescent="0.4">
      <c r="B42" s="11" t="s">
        <v>180</v>
      </c>
      <c r="C42" s="1999">
        <f>IF(J39=0,0,E42/J39)</f>
        <v>0</v>
      </c>
      <c r="D42" s="2000"/>
      <c r="E42" s="2003">
        <f>T42*((1+M42+Summary!P64))</f>
        <v>0</v>
      </c>
      <c r="F42" s="2004"/>
      <c r="G42" s="15">
        <f>IF(H42=0,0,H42/E42)</f>
        <v>0</v>
      </c>
      <c r="H42" s="2042">
        <f>E42-T42</f>
        <v>0</v>
      </c>
      <c r="I42" s="2043"/>
      <c r="J42" s="2003">
        <f>IF(C42=0,0,T42/E39)</f>
        <v>0</v>
      </c>
      <c r="K42" s="2372"/>
      <c r="L42" s="2004"/>
      <c r="M42" s="2302">
        <f>Summary!P63</f>
        <v>0.18</v>
      </c>
      <c r="N42" s="2303"/>
      <c r="O42" s="2304"/>
      <c r="P42" s="897"/>
      <c r="Q42" s="86" t="s">
        <v>50</v>
      </c>
      <c r="T42" s="1932">
        <f>SUM(O49:P54)+SUM(O56:P60)+SUM(O63:P67)+SUM(O69:P74)+SUM(O76:P81)+W83+SUM(L56:M60)</f>
        <v>0</v>
      </c>
      <c r="U42" s="1932"/>
      <c r="W42" s="1113"/>
      <c r="IV42" s="298"/>
    </row>
    <row r="43" spans="2:256" ht="17.149999999999999" customHeight="1" thickBot="1" x14ac:dyDescent="0.4">
      <c r="B43" s="889"/>
      <c r="C43" s="890"/>
      <c r="D43" s="940" t="s">
        <v>657</v>
      </c>
      <c r="E43" s="2368">
        <f>SUM(D44:E46)</f>
        <v>0</v>
      </c>
      <c r="F43" s="2369"/>
      <c r="G43" s="890"/>
      <c r="H43" s="890"/>
      <c r="I43" s="891" t="s">
        <v>891</v>
      </c>
      <c r="J43" s="892"/>
      <c r="K43" s="2036"/>
      <c r="L43" s="2037"/>
      <c r="M43" s="893"/>
      <c r="N43" s="1899">
        <f>IF(K43&gt;0,(K43-E42)/(1+M42),0)</f>
        <v>0</v>
      </c>
      <c r="O43" s="1899"/>
      <c r="P43" s="894"/>
      <c r="Q43" s="895"/>
      <c r="R43" s="890"/>
      <c r="S43" s="890"/>
      <c r="T43" s="2245">
        <f>AE128</f>
        <v>0</v>
      </c>
      <c r="U43" s="2245"/>
      <c r="V43" s="890"/>
      <c r="W43" s="896"/>
      <c r="IV43" s="298"/>
    </row>
    <row r="44" spans="2:256" ht="17.149999999999999" customHeight="1" x14ac:dyDescent="0.35">
      <c r="B44" s="77" t="s">
        <v>607</v>
      </c>
      <c r="C44" s="1097"/>
      <c r="D44" s="2312"/>
      <c r="E44" s="2312"/>
      <c r="F44" s="1085"/>
      <c r="G44" s="770"/>
      <c r="H44" s="770"/>
      <c r="I44" s="770"/>
      <c r="J44" s="770"/>
      <c r="K44" s="770"/>
      <c r="L44" s="770"/>
      <c r="M44" s="770"/>
      <c r="N44" s="770"/>
      <c r="O44" s="770"/>
      <c r="P44" s="336"/>
      <c r="Q44" s="336"/>
      <c r="R44" s="298"/>
      <c r="S44" s="298"/>
      <c r="T44" s="298"/>
      <c r="U44" s="298"/>
      <c r="V44" s="298"/>
      <c r="W44" s="298"/>
      <c r="IV44" s="298"/>
    </row>
    <row r="45" spans="2:256" ht="17.149999999999999" customHeight="1" x14ac:dyDescent="0.35">
      <c r="B45" s="298"/>
      <c r="C45" s="770"/>
      <c r="D45" s="2311"/>
      <c r="E45" s="2311"/>
      <c r="F45" s="770"/>
      <c r="G45" s="770"/>
      <c r="H45" s="770"/>
      <c r="I45" s="770"/>
      <c r="J45" s="770"/>
      <c r="K45" s="770"/>
      <c r="L45" s="770"/>
      <c r="M45" s="770"/>
      <c r="N45" s="770"/>
      <c r="O45" s="770"/>
      <c r="P45" s="298"/>
      <c r="Q45" s="298"/>
      <c r="R45" s="298" t="s">
        <v>896</v>
      </c>
      <c r="S45" s="592">
        <f>IF(L52=0,0,L52/(S39*13231.64))</f>
        <v>0</v>
      </c>
      <c r="T45" s="298"/>
      <c r="U45" s="298"/>
      <c r="V45" s="298"/>
      <c r="W45" s="298"/>
      <c r="AN45" t="s">
        <v>23</v>
      </c>
      <c r="AR45" s="544">
        <f>Pricing!E9</f>
        <v>1.5</v>
      </c>
      <c r="AS45">
        <f>SUM(BJ39:BR39)</f>
        <v>0</v>
      </c>
      <c r="IV45" s="298"/>
    </row>
    <row r="46" spans="2:256" ht="17.149999999999999" customHeight="1" x14ac:dyDescent="0.35">
      <c r="B46" s="298"/>
      <c r="C46" s="770"/>
      <c r="D46" s="2311"/>
      <c r="E46" s="2311"/>
      <c r="F46" s="770"/>
      <c r="G46" s="770"/>
      <c r="H46" s="770"/>
      <c r="I46" s="770"/>
      <c r="J46" s="770"/>
      <c r="K46" s="770"/>
      <c r="L46" s="770"/>
      <c r="M46" s="770"/>
      <c r="N46" s="770"/>
      <c r="O46" s="770"/>
      <c r="P46" s="298"/>
      <c r="Q46" s="298"/>
      <c r="R46" s="298"/>
      <c r="S46" s="298"/>
      <c r="T46" s="298"/>
      <c r="U46" s="298"/>
      <c r="V46" s="298"/>
      <c r="W46" s="298"/>
      <c r="AN46" t="s">
        <v>24</v>
      </c>
      <c r="AR46">
        <f>SUM(BH12:BH38)</f>
        <v>0</v>
      </c>
      <c r="IV46" s="298"/>
    </row>
    <row r="47" spans="2:256" ht="17.149999999999999" customHeight="1" thickBot="1" x14ac:dyDescent="0.4">
      <c r="B47" s="298"/>
      <c r="C47" s="770"/>
      <c r="D47" s="770"/>
      <c r="E47" s="770"/>
      <c r="F47" s="770"/>
      <c r="G47" s="770"/>
      <c r="H47" s="770"/>
      <c r="I47" s="770"/>
      <c r="J47" s="770"/>
      <c r="K47" s="770"/>
      <c r="L47" s="770"/>
      <c r="M47" s="770"/>
      <c r="N47" s="770"/>
      <c r="O47" s="770"/>
      <c r="P47" s="298"/>
      <c r="Q47" s="298"/>
      <c r="R47" s="298"/>
      <c r="S47" s="298"/>
      <c r="T47" s="298"/>
      <c r="U47" s="298"/>
      <c r="V47" s="298"/>
      <c r="W47" s="298"/>
      <c r="AN47" t="s">
        <v>25</v>
      </c>
      <c r="AR47">
        <f>AR45*AR46</f>
        <v>0</v>
      </c>
      <c r="IV47" s="298"/>
    </row>
    <row r="48" spans="2:256" ht="34.5" customHeight="1" thickBot="1" x14ac:dyDescent="0.4">
      <c r="B48" s="926" t="s">
        <v>226</v>
      </c>
      <c r="C48" s="2370" t="s">
        <v>167</v>
      </c>
      <c r="D48" s="2370"/>
      <c r="E48" s="2370"/>
      <c r="F48" s="2370"/>
      <c r="G48" s="2370"/>
      <c r="H48" s="2370"/>
      <c r="I48" s="2370"/>
      <c r="J48" s="2370"/>
      <c r="K48" s="2370"/>
      <c r="L48" s="2370"/>
      <c r="M48" s="2370"/>
      <c r="N48" s="2370"/>
      <c r="O48" s="2370"/>
      <c r="P48" s="2371"/>
      <c r="Q48" s="2250" t="s">
        <v>196</v>
      </c>
      <c r="R48" s="2251"/>
      <c r="S48" s="927" t="s">
        <v>52</v>
      </c>
      <c r="T48" s="1123"/>
      <c r="U48" s="1124" t="s">
        <v>7</v>
      </c>
      <c r="V48" s="1123"/>
      <c r="W48" s="1125"/>
      <c r="IV48" s="298"/>
    </row>
    <row r="49" spans="2:256" ht="19" customHeight="1" thickTop="1" x14ac:dyDescent="0.35">
      <c r="B49" s="12">
        <v>1</v>
      </c>
      <c r="C49" s="190" t="str">
        <f>IF(B49=1,Pricing!F$1,IF(B49=2,Pricing!G$1,IF(B49=3,Pricing!H$1,IF(B49=4,Pricing!I$1,IF(B49=5,Pricing!J$1,IF(B49=6,Pricing!K$1,0))))))</f>
        <v>3000 PSI W/ ASH PIERS, SOG</v>
      </c>
      <c r="D49" s="190"/>
      <c r="E49" s="190"/>
      <c r="F49" s="190"/>
      <c r="G49" s="764">
        <f>IF(B49=1,Pricing!F$2,IF(B49=2,Pricing!G$2,IF(B49=3,Pricing!H$2,IF(B49=4,Pricing!I$2,IF(B49=5,Pricing!J$2,IF(B49=6,Pricing!K$2,0))))))</f>
        <v>147</v>
      </c>
      <c r="H49" s="88" t="s">
        <v>168</v>
      </c>
      <c r="I49" s="2032" t="s">
        <v>323</v>
      </c>
      <c r="J49" s="2033"/>
      <c r="K49" s="2039">
        <v>0.1</v>
      </c>
      <c r="L49" s="1908">
        <f>IF(B49=1,AT$39,IF(B49=2,AU$39,IF(B49=3,AV$39,IF(B49=4,AW$39,IF(B49=5,AX$39,IF(B49=6,AY$39))))))</f>
        <v>0</v>
      </c>
      <c r="M49" s="1909"/>
      <c r="N49" s="58" t="s">
        <v>102</v>
      </c>
      <c r="O49" s="2248">
        <f>L49*G49*(IF(T$41="N",1+V$41,1))</f>
        <v>0</v>
      </c>
      <c r="P49" s="2249"/>
      <c r="Q49" s="2252" t="s">
        <v>203</v>
      </c>
      <c r="R49" s="2253"/>
      <c r="S49" s="89">
        <f>R39/120</f>
        <v>0</v>
      </c>
      <c r="T49" s="42" t="s">
        <v>42</v>
      </c>
      <c r="U49" s="34">
        <f>Pricing!N3</f>
        <v>0.5625</v>
      </c>
      <c r="V49" s="401" t="s">
        <v>787</v>
      </c>
      <c r="W49" s="118">
        <f t="shared" ref="W49:W55" si="77">IF(T$41="Y",S49*U49,S49*U49*(1+V$41))</f>
        <v>0</v>
      </c>
      <c r="AM49" t="str">
        <f>Pricing!A10</f>
        <v>DIA. PIERS IN INCHES</v>
      </c>
      <c r="IV49" s="298"/>
    </row>
    <row r="50" spans="2:256" ht="19" customHeight="1" x14ac:dyDescent="0.35">
      <c r="B50" s="13">
        <v>2</v>
      </c>
      <c r="C50" s="42" t="str">
        <f>IF(B50=1,Pricing!F$1,IF(B50=2,Pricing!G$1,IF(B50=3,Pricing!H$1,IF(B50=4,Pricing!I$1,IF(B50=5,Pricing!J$1,IF(B50=6,Pricing!K$1,0))))))</f>
        <v>3500 Psi</v>
      </c>
      <c r="G50" s="762">
        <f>IF(B50=1,Pricing!F$2,IF(B50=2,Pricing!G$2,IF(B50=3,Pricing!H$2,IF(B50=4,Pricing!I$2,IF(B50=5,Pricing!J$2,IF(B50=6,Pricing!K$2,0))))))</f>
        <v>152</v>
      </c>
      <c r="H50" s="88" t="s">
        <v>168</v>
      </c>
      <c r="I50" s="2032"/>
      <c r="J50" s="2033"/>
      <c r="K50" s="2039"/>
      <c r="L50" s="1908">
        <f>IF(B50=1,AT$39,IF(B50=2,AU$39,IF(B50=3,AV$39,IF(B50=4,AW$39,IF(B50=5,AX$39,IF(B50=6,AY$39))))))</f>
        <v>0</v>
      </c>
      <c r="M50" s="1909"/>
      <c r="N50" s="58" t="s">
        <v>102</v>
      </c>
      <c r="O50" s="2248">
        <f>L50*G50*(IF(T$41="N",1+V$41,1))</f>
        <v>0</v>
      </c>
      <c r="P50" s="2249"/>
      <c r="Q50" s="2259" t="s">
        <v>204</v>
      </c>
      <c r="R50" s="1972"/>
      <c r="S50" s="89">
        <f>R39/120</f>
        <v>0</v>
      </c>
      <c r="T50" s="42" t="s">
        <v>42</v>
      </c>
      <c r="U50" s="34">
        <f>Pricing!N4</f>
        <v>0.65625</v>
      </c>
      <c r="V50" s="401" t="s">
        <v>787</v>
      </c>
      <c r="W50" s="118">
        <f t="shared" si="77"/>
        <v>0</v>
      </c>
      <c r="AM50">
        <f>Pricing!A11</f>
        <v>12</v>
      </c>
      <c r="AN50">
        <f>Pricing!B11</f>
        <v>18</v>
      </c>
      <c r="AO50">
        <f>Pricing!C11</f>
        <v>24</v>
      </c>
      <c r="AP50">
        <f>Pricing!D11</f>
        <v>30</v>
      </c>
      <c r="AQ50">
        <f>Pricing!E11</f>
        <v>36</v>
      </c>
      <c r="AR50">
        <f>Pricing!F11</f>
        <v>42</v>
      </c>
      <c r="AS50">
        <f>Pricing!G11</f>
        <v>48</v>
      </c>
      <c r="AT50">
        <f>Pricing!H11</f>
        <v>54</v>
      </c>
      <c r="IV50" s="298"/>
    </row>
    <row r="51" spans="2:256" ht="19" customHeight="1" thickBot="1" x14ac:dyDescent="0.4">
      <c r="B51" s="23">
        <v>3</v>
      </c>
      <c r="C51" s="75" t="str">
        <f>IF(B51=1,Pricing!F$1,IF(B51=2,Pricing!G$1,IF(B51=3,Pricing!H$1,IF(B51=4,Pricing!I$1,IF(B51=5,Pricing!J$1,IF(B51=6,Pricing!K$1,0))))))</f>
        <v>4000 psi</v>
      </c>
      <c r="D51" s="75"/>
      <c r="E51" s="75"/>
      <c r="F51" s="75"/>
      <c r="G51" s="763">
        <f>IF(B51=1,Pricing!F$2,IF(B51=2,Pricing!G$2,IF(B51=3,Pricing!H$2,IF(B51=4,Pricing!I$2,IF(B51=5,Pricing!J$2,IF(B51=6,Pricing!K$2,0))))))</f>
        <v>157</v>
      </c>
      <c r="H51" s="90" t="s">
        <v>168</v>
      </c>
      <c r="I51" s="2034"/>
      <c r="J51" s="2035"/>
      <c r="K51" s="2040"/>
      <c r="L51" s="1908">
        <f>IF(B51=1,AT$39,IF(B51=2,AU$39,IF(B51=3,AV$39,IF(B51=4,AW$39,IF(B51=5,AX$39,IF(B51=6,AY$39))))))</f>
        <v>0</v>
      </c>
      <c r="M51" s="1909"/>
      <c r="N51" s="91" t="s">
        <v>102</v>
      </c>
      <c r="O51" s="2300">
        <f>L51*G51*(IF(T$41="N",1+V$41,1))</f>
        <v>0</v>
      </c>
      <c r="P51" s="2301"/>
      <c r="Q51" s="2259" t="s">
        <v>206</v>
      </c>
      <c r="R51" s="1972"/>
      <c r="S51" s="89">
        <f>BX73+AQ67</f>
        <v>0</v>
      </c>
      <c r="T51" s="42" t="s">
        <v>42</v>
      </c>
      <c r="U51" s="34">
        <f>Pricing!N5</f>
        <v>1</v>
      </c>
      <c r="V51" s="401" t="s">
        <v>787</v>
      </c>
      <c r="W51" s="118">
        <f t="shared" si="77"/>
        <v>0</v>
      </c>
      <c r="AM51">
        <f>Pricing!A12</f>
        <v>6</v>
      </c>
      <c r="AN51">
        <f>Pricing!B12</f>
        <v>9</v>
      </c>
      <c r="AO51">
        <f>Pricing!C12</f>
        <v>10</v>
      </c>
      <c r="AP51">
        <f>Pricing!D12</f>
        <v>12</v>
      </c>
      <c r="AQ51">
        <f>Pricing!E12</f>
        <v>15</v>
      </c>
      <c r="AR51">
        <f>Pricing!F12</f>
        <v>18</v>
      </c>
      <c r="AS51">
        <f>Pricing!G12</f>
        <v>21</v>
      </c>
      <c r="AT51">
        <f>Pricing!H12</f>
        <v>36</v>
      </c>
      <c r="IV51" s="298"/>
    </row>
    <row r="52" spans="2:256" ht="19" customHeight="1" thickTop="1" x14ac:dyDescent="0.35">
      <c r="B52" s="94"/>
      <c r="C52" s="58" t="s">
        <v>104</v>
      </c>
      <c r="G52" s="762">
        <f>Pricing!D21</f>
        <v>0.6</v>
      </c>
      <c r="H52" s="88" t="s">
        <v>88</v>
      </c>
      <c r="I52" s="2246" t="s">
        <v>202</v>
      </c>
      <c r="J52" s="2247"/>
      <c r="K52" s="826">
        <v>0.1</v>
      </c>
      <c r="L52" s="2062">
        <f>R39</f>
        <v>0</v>
      </c>
      <c r="M52" s="2063"/>
      <c r="N52" s="42" t="s">
        <v>32</v>
      </c>
      <c r="O52" s="2366">
        <f>G52*L52*(IF(T$41="N",1+V$41,1))</f>
        <v>0</v>
      </c>
      <c r="P52" s="2367"/>
      <c r="Q52" s="43" t="s">
        <v>205</v>
      </c>
      <c r="S52" s="89">
        <v>0</v>
      </c>
      <c r="T52" s="42" t="s">
        <v>42</v>
      </c>
      <c r="U52" s="34">
        <f>Pricing!N6</f>
        <v>1.25</v>
      </c>
      <c r="V52" s="401" t="s">
        <v>787</v>
      </c>
      <c r="W52" s="118">
        <f t="shared" si="77"/>
        <v>0</v>
      </c>
      <c r="AM52" t="str">
        <f>Pricing!A13</f>
        <v>CASING</v>
      </c>
      <c r="IV52" s="298"/>
    </row>
    <row r="53" spans="2:256" ht="19" customHeight="1" thickBot="1" x14ac:dyDescent="0.4">
      <c r="B53" s="94"/>
      <c r="C53" s="42" t="s">
        <v>430</v>
      </c>
      <c r="E53" s="42" t="s">
        <v>46</v>
      </c>
      <c r="F53" s="2233"/>
      <c r="G53" s="2233"/>
      <c r="H53" s="2233"/>
      <c r="I53" s="75" t="s">
        <v>199</v>
      </c>
      <c r="J53" s="2375"/>
      <c r="K53" s="2375"/>
      <c r="L53" s="2061"/>
      <c r="M53" s="2061"/>
      <c r="N53" s="75"/>
      <c r="O53" s="2373">
        <f>IF(J53=0,AS45,J53)</f>
        <v>0</v>
      </c>
      <c r="P53" s="2374"/>
      <c r="Q53" s="43" t="s">
        <v>375</v>
      </c>
      <c r="S53" s="89">
        <v>0</v>
      </c>
      <c r="T53" s="42" t="s">
        <v>791</v>
      </c>
      <c r="U53" s="34">
        <f>Pricing!N8</f>
        <v>19</v>
      </c>
      <c r="V53" s="88" t="s">
        <v>290</v>
      </c>
      <c r="W53" s="118">
        <f t="shared" si="77"/>
        <v>0</v>
      </c>
      <c r="AM53">
        <f>Pricing!A14</f>
        <v>10</v>
      </c>
      <c r="AN53">
        <f>Pricing!B14</f>
        <v>12</v>
      </c>
      <c r="AO53">
        <f>Pricing!C14</f>
        <v>14</v>
      </c>
      <c r="AP53">
        <f>Pricing!D14</f>
        <v>16</v>
      </c>
      <c r="AQ53">
        <f>Pricing!E14</f>
        <v>18</v>
      </c>
      <c r="AR53">
        <f>Pricing!F14</f>
        <v>12</v>
      </c>
      <c r="AS53">
        <f>Pricing!G14</f>
        <v>15</v>
      </c>
      <c r="AT53">
        <f>Pricing!H14</f>
        <v>18</v>
      </c>
      <c r="IV53" s="298"/>
    </row>
    <row r="54" spans="2:256" ht="19" customHeight="1" thickTop="1" thickBot="1" x14ac:dyDescent="0.4">
      <c r="B54" s="175"/>
      <c r="C54" s="49" t="s">
        <v>70</v>
      </c>
      <c r="D54" s="49"/>
      <c r="E54" s="49"/>
      <c r="F54" s="49"/>
      <c r="G54" s="404">
        <v>0.65</v>
      </c>
      <c r="H54" s="96" t="s">
        <v>795</v>
      </c>
      <c r="I54" s="2360" t="s">
        <v>793</v>
      </c>
      <c r="J54" s="2361"/>
      <c r="K54" s="828">
        <v>0</v>
      </c>
      <c r="L54" s="2362"/>
      <c r="M54" s="2363"/>
      <c r="N54" s="49" t="s">
        <v>42</v>
      </c>
      <c r="O54" s="2351">
        <f>G54*K54*L54</f>
        <v>0</v>
      </c>
      <c r="P54" s="2352"/>
      <c r="Q54" s="43" t="s">
        <v>207</v>
      </c>
      <c r="S54" s="89">
        <f>CI55*0.35</f>
        <v>0</v>
      </c>
      <c r="T54" s="42" t="s">
        <v>791</v>
      </c>
      <c r="U54" s="34">
        <f>Pricing!N7</f>
        <v>50</v>
      </c>
      <c r="V54" s="88" t="s">
        <v>290</v>
      </c>
      <c r="W54" s="118">
        <f t="shared" si="77"/>
        <v>0</v>
      </c>
      <c r="AM54" t="str">
        <f>Pricing!A15</f>
        <v>DEDUCT</v>
      </c>
      <c r="IV54" s="298"/>
    </row>
    <row r="55" spans="2:256" ht="19" customHeight="1" thickBot="1" x14ac:dyDescent="0.4">
      <c r="B55" s="1126" t="s">
        <v>435</v>
      </c>
      <c r="C55" s="800"/>
      <c r="D55" s="1127" t="s">
        <v>299</v>
      </c>
      <c r="E55" s="800"/>
      <c r="F55" s="800"/>
      <c r="G55" s="800"/>
      <c r="H55" s="800"/>
      <c r="I55" s="800"/>
      <c r="J55" s="800"/>
      <c r="K55" s="800"/>
      <c r="L55" s="2236" t="s">
        <v>45</v>
      </c>
      <c r="M55" s="2236"/>
      <c r="N55" s="2236" t="s">
        <v>300</v>
      </c>
      <c r="O55" s="2236"/>
      <c r="P55" s="2236"/>
      <c r="Q55" s="43" t="s">
        <v>757</v>
      </c>
      <c r="S55" s="89">
        <f>ROUNDUP(E39/12.5,0)</f>
        <v>0</v>
      </c>
      <c r="T55" s="42" t="s">
        <v>753</v>
      </c>
      <c r="U55" s="34">
        <f>Pricing!N14</f>
        <v>18</v>
      </c>
      <c r="V55" s="88" t="s">
        <v>291</v>
      </c>
      <c r="W55" s="118">
        <f t="shared" si="77"/>
        <v>0</v>
      </c>
      <c r="AM55">
        <f>Pricing!A16</f>
        <v>0</v>
      </c>
      <c r="AN55">
        <f>Pricing!B16</f>
        <v>0</v>
      </c>
      <c r="AO55">
        <f>Pricing!C16</f>
        <v>0</v>
      </c>
      <c r="AP55">
        <f>Pricing!D16</f>
        <v>0</v>
      </c>
      <c r="AQ55">
        <f>Pricing!E16</f>
        <v>0</v>
      </c>
      <c r="AR55">
        <f>Pricing!F16</f>
        <v>0</v>
      </c>
      <c r="AS55">
        <f>Pricing!G16</f>
        <v>0</v>
      </c>
      <c r="AT55">
        <f>Pricing!H16</f>
        <v>0</v>
      </c>
      <c r="IV55" s="298"/>
    </row>
    <row r="56" spans="2:256" ht="19" customHeight="1" x14ac:dyDescent="0.35">
      <c r="B56" s="39" t="s">
        <v>431</v>
      </c>
      <c r="C56" s="78"/>
      <c r="D56" s="246" t="s">
        <v>235</v>
      </c>
      <c r="E56" s="2027">
        <v>60</v>
      </c>
      <c r="F56" s="2028"/>
      <c r="G56" s="116" t="s">
        <v>121</v>
      </c>
      <c r="H56" s="2234">
        <f>SUM(E56:F58)</f>
        <v>200</v>
      </c>
      <c r="I56" s="2353">
        <f>E39</f>
        <v>0</v>
      </c>
      <c r="J56" s="2354"/>
      <c r="K56" s="2239" t="s">
        <v>26</v>
      </c>
      <c r="L56" s="2359">
        <f>IF(D56="N",E56*I56,0)</f>
        <v>0</v>
      </c>
      <c r="M56" s="2359"/>
      <c r="N56" s="247"/>
      <c r="O56" s="2364">
        <f>IF(D56="y",I$56*E56,0)</f>
        <v>0</v>
      </c>
      <c r="P56" s="2365"/>
      <c r="Q56" s="43" t="s">
        <v>0</v>
      </c>
      <c r="S56" s="89">
        <f>ROUNDUP(R39/15000,0)</f>
        <v>0</v>
      </c>
      <c r="T56" s="42" t="s">
        <v>626</v>
      </c>
      <c r="U56" s="34">
        <f>Pricing!N15</f>
        <v>42</v>
      </c>
      <c r="V56" s="88" t="s">
        <v>292</v>
      </c>
      <c r="W56" s="118">
        <f t="shared" ref="W56:W61" si="78">IF(T$41="Y",S56*U56,S56*U56*(1+V$41))</f>
        <v>0</v>
      </c>
      <c r="IV56" s="298"/>
    </row>
    <row r="57" spans="2:256" ht="19" customHeight="1" x14ac:dyDescent="0.35">
      <c r="B57" s="92" t="s">
        <v>432</v>
      </c>
      <c r="C57" s="57"/>
      <c r="D57" s="98" t="s">
        <v>235</v>
      </c>
      <c r="E57" s="1844">
        <v>140</v>
      </c>
      <c r="F57" s="1845"/>
      <c r="G57" s="88" t="s">
        <v>121</v>
      </c>
      <c r="H57" s="2235"/>
      <c r="I57" s="2355"/>
      <c r="J57" s="2356"/>
      <c r="K57" s="2240"/>
      <c r="L57" s="2231">
        <f>IF(D57="N",E57*I57,0)</f>
        <v>0</v>
      </c>
      <c r="M57" s="2231"/>
      <c r="N57"/>
      <c r="O57" s="2241">
        <f>IF(D57="y",I$56*E57,0)</f>
        <v>0</v>
      </c>
      <c r="P57" s="2242"/>
      <c r="Q57" s="43" t="s">
        <v>2</v>
      </c>
      <c r="S57" s="89">
        <f>ROUNDUP(E39/1600,0)</f>
        <v>0</v>
      </c>
      <c r="T57" s="42" t="s">
        <v>626</v>
      </c>
      <c r="U57" s="34">
        <f>Pricing!N16</f>
        <v>42</v>
      </c>
      <c r="V57" s="88" t="s">
        <v>292</v>
      </c>
      <c r="W57" s="118">
        <f t="shared" si="78"/>
        <v>0</v>
      </c>
      <c r="IV57" s="298"/>
    </row>
    <row r="58" spans="2:256" ht="19" customHeight="1" x14ac:dyDescent="0.35">
      <c r="B58" s="92" t="s">
        <v>210</v>
      </c>
      <c r="C58" s="57"/>
      <c r="D58" s="98" t="s">
        <v>235</v>
      </c>
      <c r="E58" s="1844">
        <v>0</v>
      </c>
      <c r="F58" s="1845"/>
      <c r="G58" s="88" t="s">
        <v>121</v>
      </c>
      <c r="H58" s="2235"/>
      <c r="I58" s="2357"/>
      <c r="J58" s="2358"/>
      <c r="K58" s="2240"/>
      <c r="L58" s="2231">
        <f>IF(D58="N",E58*I58,0)</f>
        <v>0</v>
      </c>
      <c r="M58" s="2231"/>
      <c r="N58"/>
      <c r="O58" s="2241">
        <f>IF(D58="y",I$56*E58,0)</f>
        <v>0</v>
      </c>
      <c r="P58" s="2242"/>
      <c r="Q58" s="43" t="s">
        <v>1</v>
      </c>
      <c r="S58" s="89">
        <f>S57</f>
        <v>0</v>
      </c>
      <c r="T58" s="42" t="s">
        <v>626</v>
      </c>
      <c r="U58" s="34">
        <f>Pricing!N17</f>
        <v>42</v>
      </c>
      <c r="V58" s="88" t="s">
        <v>292</v>
      </c>
      <c r="W58" s="118">
        <f t="shared" si="78"/>
        <v>0</v>
      </c>
      <c r="IV58" s="298"/>
    </row>
    <row r="59" spans="2:256" ht="19" customHeight="1" x14ac:dyDescent="0.35">
      <c r="B59" s="92" t="s">
        <v>33</v>
      </c>
      <c r="C59" s="57"/>
      <c r="D59" s="98" t="s">
        <v>235</v>
      </c>
      <c r="E59" s="1844">
        <v>300</v>
      </c>
      <c r="F59" s="1845"/>
      <c r="G59" s="88" t="s">
        <v>89</v>
      </c>
      <c r="I59" s="1909">
        <f>R39/2000</f>
        <v>0</v>
      </c>
      <c r="J59" s="1909"/>
      <c r="K59" s="42" t="s">
        <v>183</v>
      </c>
      <c r="L59" s="2231">
        <f>IF(D59="N",E59*I59,0)</f>
        <v>0</v>
      </c>
      <c r="M59" s="2231"/>
      <c r="N59"/>
      <c r="O59" s="2241">
        <f>IF(D59="y",I59*E59,0)</f>
        <v>0</v>
      </c>
      <c r="P59" s="2242"/>
      <c r="Q59" s="43" t="s">
        <v>210</v>
      </c>
      <c r="S59" s="89">
        <v>0</v>
      </c>
      <c r="T59" s="42" t="s">
        <v>626</v>
      </c>
      <c r="U59" s="34">
        <f>Pricing!N33</f>
        <v>25.5</v>
      </c>
      <c r="V59" s="88" t="s">
        <v>292</v>
      </c>
      <c r="W59" s="118">
        <f t="shared" si="78"/>
        <v>0</v>
      </c>
      <c r="IV59" s="298"/>
    </row>
    <row r="60" spans="2:256" ht="19" customHeight="1" x14ac:dyDescent="0.35">
      <c r="B60" s="99"/>
      <c r="C60" s="79"/>
      <c r="D60" s="98" t="s">
        <v>235</v>
      </c>
      <c r="E60" s="1842">
        <v>2</v>
      </c>
      <c r="F60" s="1843"/>
      <c r="G60" s="137" t="s">
        <v>18</v>
      </c>
      <c r="H60" s="52"/>
      <c r="I60" s="2257">
        <v>0</v>
      </c>
      <c r="J60" s="2257"/>
      <c r="K60" s="52" t="s">
        <v>18</v>
      </c>
      <c r="L60" s="2258">
        <f>IF(D60="N",E60*I60,0)</f>
        <v>0</v>
      </c>
      <c r="M60" s="2258"/>
      <c r="N60"/>
      <c r="O60" s="2237">
        <f>IF(D60="y",I60*E60,0)</f>
        <v>0</v>
      </c>
      <c r="P60" s="2238"/>
      <c r="Q60" s="43" t="s">
        <v>236</v>
      </c>
      <c r="S60" s="89">
        <f>BW79+AP82</f>
        <v>0</v>
      </c>
      <c r="T60" s="42" t="s">
        <v>42</v>
      </c>
      <c r="U60" s="34">
        <f>Pricing!N18</f>
        <v>0.78</v>
      </c>
      <c r="V60" s="401" t="s">
        <v>787</v>
      </c>
      <c r="W60" s="118">
        <f t="shared" si="78"/>
        <v>0</v>
      </c>
      <c r="IV60" s="298"/>
    </row>
    <row r="61" spans="2:256" ht="19" customHeight="1" thickBot="1" x14ac:dyDescent="0.4">
      <c r="B61" s="6" t="s">
        <v>433</v>
      </c>
      <c r="C61" s="4"/>
      <c r="D61" s="5"/>
      <c r="E61" s="2263">
        <f>IF(I56=0,0,O61/I56)</f>
        <v>0</v>
      </c>
      <c r="F61" s="2264"/>
      <c r="G61" s="76"/>
      <c r="H61" s="49"/>
      <c r="I61" s="2017" t="s">
        <v>50</v>
      </c>
      <c r="J61" s="2017"/>
      <c r="K61" s="2017"/>
      <c r="L61" s="2232">
        <f>SUM(L56:M60)</f>
        <v>0</v>
      </c>
      <c r="M61" s="2232"/>
      <c r="N61" s="248"/>
      <c r="O61" s="2221">
        <f>SUM(O56:P60)</f>
        <v>0</v>
      </c>
      <c r="P61" s="2222"/>
      <c r="Q61" s="43" t="s">
        <v>119</v>
      </c>
      <c r="S61" s="89">
        <v>0</v>
      </c>
      <c r="T61" s="42" t="s">
        <v>42</v>
      </c>
      <c r="U61" s="34">
        <f>Pricing!N19</f>
        <v>0.16</v>
      </c>
      <c r="V61" s="401" t="s">
        <v>787</v>
      </c>
      <c r="W61" s="118">
        <f t="shared" si="78"/>
        <v>0</v>
      </c>
      <c r="IV61" s="298"/>
    </row>
    <row r="62" spans="2:256" ht="19" customHeight="1" thickBot="1" x14ac:dyDescent="0.4">
      <c r="B62" s="2254" t="s">
        <v>374</v>
      </c>
      <c r="C62" s="2255"/>
      <c r="D62" s="2255"/>
      <c r="E62" s="2255"/>
      <c r="F62" s="2255"/>
      <c r="G62" s="2255"/>
      <c r="H62" s="2255"/>
      <c r="I62" s="2255"/>
      <c r="J62" s="2255"/>
      <c r="K62" s="2255"/>
      <c r="L62" s="2255"/>
      <c r="M62" s="2255"/>
      <c r="N62" s="2255"/>
      <c r="O62" s="2255"/>
      <c r="P62" s="2256"/>
      <c r="Q62" s="43" t="s">
        <v>363</v>
      </c>
      <c r="S62" s="89">
        <v>0</v>
      </c>
      <c r="T62" s="42" t="s">
        <v>42</v>
      </c>
      <c r="U62" s="34">
        <f>Pricing!N11</f>
        <v>1.25</v>
      </c>
      <c r="V62" s="88" t="s">
        <v>292</v>
      </c>
      <c r="W62" s="118">
        <f>IF(T$41="Y",S63*U63,S63*U63*(1+V$41))</f>
        <v>0</v>
      </c>
      <c r="IV62" s="298"/>
    </row>
    <row r="63" spans="2:256" ht="19" customHeight="1" x14ac:dyDescent="0.35">
      <c r="B63" s="100" t="s">
        <v>1164</v>
      </c>
      <c r="C63" s="48"/>
      <c r="D63" s="101"/>
      <c r="E63" s="752">
        <v>0</v>
      </c>
      <c r="F63" s="48" t="s">
        <v>187</v>
      </c>
      <c r="G63" s="807">
        <v>295</v>
      </c>
      <c r="H63" s="102" t="s">
        <v>68</v>
      </c>
      <c r="I63" s="48"/>
      <c r="J63" s="48"/>
      <c r="K63" s="48"/>
      <c r="L63" s="48"/>
      <c r="M63" s="1834">
        <f>IF(E35=0,0,(SUM(O63:P67))/E35)</f>
        <v>0</v>
      </c>
      <c r="N63" s="1835"/>
      <c r="O63" s="1828">
        <f>E63*G63</f>
        <v>0</v>
      </c>
      <c r="P63" s="1829"/>
      <c r="Q63" s="43" t="s">
        <v>367</v>
      </c>
      <c r="S63" s="89">
        <v>0</v>
      </c>
      <c r="T63" s="42" t="s">
        <v>42</v>
      </c>
      <c r="U63" s="34">
        <f>Pricing!N12</f>
        <v>0.9</v>
      </c>
      <c r="V63" s="401" t="s">
        <v>787</v>
      </c>
      <c r="W63" s="118">
        <f>U63*S63</f>
        <v>0</v>
      </c>
      <c r="IV63" s="298"/>
    </row>
    <row r="64" spans="2:256" ht="19" customHeight="1" x14ac:dyDescent="0.35">
      <c r="B64" s="92" t="s">
        <v>1162</v>
      </c>
      <c r="E64" s="753">
        <f>E63*0.5</f>
        <v>0</v>
      </c>
      <c r="F64" s="103" t="s">
        <v>187</v>
      </c>
      <c r="G64" s="808">
        <v>390</v>
      </c>
      <c r="H64" s="108" t="s">
        <v>68</v>
      </c>
      <c r="M64" s="1830">
        <f>SUM(O63:P67)</f>
        <v>0</v>
      </c>
      <c r="N64" s="1831"/>
      <c r="O64" s="1804">
        <f>E64*G64</f>
        <v>0</v>
      </c>
      <c r="P64" s="1805"/>
      <c r="Q64" s="43" t="s">
        <v>368</v>
      </c>
      <c r="S64" s="89">
        <v>0</v>
      </c>
      <c r="T64" s="42" t="s">
        <v>42</v>
      </c>
      <c r="U64" s="34">
        <f>Pricing!N9</f>
        <v>0.15</v>
      </c>
      <c r="V64" s="401" t="s">
        <v>787</v>
      </c>
      <c r="W64" s="118">
        <f>U64*S64</f>
        <v>0</v>
      </c>
      <c r="IV64" s="298"/>
    </row>
    <row r="65" spans="2:256" ht="19" customHeight="1" x14ac:dyDescent="0.35">
      <c r="B65" s="196" t="s">
        <v>1165</v>
      </c>
      <c r="E65" s="1408"/>
      <c r="F65" s="103" t="s">
        <v>187</v>
      </c>
      <c r="G65" s="1414">
        <v>200</v>
      </c>
      <c r="H65" s="108" t="s">
        <v>68</v>
      </c>
      <c r="M65" s="1814"/>
      <c r="N65" s="1814"/>
      <c r="O65" s="1804">
        <f t="shared" ref="O65:O66" si="79">E65*G65</f>
        <v>0</v>
      </c>
      <c r="P65" s="1805"/>
      <c r="Q65" s="43"/>
      <c r="S65" s="89"/>
      <c r="U65" s="34"/>
      <c r="V65" s="401"/>
      <c r="W65" s="118"/>
      <c r="IV65" s="298"/>
    </row>
    <row r="66" spans="2:256" ht="19" customHeight="1" x14ac:dyDescent="0.35">
      <c r="B66" s="196" t="s">
        <v>1168</v>
      </c>
      <c r="E66" s="1408">
        <f>E63*0.5</f>
        <v>0</v>
      </c>
      <c r="F66" s="103" t="s">
        <v>187</v>
      </c>
      <c r="G66" s="1414">
        <v>200</v>
      </c>
      <c r="H66" s="88"/>
      <c r="M66" s="1814"/>
      <c r="N66" s="1814"/>
      <c r="O66" s="1804">
        <f t="shared" si="79"/>
        <v>0</v>
      </c>
      <c r="P66" s="1805"/>
      <c r="Q66" s="43"/>
      <c r="S66" s="89"/>
      <c r="U66" s="34"/>
      <c r="V66" s="401"/>
      <c r="W66" s="118"/>
      <c r="IV66" s="298"/>
    </row>
    <row r="67" spans="2:256" ht="19" customHeight="1" thickBot="1" x14ac:dyDescent="0.4">
      <c r="B67" s="219" t="s">
        <v>188</v>
      </c>
      <c r="C67" s="49"/>
      <c r="D67" s="49"/>
      <c r="E67" s="754">
        <f>IF(E63=0,E64,E63)</f>
        <v>0</v>
      </c>
      <c r="F67" s="49" t="s">
        <v>187</v>
      </c>
      <c r="G67" s="809">
        <v>100</v>
      </c>
      <c r="H67" s="96" t="s">
        <v>68</v>
      </c>
      <c r="I67" s="49"/>
      <c r="J67" s="49"/>
      <c r="K67" s="49"/>
      <c r="L67" s="49"/>
      <c r="M67" s="49"/>
      <c r="N67" s="49"/>
      <c r="O67" s="1832">
        <f>E67*G67</f>
        <v>0</v>
      </c>
      <c r="P67" s="1833"/>
      <c r="Q67" s="43"/>
      <c r="S67" s="89"/>
      <c r="U67" s="34"/>
      <c r="W67" s="118"/>
      <c r="IV67" s="298"/>
    </row>
    <row r="68" spans="2:256" ht="19" customHeight="1" thickBot="1" x14ac:dyDescent="0.4">
      <c r="B68" s="2254" t="s">
        <v>44</v>
      </c>
      <c r="C68" s="2255"/>
      <c r="D68" s="2255"/>
      <c r="E68" s="2255"/>
      <c r="F68" s="2255"/>
      <c r="G68" s="2255"/>
      <c r="H68" s="2255"/>
      <c r="I68" s="2255"/>
      <c r="J68" s="2255"/>
      <c r="K68" s="2255"/>
      <c r="L68" s="2255"/>
      <c r="M68" s="2255"/>
      <c r="N68" s="2255"/>
      <c r="O68" s="2255"/>
      <c r="P68" s="2256"/>
      <c r="Q68" s="43"/>
      <c r="S68" s="89"/>
      <c r="U68" s="34"/>
      <c r="V68" s="88"/>
      <c r="W68" s="118"/>
      <c r="IV68" s="298"/>
    </row>
    <row r="69" spans="2:256" ht="19" customHeight="1" x14ac:dyDescent="0.35">
      <c r="B69" s="2297" t="s">
        <v>90</v>
      </c>
      <c r="C69" s="2298"/>
      <c r="D69" s="2337"/>
      <c r="E69" s="752"/>
      <c r="F69" s="48" t="s">
        <v>107</v>
      </c>
      <c r="G69" s="807">
        <f>Pricing!D31</f>
        <v>385</v>
      </c>
      <c r="H69" s="116" t="s">
        <v>68</v>
      </c>
      <c r="I69" s="48"/>
      <c r="J69" s="48"/>
      <c r="K69" s="48"/>
      <c r="L69" s="48"/>
      <c r="M69" s="48"/>
      <c r="N69" s="48"/>
      <c r="O69" s="2349">
        <f>(IF(AND(E69&gt;0,E69&lt;4),E69*G69,0)+IF(AND(E69&gt;3,E69&lt;8),G69*3,0)+IF(AND(E69&gt;7,E69&lt;21),E69/7*G69*3,0)+IF(AND(E69&gt;20,E69&lt;30),G69*9,0)+IF(E69&gt;29,E69/30*G69*9,0))*(1+V$41+J$71)</f>
        <v>0</v>
      </c>
      <c r="P69" s="2350"/>
      <c r="Q69" s="43"/>
      <c r="S69" s="89"/>
      <c r="U69" s="34"/>
      <c r="W69" s="118"/>
      <c r="Z69" t="s">
        <v>237</v>
      </c>
      <c r="IV69" s="298"/>
    </row>
    <row r="70" spans="2:256" ht="19" customHeight="1" thickBot="1" x14ac:dyDescent="0.4">
      <c r="B70" s="2259" t="s">
        <v>789</v>
      </c>
      <c r="C70" s="1972"/>
      <c r="D70" s="2260"/>
      <c r="E70" s="755">
        <f>IF(E$63&gt;0,IF(E$63&lt;=3,E$63,7),0)+IF(E$63&gt;5,IF(E$63&lt;=10,7,0),0)+IF(E$63&gt;10,IF(E$63&lt;=15,14,0),0)+IF(E$63&gt;15,IF(E$63&lt;=20,23,0),0)+IF(E$63&gt;20,IF(E$63&lt;=40,53,0),0)+IF(E$63&gt;40,IF(E$63&lt;=60,83,0),0)+IF(E$63&gt;60,IF(E$63&lt;=80,113,0),0)+IF(E$63&gt;80,IF(E$63&lt;=100,143,0),0)+IF(E$63&gt;100,IF(E$63&lt;=120,173,0),0)</f>
        <v>0</v>
      </c>
      <c r="F70" s="42" t="s">
        <v>107</v>
      </c>
      <c r="G70" s="808">
        <f>Pricing!D33</f>
        <v>350</v>
      </c>
      <c r="H70" s="88" t="s">
        <v>68</v>
      </c>
      <c r="J70" s="2083" t="s">
        <v>469</v>
      </c>
      <c r="K70" s="2084"/>
      <c r="M70" s="2074">
        <f>IF(E42=0,0,M71/E42)</f>
        <v>0</v>
      </c>
      <c r="N70" s="2075"/>
      <c r="O70" s="2261">
        <f>(IF(AND(E70&gt;0,E70&lt;4),E70*G70,0)+IF(AND(E70&gt;3,E70&lt;8),G70*3,0)+IF(AND(E70&gt;7,E70&lt;21),E70/7*G70*3,0)+IF(AND(E70&gt;20,E70&lt;30),G70*9,0)+IF(E70&gt;29,E70/30*G70*9,0))*(1+V$41+J$71)</f>
        <v>0</v>
      </c>
      <c r="P70" s="2262"/>
      <c r="Q70" s="1128" t="s">
        <v>892</v>
      </c>
      <c r="R70" s="852"/>
      <c r="S70" s="851"/>
      <c r="T70" s="853"/>
      <c r="U70" s="2243"/>
      <c r="V70" s="2244"/>
      <c r="W70" s="850">
        <f>U70</f>
        <v>0</v>
      </c>
      <c r="Z70" t="s">
        <v>126</v>
      </c>
      <c r="AA70">
        <v>0</v>
      </c>
      <c r="IV70" s="298"/>
    </row>
    <row r="71" spans="2:256" ht="19" customHeight="1" thickTop="1" x14ac:dyDescent="0.35">
      <c r="B71" s="2259" t="s">
        <v>16</v>
      </c>
      <c r="C71" s="1972"/>
      <c r="D71" s="2260"/>
      <c r="E71" s="755"/>
      <c r="F71" s="106" t="s">
        <v>107</v>
      </c>
      <c r="G71" s="808">
        <f>Pricing!D34</f>
        <v>300</v>
      </c>
      <c r="H71" s="88" t="s">
        <v>68</v>
      </c>
      <c r="J71" s="2345">
        <v>1</v>
      </c>
      <c r="K71" s="2346"/>
      <c r="M71" s="2076">
        <f>SUM(O69:P74)</f>
        <v>0</v>
      </c>
      <c r="N71" s="2077"/>
      <c r="O71" s="2261">
        <f>(IF(AND(E71&gt;0,E71&lt;4),E71*G71,0)+IF(AND(E71&gt;3,E71&lt;8),G71*3,0)+IF(AND(E71&gt;7,E71&lt;21),E71/7*G71*3,0)+IF(AND(E71&gt;20,E71&lt;30),G71*9,0)+IF(E71&gt;29,E71/30*G71*9,0))*(1+V$41+J$71)</f>
        <v>0</v>
      </c>
      <c r="P71" s="2262"/>
      <c r="Q71" s="43" t="s">
        <v>436</v>
      </c>
      <c r="S71" s="89">
        <v>0</v>
      </c>
      <c r="T71" s="42" t="s">
        <v>18</v>
      </c>
      <c r="U71" s="34">
        <f>Pricing!N28</f>
        <v>1.7</v>
      </c>
      <c r="V71" s="88" t="s">
        <v>121</v>
      </c>
      <c r="W71" s="111">
        <f>S71*U71</f>
        <v>0</v>
      </c>
      <c r="Z71" t="s">
        <v>238</v>
      </c>
      <c r="AA71">
        <v>0</v>
      </c>
      <c r="IV71" s="298"/>
    </row>
    <row r="72" spans="2:256" ht="19" customHeight="1" x14ac:dyDescent="0.35">
      <c r="B72" s="2259" t="s">
        <v>160</v>
      </c>
      <c r="C72" s="1972"/>
      <c r="D72" s="2260"/>
      <c r="E72" s="755">
        <f>IF(E$63&gt;0,IF(E$63&lt;=3,E$63,7),0)+IF(E$63&gt;5,IF(E$63&lt;=10,7,0),0)+IF(E$63&gt;10,IF(E$63&lt;=15,14,0),0)+IF(E$63&gt;15,IF(E$63&lt;=20,23,0),0)+IF(E$63&gt;20,IF(E$63&lt;=40,53,0),0)+IF(E$63&gt;40,IF(E$63&lt;=60,83,0),0)+IF(E$63&gt;60,IF(E$63&lt;=80,113,0),0)+IF(E$63&gt;80,IF(E$63&lt;=100,143,0),0)</f>
        <v>0</v>
      </c>
      <c r="F72" s="42" t="s">
        <v>107</v>
      </c>
      <c r="G72" s="808">
        <f>Pricing!D37</f>
        <v>65</v>
      </c>
      <c r="H72" s="88" t="s">
        <v>68</v>
      </c>
      <c r="J72" s="2347"/>
      <c r="K72" s="2348"/>
      <c r="O72" s="2261">
        <f>(IF(AND(E72&gt;0,E72&lt;4),E72*G72,0)+IF(AND(E72&gt;3,E72&lt;8),G72*3,0)+IF(AND(E72&gt;7,E72&lt;21),E72/7*G72*3,0)+IF(AND(E72&gt;20,E72&lt;30),G72*9,0)+IF(E72&gt;29,E72/30*G72*9,0))*(1+V$41+J$71)</f>
        <v>0</v>
      </c>
      <c r="P72" s="2262"/>
      <c r="Q72" s="43" t="s">
        <v>564</v>
      </c>
      <c r="S72" s="89">
        <v>0</v>
      </c>
      <c r="T72" s="42" t="s">
        <v>18</v>
      </c>
      <c r="U72" s="34">
        <f>Pricing!N29</f>
        <v>2.7</v>
      </c>
      <c r="V72" s="88" t="s">
        <v>121</v>
      </c>
      <c r="W72" s="118">
        <f t="shared" ref="W72:W79" si="80">U72*S72</f>
        <v>0</v>
      </c>
      <c r="Z72" t="s">
        <v>283</v>
      </c>
      <c r="AA72">
        <v>0</v>
      </c>
      <c r="IV72" s="298"/>
    </row>
    <row r="73" spans="2:256" ht="19" customHeight="1" x14ac:dyDescent="0.35">
      <c r="B73" s="2259" t="s">
        <v>108</v>
      </c>
      <c r="C73" s="1972"/>
      <c r="D73" s="2260"/>
      <c r="E73" s="755">
        <f>IF(E$63&gt;0,IF(E$63&lt;=3,E$63,7),0)+IF(E$63&gt;5,IF(E$63&lt;=10,7,0),0)+IF(E$63&gt;10,IF(E$63&lt;=15,14,0),0)+IF(E$63&gt;15,IF(E$63&lt;=20,23,0),0)+IF(E$63&gt;20,IF(E$63&lt;=40,53,0),0)+IF(E$63&gt;40,IF(E$63&lt;=60,83,0),0)+IF(E$63&gt;60,IF(E$63&lt;=80,113,0),0)+IF(E$63&gt;80,IF(E$63&lt;=100,143,0),0)</f>
        <v>0</v>
      </c>
      <c r="F73" s="42" t="s">
        <v>107</v>
      </c>
      <c r="G73" s="808">
        <v>35</v>
      </c>
      <c r="H73" s="88" t="s">
        <v>68</v>
      </c>
      <c r="O73" s="2261">
        <f>(IF(AND(E73&gt;0,E73&lt;4),E73*G73,0)+IF(AND(E73&gt;3,E73&lt;8),G73*3,0)+IF(AND(E73&gt;7,E73&lt;21),E73/7*G73*3,0)+IF(AND(E73&gt;20,E73&lt;30),G73*9,0)+IF(E73&gt;29,E73/30*G73*9,0))</f>
        <v>0</v>
      </c>
      <c r="P73" s="2262"/>
      <c r="Q73" s="43" t="s">
        <v>285</v>
      </c>
      <c r="S73" s="89">
        <f>L52</f>
        <v>0</v>
      </c>
      <c r="T73" s="42" t="s">
        <v>32</v>
      </c>
      <c r="U73" s="34">
        <v>0.02</v>
      </c>
      <c r="V73" s="88" t="s">
        <v>88</v>
      </c>
      <c r="W73" s="118">
        <f t="shared" si="80"/>
        <v>0</v>
      </c>
      <c r="Z73" t="s">
        <v>239</v>
      </c>
      <c r="AA73" t="s">
        <v>240</v>
      </c>
      <c r="AE73" t="s">
        <v>92</v>
      </c>
      <c r="IV73" s="298"/>
    </row>
    <row r="74" spans="2:256" ht="19" customHeight="1" thickBot="1" x14ac:dyDescent="0.4">
      <c r="B74" s="2318" t="s">
        <v>383</v>
      </c>
      <c r="C74" s="2308"/>
      <c r="D74" s="2344"/>
      <c r="E74" s="755"/>
      <c r="F74" s="49" t="s">
        <v>387</v>
      </c>
      <c r="G74" s="809">
        <v>1200</v>
      </c>
      <c r="H74" s="96" t="s">
        <v>388</v>
      </c>
      <c r="I74" s="49"/>
      <c r="J74" s="49"/>
      <c r="K74" s="49"/>
      <c r="L74" s="49"/>
      <c r="M74" s="117"/>
      <c r="N74" s="49"/>
      <c r="O74" s="2335">
        <f>E74*G74</f>
        <v>0</v>
      </c>
      <c r="P74" s="2336"/>
      <c r="Q74" s="43"/>
      <c r="S74" s="89"/>
      <c r="U74" s="34"/>
      <c r="W74" s="118"/>
      <c r="IV74" s="298"/>
    </row>
    <row r="75" spans="2:256" ht="19" customHeight="1" thickBot="1" x14ac:dyDescent="0.4">
      <c r="B75" s="2341" t="s">
        <v>174</v>
      </c>
      <c r="C75" s="2342"/>
      <c r="D75" s="2342"/>
      <c r="E75" s="2342"/>
      <c r="F75" s="2342"/>
      <c r="G75" s="2342"/>
      <c r="H75" s="2342"/>
      <c r="I75" s="2342"/>
      <c r="J75" s="2342"/>
      <c r="K75" s="2342"/>
      <c r="L75" s="2342"/>
      <c r="M75" s="2342"/>
      <c r="N75" s="2342"/>
      <c r="O75" s="2342"/>
      <c r="P75" s="2343"/>
      <c r="Q75" s="43"/>
      <c r="S75" s="89"/>
      <c r="U75" s="34"/>
      <c r="W75" s="118"/>
      <c r="Z75">
        <v>0</v>
      </c>
      <c r="AA75" t="s">
        <v>241</v>
      </c>
      <c r="IV75" s="298"/>
    </row>
    <row r="76" spans="2:256" ht="19" customHeight="1" thickBot="1" x14ac:dyDescent="0.4">
      <c r="B76" s="2297" t="s">
        <v>189</v>
      </c>
      <c r="C76" s="2298"/>
      <c r="D76" s="2337"/>
      <c r="E76" s="756">
        <v>0.55000000000000004</v>
      </c>
      <c r="F76" s="115" t="s">
        <v>118</v>
      </c>
      <c r="G76" s="2338">
        <v>0</v>
      </c>
      <c r="H76" s="2339"/>
      <c r="I76" s="48" t="s">
        <v>95</v>
      </c>
      <c r="J76" s="48"/>
      <c r="K76" s="48"/>
      <c r="L76" s="48"/>
      <c r="M76" s="48"/>
      <c r="N76" s="48"/>
      <c r="O76" s="2312">
        <f t="shared" ref="O76:O81" si="81">E76*G76</f>
        <v>0</v>
      </c>
      <c r="P76" s="2340"/>
      <c r="Q76" s="93"/>
      <c r="R76" s="75"/>
      <c r="S76" s="107"/>
      <c r="T76" s="75"/>
      <c r="U76" s="530"/>
      <c r="V76" s="75"/>
      <c r="W76" s="119"/>
      <c r="Z76">
        <v>1</v>
      </c>
      <c r="AA76" t="s">
        <v>242</v>
      </c>
      <c r="IV76" s="298"/>
    </row>
    <row r="77" spans="2:256" ht="19" customHeight="1" thickTop="1" x14ac:dyDescent="0.35">
      <c r="B77" s="2259" t="s">
        <v>176</v>
      </c>
      <c r="C77" s="1972"/>
      <c r="D77" s="2260"/>
      <c r="E77" s="757">
        <v>0.25</v>
      </c>
      <c r="F77" s="88" t="s">
        <v>118</v>
      </c>
      <c r="G77" s="2334">
        <v>0</v>
      </c>
      <c r="H77" s="2334"/>
      <c r="I77" s="88" t="s">
        <v>42</v>
      </c>
      <c r="J77" s="42" t="s">
        <v>439</v>
      </c>
      <c r="O77" s="2316">
        <f t="shared" si="81"/>
        <v>0</v>
      </c>
      <c r="P77" s="2317"/>
      <c r="Q77" s="43"/>
      <c r="S77" s="89"/>
      <c r="U77" s="34"/>
      <c r="W77" s="111"/>
      <c r="Z77">
        <v>2</v>
      </c>
      <c r="AA77" t="s">
        <v>243</v>
      </c>
      <c r="AE77" s="261">
        <f>SUM(W49:W69)+O81</f>
        <v>0</v>
      </c>
      <c r="IV77" s="298"/>
    </row>
    <row r="78" spans="2:256" ht="19" customHeight="1" x14ac:dyDescent="0.35">
      <c r="B78" s="2259" t="s">
        <v>442</v>
      </c>
      <c r="C78" s="1972"/>
      <c r="D78" s="2260"/>
      <c r="E78" s="758">
        <f>Pricing!D41</f>
        <v>16</v>
      </c>
      <c r="F78" s="108" t="s">
        <v>118</v>
      </c>
      <c r="G78" s="2334">
        <f>L49</f>
        <v>0</v>
      </c>
      <c r="H78" s="2334"/>
      <c r="I78" s="42" t="s">
        <v>444</v>
      </c>
      <c r="O78" s="2316">
        <f t="shared" si="81"/>
        <v>0</v>
      </c>
      <c r="P78" s="2317"/>
      <c r="Q78" s="43" t="s">
        <v>211</v>
      </c>
      <c r="S78" s="89">
        <v>0</v>
      </c>
      <c r="T78" s="42" t="s">
        <v>792</v>
      </c>
      <c r="U78" s="34">
        <f>Pricing!N42</f>
        <v>540</v>
      </c>
      <c r="V78" s="88" t="s">
        <v>295</v>
      </c>
      <c r="W78" s="118">
        <f t="shared" si="80"/>
        <v>0</v>
      </c>
      <c r="Z78">
        <v>3</v>
      </c>
      <c r="AA78" t="s">
        <v>244</v>
      </c>
      <c r="IV78" s="298"/>
    </row>
    <row r="79" spans="2:256" ht="19" customHeight="1" thickBot="1" x14ac:dyDescent="0.4">
      <c r="B79" s="2259" t="s">
        <v>307</v>
      </c>
      <c r="C79" s="1972"/>
      <c r="D79" s="1972"/>
      <c r="E79" s="758">
        <v>0</v>
      </c>
      <c r="F79" s="109" t="s">
        <v>124</v>
      </c>
      <c r="G79" s="2321">
        <f>S39*1.3</f>
        <v>0</v>
      </c>
      <c r="H79" s="2322"/>
      <c r="I79" s="42" t="s">
        <v>31</v>
      </c>
      <c r="O79" s="2316">
        <f t="shared" si="81"/>
        <v>0</v>
      </c>
      <c r="P79" s="2317"/>
      <c r="Q79" s="93" t="s">
        <v>212</v>
      </c>
      <c r="R79" s="75"/>
      <c r="S79" s="107">
        <f>BX92</f>
        <v>0</v>
      </c>
      <c r="T79" s="75" t="s">
        <v>792</v>
      </c>
      <c r="U79" s="530">
        <f>Pricing!N43</f>
        <v>542</v>
      </c>
      <c r="V79" s="90" t="s">
        <v>295</v>
      </c>
      <c r="W79" s="119">
        <f t="shared" si="80"/>
        <v>0</v>
      </c>
      <c r="Z79">
        <v>4</v>
      </c>
      <c r="AA79" t="s">
        <v>245</v>
      </c>
      <c r="IV79" s="298"/>
    </row>
    <row r="80" spans="2:256" ht="19" customHeight="1" thickTop="1" x14ac:dyDescent="0.35">
      <c r="B80" s="2259" t="s">
        <v>186</v>
      </c>
      <c r="C80" s="1972"/>
      <c r="D80" s="1972"/>
      <c r="E80" s="760"/>
      <c r="F80" s="109" t="s">
        <v>97</v>
      </c>
      <c r="G80" s="2325">
        <v>250</v>
      </c>
      <c r="H80" s="2326"/>
      <c r="I80" s="88" t="s">
        <v>68</v>
      </c>
      <c r="N80" s="46"/>
      <c r="O80" s="2316">
        <f t="shared" si="81"/>
        <v>0</v>
      </c>
      <c r="P80" s="2317"/>
      <c r="Q80" s="43"/>
      <c r="W80" s="111"/>
      <c r="Z80">
        <v>5</v>
      </c>
      <c r="AA80" t="s">
        <v>246</v>
      </c>
      <c r="AE80">
        <f>O52</f>
        <v>0</v>
      </c>
      <c r="IV80" s="298"/>
    </row>
    <row r="81" spans="2:256" ht="19" customHeight="1" thickBot="1" x14ac:dyDescent="0.4">
      <c r="B81" s="2318" t="s">
        <v>108</v>
      </c>
      <c r="C81" s="2308"/>
      <c r="D81" s="2308"/>
      <c r="E81" s="776">
        <v>0</v>
      </c>
      <c r="F81" s="49"/>
      <c r="G81" s="2323">
        <v>1000</v>
      </c>
      <c r="H81" s="2324"/>
      <c r="I81" s="49" t="s">
        <v>177</v>
      </c>
      <c r="J81" s="49"/>
      <c r="K81" s="49"/>
      <c r="L81" s="49"/>
      <c r="M81" s="49"/>
      <c r="N81" s="49"/>
      <c r="O81" s="2319">
        <f t="shared" si="81"/>
        <v>0</v>
      </c>
      <c r="P81" s="2320"/>
      <c r="Q81" s="2314" t="s">
        <v>216</v>
      </c>
      <c r="R81" s="2315"/>
      <c r="S81" s="770">
        <v>18</v>
      </c>
      <c r="T81" s="42" t="s">
        <v>217</v>
      </c>
      <c r="W81" s="534"/>
      <c r="Z81">
        <v>6</v>
      </c>
      <c r="AA81" t="s">
        <v>248</v>
      </c>
      <c r="AE81">
        <f>SUM(W71:W76)</f>
        <v>0</v>
      </c>
      <c r="IV81" s="298"/>
    </row>
    <row r="82" spans="2:256" ht="19" customHeight="1" thickBot="1" x14ac:dyDescent="0.4">
      <c r="B82" s="313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47" t="s">
        <v>214</v>
      </c>
      <c r="R82" s="49"/>
      <c r="S82" s="49">
        <f>ROUNDUP((S60+S63+S63)*12/S81,0)</f>
        <v>0</v>
      </c>
      <c r="T82" s="49" t="s">
        <v>215</v>
      </c>
      <c r="U82" s="2313">
        <f>Pricing!D29</f>
        <v>1.75</v>
      </c>
      <c r="V82" s="2313"/>
      <c r="W82" s="22">
        <f>U82*S82</f>
        <v>0</v>
      </c>
      <c r="Z82">
        <v>7</v>
      </c>
      <c r="AA82" t="s">
        <v>247</v>
      </c>
      <c r="IV82" s="298"/>
    </row>
    <row r="83" spans="2:256" ht="19" customHeight="1" thickBot="1" x14ac:dyDescent="0.4">
      <c r="B83" s="313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953">
        <f>SUM(W49:W82)</f>
        <v>0</v>
      </c>
      <c r="Z83">
        <v>8</v>
      </c>
      <c r="AA83" t="s">
        <v>249</v>
      </c>
      <c r="AE83">
        <f>SUM(O49:P51)</f>
        <v>0</v>
      </c>
      <c r="IV83" s="298"/>
    </row>
    <row r="84" spans="2:256" s="897" customFormat="1" ht="16" thickBot="1" x14ac:dyDescent="0.4">
      <c r="B84" s="898"/>
      <c r="C84" s="899"/>
      <c r="D84" s="899"/>
      <c r="E84" s="899"/>
      <c r="F84" s="899"/>
      <c r="G84" s="899"/>
      <c r="H84" s="899"/>
      <c r="I84" s="899"/>
      <c r="J84" s="899"/>
      <c r="K84" s="899"/>
      <c r="L84" s="900"/>
      <c r="M84" s="899"/>
      <c r="N84" s="899"/>
      <c r="O84" s="899"/>
      <c r="P84" s="899"/>
      <c r="Q84" s="899"/>
      <c r="R84" s="899"/>
      <c r="S84" s="899"/>
      <c r="T84" s="899"/>
      <c r="U84" s="899"/>
      <c r="V84" s="899"/>
      <c r="W84" s="901"/>
      <c r="X84" s="1116"/>
      <c r="Y84" s="1116"/>
      <c r="Z84" s="1116">
        <v>9</v>
      </c>
      <c r="AA84" s="1116" t="s">
        <v>234</v>
      </c>
      <c r="AB84" s="1116"/>
      <c r="AC84" s="1116"/>
      <c r="AD84" s="1116"/>
      <c r="AE84" s="1116"/>
      <c r="AF84" s="1116"/>
      <c r="AG84" s="1116"/>
      <c r="AH84" s="1116"/>
      <c r="AI84" s="1116"/>
      <c r="AJ84" s="1116"/>
      <c r="AK84" s="1116"/>
      <c r="AL84" s="1116"/>
      <c r="AM84" s="1116"/>
      <c r="AN84" s="1116"/>
      <c r="AO84" s="1116"/>
      <c r="AP84" s="1116"/>
      <c r="AQ84" s="1116"/>
      <c r="AR84" s="1116"/>
      <c r="AS84" s="1116"/>
      <c r="AT84" s="1116"/>
      <c r="AU84" s="1116"/>
      <c r="AV84" s="1116"/>
      <c r="AW84" s="1116"/>
      <c r="AX84" s="1116"/>
      <c r="AY84" s="1116"/>
      <c r="AZ84" s="1116"/>
      <c r="BA84" s="1116"/>
      <c r="BB84" s="1116"/>
      <c r="BC84" s="1116"/>
      <c r="BD84" s="1116"/>
      <c r="BE84" s="1116"/>
      <c r="BF84" s="1116"/>
      <c r="BG84" s="1116"/>
      <c r="BH84" s="1116"/>
      <c r="BI84" s="1116"/>
      <c r="BJ84" s="1116"/>
      <c r="BK84" s="1116"/>
      <c r="BL84" s="1116"/>
      <c r="BM84" s="1116"/>
      <c r="BN84" s="1116"/>
      <c r="BO84" s="1116"/>
      <c r="BP84" s="1116"/>
      <c r="BQ84" s="1116"/>
      <c r="BR84" s="1116"/>
      <c r="BS84" s="1116"/>
      <c r="BT84" s="1116"/>
      <c r="BU84" s="1116"/>
      <c r="BV84" s="1116"/>
      <c r="BW84" s="1116"/>
      <c r="BX84" s="1116"/>
      <c r="BY84" s="1116"/>
      <c r="BZ84" s="1116"/>
      <c r="CA84" s="1116"/>
      <c r="CB84" s="1116"/>
      <c r="CC84" s="1116"/>
      <c r="CD84" s="1116"/>
      <c r="CE84" s="1116"/>
      <c r="CF84" s="1116"/>
      <c r="CG84" s="1116"/>
      <c r="CH84" s="1116"/>
      <c r="CI84" s="1116"/>
      <c r="CJ84" s="1116"/>
      <c r="CK84" s="1116"/>
      <c r="CL84" s="1116"/>
      <c r="CM84" s="1116"/>
      <c r="CN84" s="1116"/>
      <c r="CO84" s="1116"/>
      <c r="CP84" s="1116"/>
      <c r="CQ84" s="1116"/>
      <c r="CR84" s="1116"/>
      <c r="CS84" s="1116"/>
      <c r="CT84" s="1116"/>
      <c r="CU84" s="1116"/>
      <c r="CV84" s="1116"/>
      <c r="CW84" s="1116"/>
      <c r="CX84" s="1116"/>
      <c r="CY84" s="1116"/>
      <c r="CZ84" s="1116"/>
      <c r="DA84" s="1116"/>
      <c r="DB84" s="1116"/>
      <c r="DC84" s="1116"/>
      <c r="DD84" s="1116"/>
      <c r="DE84" s="1116"/>
      <c r="DF84" s="1116"/>
      <c r="DG84" s="1116"/>
      <c r="DH84" s="1116"/>
      <c r="DI84" s="1116"/>
      <c r="DJ84" s="1116"/>
      <c r="DK84" s="1116"/>
      <c r="DL84" s="1116"/>
      <c r="DM84" s="1116"/>
      <c r="DN84" s="1116"/>
      <c r="DO84" s="1116"/>
      <c r="DP84" s="1116"/>
      <c r="DQ84" s="1116"/>
      <c r="DR84" s="1116"/>
      <c r="DS84" s="1116"/>
      <c r="DT84" s="1116"/>
      <c r="DU84" s="1116"/>
      <c r="DV84" s="1116"/>
      <c r="DW84" s="1116"/>
      <c r="DX84" s="1116"/>
      <c r="DY84" s="1116"/>
      <c r="DZ84" s="1116"/>
      <c r="EA84" s="1116"/>
      <c r="EB84" s="1116"/>
      <c r="EC84" s="1116"/>
      <c r="ED84" s="1116"/>
      <c r="EE84" s="1116"/>
      <c r="EF84" s="1116"/>
      <c r="EG84" s="1116"/>
      <c r="EH84" s="1116"/>
      <c r="EI84" s="1116"/>
      <c r="EJ84" s="1116"/>
      <c r="EK84" s="1116"/>
      <c r="EL84" s="1116"/>
      <c r="EM84" s="1116"/>
      <c r="EN84" s="1116"/>
      <c r="EO84" s="1116"/>
      <c r="EP84" s="1116"/>
      <c r="EQ84" s="1116"/>
      <c r="ER84" s="1116"/>
      <c r="ES84" s="1116"/>
      <c r="ET84" s="1116"/>
      <c r="EU84" s="1116"/>
      <c r="EV84" s="1116"/>
      <c r="EW84" s="1116"/>
      <c r="EX84" s="1116"/>
      <c r="EY84" s="1116"/>
      <c r="EZ84" s="1116"/>
      <c r="FA84" s="1116"/>
      <c r="FB84" s="1116"/>
      <c r="FC84" s="1116"/>
      <c r="FD84" s="1116"/>
      <c r="FE84" s="1116"/>
      <c r="FF84" s="1116"/>
      <c r="FG84" s="1116"/>
      <c r="FH84" s="1116"/>
      <c r="FI84" s="1116"/>
      <c r="FJ84" s="1116"/>
      <c r="FK84" s="1116"/>
      <c r="FL84" s="1116"/>
      <c r="FM84" s="1116"/>
      <c r="FN84" s="1116"/>
      <c r="FO84" s="1116"/>
      <c r="FP84" s="1116"/>
      <c r="FQ84" s="1116"/>
      <c r="FR84" s="1116"/>
      <c r="FS84" s="1116"/>
      <c r="FT84" s="1116"/>
      <c r="FU84" s="1116"/>
      <c r="FV84" s="1116"/>
      <c r="FW84" s="1116"/>
      <c r="FX84" s="1116"/>
      <c r="FY84" s="1116"/>
      <c r="FZ84" s="1116"/>
      <c r="GA84" s="1116"/>
      <c r="GB84" s="1116"/>
      <c r="GC84" s="1116"/>
      <c r="GD84" s="1116"/>
      <c r="GE84" s="1116"/>
      <c r="GF84" s="1116"/>
      <c r="GG84" s="1116"/>
      <c r="GH84" s="1116"/>
      <c r="GI84" s="1116"/>
      <c r="GJ84" s="1116"/>
      <c r="GK84" s="1116"/>
      <c r="GL84" s="1116"/>
      <c r="GM84" s="1116"/>
      <c r="GN84" s="1116"/>
      <c r="GO84" s="1116"/>
      <c r="GP84" s="1116"/>
      <c r="GQ84" s="1116"/>
      <c r="GR84" s="1116"/>
      <c r="GS84" s="1116"/>
      <c r="GT84" s="1116"/>
      <c r="GU84" s="1116"/>
      <c r="GV84" s="1116"/>
      <c r="GW84" s="1116"/>
      <c r="GX84" s="1116"/>
      <c r="GY84" s="1116"/>
      <c r="GZ84" s="1116"/>
      <c r="HA84" s="1116"/>
      <c r="HB84" s="1116"/>
      <c r="HC84" s="1116"/>
      <c r="HD84" s="1116"/>
      <c r="HE84" s="1116"/>
      <c r="HF84" s="1116"/>
      <c r="HG84" s="1116"/>
      <c r="HH84" s="1116"/>
      <c r="HI84" s="1116"/>
      <c r="HJ84" s="1116"/>
      <c r="HK84" s="1116"/>
      <c r="HL84" s="1116"/>
      <c r="HM84" s="1116"/>
      <c r="HN84" s="1116"/>
      <c r="HO84" s="1116"/>
      <c r="HP84" s="1116"/>
      <c r="HQ84" s="1116"/>
      <c r="HR84" s="1116"/>
      <c r="HS84" s="1116"/>
      <c r="HT84" s="1116"/>
      <c r="HU84" s="1116"/>
      <c r="HV84" s="1116"/>
      <c r="HW84" s="1116"/>
      <c r="HX84" s="1116"/>
      <c r="HY84" s="1116"/>
      <c r="HZ84" s="1116"/>
      <c r="IA84" s="1116"/>
      <c r="IB84" s="1116"/>
      <c r="IC84" s="1116"/>
      <c r="ID84" s="1116"/>
      <c r="IE84" s="1116"/>
      <c r="IF84" s="1116"/>
      <c r="IG84" s="1116"/>
      <c r="IH84" s="1116"/>
    </row>
    <row r="85" spans="2:256" s="897" customFormat="1" ht="31" x14ac:dyDescent="0.35">
      <c r="B85" s="2044" t="s">
        <v>185</v>
      </c>
      <c r="C85" s="2045"/>
      <c r="D85" s="2327"/>
      <c r="E85" s="2044" t="s">
        <v>140</v>
      </c>
      <c r="F85" s="2327"/>
      <c r="G85" s="2044" t="s">
        <v>178</v>
      </c>
      <c r="H85" s="2045"/>
      <c r="I85" s="2327"/>
      <c r="J85" s="61" t="s">
        <v>184</v>
      </c>
      <c r="K85" s="62"/>
      <c r="L85" s="60"/>
      <c r="M85" s="2044" t="s">
        <v>179</v>
      </c>
      <c r="N85" s="2045"/>
      <c r="O85" s="132"/>
      <c r="P85" s="133"/>
      <c r="R85" s="43" t="s">
        <v>34</v>
      </c>
      <c r="S85" s="42"/>
      <c r="T85" s="42" t="s">
        <v>758</v>
      </c>
      <c r="U85" s="1121" t="str">
        <f>T41</f>
        <v>n</v>
      </c>
      <c r="V85" s="73" t="s">
        <v>298</v>
      </c>
      <c r="W85" s="1122">
        <f>V41</f>
        <v>8.2500000000000004E-2</v>
      </c>
      <c r="X85" s="1116"/>
      <c r="Y85" s="1116"/>
      <c r="Z85" s="1116">
        <v>10</v>
      </c>
      <c r="AA85" s="1116" t="s">
        <v>250</v>
      </c>
      <c r="AB85" s="1116"/>
      <c r="AC85" s="1116"/>
      <c r="AD85" s="1116"/>
      <c r="AE85" s="1116">
        <f>SUM(W77:W79)</f>
        <v>0</v>
      </c>
      <c r="AF85" s="1116"/>
      <c r="AG85" s="1116"/>
      <c r="AH85" s="1116"/>
      <c r="AI85" s="1116"/>
      <c r="AJ85" s="1116"/>
      <c r="AK85" s="1116"/>
      <c r="AL85" s="1116"/>
      <c r="AM85" s="1116"/>
      <c r="AN85" s="1116"/>
      <c r="AO85" s="1116"/>
      <c r="AP85" s="1116"/>
      <c r="AQ85" s="1116"/>
      <c r="AR85" s="1116"/>
      <c r="AS85" s="1116"/>
      <c r="AT85" s="1116"/>
      <c r="AU85" s="1116"/>
      <c r="AV85" s="1116"/>
      <c r="AW85" s="1116"/>
      <c r="AX85" s="1116"/>
      <c r="AY85" s="1116"/>
      <c r="AZ85" s="1116"/>
      <c r="BA85" s="1116"/>
      <c r="BB85" s="1116"/>
      <c r="BC85" s="1116"/>
      <c r="BD85" s="1116"/>
      <c r="BE85" s="1116"/>
      <c r="BF85" s="1116"/>
      <c r="BG85" s="1116"/>
      <c r="BH85" s="1116"/>
      <c r="BI85" s="1116"/>
      <c r="BJ85" s="1116"/>
      <c r="BK85" s="1116"/>
      <c r="BL85" s="1116"/>
      <c r="BM85" s="1116"/>
      <c r="BN85" s="1116"/>
      <c r="BO85" s="1116"/>
      <c r="BP85" s="1116"/>
      <c r="BQ85" s="1116"/>
      <c r="BR85" s="1116"/>
      <c r="BS85" s="1116"/>
      <c r="BT85" s="1116"/>
      <c r="BU85" s="1116"/>
      <c r="BV85" s="1116"/>
      <c r="BW85" s="1116"/>
      <c r="BX85" s="1116"/>
      <c r="BY85" s="1116"/>
      <c r="BZ85" s="1116"/>
      <c r="CA85" s="1116"/>
      <c r="CB85" s="1116"/>
      <c r="CC85" s="1116"/>
      <c r="CD85" s="1116"/>
      <c r="CE85" s="1116"/>
      <c r="CF85" s="1116"/>
      <c r="CG85" s="1116"/>
      <c r="CH85" s="1116"/>
      <c r="CI85" s="1116"/>
      <c r="CJ85" s="1116"/>
      <c r="CK85" s="1116"/>
      <c r="CL85" s="1116"/>
      <c r="CM85" s="1116"/>
      <c r="CN85" s="1116"/>
      <c r="CO85" s="1116"/>
      <c r="CP85" s="1116"/>
      <c r="CQ85" s="1116"/>
      <c r="CR85" s="1116"/>
      <c r="CS85" s="1116"/>
      <c r="CT85" s="1116"/>
      <c r="CU85" s="1116"/>
      <c r="CV85" s="1116"/>
      <c r="CW85" s="1116"/>
      <c r="CX85" s="1116"/>
      <c r="CY85" s="1116"/>
      <c r="CZ85" s="1116"/>
      <c r="DA85" s="1116"/>
      <c r="DB85" s="1116"/>
      <c r="DC85" s="1116"/>
      <c r="DD85" s="1116"/>
      <c r="DE85" s="1116"/>
      <c r="DF85" s="1116"/>
      <c r="DG85" s="1116"/>
      <c r="DH85" s="1116"/>
      <c r="DI85" s="1116"/>
      <c r="DJ85" s="1116"/>
      <c r="DK85" s="1116"/>
      <c r="DL85" s="1116"/>
      <c r="DM85" s="1116"/>
      <c r="DN85" s="1116"/>
      <c r="DO85" s="1116"/>
      <c r="DP85" s="1116"/>
      <c r="DQ85" s="1116"/>
      <c r="DR85" s="1116"/>
      <c r="DS85" s="1116"/>
      <c r="DT85" s="1116"/>
      <c r="DU85" s="1116"/>
      <c r="DV85" s="1116"/>
      <c r="DW85" s="1116"/>
      <c r="DX85" s="1116"/>
      <c r="DY85" s="1116"/>
      <c r="DZ85" s="1116"/>
      <c r="EA85" s="1116"/>
      <c r="EB85" s="1116"/>
      <c r="EC85" s="1116"/>
      <c r="ED85" s="1116"/>
      <c r="EE85" s="1116"/>
      <c r="EF85" s="1116"/>
      <c r="EG85" s="1116"/>
      <c r="EH85" s="1116"/>
      <c r="EI85" s="1116"/>
      <c r="EJ85" s="1116"/>
      <c r="EK85" s="1116"/>
      <c r="EL85" s="1116"/>
      <c r="EM85" s="1116"/>
      <c r="EN85" s="1116"/>
      <c r="EO85" s="1116"/>
      <c r="EP85" s="1116"/>
      <c r="EQ85" s="1116"/>
      <c r="ER85" s="1116"/>
      <c r="ES85" s="1116"/>
      <c r="ET85" s="1116"/>
      <c r="EU85" s="1116"/>
      <c r="EV85" s="1116"/>
      <c r="EW85" s="1116"/>
      <c r="EX85" s="1116"/>
      <c r="EY85" s="1116"/>
      <c r="EZ85" s="1116"/>
      <c r="FA85" s="1116"/>
      <c r="FB85" s="1116"/>
      <c r="FC85" s="1116"/>
      <c r="FD85" s="1116"/>
      <c r="FE85" s="1116"/>
      <c r="FF85" s="1116"/>
      <c r="FG85" s="1116"/>
      <c r="FH85" s="1116"/>
      <c r="FI85" s="1116"/>
      <c r="FJ85" s="1116"/>
      <c r="FK85" s="1116"/>
      <c r="FL85" s="1116"/>
      <c r="FM85" s="1116"/>
      <c r="FN85" s="1116"/>
      <c r="FO85" s="1116"/>
      <c r="FP85" s="1116"/>
      <c r="FQ85" s="1116"/>
      <c r="FR85" s="1116"/>
      <c r="FS85" s="1116"/>
      <c r="FT85" s="1116"/>
      <c r="FU85" s="1116"/>
      <c r="FV85" s="1116"/>
      <c r="FW85" s="1116"/>
      <c r="FX85" s="1116"/>
      <c r="FY85" s="1116"/>
      <c r="FZ85" s="1116"/>
      <c r="GA85" s="1116"/>
      <c r="GB85" s="1116"/>
      <c r="GC85" s="1116"/>
      <c r="GD85" s="1116"/>
      <c r="GE85" s="1116"/>
      <c r="GF85" s="1116"/>
      <c r="GG85" s="1116"/>
      <c r="GH85" s="1116"/>
      <c r="GI85" s="1116"/>
      <c r="GJ85" s="1116"/>
      <c r="GK85" s="1116"/>
      <c r="GL85" s="1116"/>
      <c r="GM85" s="1116"/>
      <c r="GN85" s="1116"/>
      <c r="GO85" s="1116"/>
      <c r="GP85" s="1116"/>
      <c r="GQ85" s="1116"/>
      <c r="GR85" s="1116"/>
      <c r="GS85" s="1116"/>
      <c r="GT85" s="1116"/>
      <c r="GU85" s="1116"/>
      <c r="GV85" s="1116"/>
      <c r="GW85" s="1116"/>
      <c r="GX85" s="1116"/>
      <c r="GY85" s="1116"/>
      <c r="GZ85" s="1116"/>
      <c r="HA85" s="1116"/>
      <c r="HB85" s="1116"/>
      <c r="HC85" s="1116"/>
      <c r="HD85" s="1116"/>
      <c r="HE85" s="1116"/>
      <c r="HF85" s="1116"/>
      <c r="HG85" s="1116"/>
      <c r="HH85" s="1116"/>
      <c r="HI85" s="1116"/>
      <c r="HJ85" s="1116"/>
      <c r="HK85" s="1116"/>
      <c r="HL85" s="1116"/>
      <c r="HM85" s="1116"/>
      <c r="HN85" s="1116"/>
      <c r="HO85" s="1116"/>
      <c r="HP85" s="1116"/>
      <c r="HQ85" s="1116"/>
      <c r="HR85" s="1116"/>
      <c r="HS85" s="1116"/>
      <c r="HT85" s="1116"/>
      <c r="HU85" s="1116"/>
      <c r="HV85" s="1116"/>
      <c r="HW85" s="1116"/>
      <c r="HX85" s="1116"/>
      <c r="HY85" s="1116"/>
      <c r="HZ85" s="1116"/>
      <c r="IA85" s="1116"/>
      <c r="IB85" s="1116"/>
      <c r="IC85" s="1116"/>
      <c r="ID85" s="1116"/>
      <c r="IE85" s="1116"/>
      <c r="IF85" s="1116"/>
      <c r="IG85" s="1116"/>
      <c r="IH85" s="1116"/>
    </row>
    <row r="86" spans="2:256" s="897" customFormat="1" ht="16" thickBot="1" x14ac:dyDescent="0.4">
      <c r="B86" s="403" t="s">
        <v>180</v>
      </c>
      <c r="C86" s="2328">
        <f>C42</f>
        <v>0</v>
      </c>
      <c r="D86" s="2329"/>
      <c r="E86" s="2330">
        <f>E42</f>
        <v>0</v>
      </c>
      <c r="F86" s="2043"/>
      <c r="G86" s="15">
        <f>G42</f>
        <v>0</v>
      </c>
      <c r="H86" s="2042">
        <f>H42</f>
        <v>0</v>
      </c>
      <c r="I86" s="2043"/>
      <c r="J86" s="2331">
        <f>J42</f>
        <v>0</v>
      </c>
      <c r="K86" s="2332"/>
      <c r="L86" s="2333"/>
      <c r="M86" s="1118">
        <f>Summary!P63</f>
        <v>0.18</v>
      </c>
      <c r="N86" s="1119"/>
      <c r="O86" s="1119"/>
      <c r="P86" s="1120"/>
      <c r="Q86" s="1117"/>
      <c r="R86" s="86" t="s">
        <v>50</v>
      </c>
      <c r="S86" s="42"/>
      <c r="T86" s="42"/>
      <c r="U86" s="1932">
        <f>T42</f>
        <v>0</v>
      </c>
      <c r="V86" s="1932"/>
      <c r="W86" s="74"/>
      <c r="X86" s="1116"/>
      <c r="Y86" s="1116"/>
      <c r="Z86" s="1116">
        <v>11</v>
      </c>
      <c r="AA86" s="1116" t="s">
        <v>251</v>
      </c>
      <c r="AB86" s="1116"/>
      <c r="AC86" s="1116"/>
      <c r="AD86" s="1116"/>
      <c r="AE86" s="1116"/>
      <c r="AF86" s="1116"/>
      <c r="AG86" s="1116"/>
      <c r="AH86" s="1116"/>
      <c r="AI86" s="1116"/>
      <c r="AJ86" s="1116"/>
      <c r="AK86" s="1116"/>
      <c r="AL86" s="1116"/>
      <c r="AM86" s="1116"/>
      <c r="AN86" s="1116"/>
      <c r="AO86" s="1116"/>
      <c r="AP86" s="1116"/>
      <c r="AQ86" s="1116"/>
      <c r="AR86" s="1116"/>
      <c r="AS86" s="1116"/>
      <c r="AT86" s="1116"/>
      <c r="AU86" s="1116"/>
      <c r="AV86" s="1116"/>
      <c r="AW86" s="1116"/>
      <c r="AX86" s="1116"/>
      <c r="AY86" s="1116"/>
      <c r="AZ86" s="1116"/>
      <c r="BA86" s="1116"/>
      <c r="BB86" s="1116"/>
      <c r="BC86" s="1116"/>
      <c r="BD86" s="1116"/>
      <c r="BE86" s="1116"/>
      <c r="BF86" s="1116"/>
      <c r="BG86" s="1116"/>
      <c r="BH86" s="1116"/>
      <c r="BI86" s="1116"/>
      <c r="BJ86" s="1116"/>
      <c r="BK86" s="1116"/>
      <c r="BL86" s="1116"/>
      <c r="BM86" s="1116"/>
      <c r="BN86" s="1116"/>
      <c r="BO86" s="1116"/>
      <c r="BP86" s="1116"/>
      <c r="BQ86" s="1116"/>
      <c r="BR86" s="1116"/>
      <c r="BS86" s="1116"/>
      <c r="BT86" s="1116"/>
      <c r="BU86" s="1116"/>
      <c r="BV86" s="1116"/>
      <c r="BW86" s="1116"/>
      <c r="BX86" s="1116"/>
      <c r="BY86" s="1116"/>
      <c r="BZ86" s="1116"/>
      <c r="CA86" s="1116"/>
      <c r="CB86" s="1116"/>
      <c r="CC86" s="1116"/>
      <c r="CD86" s="1116"/>
      <c r="CE86" s="1116"/>
      <c r="CF86" s="1116"/>
      <c r="CG86" s="1116"/>
      <c r="CH86" s="1116"/>
      <c r="CI86" s="1116"/>
      <c r="CJ86" s="1116"/>
      <c r="CK86" s="1116"/>
      <c r="CL86" s="1116"/>
      <c r="CM86" s="1116"/>
      <c r="CN86" s="1116"/>
      <c r="CO86" s="1116"/>
      <c r="CP86" s="1116"/>
      <c r="CQ86" s="1116"/>
      <c r="CR86" s="1116"/>
      <c r="CS86" s="1116"/>
      <c r="CT86" s="1116"/>
      <c r="CU86" s="1116"/>
      <c r="CV86" s="1116"/>
      <c r="CW86" s="1116"/>
      <c r="CX86" s="1116"/>
      <c r="CY86" s="1116"/>
      <c r="CZ86" s="1116"/>
      <c r="DA86" s="1116"/>
      <c r="DB86" s="1116"/>
      <c r="DC86" s="1116"/>
      <c r="DD86" s="1116"/>
      <c r="DE86" s="1116"/>
      <c r="DF86" s="1116"/>
      <c r="DG86" s="1116"/>
      <c r="DH86" s="1116"/>
      <c r="DI86" s="1116"/>
      <c r="DJ86" s="1116"/>
      <c r="DK86" s="1116"/>
      <c r="DL86" s="1116"/>
      <c r="DM86" s="1116"/>
      <c r="DN86" s="1116"/>
      <c r="DO86" s="1116"/>
      <c r="DP86" s="1116"/>
      <c r="DQ86" s="1116"/>
      <c r="DR86" s="1116"/>
      <c r="DS86" s="1116"/>
      <c r="DT86" s="1116"/>
      <c r="DU86" s="1116"/>
      <c r="DV86" s="1116"/>
      <c r="DW86" s="1116"/>
      <c r="DX86" s="1116"/>
      <c r="DY86" s="1116"/>
      <c r="DZ86" s="1116"/>
      <c r="EA86" s="1116"/>
      <c r="EB86" s="1116"/>
      <c r="EC86" s="1116"/>
      <c r="ED86" s="1116"/>
      <c r="EE86" s="1116"/>
      <c r="EF86" s="1116"/>
      <c r="EG86" s="1116"/>
      <c r="EH86" s="1116"/>
      <c r="EI86" s="1116"/>
      <c r="EJ86" s="1116"/>
      <c r="EK86" s="1116"/>
      <c r="EL86" s="1116"/>
      <c r="EM86" s="1116"/>
      <c r="EN86" s="1116"/>
      <c r="EO86" s="1116"/>
      <c r="EP86" s="1116"/>
      <c r="EQ86" s="1116"/>
      <c r="ER86" s="1116"/>
      <c r="ES86" s="1116"/>
      <c r="ET86" s="1116"/>
      <c r="EU86" s="1116"/>
      <c r="EV86" s="1116"/>
      <c r="EW86" s="1116"/>
      <c r="EX86" s="1116"/>
      <c r="EY86" s="1116"/>
      <c r="EZ86" s="1116"/>
      <c r="FA86" s="1116"/>
      <c r="FB86" s="1116"/>
      <c r="FC86" s="1116"/>
      <c r="FD86" s="1116"/>
      <c r="FE86" s="1116"/>
      <c r="FF86" s="1116"/>
      <c r="FG86" s="1116"/>
      <c r="FH86" s="1116"/>
      <c r="FI86" s="1116"/>
      <c r="FJ86" s="1116"/>
      <c r="FK86" s="1116"/>
      <c r="FL86" s="1116"/>
      <c r="FM86" s="1116"/>
      <c r="FN86" s="1116"/>
      <c r="FO86" s="1116"/>
      <c r="FP86" s="1116"/>
      <c r="FQ86" s="1116"/>
      <c r="FR86" s="1116"/>
      <c r="FS86" s="1116"/>
      <c r="FT86" s="1116"/>
      <c r="FU86" s="1116"/>
      <c r="FV86" s="1116"/>
      <c r="FW86" s="1116"/>
      <c r="FX86" s="1116"/>
      <c r="FY86" s="1116"/>
      <c r="FZ86" s="1116"/>
      <c r="GA86" s="1116"/>
      <c r="GB86" s="1116"/>
      <c r="GC86" s="1116"/>
      <c r="GD86" s="1116"/>
      <c r="GE86" s="1116"/>
      <c r="GF86" s="1116"/>
      <c r="GG86" s="1116"/>
      <c r="GH86" s="1116"/>
      <c r="GI86" s="1116"/>
      <c r="GJ86" s="1116"/>
      <c r="GK86" s="1116"/>
      <c r="GL86" s="1116"/>
      <c r="GM86" s="1116"/>
      <c r="GN86" s="1116"/>
      <c r="GO86" s="1116"/>
      <c r="GP86" s="1116"/>
      <c r="GQ86" s="1116"/>
      <c r="GR86" s="1116"/>
      <c r="GS86" s="1116"/>
      <c r="GT86" s="1116"/>
      <c r="GU86" s="1116"/>
      <c r="GV86" s="1116"/>
      <c r="GW86" s="1116"/>
      <c r="GX86" s="1116"/>
      <c r="GY86" s="1116"/>
      <c r="GZ86" s="1116"/>
      <c r="HA86" s="1116"/>
      <c r="HB86" s="1116"/>
      <c r="HC86" s="1116"/>
      <c r="HD86" s="1116"/>
      <c r="HE86" s="1116"/>
      <c r="HF86" s="1116"/>
      <c r="HG86" s="1116"/>
      <c r="HH86" s="1116"/>
      <c r="HI86" s="1116"/>
      <c r="HJ86" s="1116"/>
      <c r="HK86" s="1116"/>
      <c r="HL86" s="1116"/>
      <c r="HM86" s="1116"/>
      <c r="HN86" s="1116"/>
      <c r="HO86" s="1116"/>
      <c r="HP86" s="1116"/>
      <c r="HQ86" s="1116"/>
      <c r="HR86" s="1116"/>
      <c r="HS86" s="1116"/>
      <c r="HT86" s="1116"/>
      <c r="HU86" s="1116"/>
      <c r="HV86" s="1116"/>
      <c r="HW86" s="1116"/>
      <c r="HX86" s="1116"/>
      <c r="HY86" s="1116"/>
      <c r="HZ86" s="1116"/>
      <c r="IA86" s="1116"/>
      <c r="IB86" s="1116"/>
      <c r="IC86" s="1116"/>
      <c r="ID86" s="1116"/>
      <c r="IE86" s="1116"/>
      <c r="IF86" s="1116"/>
      <c r="IG86" s="1116"/>
      <c r="IH86" s="1116"/>
    </row>
    <row r="87" spans="2:256" s="897" customFormat="1" ht="16" thickBot="1" x14ac:dyDescent="0.4">
      <c r="B87" s="889"/>
      <c r="C87" s="890"/>
      <c r="D87" s="890"/>
      <c r="E87" s="890"/>
      <c r="F87" s="890"/>
      <c r="G87" s="890"/>
      <c r="H87" s="890"/>
      <c r="I87" s="890"/>
      <c r="J87" s="890"/>
      <c r="K87" s="890"/>
      <c r="L87" s="890"/>
      <c r="M87" s="890"/>
      <c r="N87" s="890"/>
      <c r="O87" s="890"/>
      <c r="P87" s="890"/>
      <c r="Q87" s="890"/>
      <c r="R87" s="890"/>
      <c r="S87" s="890"/>
      <c r="T87" s="890"/>
      <c r="U87" s="890"/>
      <c r="V87" s="890"/>
      <c r="W87" s="896"/>
      <c r="X87" s="1116"/>
      <c r="Y87" s="1116"/>
      <c r="Z87" s="1116">
        <v>12</v>
      </c>
      <c r="AA87" s="1116" t="s">
        <v>252</v>
      </c>
      <c r="AB87" s="1116"/>
      <c r="AC87" s="1116"/>
      <c r="AD87" s="1116"/>
      <c r="AE87" s="1116"/>
      <c r="AF87" s="1116"/>
      <c r="AG87" s="1116"/>
      <c r="AH87" s="1116"/>
      <c r="AI87" s="1116"/>
      <c r="AJ87" s="1116"/>
      <c r="AK87" s="1116"/>
      <c r="AL87" s="1116"/>
      <c r="AM87" s="1116"/>
      <c r="AN87" s="1116"/>
      <c r="AO87" s="1116"/>
      <c r="AP87" s="1116"/>
      <c r="AQ87" s="1116"/>
      <c r="AR87" s="1116"/>
      <c r="AS87" s="1116"/>
      <c r="AT87" s="1116"/>
      <c r="AU87" s="1116"/>
      <c r="AV87" s="1116"/>
      <c r="AW87" s="1116"/>
      <c r="AX87" s="1116"/>
      <c r="AY87" s="1116"/>
      <c r="AZ87" s="1116"/>
      <c r="BA87" s="1116"/>
      <c r="BB87" s="1116"/>
      <c r="BC87" s="1116"/>
      <c r="BD87" s="1116"/>
      <c r="BE87" s="1116"/>
      <c r="BF87" s="1116"/>
      <c r="BG87" s="1116"/>
      <c r="BH87" s="1116"/>
      <c r="BI87" s="1116"/>
      <c r="BJ87" s="1116"/>
      <c r="BK87" s="1116"/>
      <c r="BL87" s="1116"/>
      <c r="BM87" s="1116"/>
      <c r="BN87" s="1116"/>
      <c r="BO87" s="1116"/>
      <c r="BP87" s="1116"/>
      <c r="BQ87" s="1116"/>
      <c r="BR87" s="1116"/>
      <c r="BS87" s="1116"/>
      <c r="BT87" s="1116"/>
      <c r="BU87" s="1116"/>
      <c r="BV87" s="1116"/>
      <c r="BW87" s="1116"/>
      <c r="BX87" s="1116"/>
      <c r="BY87" s="1116"/>
      <c r="BZ87" s="1116"/>
      <c r="CA87" s="1116"/>
      <c r="CB87" s="1116"/>
      <c r="CC87" s="1116"/>
      <c r="CD87" s="1116"/>
      <c r="CE87" s="1116"/>
      <c r="CF87" s="1116"/>
      <c r="CG87" s="1116"/>
      <c r="CH87" s="1116"/>
      <c r="CI87" s="1116"/>
      <c r="CJ87" s="1116"/>
      <c r="CK87" s="1116"/>
      <c r="CL87" s="1116"/>
      <c r="CM87" s="1116"/>
      <c r="CN87" s="1116"/>
      <c r="CO87" s="1116"/>
      <c r="CP87" s="1116"/>
      <c r="CQ87" s="1116"/>
      <c r="CR87" s="1116"/>
      <c r="CS87" s="1116"/>
      <c r="CT87" s="1116"/>
      <c r="CU87" s="1116"/>
      <c r="CV87" s="1116"/>
      <c r="CW87" s="1116"/>
      <c r="CX87" s="1116"/>
      <c r="CY87" s="1116"/>
      <c r="CZ87" s="1116"/>
      <c r="DA87" s="1116"/>
      <c r="DB87" s="1116"/>
      <c r="DC87" s="1116"/>
      <c r="DD87" s="1116"/>
      <c r="DE87" s="1116"/>
      <c r="DF87" s="1116"/>
      <c r="DG87" s="1116"/>
      <c r="DH87" s="1116"/>
      <c r="DI87" s="1116"/>
      <c r="DJ87" s="1116"/>
      <c r="DK87" s="1116"/>
      <c r="DL87" s="1116"/>
      <c r="DM87" s="1116"/>
      <c r="DN87" s="1116"/>
      <c r="DO87" s="1116"/>
      <c r="DP87" s="1116"/>
      <c r="DQ87" s="1116"/>
      <c r="DR87" s="1116"/>
      <c r="DS87" s="1116"/>
      <c r="DT87" s="1116"/>
      <c r="DU87" s="1116"/>
      <c r="DV87" s="1116"/>
      <c r="DW87" s="1116"/>
      <c r="DX87" s="1116"/>
      <c r="DY87" s="1116"/>
      <c r="DZ87" s="1116"/>
      <c r="EA87" s="1116"/>
      <c r="EB87" s="1116"/>
      <c r="EC87" s="1116"/>
      <c r="ED87" s="1116"/>
      <c r="EE87" s="1116"/>
      <c r="EF87" s="1116"/>
      <c r="EG87" s="1116"/>
      <c r="EH87" s="1116"/>
      <c r="EI87" s="1116"/>
      <c r="EJ87" s="1116"/>
      <c r="EK87" s="1116"/>
      <c r="EL87" s="1116"/>
      <c r="EM87" s="1116"/>
      <c r="EN87" s="1116"/>
      <c r="EO87" s="1116"/>
      <c r="EP87" s="1116"/>
      <c r="EQ87" s="1116"/>
      <c r="ER87" s="1116"/>
      <c r="ES87" s="1116"/>
      <c r="ET87" s="1116"/>
      <c r="EU87" s="1116"/>
      <c r="EV87" s="1116"/>
      <c r="EW87" s="1116"/>
      <c r="EX87" s="1116"/>
      <c r="EY87" s="1116"/>
      <c r="EZ87" s="1116"/>
      <c r="FA87" s="1116"/>
      <c r="FB87" s="1116"/>
      <c r="FC87" s="1116"/>
      <c r="FD87" s="1116"/>
      <c r="FE87" s="1116"/>
      <c r="FF87" s="1116"/>
      <c r="FG87" s="1116"/>
      <c r="FH87" s="1116"/>
      <c r="FI87" s="1116"/>
      <c r="FJ87" s="1116"/>
      <c r="FK87" s="1116"/>
      <c r="FL87" s="1116"/>
      <c r="FM87" s="1116"/>
      <c r="FN87" s="1116"/>
      <c r="FO87" s="1116"/>
      <c r="FP87" s="1116"/>
      <c r="FQ87" s="1116"/>
      <c r="FR87" s="1116"/>
      <c r="FS87" s="1116"/>
      <c r="FT87" s="1116"/>
      <c r="FU87" s="1116"/>
      <c r="FV87" s="1116"/>
      <c r="FW87" s="1116"/>
      <c r="FX87" s="1116"/>
      <c r="FY87" s="1116"/>
      <c r="FZ87" s="1116"/>
      <c r="GA87" s="1116"/>
      <c r="GB87" s="1116"/>
      <c r="GC87" s="1116"/>
      <c r="GD87" s="1116"/>
      <c r="GE87" s="1116"/>
      <c r="GF87" s="1116"/>
      <c r="GG87" s="1116"/>
      <c r="GH87" s="1116"/>
      <c r="GI87" s="1116"/>
      <c r="GJ87" s="1116"/>
      <c r="GK87" s="1116"/>
      <c r="GL87" s="1116"/>
      <c r="GM87" s="1116"/>
      <c r="GN87" s="1116"/>
      <c r="GO87" s="1116"/>
      <c r="GP87" s="1116"/>
      <c r="GQ87" s="1116"/>
      <c r="GR87" s="1116"/>
      <c r="GS87" s="1116"/>
      <c r="GT87" s="1116"/>
      <c r="GU87" s="1116"/>
      <c r="GV87" s="1116"/>
      <c r="GW87" s="1116"/>
      <c r="GX87" s="1116"/>
      <c r="GY87" s="1116"/>
      <c r="GZ87" s="1116"/>
      <c r="HA87" s="1116"/>
      <c r="HB87" s="1116"/>
      <c r="HC87" s="1116"/>
      <c r="HD87" s="1116"/>
      <c r="HE87" s="1116"/>
      <c r="HF87" s="1116"/>
      <c r="HG87" s="1116"/>
      <c r="HH87" s="1116"/>
      <c r="HI87" s="1116"/>
      <c r="HJ87" s="1116"/>
      <c r="HK87" s="1116"/>
      <c r="HL87" s="1116"/>
      <c r="HM87" s="1116"/>
      <c r="HN87" s="1116"/>
      <c r="HO87" s="1116"/>
      <c r="HP87" s="1116"/>
      <c r="HQ87" s="1116"/>
      <c r="HR87" s="1116"/>
      <c r="HS87" s="1116"/>
      <c r="HT87" s="1116"/>
      <c r="HU87" s="1116"/>
      <c r="HV87" s="1116"/>
      <c r="HW87" s="1116"/>
      <c r="HX87" s="1116"/>
      <c r="HY87" s="1116"/>
      <c r="HZ87" s="1116"/>
      <c r="IA87" s="1116"/>
      <c r="IB87" s="1116"/>
      <c r="IC87" s="1116"/>
      <c r="ID87" s="1116"/>
      <c r="IE87" s="1116"/>
      <c r="IF87" s="1116"/>
      <c r="IG87" s="1116"/>
      <c r="IH87" s="1116"/>
    </row>
    <row r="88" spans="2:256" hidden="1" x14ac:dyDescent="0.35"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Z88">
        <v>15</v>
      </c>
      <c r="AA88" t="s">
        <v>253</v>
      </c>
      <c r="IV88" s="298"/>
    </row>
    <row r="89" spans="2:256" hidden="1" x14ac:dyDescent="0.35"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Z89">
        <v>16</v>
      </c>
      <c r="AA89" t="s">
        <v>841</v>
      </c>
      <c r="IV89" s="298"/>
    </row>
    <row r="90" spans="2:256" hidden="1" x14ac:dyDescent="0.35"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Z90">
        <v>17</v>
      </c>
      <c r="AA90" t="s">
        <v>842</v>
      </c>
      <c r="IV90" s="298"/>
    </row>
    <row r="91" spans="2:256" hidden="1" x14ac:dyDescent="0.35"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Z91">
        <v>18</v>
      </c>
      <c r="AA91" t="s">
        <v>843</v>
      </c>
      <c r="IV91" s="298"/>
    </row>
    <row r="92" spans="2:256" hidden="1" x14ac:dyDescent="0.35">
      <c r="Z92">
        <v>20</v>
      </c>
      <c r="AA92" t="s">
        <v>93</v>
      </c>
      <c r="AE92">
        <f>SUM(O63:P64)</f>
        <v>0</v>
      </c>
    </row>
    <row r="93" spans="2:256" hidden="1" x14ac:dyDescent="0.35">
      <c r="Z93">
        <v>21</v>
      </c>
      <c r="AA93" t="s">
        <v>254</v>
      </c>
      <c r="AE93">
        <f>O67</f>
        <v>0</v>
      </c>
    </row>
    <row r="94" spans="2:256" hidden="1" x14ac:dyDescent="0.35">
      <c r="Z94">
        <v>22</v>
      </c>
      <c r="AA94" t="s">
        <v>255</v>
      </c>
      <c r="AE94">
        <f>SUM(L56:M60)</f>
        <v>0</v>
      </c>
    </row>
    <row r="95" spans="2:256" hidden="1" x14ac:dyDescent="0.35">
      <c r="Z95">
        <v>23</v>
      </c>
      <c r="AA95" t="s">
        <v>256</v>
      </c>
      <c r="AE95">
        <f>O80</f>
        <v>0</v>
      </c>
    </row>
    <row r="96" spans="2:256" hidden="1" x14ac:dyDescent="0.35">
      <c r="Z96">
        <v>24</v>
      </c>
      <c r="AA96" t="s">
        <v>257</v>
      </c>
    </row>
    <row r="97" spans="26:31" hidden="1" x14ac:dyDescent="0.35">
      <c r="Z97">
        <v>25</v>
      </c>
      <c r="AA97" t="s">
        <v>258</v>
      </c>
    </row>
    <row r="98" spans="26:31" x14ac:dyDescent="0.35">
      <c r="Z98">
        <v>30</v>
      </c>
      <c r="AA98" t="s">
        <v>259</v>
      </c>
      <c r="AE98">
        <f>O78</f>
        <v>0</v>
      </c>
    </row>
    <row r="99" spans="26:31" hidden="1" x14ac:dyDescent="0.35">
      <c r="Z99">
        <v>31</v>
      </c>
      <c r="AA99" t="s">
        <v>744</v>
      </c>
    </row>
    <row r="100" spans="26:31" hidden="1" x14ac:dyDescent="0.35">
      <c r="Z100">
        <v>32</v>
      </c>
      <c r="AA100" t="s">
        <v>260</v>
      </c>
      <c r="AE100">
        <f>O53</f>
        <v>0</v>
      </c>
    </row>
    <row r="101" spans="26:31" hidden="1" x14ac:dyDescent="0.35">
      <c r="Z101">
        <v>33</v>
      </c>
      <c r="AA101" t="s">
        <v>261</v>
      </c>
      <c r="AE101">
        <f>O79</f>
        <v>0</v>
      </c>
    </row>
    <row r="102" spans="26:31" hidden="1" x14ac:dyDescent="0.35">
      <c r="Z102">
        <v>34</v>
      </c>
      <c r="AA102" t="s">
        <v>262</v>
      </c>
      <c r="AE102">
        <f>O77</f>
        <v>0</v>
      </c>
    </row>
    <row r="103" spans="26:31" hidden="1" x14ac:dyDescent="0.35">
      <c r="Z103">
        <v>35</v>
      </c>
      <c r="AA103" t="s">
        <v>263</v>
      </c>
    </row>
    <row r="104" spans="26:31" hidden="1" x14ac:dyDescent="0.35">
      <c r="Z104">
        <v>36</v>
      </c>
      <c r="AA104" t="s">
        <v>745</v>
      </c>
    </row>
    <row r="105" spans="26:31" hidden="1" x14ac:dyDescent="0.35">
      <c r="Z105">
        <v>39</v>
      </c>
      <c r="AA105" t="s">
        <v>264</v>
      </c>
    </row>
    <row r="106" spans="26:31" hidden="1" x14ac:dyDescent="0.35">
      <c r="Z106">
        <v>40</v>
      </c>
      <c r="AA106" t="s">
        <v>222</v>
      </c>
    </row>
    <row r="107" spans="26:31" hidden="1" x14ac:dyDescent="0.35">
      <c r="Z107">
        <v>41</v>
      </c>
      <c r="AA107" t="s">
        <v>265</v>
      </c>
    </row>
    <row r="108" spans="26:31" hidden="1" x14ac:dyDescent="0.35">
      <c r="Z108">
        <v>42</v>
      </c>
      <c r="AA108" t="s">
        <v>266</v>
      </c>
    </row>
    <row r="109" spans="26:31" hidden="1" x14ac:dyDescent="0.35">
      <c r="Z109">
        <v>44</v>
      </c>
      <c r="AA109" t="s">
        <v>267</v>
      </c>
    </row>
    <row r="110" spans="26:31" hidden="1" x14ac:dyDescent="0.35">
      <c r="Z110">
        <v>45</v>
      </c>
      <c r="AA110" t="s">
        <v>268</v>
      </c>
    </row>
    <row r="111" spans="26:31" hidden="1" x14ac:dyDescent="0.35">
      <c r="Z111">
        <v>46</v>
      </c>
      <c r="AA111" t="s">
        <v>269</v>
      </c>
    </row>
    <row r="112" spans="26:31" hidden="1" x14ac:dyDescent="0.35">
      <c r="Z112">
        <v>47</v>
      </c>
      <c r="AA112" t="s">
        <v>270</v>
      </c>
      <c r="AE112" s="382">
        <f>SUM(O56:P60)-O59</f>
        <v>0</v>
      </c>
    </row>
    <row r="113" spans="26:31" hidden="1" x14ac:dyDescent="0.35">
      <c r="Z113">
        <v>48</v>
      </c>
      <c r="AA113" t="s">
        <v>271</v>
      </c>
    </row>
    <row r="114" spans="26:31" hidden="1" x14ac:dyDescent="0.35">
      <c r="Z114">
        <v>49</v>
      </c>
      <c r="AA114" t="s">
        <v>272</v>
      </c>
    </row>
    <row r="115" spans="26:31" hidden="1" x14ac:dyDescent="0.35">
      <c r="Z115">
        <v>50</v>
      </c>
      <c r="AA115" s="42" t="s">
        <v>712</v>
      </c>
    </row>
    <row r="116" spans="26:31" hidden="1" x14ac:dyDescent="0.35">
      <c r="Z116">
        <v>51</v>
      </c>
      <c r="AA116" s="27" t="s">
        <v>273</v>
      </c>
    </row>
    <row r="117" spans="26:31" hidden="1" x14ac:dyDescent="0.35">
      <c r="Z117">
        <v>53</v>
      </c>
      <c r="AA117" t="s">
        <v>273</v>
      </c>
    </row>
    <row r="118" spans="26:31" hidden="1" x14ac:dyDescent="0.35">
      <c r="Z118">
        <v>56</v>
      </c>
      <c r="AA118" t="s">
        <v>274</v>
      </c>
      <c r="AE118" s="382"/>
    </row>
    <row r="119" spans="26:31" hidden="1" x14ac:dyDescent="0.35">
      <c r="Z119">
        <v>54</v>
      </c>
      <c r="AA119" t="s">
        <v>275</v>
      </c>
    </row>
    <row r="120" spans="26:31" hidden="1" x14ac:dyDescent="0.35">
      <c r="Z120">
        <v>55</v>
      </c>
      <c r="AA120" t="s">
        <v>276</v>
      </c>
    </row>
    <row r="121" spans="26:31" hidden="1" x14ac:dyDescent="0.35">
      <c r="Z121">
        <v>56</v>
      </c>
      <c r="AA121" t="s">
        <v>277</v>
      </c>
    </row>
    <row r="122" spans="26:31" hidden="1" x14ac:dyDescent="0.35">
      <c r="Z122">
        <v>57</v>
      </c>
      <c r="AA122" t="s">
        <v>278</v>
      </c>
    </row>
    <row r="123" spans="26:31" hidden="1" x14ac:dyDescent="0.35">
      <c r="Z123">
        <v>58</v>
      </c>
      <c r="AA123" t="s">
        <v>279</v>
      </c>
      <c r="AE123">
        <f>O76</f>
        <v>0</v>
      </c>
    </row>
    <row r="124" spans="26:31" hidden="1" x14ac:dyDescent="0.35">
      <c r="Z124">
        <v>59</v>
      </c>
      <c r="AA124" t="s">
        <v>280</v>
      </c>
      <c r="AE124">
        <f>O59</f>
        <v>0</v>
      </c>
    </row>
    <row r="125" spans="26:31" hidden="1" x14ac:dyDescent="0.35">
      <c r="Z125">
        <v>60</v>
      </c>
      <c r="AA125" t="s">
        <v>281</v>
      </c>
      <c r="AE125">
        <f>SUM(O69:P74)-O73</f>
        <v>0</v>
      </c>
    </row>
    <row r="126" spans="26:31" hidden="1" x14ac:dyDescent="0.35">
      <c r="Z126">
        <v>65</v>
      </c>
      <c r="AA126" t="s">
        <v>282</v>
      </c>
      <c r="AE126">
        <f>O73</f>
        <v>0</v>
      </c>
    </row>
    <row r="127" spans="26:31" hidden="1" x14ac:dyDescent="0.35">
      <c r="Z127">
        <v>99</v>
      </c>
      <c r="AA127" t="s">
        <v>893</v>
      </c>
      <c r="AE127" s="382">
        <f>W70</f>
        <v>0</v>
      </c>
    </row>
    <row r="128" spans="26:31" hidden="1" x14ac:dyDescent="0.35">
      <c r="AE128">
        <f>SUM(AE75:AE126)</f>
        <v>0</v>
      </c>
    </row>
  </sheetData>
  <mergeCells count="171">
    <mergeCell ref="B17:C17"/>
    <mergeCell ref="B18:C18"/>
    <mergeCell ref="B20:C20"/>
    <mergeCell ref="B23:C23"/>
    <mergeCell ref="B26:C26"/>
    <mergeCell ref="B28:C28"/>
    <mergeCell ref="B29:C29"/>
    <mergeCell ref="B27:C27"/>
    <mergeCell ref="B24:C24"/>
    <mergeCell ref="B25:C25"/>
    <mergeCell ref="B19:C19"/>
    <mergeCell ref="B22:C22"/>
    <mergeCell ref="B21:C21"/>
    <mergeCell ref="O54:P54"/>
    <mergeCell ref="I56:J58"/>
    <mergeCell ref="L56:M56"/>
    <mergeCell ref="L58:M58"/>
    <mergeCell ref="L53:M53"/>
    <mergeCell ref="I54:J54"/>
    <mergeCell ref="L54:M54"/>
    <mergeCell ref="O56:P56"/>
    <mergeCell ref="B36:C36"/>
    <mergeCell ref="B37:C37"/>
    <mergeCell ref="B41:D41"/>
    <mergeCell ref="B38:C38"/>
    <mergeCell ref="C42:D42"/>
    <mergeCell ref="E42:F42"/>
    <mergeCell ref="E41:F41"/>
    <mergeCell ref="O52:P52"/>
    <mergeCell ref="H42:I42"/>
    <mergeCell ref="E43:F43"/>
    <mergeCell ref="C48:P48"/>
    <mergeCell ref="L50:M50"/>
    <mergeCell ref="G41:I41"/>
    <mergeCell ref="J42:L42"/>
    <mergeCell ref="O53:P53"/>
    <mergeCell ref="J53:K53"/>
    <mergeCell ref="B72:D72"/>
    <mergeCell ref="O72:P72"/>
    <mergeCell ref="B73:D73"/>
    <mergeCell ref="O73:P73"/>
    <mergeCell ref="J71:K72"/>
    <mergeCell ref="B71:D71"/>
    <mergeCell ref="O71:P71"/>
    <mergeCell ref="M71:N71"/>
    <mergeCell ref="B69:D69"/>
    <mergeCell ref="O69:P69"/>
    <mergeCell ref="B78:D78"/>
    <mergeCell ref="G78:H78"/>
    <mergeCell ref="O78:P78"/>
    <mergeCell ref="B77:D77"/>
    <mergeCell ref="G77:H77"/>
    <mergeCell ref="O74:P74"/>
    <mergeCell ref="B76:D76"/>
    <mergeCell ref="G76:H76"/>
    <mergeCell ref="O76:P76"/>
    <mergeCell ref="B75:P75"/>
    <mergeCell ref="O77:P77"/>
    <mergeCell ref="B74:D74"/>
    <mergeCell ref="B85:D85"/>
    <mergeCell ref="E85:F85"/>
    <mergeCell ref="G85:I85"/>
    <mergeCell ref="U86:V86"/>
    <mergeCell ref="M85:N85"/>
    <mergeCell ref="C86:D86"/>
    <mergeCell ref="E86:F86"/>
    <mergeCell ref="H86:I86"/>
    <mergeCell ref="J86:L86"/>
    <mergeCell ref="U82:V82"/>
    <mergeCell ref="Q81:R81"/>
    <mergeCell ref="O80:P80"/>
    <mergeCell ref="B81:D81"/>
    <mergeCell ref="O81:P81"/>
    <mergeCell ref="B79:D79"/>
    <mergeCell ref="G79:H79"/>
    <mergeCell ref="O79:P79"/>
    <mergeCell ref="G81:H81"/>
    <mergeCell ref="B80:D80"/>
    <mergeCell ref="G80:H80"/>
    <mergeCell ref="T42:U42"/>
    <mergeCell ref="Q51:R51"/>
    <mergeCell ref="O7:P7"/>
    <mergeCell ref="Q7:R7"/>
    <mergeCell ref="U10:W10"/>
    <mergeCell ref="M41:O41"/>
    <mergeCell ref="L51:M51"/>
    <mergeCell ref="O51:P51"/>
    <mergeCell ref="J41:L41"/>
    <mergeCell ref="M42:O42"/>
    <mergeCell ref="B10:J10"/>
    <mergeCell ref="B14:C14"/>
    <mergeCell ref="B13:C13"/>
    <mergeCell ref="J8:N8"/>
    <mergeCell ref="B11:C11"/>
    <mergeCell ref="B15:C15"/>
    <mergeCell ref="D45:E45"/>
    <mergeCell ref="D46:E46"/>
    <mergeCell ref="Q50:R50"/>
    <mergeCell ref="O50:P50"/>
    <mergeCell ref="B31:C31"/>
    <mergeCell ref="B30:C30"/>
    <mergeCell ref="D44:E44"/>
    <mergeCell ref="B16:C16"/>
    <mergeCell ref="V2:W2"/>
    <mergeCell ref="B12:C12"/>
    <mergeCell ref="K10:L10"/>
    <mergeCell ref="M10:N10"/>
    <mergeCell ref="O10:Q10"/>
    <mergeCell ref="R10:T10"/>
    <mergeCell ref="O4:P4"/>
    <mergeCell ref="Q4:R4"/>
    <mergeCell ref="J5:N5"/>
    <mergeCell ref="O5:P5"/>
    <mergeCell ref="O3:P3"/>
    <mergeCell ref="Q3:R3"/>
    <mergeCell ref="Q5:R5"/>
    <mergeCell ref="J6:N6"/>
    <mergeCell ref="B3:F3"/>
    <mergeCell ref="B4:F4"/>
    <mergeCell ref="B5:F5"/>
    <mergeCell ref="D8:E8"/>
    <mergeCell ref="Q6:R6"/>
    <mergeCell ref="D7:E7"/>
    <mergeCell ref="U70:V70"/>
    <mergeCell ref="T43:U43"/>
    <mergeCell ref="I52:J52"/>
    <mergeCell ref="L52:M52"/>
    <mergeCell ref="I49:J51"/>
    <mergeCell ref="K49:K51"/>
    <mergeCell ref="L49:M49"/>
    <mergeCell ref="O49:P49"/>
    <mergeCell ref="Q48:R48"/>
    <mergeCell ref="Q49:R49"/>
    <mergeCell ref="N43:O43"/>
    <mergeCell ref="K43:L43"/>
    <mergeCell ref="O59:P59"/>
    <mergeCell ref="B62:P62"/>
    <mergeCell ref="E60:F60"/>
    <mergeCell ref="I60:J60"/>
    <mergeCell ref="L60:M60"/>
    <mergeCell ref="B68:P68"/>
    <mergeCell ref="B70:D70"/>
    <mergeCell ref="O70:P70"/>
    <mergeCell ref="J70:K70"/>
    <mergeCell ref="M70:N70"/>
    <mergeCell ref="E61:F61"/>
    <mergeCell ref="I61:K61"/>
    <mergeCell ref="O61:P61"/>
    <mergeCell ref="E59:F59"/>
    <mergeCell ref="I59:J59"/>
    <mergeCell ref="B32:C32"/>
    <mergeCell ref="J4:N4"/>
    <mergeCell ref="O6:P6"/>
    <mergeCell ref="B33:C33"/>
    <mergeCell ref="B34:C34"/>
    <mergeCell ref="B35:C35"/>
    <mergeCell ref="J7:N7"/>
    <mergeCell ref="L59:M59"/>
    <mergeCell ref="L61:M61"/>
    <mergeCell ref="F53:H53"/>
    <mergeCell ref="H56:H58"/>
    <mergeCell ref="E58:F58"/>
    <mergeCell ref="N55:P55"/>
    <mergeCell ref="O60:P60"/>
    <mergeCell ref="L55:M55"/>
    <mergeCell ref="K56:K58"/>
    <mergeCell ref="E57:F57"/>
    <mergeCell ref="L57:M57"/>
    <mergeCell ref="O57:P57"/>
    <mergeCell ref="O58:P58"/>
    <mergeCell ref="E56:F56"/>
  </mergeCells>
  <phoneticPr fontId="7" type="noConversion"/>
  <printOptions gridLines="1"/>
  <pageMargins left="0.96" right="0.21" top="0.61" bottom="0.23" header="0.17" footer="0.19"/>
  <pageSetup paperSize="5" scale="55" fitToHeight="2" orientation="landscape" horizontalDpi="4294967293" verticalDpi="192" r:id="rId1"/>
  <headerFooter alignWithMargins="0">
    <oddHeader>&amp;L&amp;"Arial,Bold"&amp;16         &amp;A&amp;C&amp;"Arial,Bold"&amp;16&amp;F&amp;R&amp;16&amp;D</oddHeader>
  </headerFooter>
  <rowBreaks count="1" manualBreakCount="1">
    <brk id="4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39D5-90EF-4D3F-9693-D8F2960A0B5C}">
  <dimension ref="A1:XFC65539"/>
  <sheetViews>
    <sheetView topLeftCell="A39" zoomScaleNormal="100" workbookViewId="0">
      <selection activeCell="B57" sqref="B57:P61"/>
    </sheetView>
  </sheetViews>
  <sheetFormatPr defaultColWidth="0" defaultRowHeight="15.5" zeroHeight="1" x14ac:dyDescent="0.35"/>
  <cols>
    <col min="1" max="1" width="3.6328125" style="42" customWidth="1"/>
    <col min="2" max="2" width="9.453125" style="42" customWidth="1"/>
    <col min="3" max="3" width="13.1796875" style="42" customWidth="1"/>
    <col min="4" max="4" width="7" style="42" customWidth="1"/>
    <col min="5" max="5" width="9.453125" style="42" customWidth="1"/>
    <col min="6" max="6" width="9.7265625" style="42" customWidth="1"/>
    <col min="7" max="7" width="13.1796875" style="42" customWidth="1"/>
    <col min="8" max="10" width="9.7265625" style="42" customWidth="1"/>
    <col min="11" max="11" width="9.26953125" style="42" customWidth="1"/>
    <col min="12" max="12" width="12.81640625" style="42" customWidth="1"/>
    <col min="13" max="15" width="9.7265625" style="42" customWidth="1"/>
    <col min="16" max="16" width="12.54296875" style="42" customWidth="1"/>
    <col min="17" max="17" width="11.54296875" style="42" customWidth="1"/>
    <col min="18" max="18" width="12.81640625" style="42" customWidth="1"/>
    <col min="19" max="19" width="11.81640625" style="42" customWidth="1"/>
    <col min="20" max="20" width="10.81640625" style="42" customWidth="1"/>
    <col min="21" max="21" width="11.26953125" style="42" customWidth="1"/>
    <col min="22" max="22" width="9.54296875" style="42" bestFit="1" customWidth="1"/>
    <col min="23" max="23" width="20.26953125" style="42" customWidth="1"/>
    <col min="24" max="24" width="5.26953125" customWidth="1"/>
    <col min="25" max="25" width="0.26953125" customWidth="1"/>
    <col min="26" max="122" width="6.81640625" hidden="1"/>
    <col min="123" max="16383" width="6.81640625" style="42" hidden="1"/>
    <col min="16384" max="16384" width="6.54296875" style="42" hidden="1"/>
  </cols>
  <sheetData>
    <row r="1" spans="2:122" x14ac:dyDescent="0.35"/>
    <row r="2" spans="2:122" s="298" customFormat="1" ht="24" customHeight="1" thickBot="1" x14ac:dyDescent="0.4">
      <c r="B2" s="937" t="s">
        <v>303</v>
      </c>
      <c r="C2" s="897"/>
      <c r="D2" s="897"/>
      <c r="E2" s="897"/>
      <c r="T2" s="941" t="s">
        <v>305</v>
      </c>
      <c r="U2" s="941"/>
      <c r="V2" s="2265">
        <v>37456</v>
      </c>
      <c r="W2" s="2265"/>
      <c r="X2" s="299"/>
      <c r="Y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  <c r="BQ2" s="299"/>
      <c r="BR2" s="299"/>
      <c r="BS2" s="299"/>
      <c r="BT2" s="299"/>
      <c r="BU2" s="299"/>
      <c r="BV2" s="299"/>
      <c r="BW2" s="299"/>
      <c r="BX2" s="299"/>
      <c r="BY2" s="299"/>
      <c r="BZ2" s="299"/>
      <c r="CA2" s="299"/>
      <c r="CB2" s="299"/>
      <c r="CC2" s="299"/>
      <c r="CD2" s="299"/>
      <c r="CE2" s="299"/>
      <c r="CF2" s="299"/>
      <c r="CG2" s="299"/>
      <c r="CH2" s="299"/>
      <c r="CI2" s="299"/>
      <c r="CJ2" s="299"/>
      <c r="CK2" s="299"/>
      <c r="CL2" s="299"/>
      <c r="CM2" s="299"/>
      <c r="CN2" s="299"/>
      <c r="CO2" s="299"/>
      <c r="CP2" s="299"/>
      <c r="CQ2" s="299"/>
      <c r="CR2" s="299"/>
      <c r="CS2" s="299"/>
      <c r="CT2" s="299"/>
      <c r="CU2" s="299"/>
      <c r="CV2" s="299"/>
      <c r="CW2" s="299"/>
      <c r="CX2" s="299"/>
      <c r="CY2" s="299"/>
      <c r="CZ2" s="299"/>
      <c r="DA2" s="299"/>
      <c r="DB2" s="299"/>
      <c r="DC2" s="299"/>
      <c r="DD2" s="299"/>
      <c r="DE2" s="299"/>
      <c r="DF2" s="299"/>
      <c r="DG2" s="299"/>
      <c r="DH2" s="299"/>
      <c r="DI2" s="299"/>
      <c r="DJ2" s="299"/>
      <c r="DK2" s="299"/>
      <c r="DL2" s="299"/>
      <c r="DM2" s="299"/>
      <c r="DN2" s="299"/>
      <c r="DO2" s="299"/>
      <c r="DP2" s="299"/>
      <c r="DQ2" s="299"/>
      <c r="DR2" s="299"/>
    </row>
    <row r="3" spans="2:122" s="298" customFormat="1" ht="24" customHeight="1" thickBot="1" x14ac:dyDescent="0.4">
      <c r="B3" s="1947">
        <f>Summary!C2</f>
        <v>0</v>
      </c>
      <c r="C3" s="1948"/>
      <c r="D3" s="1948"/>
      <c r="E3" s="1949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T3" s="792" t="s">
        <v>304</v>
      </c>
      <c r="U3" s="942"/>
      <c r="V3" s="943" t="str">
        <f>Information!C8</f>
        <v>Chad McKinney</v>
      </c>
      <c r="W3" s="944"/>
      <c r="X3" s="299"/>
      <c r="Y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  <c r="AT3" s="299"/>
      <c r="AU3" s="299"/>
      <c r="AV3" s="299"/>
      <c r="AW3" s="299"/>
      <c r="AX3" s="299"/>
      <c r="AY3" s="299"/>
      <c r="AZ3" s="299"/>
      <c r="BA3" s="299"/>
      <c r="BB3" s="299"/>
      <c r="BC3" s="299"/>
      <c r="BD3" s="299"/>
      <c r="BE3" s="299"/>
      <c r="BF3" s="299"/>
      <c r="BG3" s="299"/>
      <c r="BH3" s="299"/>
      <c r="BI3" s="299"/>
      <c r="BJ3" s="299"/>
      <c r="BK3" s="299"/>
      <c r="BL3" s="299"/>
      <c r="BM3" s="299"/>
      <c r="BN3" s="299"/>
      <c r="BO3" s="299"/>
      <c r="BP3" s="299"/>
      <c r="BQ3" s="299"/>
      <c r="BR3" s="299"/>
      <c r="BS3" s="299"/>
      <c r="BT3" s="299"/>
      <c r="BU3" s="299"/>
      <c r="BV3" s="299"/>
      <c r="BW3" s="299"/>
      <c r="BX3" s="299"/>
      <c r="BY3" s="299"/>
      <c r="BZ3" s="299"/>
      <c r="CA3" s="299"/>
      <c r="CB3" s="299"/>
      <c r="CC3" s="299"/>
      <c r="CD3" s="299"/>
      <c r="CE3" s="299"/>
      <c r="CF3" s="299"/>
      <c r="CG3" s="299"/>
      <c r="CH3" s="299"/>
      <c r="CI3" s="299"/>
      <c r="CJ3" s="299"/>
      <c r="CK3" s="299"/>
      <c r="CL3" s="299"/>
      <c r="CM3" s="299"/>
      <c r="CN3" s="299"/>
      <c r="CO3" s="299"/>
      <c r="CP3" s="299"/>
      <c r="CQ3" s="299"/>
      <c r="CR3" s="299"/>
      <c r="CS3" s="299"/>
      <c r="CT3" s="299"/>
      <c r="CU3" s="299"/>
      <c r="CV3" s="299"/>
      <c r="CW3" s="299"/>
      <c r="CX3" s="299"/>
      <c r="CY3" s="299"/>
      <c r="CZ3" s="299"/>
      <c r="DA3" s="299"/>
      <c r="DB3" s="299"/>
      <c r="DC3" s="299"/>
      <c r="DD3" s="299"/>
      <c r="DE3" s="299"/>
      <c r="DF3" s="299"/>
      <c r="DG3" s="299"/>
      <c r="DH3" s="299"/>
      <c r="DI3" s="299"/>
      <c r="DJ3" s="299"/>
      <c r="DK3" s="299"/>
      <c r="DL3" s="299"/>
      <c r="DM3" s="299"/>
      <c r="DN3" s="299"/>
      <c r="DO3" s="299"/>
      <c r="DP3" s="299"/>
      <c r="DQ3" s="299"/>
      <c r="DR3" s="299"/>
    </row>
    <row r="4" spans="2:122" s="298" customFormat="1" ht="24" customHeight="1" x14ac:dyDescent="0.35">
      <c r="B4" s="1952">
        <f>Summary!C3</f>
        <v>0</v>
      </c>
      <c r="C4" s="1953"/>
      <c r="D4" s="1953"/>
      <c r="E4" s="1954"/>
      <c r="H4" s="938"/>
      <c r="I4" s="939" t="s">
        <v>132</v>
      </c>
      <c r="J4" s="2223">
        <f>Summary!K3</f>
        <v>0</v>
      </c>
      <c r="K4" s="2224"/>
      <c r="L4" s="2224"/>
      <c r="M4" s="2224"/>
      <c r="N4" s="2224"/>
      <c r="O4" s="2523">
        <f>Summary!O3</f>
        <v>0</v>
      </c>
      <c r="P4" s="2523"/>
      <c r="Q4" s="1964">
        <f>Summary!P3</f>
        <v>0</v>
      </c>
      <c r="R4" s="1965"/>
      <c r="T4" s="790"/>
      <c r="U4" s="770"/>
      <c r="V4" s="770"/>
      <c r="W4" s="876"/>
      <c r="X4" s="299"/>
      <c r="Y4" s="299"/>
      <c r="AF4" s="299"/>
      <c r="AG4" s="299"/>
      <c r="AH4" s="299"/>
      <c r="AI4" s="299"/>
      <c r="AJ4" s="299"/>
      <c r="AK4" s="299"/>
      <c r="AL4" s="299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299"/>
      <c r="BX4" s="299"/>
      <c r="BY4" s="299"/>
      <c r="BZ4" s="299"/>
      <c r="CA4" s="299"/>
      <c r="CB4" s="299"/>
      <c r="CC4" s="299"/>
      <c r="CD4" s="299"/>
      <c r="CE4" s="299"/>
      <c r="CF4" s="299"/>
      <c r="CG4" s="299"/>
      <c r="CH4" s="299"/>
      <c r="CI4" s="299"/>
      <c r="CJ4" s="299"/>
      <c r="CK4" s="299"/>
      <c r="CL4" s="299"/>
      <c r="CM4" s="299"/>
      <c r="CN4" s="299"/>
      <c r="CO4" s="299"/>
      <c r="CP4" s="299"/>
      <c r="CQ4" s="299"/>
      <c r="CR4" s="299"/>
      <c r="CS4" s="299"/>
      <c r="CT4" s="299"/>
      <c r="CU4" s="299"/>
      <c r="CV4" s="299"/>
      <c r="CW4" s="299"/>
      <c r="CX4" s="299"/>
      <c r="CY4" s="299"/>
      <c r="CZ4" s="299"/>
      <c r="DA4" s="299"/>
      <c r="DB4" s="299"/>
      <c r="DC4" s="299"/>
      <c r="DD4" s="299"/>
      <c r="DE4" s="299"/>
      <c r="DF4" s="299"/>
      <c r="DG4" s="299"/>
      <c r="DH4" s="299"/>
      <c r="DI4" s="299"/>
      <c r="DJ4" s="299"/>
      <c r="DK4" s="299"/>
      <c r="DL4" s="299"/>
      <c r="DM4" s="299"/>
      <c r="DN4" s="299"/>
      <c r="DO4" s="299"/>
      <c r="DP4" s="299"/>
      <c r="DQ4" s="299"/>
      <c r="DR4" s="299"/>
    </row>
    <row r="5" spans="2:122" s="298" customFormat="1" ht="24" customHeight="1" thickBot="1" x14ac:dyDescent="0.4">
      <c r="B5" s="1966">
        <f>Summary!C4</f>
        <v>0</v>
      </c>
      <c r="C5" s="1967"/>
      <c r="D5" s="1967"/>
      <c r="E5" s="1968"/>
      <c r="H5" s="938"/>
      <c r="I5" s="939" t="s">
        <v>133</v>
      </c>
      <c r="J5" s="2273">
        <f>Summary!K4</f>
        <v>0</v>
      </c>
      <c r="K5" s="2274"/>
      <c r="L5" s="2274"/>
      <c r="M5" s="2274"/>
      <c r="N5" s="2274"/>
      <c r="O5" s="1969">
        <f>Summary!O4</f>
        <v>0</v>
      </c>
      <c r="P5" s="1969"/>
      <c r="Q5" s="1927">
        <f>Summary!P4</f>
        <v>0</v>
      </c>
      <c r="R5" s="1928"/>
      <c r="T5" s="790" t="str">
        <f>Information!H5</f>
        <v>Approved by Chad:</v>
      </c>
      <c r="U5" s="770"/>
      <c r="V5" s="945"/>
      <c r="W5" s="946"/>
      <c r="X5" s="299"/>
      <c r="Y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299"/>
      <c r="BX5" s="299"/>
      <c r="BY5" s="299"/>
      <c r="BZ5" s="299"/>
      <c r="CA5" s="299"/>
      <c r="CB5" s="299"/>
      <c r="CC5" s="299"/>
      <c r="CD5" s="299"/>
      <c r="CE5" s="299"/>
      <c r="CF5" s="299"/>
      <c r="CG5" s="299"/>
      <c r="CH5" s="299"/>
      <c r="CI5" s="299"/>
      <c r="CJ5" s="299"/>
      <c r="CK5" s="299"/>
      <c r="CL5" s="299"/>
      <c r="CM5" s="299"/>
      <c r="CN5" s="299"/>
      <c r="CO5" s="299"/>
      <c r="CP5" s="299"/>
      <c r="CQ5" s="299"/>
      <c r="CR5" s="299"/>
      <c r="CS5" s="299"/>
      <c r="CT5" s="299"/>
      <c r="CU5" s="299"/>
      <c r="CV5" s="299"/>
      <c r="CW5" s="299"/>
      <c r="CX5" s="299"/>
      <c r="CY5" s="299"/>
      <c r="CZ5" s="299"/>
      <c r="DA5" s="299"/>
      <c r="DB5" s="299"/>
      <c r="DC5" s="299"/>
      <c r="DD5" s="299"/>
      <c r="DE5" s="299"/>
      <c r="DF5" s="299"/>
      <c r="DG5" s="299"/>
      <c r="DH5" s="299"/>
      <c r="DI5" s="299"/>
      <c r="DJ5" s="299"/>
      <c r="DK5" s="299"/>
      <c r="DL5" s="299"/>
      <c r="DM5" s="299"/>
      <c r="DN5" s="299"/>
      <c r="DO5" s="299"/>
      <c r="DP5" s="299"/>
      <c r="DQ5" s="299"/>
      <c r="DR5" s="299"/>
    </row>
    <row r="6" spans="2:122" s="298" customFormat="1" ht="24" customHeight="1" thickBot="1" x14ac:dyDescent="0.4">
      <c r="B6" s="57" t="s">
        <v>115</v>
      </c>
      <c r="C6" s="42"/>
      <c r="D6" s="57" t="s">
        <v>125</v>
      </c>
      <c r="E6" s="42"/>
      <c r="H6" s="938"/>
      <c r="I6" s="939" t="s">
        <v>134</v>
      </c>
      <c r="J6" s="2273">
        <f>Summary!K5</f>
        <v>0</v>
      </c>
      <c r="K6" s="2274"/>
      <c r="L6" s="2274"/>
      <c r="M6" s="2274"/>
      <c r="N6" s="2274"/>
      <c r="O6" s="1969">
        <f>Summary!O5</f>
        <v>0</v>
      </c>
      <c r="P6" s="1969"/>
      <c r="Q6" s="1927">
        <f>Summary!P5</f>
        <v>0</v>
      </c>
      <c r="R6" s="1928"/>
      <c r="T6" s="790"/>
      <c r="U6" s="770"/>
      <c r="V6" s="770"/>
      <c r="W6" s="876"/>
      <c r="X6" s="299"/>
      <c r="Y6" s="299"/>
      <c r="AF6" s="299"/>
      <c r="AG6" s="299"/>
      <c r="AH6" s="299"/>
      <c r="AI6" s="299"/>
      <c r="AJ6" s="299"/>
      <c r="AK6" s="299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9"/>
      <c r="AZ6" s="299"/>
      <c r="BA6" s="299"/>
      <c r="BB6" s="299"/>
      <c r="BC6" s="299"/>
      <c r="BD6" s="299"/>
      <c r="BE6" s="299"/>
      <c r="BF6" s="299"/>
      <c r="BG6" s="299"/>
      <c r="BH6" s="299"/>
      <c r="BI6" s="299"/>
      <c r="BJ6" s="299"/>
      <c r="BK6" s="299"/>
      <c r="BL6" s="299"/>
      <c r="BM6" s="299"/>
      <c r="BN6" s="299"/>
      <c r="BO6" s="299"/>
      <c r="BP6" s="299"/>
      <c r="BQ6" s="299"/>
      <c r="BR6" s="299"/>
      <c r="BS6" s="299"/>
      <c r="BT6" s="299"/>
      <c r="BU6" s="299"/>
      <c r="BV6" s="299"/>
      <c r="BW6" s="299"/>
      <c r="BX6" s="299"/>
      <c r="BY6" s="299"/>
      <c r="BZ6" s="299"/>
      <c r="CA6" s="299"/>
      <c r="CB6" s="299"/>
      <c r="CC6" s="299"/>
      <c r="CD6" s="299"/>
      <c r="CE6" s="299"/>
      <c r="CF6" s="299"/>
      <c r="CG6" s="299"/>
      <c r="CH6" s="299"/>
      <c r="CI6" s="299"/>
      <c r="CJ6" s="299"/>
      <c r="CK6" s="299"/>
      <c r="CL6" s="299"/>
      <c r="CM6" s="299"/>
      <c r="CN6" s="299"/>
      <c r="CO6" s="299"/>
      <c r="CP6" s="299"/>
      <c r="CQ6" s="299"/>
      <c r="CR6" s="299"/>
      <c r="CS6" s="299"/>
      <c r="CT6" s="299"/>
      <c r="CU6" s="299"/>
      <c r="CV6" s="299"/>
      <c r="CW6" s="299"/>
      <c r="CX6" s="299"/>
      <c r="CY6" s="299"/>
      <c r="CZ6" s="299"/>
      <c r="DA6" s="299"/>
      <c r="DB6" s="299"/>
      <c r="DC6" s="299"/>
      <c r="DD6" s="299"/>
      <c r="DE6" s="299"/>
      <c r="DF6" s="299"/>
      <c r="DG6" s="299"/>
      <c r="DH6" s="299"/>
      <c r="DI6" s="299"/>
      <c r="DJ6" s="299"/>
      <c r="DK6" s="299"/>
      <c r="DL6" s="299"/>
      <c r="DM6" s="299"/>
      <c r="DN6" s="299"/>
      <c r="DO6" s="299"/>
      <c r="DP6" s="299"/>
      <c r="DQ6" s="299"/>
      <c r="DR6" s="299"/>
    </row>
    <row r="7" spans="2:122" s="298" customFormat="1" ht="24" customHeight="1" thickBot="1" x14ac:dyDescent="0.4">
      <c r="B7" s="1597">
        <v>0</v>
      </c>
      <c r="D7" s="2517">
        <v>0</v>
      </c>
      <c r="E7" s="2518"/>
      <c r="H7" s="889"/>
      <c r="I7" s="940" t="s">
        <v>135</v>
      </c>
      <c r="J7" s="2228">
        <f>Summary!K6</f>
        <v>0</v>
      </c>
      <c r="K7" s="2229"/>
      <c r="L7" s="2229"/>
      <c r="M7" s="2229"/>
      <c r="N7" s="2229"/>
      <c r="O7" s="2519">
        <f>Summary!O6</f>
        <v>0</v>
      </c>
      <c r="P7" s="2519"/>
      <c r="Q7" s="1970">
        <f>Summary!P6</f>
        <v>0</v>
      </c>
      <c r="R7" s="1971"/>
      <c r="T7" s="791" t="str">
        <f>Information!H6</f>
        <v>Approved by Edward:</v>
      </c>
      <c r="U7" s="947"/>
      <c r="V7" s="947"/>
      <c r="W7" s="948"/>
      <c r="X7" s="299"/>
      <c r="Y7" s="299"/>
      <c r="AF7" s="299"/>
      <c r="AG7" s="299"/>
      <c r="AH7" s="299"/>
      <c r="AI7" s="299"/>
      <c r="AJ7" s="299"/>
      <c r="AK7" s="299"/>
      <c r="AL7" s="299"/>
      <c r="AM7" s="299"/>
      <c r="AN7" s="299"/>
      <c r="AO7" s="299"/>
      <c r="AP7" s="299"/>
      <c r="AQ7" s="299"/>
      <c r="AR7" s="299"/>
      <c r="AS7" s="299"/>
      <c r="AT7" s="299"/>
      <c r="AU7" s="299"/>
      <c r="AV7" s="299"/>
      <c r="AW7" s="299"/>
      <c r="AX7" s="299"/>
      <c r="AY7" s="299"/>
      <c r="AZ7" s="299"/>
      <c r="BA7" s="299"/>
      <c r="BB7" s="299"/>
      <c r="BC7" s="299"/>
      <c r="BD7" s="299"/>
      <c r="BE7" s="299"/>
      <c r="BF7" s="299"/>
      <c r="BG7" s="299"/>
      <c r="BH7" s="299"/>
      <c r="BI7" s="299"/>
      <c r="BJ7" s="299"/>
      <c r="BK7" s="299"/>
      <c r="BL7" s="299"/>
      <c r="BM7" s="299"/>
      <c r="BN7" s="299"/>
      <c r="BO7" s="299"/>
      <c r="BP7" s="299"/>
      <c r="BQ7" s="299"/>
      <c r="BR7" s="299"/>
      <c r="BS7" s="299"/>
      <c r="BT7" s="299"/>
      <c r="BU7" s="299"/>
      <c r="BV7" s="299"/>
      <c r="BW7" s="299"/>
      <c r="BX7" s="299"/>
      <c r="BY7" s="299"/>
      <c r="BZ7" s="299"/>
      <c r="CA7" s="299"/>
      <c r="CB7" s="299"/>
      <c r="CC7" s="299"/>
      <c r="CD7" s="299"/>
      <c r="CE7" s="299"/>
      <c r="CF7" s="299"/>
      <c r="CG7" s="299"/>
      <c r="CH7" s="299"/>
      <c r="CI7" s="299"/>
      <c r="CJ7" s="299"/>
      <c r="CK7" s="299"/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299"/>
      <c r="DH7" s="299"/>
      <c r="DI7" s="299"/>
      <c r="DJ7" s="299"/>
      <c r="DK7" s="299"/>
      <c r="DL7" s="299"/>
      <c r="DM7" s="299"/>
      <c r="DN7" s="299"/>
      <c r="DO7" s="299"/>
      <c r="DP7" s="299"/>
      <c r="DQ7" s="299"/>
      <c r="DR7" s="299"/>
    </row>
    <row r="8" spans="2:122" s="298" customFormat="1" ht="24" customHeight="1" thickBot="1" x14ac:dyDescent="0.4">
      <c r="B8" s="1598">
        <v>0</v>
      </c>
      <c r="D8" s="2520">
        <v>0</v>
      </c>
      <c r="E8" s="2521"/>
      <c r="F8" s="306"/>
      <c r="G8" s="1962" t="s">
        <v>308</v>
      </c>
      <c r="H8" s="1962"/>
      <c r="I8" s="1962"/>
      <c r="J8" s="2522" t="str">
        <f>Pricing!A2</f>
        <v>Martin Marrieta</v>
      </c>
      <c r="K8" s="2522"/>
      <c r="L8" s="2522"/>
      <c r="M8" s="2522"/>
      <c r="N8" s="2522"/>
      <c r="O8" s="306"/>
      <c r="P8" s="306"/>
      <c r="Q8" s="306"/>
      <c r="R8" s="306"/>
      <c r="S8" s="306"/>
      <c r="T8" s="306"/>
      <c r="X8" s="299"/>
      <c r="Y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299"/>
      <c r="AX8" s="299"/>
      <c r="AY8" s="299"/>
      <c r="AZ8" s="299"/>
      <c r="BA8" s="299"/>
      <c r="BB8" s="299"/>
      <c r="BC8" s="299"/>
      <c r="BD8" s="299"/>
      <c r="BE8" s="299"/>
      <c r="BF8" s="299"/>
      <c r="BG8" s="299"/>
      <c r="BH8" s="299"/>
      <c r="BI8" s="299"/>
      <c r="BJ8" s="299"/>
      <c r="BK8" s="299"/>
      <c r="BL8" s="299"/>
      <c r="BM8" s="299"/>
      <c r="BN8" s="299"/>
      <c r="BO8" s="299"/>
      <c r="BP8" s="299"/>
      <c r="BQ8" s="299"/>
      <c r="BR8" s="299"/>
      <c r="BS8" s="299"/>
      <c r="BT8" s="299"/>
      <c r="BU8" s="299"/>
      <c r="BV8" s="299"/>
      <c r="BW8" s="299"/>
      <c r="BX8" s="299"/>
      <c r="BY8" s="299"/>
      <c r="BZ8" s="299"/>
      <c r="CA8" s="299"/>
      <c r="CB8" s="299"/>
      <c r="CC8" s="299"/>
      <c r="CD8" s="299"/>
      <c r="CE8" s="299"/>
      <c r="CF8" s="299"/>
      <c r="CG8" s="299"/>
      <c r="CH8" s="299"/>
      <c r="CI8" s="299"/>
      <c r="CJ8" s="299"/>
      <c r="CK8" s="299"/>
      <c r="CL8" s="299"/>
      <c r="CM8" s="299"/>
      <c r="CN8" s="299"/>
      <c r="CO8" s="299"/>
      <c r="CP8" s="299"/>
      <c r="CQ8" s="299"/>
      <c r="CR8" s="299"/>
      <c r="CS8" s="299"/>
      <c r="CT8" s="299"/>
      <c r="CU8" s="299"/>
      <c r="CV8" s="299"/>
      <c r="CW8" s="299"/>
      <c r="CX8" s="299"/>
      <c r="CY8" s="299"/>
      <c r="CZ8" s="299"/>
      <c r="DA8" s="299"/>
      <c r="DB8" s="299"/>
      <c r="DC8" s="299"/>
      <c r="DD8" s="299"/>
      <c r="DE8" s="299"/>
      <c r="DF8" s="299"/>
      <c r="DG8" s="299"/>
      <c r="DH8" s="299"/>
      <c r="DI8" s="299"/>
      <c r="DJ8" s="299"/>
      <c r="DK8" s="299"/>
      <c r="DL8" s="299"/>
      <c r="DM8" s="299"/>
      <c r="DN8" s="299"/>
      <c r="DO8" s="299"/>
      <c r="DP8" s="299"/>
      <c r="DQ8" s="299"/>
      <c r="DR8" s="299"/>
    </row>
    <row r="9" spans="2:122" s="298" customFormat="1" ht="29.25" customHeight="1" x14ac:dyDescent="0.35">
      <c r="B9" s="2510" t="s">
        <v>345</v>
      </c>
      <c r="C9" s="1975"/>
      <c r="D9" s="2513" t="s">
        <v>346</v>
      </c>
      <c r="E9" s="2514"/>
      <c r="F9" s="2501" t="s">
        <v>364</v>
      </c>
      <c r="G9" s="1866" t="s">
        <v>357</v>
      </c>
      <c r="H9" s="1866" t="s">
        <v>384</v>
      </c>
      <c r="I9" s="1866" t="s">
        <v>372</v>
      </c>
      <c r="J9" s="1866" t="s">
        <v>347</v>
      </c>
      <c r="K9" s="2506" t="s">
        <v>35</v>
      </c>
      <c r="L9" s="1866" t="s">
        <v>389</v>
      </c>
      <c r="M9" s="2508" t="s">
        <v>356</v>
      </c>
      <c r="N9" s="1933" t="s">
        <v>81</v>
      </c>
      <c r="O9" s="1934"/>
      <c r="P9" s="1866" t="s">
        <v>348</v>
      </c>
      <c r="Q9" s="2501" t="s">
        <v>352</v>
      </c>
      <c r="R9" s="2501" t="s">
        <v>351</v>
      </c>
      <c r="S9" s="2501" t="s">
        <v>349</v>
      </c>
      <c r="T9" s="2501" t="s">
        <v>106</v>
      </c>
      <c r="U9" s="2501" t="s">
        <v>359</v>
      </c>
      <c r="V9" s="2501" t="s">
        <v>350</v>
      </c>
      <c r="W9" s="2503"/>
      <c r="X9" s="299"/>
      <c r="Y9" s="299"/>
      <c r="AF9" s="299"/>
      <c r="AG9" s="299"/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/>
      <c r="AS9" s="299"/>
      <c r="AT9" s="299"/>
      <c r="AU9" s="299"/>
      <c r="AV9" s="299"/>
      <c r="AW9" s="299"/>
      <c r="AX9" s="299"/>
      <c r="AY9" s="299">
        <f>SUM(AW11:AZ11)</f>
        <v>0</v>
      </c>
      <c r="AZ9" s="299"/>
      <c r="BA9" s="299"/>
      <c r="BB9" s="299"/>
      <c r="BC9" s="299"/>
      <c r="BD9" s="299"/>
      <c r="BE9" s="299"/>
      <c r="BF9" s="299"/>
      <c r="BG9" s="299"/>
      <c r="BH9" s="299"/>
      <c r="BI9" s="299"/>
      <c r="BJ9" s="299"/>
      <c r="BK9" s="299"/>
      <c r="BL9" s="299"/>
      <c r="BM9" s="299"/>
      <c r="BN9" s="299"/>
      <c r="BO9" s="299"/>
      <c r="BP9" s="299"/>
      <c r="BQ9" s="299"/>
      <c r="BR9" s="299"/>
      <c r="BS9" s="299"/>
      <c r="BT9" s="299"/>
      <c r="BU9" s="299"/>
      <c r="BV9" s="299"/>
      <c r="BW9" s="299"/>
      <c r="BX9" s="299"/>
      <c r="BY9" s="299"/>
      <c r="BZ9" s="299"/>
      <c r="CA9" s="299"/>
      <c r="CB9" s="299"/>
      <c r="CC9" s="299"/>
      <c r="CD9" s="299"/>
      <c r="CE9" s="299"/>
      <c r="CF9" s="299"/>
      <c r="CG9" s="299"/>
      <c r="CH9" s="299"/>
      <c r="CI9" s="299"/>
      <c r="CJ9" s="299"/>
      <c r="CK9" s="299"/>
      <c r="CL9" s="299"/>
      <c r="CM9" s="299"/>
      <c r="CN9" s="299"/>
      <c r="CO9" s="299"/>
      <c r="CP9" s="299"/>
      <c r="CQ9" s="299"/>
      <c r="CR9" s="299"/>
      <c r="CS9" s="299"/>
      <c r="CT9" s="299"/>
      <c r="CU9" s="299"/>
      <c r="CV9" s="299"/>
      <c r="CW9" s="299"/>
      <c r="CX9" s="299"/>
      <c r="CY9" s="299"/>
      <c r="CZ9" s="299"/>
      <c r="DA9" s="299"/>
      <c r="DB9" s="299"/>
      <c r="DC9" s="299"/>
      <c r="DD9" s="299"/>
      <c r="DE9" s="299"/>
      <c r="DF9" s="299"/>
      <c r="DG9" s="299"/>
      <c r="DH9" s="299"/>
      <c r="DI9" s="299"/>
      <c r="DJ9" s="299"/>
      <c r="DK9" s="299"/>
      <c r="DL9" s="299"/>
      <c r="DM9" s="299"/>
      <c r="DN9" s="299"/>
      <c r="DO9" s="299"/>
      <c r="DP9" s="299"/>
      <c r="DQ9" s="299"/>
      <c r="DR9" s="299"/>
    </row>
    <row r="10" spans="2:122" s="298" customFormat="1" ht="24" customHeight="1" thickBot="1" x14ac:dyDescent="0.4">
      <c r="B10" s="2511"/>
      <c r="C10" s="2512"/>
      <c r="D10" s="2515"/>
      <c r="E10" s="2516"/>
      <c r="F10" s="2502"/>
      <c r="G10" s="2505"/>
      <c r="H10" s="2505"/>
      <c r="I10" s="2505"/>
      <c r="J10" s="2505"/>
      <c r="K10" s="2507"/>
      <c r="L10" s="2505"/>
      <c r="M10" s="2509"/>
      <c r="N10" s="1233" t="s">
        <v>28</v>
      </c>
      <c r="O10" s="1644" t="s">
        <v>29</v>
      </c>
      <c r="P10" s="2505"/>
      <c r="Q10" s="2502"/>
      <c r="R10" s="2502"/>
      <c r="S10" s="2502"/>
      <c r="T10" s="2502"/>
      <c r="U10" s="2502"/>
      <c r="V10" s="2502"/>
      <c r="W10" s="2504"/>
      <c r="X10" s="299"/>
      <c r="Y10" s="299"/>
      <c r="AF10" s="299"/>
      <c r="AG10" s="299"/>
      <c r="AH10" s="299"/>
      <c r="AI10" s="299" t="s">
        <v>386</v>
      </c>
      <c r="AJ10" s="299" t="s">
        <v>227</v>
      </c>
      <c r="AK10" s="299" t="s">
        <v>228</v>
      </c>
      <c r="AL10" s="299" t="s">
        <v>229</v>
      </c>
      <c r="AM10" s="299" t="s">
        <v>230</v>
      </c>
      <c r="AN10" s="299" t="s">
        <v>231</v>
      </c>
      <c r="AO10" s="299" t="s">
        <v>232</v>
      </c>
      <c r="AP10" s="299" t="s">
        <v>114</v>
      </c>
      <c r="AQ10" s="299" t="s">
        <v>358</v>
      </c>
      <c r="AR10" s="299" t="s">
        <v>59</v>
      </c>
      <c r="AS10" s="299" t="s">
        <v>369</v>
      </c>
      <c r="AT10" s="299" t="s">
        <v>106</v>
      </c>
      <c r="AU10" s="299" t="s">
        <v>82</v>
      </c>
      <c r="AV10" s="299" t="s">
        <v>405</v>
      </c>
      <c r="AW10" s="299" t="s">
        <v>353</v>
      </c>
      <c r="AX10" s="299" t="s">
        <v>355</v>
      </c>
      <c r="AY10" s="299" t="s">
        <v>371</v>
      </c>
      <c r="AZ10" s="299" t="s">
        <v>33</v>
      </c>
      <c r="BA10" s="299" t="s">
        <v>360</v>
      </c>
      <c r="BB10" s="299" t="s">
        <v>67</v>
      </c>
      <c r="BC10" s="299" t="s">
        <v>148</v>
      </c>
      <c r="BD10" s="299" t="s">
        <v>370</v>
      </c>
      <c r="BE10" s="299" t="s">
        <v>80</v>
      </c>
      <c r="BF10" s="299" t="s">
        <v>381</v>
      </c>
      <c r="BG10" s="299" t="s">
        <v>385</v>
      </c>
      <c r="BH10" s="299"/>
      <c r="BI10" s="299"/>
      <c r="BJ10" s="299"/>
      <c r="BK10" s="299"/>
      <c r="BL10" s="299"/>
      <c r="BM10" s="299" t="str">
        <f>B76</f>
        <v>SLIP FORMING</v>
      </c>
      <c r="BN10" s="299"/>
      <c r="BO10" s="299"/>
      <c r="BP10" s="299"/>
      <c r="BQ10" s="299"/>
      <c r="BR10" s="299"/>
      <c r="BS10" s="299"/>
      <c r="BT10" s="299"/>
      <c r="BU10" s="299"/>
      <c r="BV10" s="299"/>
      <c r="BW10" s="299"/>
      <c r="BX10" s="299"/>
      <c r="BY10" s="299"/>
      <c r="BZ10" s="299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299"/>
      <c r="CT10" s="299"/>
      <c r="CU10" s="299"/>
      <c r="CV10" s="299"/>
      <c r="CW10" s="299"/>
      <c r="CX10" s="299"/>
      <c r="CY10" s="299"/>
      <c r="CZ10" s="299"/>
      <c r="DA10" s="299"/>
      <c r="DB10" s="299"/>
      <c r="DC10" s="299"/>
      <c r="DD10" s="299"/>
      <c r="DE10" s="299"/>
      <c r="DF10" s="299"/>
      <c r="DG10" s="299"/>
      <c r="DH10" s="299"/>
      <c r="DI10" s="299"/>
      <c r="DJ10" s="299"/>
      <c r="DK10" s="299"/>
      <c r="DL10" s="299"/>
      <c r="DM10" s="299"/>
      <c r="DN10" s="299"/>
      <c r="DO10" s="299"/>
      <c r="DP10" s="299"/>
      <c r="DQ10" s="299"/>
    </row>
    <row r="11" spans="2:122" s="298" customFormat="1" ht="24" customHeight="1" x14ac:dyDescent="0.35">
      <c r="B11" s="2496"/>
      <c r="C11" s="2337"/>
      <c r="D11" s="2497"/>
      <c r="E11" s="2498"/>
      <c r="F11" s="1599"/>
      <c r="G11" s="1645"/>
      <c r="H11" s="1599"/>
      <c r="I11" s="1646"/>
      <c r="J11" s="1647"/>
      <c r="K11" s="813"/>
      <c r="L11" s="1648"/>
      <c r="M11" s="1649"/>
      <c r="N11" s="78"/>
      <c r="O11" s="1599"/>
      <c r="P11" s="1599"/>
      <c r="Q11" s="1282">
        <f t="shared" ref="Q11:Q27" si="0">D11*M11/324*(1+K$46)</f>
        <v>0</v>
      </c>
      <c r="R11" s="1650">
        <v>0</v>
      </c>
      <c r="S11" s="1651">
        <f>IF(O11=0,0,(O11/12+O11/12)/(O11/12*O11/12)*D11*((N11/16*N11/16)*10.6870159))*(1+K$43)+(J11*W$35)</f>
        <v>0</v>
      </c>
      <c r="T11" s="1652">
        <f>(D11*F11/324+J11/108+L11*1.5*0.18/27)*(1+K$40)</f>
        <v>0</v>
      </c>
      <c r="U11" s="1653">
        <f t="shared" ref="U11:U27" si="1">IF(D11=0,0,V11/D11)</f>
        <v>0</v>
      </c>
      <c r="V11" s="2499">
        <f>SUM(AT11:BG11)*(1+M$32+Summary!P$64)</f>
        <v>0</v>
      </c>
      <c r="W11" s="2500"/>
      <c r="X11" s="299"/>
      <c r="Y11" s="299"/>
      <c r="AF11" s="299"/>
      <c r="AG11" s="299"/>
      <c r="AH11" s="299"/>
      <c r="AI11" s="299">
        <f>IF(H11="y",D11,0)</f>
        <v>0</v>
      </c>
      <c r="AJ11" s="299">
        <f t="shared" ref="AJ11:AJ27" si="2">IF($K11=1,$T11,0)</f>
        <v>0</v>
      </c>
      <c r="AK11" s="299">
        <f t="shared" ref="AK11:AK27" si="3">IF($K11=2,$T11,0)</f>
        <v>0</v>
      </c>
      <c r="AL11" s="299">
        <f t="shared" ref="AL11:AL27" si="4">IF($K11=3,$T11,0)</f>
        <v>0</v>
      </c>
      <c r="AM11" s="299">
        <f t="shared" ref="AM11:AM27" si="5">IF($K11=4,$T11,0)</f>
        <v>0</v>
      </c>
      <c r="AN11" s="299">
        <f t="shared" ref="AN11:AN27" si="6">IF($K11=5,$T11,0)</f>
        <v>0</v>
      </c>
      <c r="AO11" s="299">
        <f t="shared" ref="AO11:AO27" si="7">IF($K11=6,$T11,0)</f>
        <v>0</v>
      </c>
      <c r="AP11" s="299">
        <f>SUM(AJ11:AO11)</f>
        <v>0</v>
      </c>
      <c r="AQ11" s="299">
        <f>IF(G11="N",D11,0)</f>
        <v>0</v>
      </c>
      <c r="AR11" s="299">
        <f t="shared" ref="AR11:AR27" si="8">IF(D11=0,0,IF(F11&lt;8,D11/N$70,0))</f>
        <v>0</v>
      </c>
      <c r="AS11" s="299">
        <f t="shared" ref="AS11:AS27" si="9">IF(D11=0,0,IF(F11&gt;8,D11/N$70,0))</f>
        <v>0</v>
      </c>
      <c r="AT11" s="299">
        <f>(AJ11*Pricing!F$2+AK11*Pricing!G$2+AL11*Pricing!H$2+AM11*Pricing!I$2+AN11*Pricing!J$2+AO11*Pricing!K$2)*IF(U$31="N",(1+W$31),1)</f>
        <v>0</v>
      </c>
      <c r="AU11" s="299">
        <f t="shared" ref="AU11:AU27" si="10">S11*G$43*IF(U$31="n",1+W$31,1)</f>
        <v>0</v>
      </c>
      <c r="AV11" s="299">
        <f t="shared" ref="AV11:AV27" si="11">IF(SUM(J$11:J$27)=0,0,O$54/SUM(J$11:J$27)*J11)</f>
        <v>0</v>
      </c>
      <c r="AW11" s="299">
        <f t="shared" ref="AW11:AW27" si="12">D11*SUM(E$50:F$52)</f>
        <v>0</v>
      </c>
      <c r="AX11" s="299"/>
      <c r="AY11" s="299">
        <f t="shared" ref="AY11:AY27" si="13">I11*E$75</f>
        <v>0</v>
      </c>
      <c r="AZ11" s="299">
        <f t="shared" ref="AZ11:AZ27" si="14">S11/2000*E$53</f>
        <v>0</v>
      </c>
      <c r="BA11" s="299">
        <f t="shared" ref="BA11:BA27" si="15">IF(D11=0,0,SUM(O$57:P$61)/D$28*D11)</f>
        <v>0</v>
      </c>
      <c r="BB11" s="299">
        <f t="shared" ref="BB11:BB27" si="16">IF(D11=0,0,SUM(W$40:W$78)/D$28*D11)</f>
        <v>0</v>
      </c>
      <c r="BC11" s="299">
        <f t="shared" ref="BC11:BC27" si="17">IF(D11=0,0,(SUM(O$63:P$68)-O$68)/D$28*D11)</f>
        <v>0</v>
      </c>
      <c r="BD11" s="510">
        <f t="shared" ref="BD11:BD27" si="18">IF(D11=0,0,(SUM(O$70:O$78)-O$75)/D$28)*D11</f>
        <v>0</v>
      </c>
      <c r="BE11" s="299">
        <f t="shared" ref="BE11:BE27" si="19">(Q11*G$46)*IF(U$31="N",1+W$31,1)+IF(D$28=0,0,(O$47/D$28*D11))</f>
        <v>0</v>
      </c>
      <c r="BF11" s="299">
        <f t="shared" ref="BF11:BF27" si="20">IF(BM11&gt;0,O$76/BM$29*BM11,0)</f>
        <v>0</v>
      </c>
      <c r="BG11" s="299">
        <f t="shared" ref="BG11:BG27" si="21">IF(H11="y",O$68/AI$28*D11,0)</f>
        <v>0</v>
      </c>
      <c r="BH11" s="299"/>
      <c r="BI11" s="299"/>
      <c r="BJ11" s="299"/>
      <c r="BK11" s="299"/>
      <c r="BL11" s="299"/>
      <c r="BM11" s="299">
        <f t="shared" ref="BM11:BM27" si="22">IF(G11="N",D11,0)</f>
        <v>0</v>
      </c>
      <c r="BN11" s="299"/>
      <c r="BO11" s="299"/>
      <c r="BP11" s="299"/>
      <c r="BQ11" s="299"/>
      <c r="BR11" s="299"/>
      <c r="BS11" s="299"/>
      <c r="BT11" s="299"/>
      <c r="BU11" s="299"/>
      <c r="BV11" s="299"/>
      <c r="BW11" s="299"/>
      <c r="BX11" s="299"/>
      <c r="BY11" s="299"/>
      <c r="BZ11" s="299"/>
      <c r="CA11" s="299"/>
      <c r="CB11" s="299"/>
      <c r="CC11" s="299"/>
      <c r="CD11" s="299"/>
      <c r="CE11" s="299"/>
      <c r="CF11" s="299"/>
      <c r="CG11" s="299"/>
      <c r="CH11" s="299"/>
      <c r="CI11" s="299"/>
      <c r="CJ11" s="299"/>
      <c r="CK11" s="299"/>
      <c r="CL11" s="299"/>
      <c r="CM11" s="299"/>
      <c r="CN11" s="299"/>
      <c r="CO11" s="299"/>
      <c r="CP11" s="299"/>
      <c r="CQ11" s="299"/>
      <c r="CR11" s="299"/>
      <c r="CS11" s="299"/>
      <c r="CT11" s="299"/>
      <c r="CU11" s="299"/>
      <c r="CV11" s="299"/>
      <c r="CW11" s="299"/>
      <c r="CX11" s="299"/>
      <c r="CY11" s="299"/>
      <c r="CZ11" s="299"/>
      <c r="DA11" s="299"/>
      <c r="DB11" s="299"/>
      <c r="DC11" s="299"/>
      <c r="DD11" s="299"/>
      <c r="DE11" s="299"/>
      <c r="DF11" s="299"/>
      <c r="DG11" s="299"/>
      <c r="DH11" s="299"/>
      <c r="DI11" s="299"/>
      <c r="DJ11" s="299"/>
      <c r="DK11" s="299"/>
      <c r="DL11" s="299"/>
      <c r="DM11" s="299"/>
      <c r="DN11" s="299"/>
      <c r="DO11" s="299"/>
      <c r="DP11" s="299"/>
      <c r="DQ11" s="299"/>
    </row>
    <row r="12" spans="2:122" s="298" customFormat="1" ht="24" customHeight="1" x14ac:dyDescent="0.35">
      <c r="B12" s="2259"/>
      <c r="C12" s="2260"/>
      <c r="D12" s="2493"/>
      <c r="E12" s="2487"/>
      <c r="F12" s="81"/>
      <c r="G12" s="462"/>
      <c r="H12" s="81"/>
      <c r="I12" s="611"/>
      <c r="J12" s="618"/>
      <c r="K12" s="728"/>
      <c r="L12" s="70"/>
      <c r="M12" s="463"/>
      <c r="N12" s="57"/>
      <c r="O12" s="81"/>
      <c r="P12" s="81"/>
      <c r="Q12" s="928">
        <f t="shared" si="0"/>
        <v>0</v>
      </c>
      <c r="R12" s="929">
        <v>0</v>
      </c>
      <c r="S12" s="930">
        <f>IF(O12=0,0,(O12/12+O12/12)/(O12/12*O12/12)*D12*((N12/16*N12/16)*10.6870159))*(1+K$43)+(J12*W$35)</f>
        <v>0</v>
      </c>
      <c r="T12" s="931">
        <f t="shared" ref="T12:T27" si="23">(D12*F12/324+J12/108+L12*1.5*0.18/27)*(1+K$40)</f>
        <v>0</v>
      </c>
      <c r="U12" s="935">
        <f t="shared" si="1"/>
        <v>0</v>
      </c>
      <c r="V12" s="2488">
        <f>SUM(AT12:BG12)*(1+M$32+Summary!P$64)</f>
        <v>0</v>
      </c>
      <c r="W12" s="2489"/>
      <c r="X12" s="299"/>
      <c r="Y12" s="299"/>
      <c r="AF12" s="299"/>
      <c r="AG12" s="299"/>
      <c r="AH12" s="299"/>
      <c r="AI12" s="299">
        <f t="shared" ref="AI12:AI27" si="24">IF(H12="y",D12,0)</f>
        <v>0</v>
      </c>
      <c r="AJ12" s="299">
        <f t="shared" si="2"/>
        <v>0</v>
      </c>
      <c r="AK12" s="299">
        <f t="shared" si="3"/>
        <v>0</v>
      </c>
      <c r="AL12" s="299">
        <f t="shared" si="4"/>
        <v>0</v>
      </c>
      <c r="AM12" s="299">
        <f t="shared" si="5"/>
        <v>0</v>
      </c>
      <c r="AN12" s="299">
        <f t="shared" si="6"/>
        <v>0</v>
      </c>
      <c r="AO12" s="299">
        <f t="shared" si="7"/>
        <v>0</v>
      </c>
      <c r="AP12" s="299">
        <f t="shared" ref="AP12:AP27" si="25">SUM(AJ12:AO12)</f>
        <v>0</v>
      </c>
      <c r="AQ12" s="299">
        <f t="shared" ref="AQ12:AQ27" si="26">IF(G12="N",D12,0)</f>
        <v>0</v>
      </c>
      <c r="AR12" s="299">
        <f t="shared" si="8"/>
        <v>0</v>
      </c>
      <c r="AS12" s="299">
        <f t="shared" si="9"/>
        <v>0</v>
      </c>
      <c r="AT12" s="299">
        <f>(AJ12*Pricing!F$2+AK12*Pricing!G$2+AL12*Pricing!H$2+AM12*Pricing!I$2+AN12*Pricing!J$2+AO12*Pricing!K$2)*IF(U$31="N",(1+W$31),1)</f>
        <v>0</v>
      </c>
      <c r="AU12" s="299">
        <f t="shared" si="10"/>
        <v>0</v>
      </c>
      <c r="AV12" s="299">
        <f t="shared" si="11"/>
        <v>0</v>
      </c>
      <c r="AW12" s="299">
        <f t="shared" si="12"/>
        <v>0</v>
      </c>
      <c r="AX12" s="299"/>
      <c r="AY12" s="299">
        <f t="shared" si="13"/>
        <v>0</v>
      </c>
      <c r="AZ12" s="299">
        <f t="shared" si="14"/>
        <v>0</v>
      </c>
      <c r="BA12" s="299">
        <f t="shared" si="15"/>
        <v>0</v>
      </c>
      <c r="BB12" s="299">
        <f t="shared" si="16"/>
        <v>0</v>
      </c>
      <c r="BC12" s="299">
        <f t="shared" si="17"/>
        <v>0</v>
      </c>
      <c r="BD12" s="510">
        <f t="shared" si="18"/>
        <v>0</v>
      </c>
      <c r="BE12" s="299">
        <f t="shared" si="19"/>
        <v>0</v>
      </c>
      <c r="BF12" s="299">
        <f t="shared" si="20"/>
        <v>0</v>
      </c>
      <c r="BG12" s="299">
        <f t="shared" si="21"/>
        <v>0</v>
      </c>
      <c r="BH12" s="299"/>
      <c r="BI12" s="299"/>
      <c r="BJ12" s="299"/>
      <c r="BK12" s="299"/>
      <c r="BL12" s="299"/>
      <c r="BM12" s="299">
        <f t="shared" si="22"/>
        <v>0</v>
      </c>
      <c r="BN12" s="299"/>
      <c r="BO12" s="299"/>
      <c r="BP12" s="299"/>
      <c r="BQ12" s="299"/>
      <c r="BR12" s="299"/>
      <c r="BS12" s="299"/>
      <c r="BT12" s="299"/>
      <c r="BU12" s="299"/>
      <c r="BV12" s="299"/>
      <c r="BW12" s="299"/>
      <c r="BX12" s="299"/>
      <c r="BY12" s="299"/>
      <c r="BZ12" s="299"/>
      <c r="CA12" s="299"/>
      <c r="CB12" s="299"/>
      <c r="CC12" s="299"/>
      <c r="CD12" s="299"/>
      <c r="CE12" s="299"/>
      <c r="CF12" s="299"/>
      <c r="CG12" s="299"/>
      <c r="CH12" s="299"/>
      <c r="CI12" s="299"/>
      <c r="CJ12" s="299"/>
      <c r="CK12" s="299"/>
      <c r="CL12" s="299"/>
      <c r="CM12" s="299"/>
      <c r="CN12" s="299"/>
      <c r="CO12" s="299"/>
      <c r="CP12" s="299"/>
      <c r="CQ12" s="299"/>
      <c r="CR12" s="299"/>
      <c r="CS12" s="299"/>
      <c r="CT12" s="299"/>
      <c r="CU12" s="299"/>
      <c r="CV12" s="299"/>
      <c r="CW12" s="299"/>
      <c r="CX12" s="299"/>
      <c r="CY12" s="299"/>
      <c r="CZ12" s="299"/>
      <c r="DA12" s="299"/>
      <c r="DB12" s="299"/>
      <c r="DC12" s="299"/>
      <c r="DD12" s="299"/>
      <c r="DE12" s="299"/>
      <c r="DF12" s="299"/>
      <c r="DG12" s="299"/>
      <c r="DH12" s="299"/>
      <c r="DI12" s="299"/>
      <c r="DJ12" s="299"/>
      <c r="DK12" s="299"/>
      <c r="DL12" s="299"/>
      <c r="DM12" s="299"/>
      <c r="DN12" s="299"/>
      <c r="DO12" s="299"/>
      <c r="DP12" s="299"/>
      <c r="DQ12" s="299"/>
    </row>
    <row r="13" spans="2:122" s="298" customFormat="1" ht="24" customHeight="1" x14ac:dyDescent="0.35">
      <c r="B13" s="2259"/>
      <c r="C13" s="2260"/>
      <c r="D13" s="2493"/>
      <c r="E13" s="2487"/>
      <c r="F13" s="81"/>
      <c r="G13" s="462"/>
      <c r="H13" s="81"/>
      <c r="I13" s="611"/>
      <c r="J13" s="618"/>
      <c r="K13" s="728"/>
      <c r="L13" s="70"/>
      <c r="M13" s="463"/>
      <c r="N13" s="57"/>
      <c r="O13" s="81"/>
      <c r="P13" s="81"/>
      <c r="Q13" s="928">
        <f t="shared" si="0"/>
        <v>0</v>
      </c>
      <c r="R13" s="929">
        <v>0</v>
      </c>
      <c r="S13" s="930">
        <f t="shared" ref="S13:S27" si="27">IF(O13=0,0,(O13/12+O13/12)/(O13/12*O13/12)*D13*((N13/16*N13/16)*10.6870159))*(1+K$43)+(J13*W$35)</f>
        <v>0</v>
      </c>
      <c r="T13" s="931">
        <f t="shared" si="23"/>
        <v>0</v>
      </c>
      <c r="U13" s="935">
        <f t="shared" si="1"/>
        <v>0</v>
      </c>
      <c r="V13" s="2488">
        <f>SUM(AT13:BG13)*(1+M$32+Summary!P$64)</f>
        <v>0</v>
      </c>
      <c r="W13" s="2489"/>
      <c r="X13" s="299"/>
      <c r="Y13" s="299"/>
      <c r="AF13" s="299"/>
      <c r="AG13" s="299"/>
      <c r="AH13" s="299"/>
      <c r="AI13" s="299">
        <f t="shared" si="24"/>
        <v>0</v>
      </c>
      <c r="AJ13" s="299">
        <f t="shared" si="2"/>
        <v>0</v>
      </c>
      <c r="AK13" s="299">
        <f t="shared" si="3"/>
        <v>0</v>
      </c>
      <c r="AL13" s="299">
        <f t="shared" si="4"/>
        <v>0</v>
      </c>
      <c r="AM13" s="299">
        <f t="shared" si="5"/>
        <v>0</v>
      </c>
      <c r="AN13" s="299">
        <f t="shared" si="6"/>
        <v>0</v>
      </c>
      <c r="AO13" s="299">
        <f t="shared" si="7"/>
        <v>0</v>
      </c>
      <c r="AP13" s="299">
        <f t="shared" si="25"/>
        <v>0</v>
      </c>
      <c r="AQ13" s="299">
        <f t="shared" si="26"/>
        <v>0</v>
      </c>
      <c r="AR13" s="299">
        <f t="shared" si="8"/>
        <v>0</v>
      </c>
      <c r="AS13" s="299">
        <f t="shared" si="9"/>
        <v>0</v>
      </c>
      <c r="AT13" s="299">
        <f>(AJ13*Pricing!F$2+AK13*Pricing!G$2+AL13*Pricing!H$2+AM13*Pricing!I$2+AN13*Pricing!J$2+AO13*Pricing!K$2)*IF(U$31="N",(1+W$31),1)</f>
        <v>0</v>
      </c>
      <c r="AU13" s="299">
        <f t="shared" si="10"/>
        <v>0</v>
      </c>
      <c r="AV13" s="299">
        <f t="shared" si="11"/>
        <v>0</v>
      </c>
      <c r="AW13" s="299">
        <f t="shared" si="12"/>
        <v>0</v>
      </c>
      <c r="AX13" s="299"/>
      <c r="AY13" s="299">
        <f t="shared" si="13"/>
        <v>0</v>
      </c>
      <c r="AZ13" s="299">
        <f t="shared" si="14"/>
        <v>0</v>
      </c>
      <c r="BA13" s="299">
        <f t="shared" si="15"/>
        <v>0</v>
      </c>
      <c r="BB13" s="299">
        <f t="shared" si="16"/>
        <v>0</v>
      </c>
      <c r="BC13" s="299">
        <f t="shared" si="17"/>
        <v>0</v>
      </c>
      <c r="BD13" s="510">
        <f t="shared" si="18"/>
        <v>0</v>
      </c>
      <c r="BE13" s="299">
        <f t="shared" si="19"/>
        <v>0</v>
      </c>
      <c r="BF13" s="299">
        <f t="shared" si="20"/>
        <v>0</v>
      </c>
      <c r="BG13" s="299">
        <f t="shared" si="21"/>
        <v>0</v>
      </c>
      <c r="BH13" s="299"/>
      <c r="BI13" s="299"/>
      <c r="BJ13" s="299"/>
      <c r="BK13" s="299"/>
      <c r="BL13" s="299"/>
      <c r="BM13" s="299">
        <f t="shared" si="22"/>
        <v>0</v>
      </c>
      <c r="BN13" s="299"/>
      <c r="BO13" s="299"/>
      <c r="BP13" s="299"/>
      <c r="BQ13" s="299"/>
      <c r="BR13" s="299"/>
      <c r="BS13" s="299"/>
      <c r="BT13" s="299"/>
      <c r="BU13" s="299"/>
      <c r="BV13" s="299"/>
      <c r="BW13" s="299"/>
      <c r="BX13" s="299"/>
      <c r="BY13" s="299"/>
      <c r="BZ13" s="299"/>
      <c r="CA13" s="299"/>
      <c r="CB13" s="299"/>
      <c r="CC13" s="299"/>
      <c r="CD13" s="299"/>
      <c r="CE13" s="299"/>
      <c r="CF13" s="299"/>
      <c r="CG13" s="299"/>
      <c r="CH13" s="299"/>
      <c r="CI13" s="299"/>
      <c r="CJ13" s="299"/>
      <c r="CK13" s="299"/>
      <c r="CL13" s="299"/>
      <c r="CM13" s="299"/>
      <c r="CN13" s="299"/>
      <c r="CO13" s="299"/>
      <c r="CP13" s="299"/>
      <c r="CQ13" s="299"/>
      <c r="CR13" s="299"/>
      <c r="CS13" s="299"/>
      <c r="CT13" s="299"/>
      <c r="CU13" s="299"/>
      <c r="CV13" s="299"/>
      <c r="CW13" s="299"/>
      <c r="CX13" s="299"/>
      <c r="CY13" s="299"/>
      <c r="CZ13" s="299"/>
      <c r="DA13" s="299"/>
      <c r="DB13" s="299"/>
      <c r="DC13" s="299"/>
      <c r="DD13" s="299"/>
      <c r="DE13" s="299"/>
      <c r="DF13" s="299"/>
      <c r="DG13" s="299"/>
      <c r="DH13" s="299"/>
      <c r="DI13" s="299"/>
      <c r="DJ13" s="299"/>
      <c r="DK13" s="299"/>
      <c r="DL13" s="299"/>
      <c r="DM13" s="299"/>
      <c r="DN13" s="299"/>
      <c r="DO13" s="299"/>
      <c r="DP13" s="299"/>
      <c r="DQ13" s="299"/>
    </row>
    <row r="14" spans="2:122" s="298" customFormat="1" ht="24" customHeight="1" x14ac:dyDescent="0.35">
      <c r="B14" s="2259"/>
      <c r="C14" s="2260"/>
      <c r="D14" s="2491"/>
      <c r="E14" s="2492"/>
      <c r="F14" s="81"/>
      <c r="G14" s="462"/>
      <c r="H14" s="81"/>
      <c r="I14" s="612"/>
      <c r="J14" s="618"/>
      <c r="K14" s="728"/>
      <c r="L14" s="70"/>
      <c r="M14" s="463"/>
      <c r="N14" s="57"/>
      <c r="O14" s="81"/>
      <c r="P14" s="81"/>
      <c r="Q14" s="928">
        <f t="shared" si="0"/>
        <v>0</v>
      </c>
      <c r="R14" s="929">
        <v>0</v>
      </c>
      <c r="S14" s="930">
        <f t="shared" si="27"/>
        <v>0</v>
      </c>
      <c r="T14" s="931">
        <f t="shared" si="23"/>
        <v>0</v>
      </c>
      <c r="U14" s="935">
        <f t="shared" si="1"/>
        <v>0</v>
      </c>
      <c r="V14" s="2495">
        <f>SUM(AT14:BG14)*(1+M$32+Summary!P$64)</f>
        <v>0</v>
      </c>
      <c r="W14" s="2489"/>
      <c r="X14" s="299"/>
      <c r="Y14" s="299"/>
      <c r="AF14" s="299"/>
      <c r="AG14" s="299"/>
      <c r="AH14" s="299"/>
      <c r="AI14" s="299">
        <f t="shared" si="24"/>
        <v>0</v>
      </c>
      <c r="AJ14" s="299">
        <f t="shared" si="2"/>
        <v>0</v>
      </c>
      <c r="AK14" s="299">
        <f t="shared" si="3"/>
        <v>0</v>
      </c>
      <c r="AL14" s="299">
        <f t="shared" si="4"/>
        <v>0</v>
      </c>
      <c r="AM14" s="299">
        <f t="shared" si="5"/>
        <v>0</v>
      </c>
      <c r="AN14" s="299">
        <f t="shared" si="6"/>
        <v>0</v>
      </c>
      <c r="AO14" s="299">
        <f t="shared" si="7"/>
        <v>0</v>
      </c>
      <c r="AP14" s="299">
        <f t="shared" si="25"/>
        <v>0</v>
      </c>
      <c r="AQ14" s="299">
        <f t="shared" si="26"/>
        <v>0</v>
      </c>
      <c r="AR14" s="299">
        <f t="shared" si="8"/>
        <v>0</v>
      </c>
      <c r="AS14" s="299">
        <f t="shared" si="9"/>
        <v>0</v>
      </c>
      <c r="AT14" s="299">
        <f>(AJ14*Pricing!F$2+AK14*Pricing!G$2+AL14*Pricing!H$2+AM14*Pricing!I$2+AN14*Pricing!J$2+AO14*Pricing!K$2)*IF(U$31="N",(1+W$31),1)</f>
        <v>0</v>
      </c>
      <c r="AU14" s="299">
        <f t="shared" si="10"/>
        <v>0</v>
      </c>
      <c r="AV14" s="299">
        <f t="shared" si="11"/>
        <v>0</v>
      </c>
      <c r="AW14" s="299">
        <f t="shared" si="12"/>
        <v>0</v>
      </c>
      <c r="AX14" s="299"/>
      <c r="AY14" s="299">
        <f t="shared" si="13"/>
        <v>0</v>
      </c>
      <c r="AZ14" s="299">
        <f t="shared" si="14"/>
        <v>0</v>
      </c>
      <c r="BA14" s="299">
        <f t="shared" si="15"/>
        <v>0</v>
      </c>
      <c r="BB14" s="299">
        <f t="shared" si="16"/>
        <v>0</v>
      </c>
      <c r="BC14" s="299">
        <f t="shared" si="17"/>
        <v>0</v>
      </c>
      <c r="BD14" s="510">
        <f t="shared" si="18"/>
        <v>0</v>
      </c>
      <c r="BE14" s="299">
        <f t="shared" si="19"/>
        <v>0</v>
      </c>
      <c r="BF14" s="299">
        <f t="shared" si="20"/>
        <v>0</v>
      </c>
      <c r="BG14" s="299">
        <f t="shared" si="21"/>
        <v>0</v>
      </c>
      <c r="BH14" s="299"/>
      <c r="BI14" s="299"/>
      <c r="BJ14" s="299"/>
      <c r="BK14" s="299"/>
      <c r="BL14" s="299"/>
      <c r="BM14" s="299">
        <f t="shared" si="22"/>
        <v>0</v>
      </c>
      <c r="BN14" s="299"/>
      <c r="BO14" s="299"/>
      <c r="BP14" s="299"/>
      <c r="BQ14" s="299"/>
      <c r="BR14" s="299"/>
      <c r="BS14" s="299"/>
      <c r="BT14" s="299"/>
      <c r="BU14" s="299"/>
      <c r="BV14" s="299"/>
      <c r="BW14" s="299"/>
      <c r="BX14" s="299"/>
      <c r="BY14" s="299"/>
      <c r="BZ14" s="299"/>
      <c r="CA14" s="299"/>
      <c r="CB14" s="299"/>
      <c r="CC14" s="299"/>
      <c r="CD14" s="299"/>
      <c r="CE14" s="299"/>
      <c r="CF14" s="299"/>
      <c r="CG14" s="299"/>
      <c r="CH14" s="299"/>
      <c r="CI14" s="299"/>
      <c r="CJ14" s="299"/>
      <c r="CK14" s="299"/>
      <c r="CL14" s="299"/>
      <c r="CM14" s="299"/>
      <c r="CN14" s="299"/>
      <c r="CO14" s="299"/>
      <c r="CP14" s="299"/>
      <c r="CQ14" s="299"/>
      <c r="CR14" s="299"/>
      <c r="CS14" s="299"/>
      <c r="CT14" s="299"/>
      <c r="CU14" s="299"/>
      <c r="CV14" s="299"/>
      <c r="CW14" s="299"/>
      <c r="CX14" s="299"/>
      <c r="CY14" s="299"/>
      <c r="CZ14" s="299"/>
      <c r="DA14" s="299"/>
      <c r="DB14" s="299"/>
      <c r="DC14" s="299"/>
      <c r="DD14" s="299"/>
      <c r="DE14" s="299"/>
      <c r="DF14" s="299"/>
      <c r="DG14" s="299"/>
      <c r="DH14" s="299"/>
      <c r="DI14" s="299"/>
      <c r="DJ14" s="299"/>
      <c r="DK14" s="299"/>
      <c r="DL14" s="299"/>
      <c r="DM14" s="299"/>
      <c r="DN14" s="299"/>
      <c r="DO14" s="299"/>
      <c r="DP14" s="299"/>
      <c r="DQ14" s="299"/>
    </row>
    <row r="15" spans="2:122" s="298" customFormat="1" ht="24" customHeight="1" x14ac:dyDescent="0.35">
      <c r="B15" s="2494"/>
      <c r="C15" s="2260"/>
      <c r="D15" s="2491"/>
      <c r="E15" s="2492"/>
      <c r="F15" s="81"/>
      <c r="G15" s="462"/>
      <c r="H15" s="81"/>
      <c r="I15" s="464"/>
      <c r="J15" s="618"/>
      <c r="K15" s="728"/>
      <c r="L15" s="70"/>
      <c r="M15" s="463"/>
      <c r="N15" s="57"/>
      <c r="O15" s="81"/>
      <c r="P15" s="81"/>
      <c r="Q15" s="928">
        <f t="shared" si="0"/>
        <v>0</v>
      </c>
      <c r="R15" s="929">
        <v>0</v>
      </c>
      <c r="S15" s="930">
        <f t="shared" si="27"/>
        <v>0</v>
      </c>
      <c r="T15" s="931">
        <f t="shared" si="23"/>
        <v>0</v>
      </c>
      <c r="U15" s="935">
        <f t="shared" si="1"/>
        <v>0</v>
      </c>
      <c r="V15" s="2488">
        <f>SUM(AT15:BG15)*(1+M$32+Summary!P$64)</f>
        <v>0</v>
      </c>
      <c r="W15" s="2489"/>
      <c r="X15" s="299"/>
      <c r="Y15" s="299"/>
      <c r="AF15" s="299"/>
      <c r="AG15" s="299"/>
      <c r="AH15" s="299"/>
      <c r="AI15" s="299">
        <f t="shared" si="24"/>
        <v>0</v>
      </c>
      <c r="AJ15" s="299">
        <f t="shared" si="2"/>
        <v>0</v>
      </c>
      <c r="AK15" s="299">
        <f t="shared" si="3"/>
        <v>0</v>
      </c>
      <c r="AL15" s="299">
        <f t="shared" si="4"/>
        <v>0</v>
      </c>
      <c r="AM15" s="299">
        <f t="shared" si="5"/>
        <v>0</v>
      </c>
      <c r="AN15" s="299">
        <f t="shared" si="6"/>
        <v>0</v>
      </c>
      <c r="AO15" s="299">
        <f t="shared" si="7"/>
        <v>0</v>
      </c>
      <c r="AP15" s="299">
        <f t="shared" si="25"/>
        <v>0</v>
      </c>
      <c r="AQ15" s="299">
        <f t="shared" si="26"/>
        <v>0</v>
      </c>
      <c r="AR15" s="299">
        <f t="shared" si="8"/>
        <v>0</v>
      </c>
      <c r="AS15" s="299">
        <f t="shared" si="9"/>
        <v>0</v>
      </c>
      <c r="AT15" s="299">
        <f>(AJ15*Pricing!F$2+AK15*Pricing!G$2+AL15*Pricing!H$2+AM15*Pricing!I$2+AN15*Pricing!J$2+AO15*Pricing!K$2)*IF(U$31="N",(1+W$31),1)</f>
        <v>0</v>
      </c>
      <c r="AU15" s="299">
        <f t="shared" si="10"/>
        <v>0</v>
      </c>
      <c r="AV15" s="299">
        <f t="shared" si="11"/>
        <v>0</v>
      </c>
      <c r="AW15" s="299">
        <f t="shared" si="12"/>
        <v>0</v>
      </c>
      <c r="AX15" s="299"/>
      <c r="AY15" s="299">
        <f t="shared" si="13"/>
        <v>0</v>
      </c>
      <c r="AZ15" s="299">
        <f t="shared" si="14"/>
        <v>0</v>
      </c>
      <c r="BA15" s="299">
        <f t="shared" si="15"/>
        <v>0</v>
      </c>
      <c r="BB15" s="299">
        <f t="shared" si="16"/>
        <v>0</v>
      </c>
      <c r="BC15" s="299">
        <f t="shared" si="17"/>
        <v>0</v>
      </c>
      <c r="BD15" s="510">
        <f t="shared" si="18"/>
        <v>0</v>
      </c>
      <c r="BE15" s="299">
        <f t="shared" si="19"/>
        <v>0</v>
      </c>
      <c r="BF15" s="299">
        <f t="shared" si="20"/>
        <v>0</v>
      </c>
      <c r="BG15" s="299">
        <f t="shared" si="21"/>
        <v>0</v>
      </c>
      <c r="BH15" s="299"/>
      <c r="BI15" s="299"/>
      <c r="BJ15" s="299"/>
      <c r="BK15" s="299"/>
      <c r="BL15" s="299"/>
      <c r="BM15" s="299">
        <f t="shared" si="22"/>
        <v>0</v>
      </c>
      <c r="BN15" s="299"/>
      <c r="BO15" s="299"/>
      <c r="BP15" s="299"/>
      <c r="BQ15" s="299"/>
      <c r="BR15" s="299"/>
      <c r="BS15" s="299"/>
      <c r="BT15" s="299"/>
      <c r="BU15" s="299"/>
      <c r="BV15" s="299"/>
      <c r="BW15" s="299"/>
      <c r="BX15" s="299"/>
      <c r="BY15" s="299"/>
      <c r="BZ15" s="299"/>
      <c r="CA15" s="299"/>
      <c r="CB15" s="299"/>
      <c r="CC15" s="299"/>
      <c r="CD15" s="299"/>
      <c r="CE15" s="299"/>
      <c r="CF15" s="299"/>
      <c r="CG15" s="299"/>
      <c r="CH15" s="299"/>
      <c r="CI15" s="299"/>
      <c r="CJ15" s="299"/>
      <c r="CK15" s="299"/>
      <c r="CL15" s="299"/>
      <c r="CM15" s="299"/>
      <c r="CN15" s="299"/>
      <c r="CO15" s="299"/>
      <c r="CP15" s="299"/>
      <c r="CQ15" s="299"/>
      <c r="CR15" s="299"/>
      <c r="CS15" s="299"/>
      <c r="CT15" s="299"/>
      <c r="CU15" s="299"/>
      <c r="CV15" s="299"/>
      <c r="CW15" s="299"/>
      <c r="CX15" s="299"/>
      <c r="CY15" s="299"/>
      <c r="CZ15" s="299"/>
      <c r="DA15" s="299"/>
      <c r="DB15" s="299"/>
      <c r="DC15" s="299"/>
      <c r="DD15" s="299"/>
      <c r="DE15" s="299"/>
      <c r="DF15" s="299"/>
      <c r="DG15" s="299"/>
      <c r="DH15" s="299"/>
      <c r="DI15" s="299"/>
      <c r="DJ15" s="299"/>
      <c r="DK15" s="299"/>
      <c r="DL15" s="299"/>
      <c r="DM15" s="299"/>
      <c r="DN15" s="299"/>
      <c r="DO15" s="299"/>
      <c r="DP15" s="299"/>
      <c r="DQ15" s="299"/>
    </row>
    <row r="16" spans="2:122" s="298" customFormat="1" ht="24" customHeight="1" x14ac:dyDescent="0.35">
      <c r="B16" s="2490"/>
      <c r="C16" s="2260"/>
      <c r="D16" s="2491"/>
      <c r="E16" s="2492"/>
      <c r="F16" s="81"/>
      <c r="G16" s="462"/>
      <c r="H16" s="81"/>
      <c r="I16" s="464"/>
      <c r="J16" s="618"/>
      <c r="K16" s="728"/>
      <c r="L16" s="70"/>
      <c r="M16" s="463"/>
      <c r="N16" s="57"/>
      <c r="O16" s="81"/>
      <c r="P16" s="81"/>
      <c r="Q16" s="928">
        <f t="shared" si="0"/>
        <v>0</v>
      </c>
      <c r="R16" s="929">
        <v>0</v>
      </c>
      <c r="S16" s="930">
        <f t="shared" si="27"/>
        <v>0</v>
      </c>
      <c r="T16" s="931">
        <f t="shared" si="23"/>
        <v>0</v>
      </c>
      <c r="U16" s="935">
        <f t="shared" si="1"/>
        <v>0</v>
      </c>
      <c r="V16" s="2488">
        <f>SUM(AT16:BG16)*(1+M$32+Summary!P$64)</f>
        <v>0</v>
      </c>
      <c r="W16" s="2489"/>
      <c r="X16" s="299"/>
      <c r="Y16" s="299"/>
      <c r="AF16" s="299"/>
      <c r="AG16" s="299"/>
      <c r="AH16" s="299"/>
      <c r="AI16" s="299">
        <f t="shared" si="24"/>
        <v>0</v>
      </c>
      <c r="AJ16" s="299">
        <f t="shared" si="2"/>
        <v>0</v>
      </c>
      <c r="AK16" s="299">
        <f t="shared" si="3"/>
        <v>0</v>
      </c>
      <c r="AL16" s="299">
        <f t="shared" si="4"/>
        <v>0</v>
      </c>
      <c r="AM16" s="299">
        <f t="shared" si="5"/>
        <v>0</v>
      </c>
      <c r="AN16" s="299">
        <f t="shared" si="6"/>
        <v>0</v>
      </c>
      <c r="AO16" s="299">
        <f t="shared" si="7"/>
        <v>0</v>
      </c>
      <c r="AP16" s="299">
        <f t="shared" si="25"/>
        <v>0</v>
      </c>
      <c r="AQ16" s="299">
        <f t="shared" si="26"/>
        <v>0</v>
      </c>
      <c r="AR16" s="299">
        <f t="shared" si="8"/>
        <v>0</v>
      </c>
      <c r="AS16" s="299">
        <f t="shared" si="9"/>
        <v>0</v>
      </c>
      <c r="AT16" s="299">
        <f>(AJ16*Pricing!F$2+AK16*Pricing!G$2+AL16*Pricing!H$2+AM16*Pricing!I$2+AN16*Pricing!J$2+AO16*Pricing!K$2)*IF(U$31="N",(1+W$31),1)</f>
        <v>0</v>
      </c>
      <c r="AU16" s="299">
        <f t="shared" si="10"/>
        <v>0</v>
      </c>
      <c r="AV16" s="299">
        <f t="shared" si="11"/>
        <v>0</v>
      </c>
      <c r="AW16" s="299">
        <f t="shared" si="12"/>
        <v>0</v>
      </c>
      <c r="AX16" s="299"/>
      <c r="AY16" s="299">
        <f t="shared" si="13"/>
        <v>0</v>
      </c>
      <c r="AZ16" s="299">
        <f t="shared" si="14"/>
        <v>0</v>
      </c>
      <c r="BA16" s="299">
        <f t="shared" si="15"/>
        <v>0</v>
      </c>
      <c r="BB16" s="299">
        <f t="shared" si="16"/>
        <v>0</v>
      </c>
      <c r="BC16" s="299">
        <f t="shared" si="17"/>
        <v>0</v>
      </c>
      <c r="BD16" s="510">
        <f t="shared" si="18"/>
        <v>0</v>
      </c>
      <c r="BE16" s="299">
        <f t="shared" si="19"/>
        <v>0</v>
      </c>
      <c r="BF16" s="299">
        <f t="shared" si="20"/>
        <v>0</v>
      </c>
      <c r="BG16" s="299">
        <f t="shared" si="21"/>
        <v>0</v>
      </c>
      <c r="BH16" s="299"/>
      <c r="BI16" s="299"/>
      <c r="BJ16" s="299"/>
      <c r="BK16" s="299"/>
      <c r="BL16" s="299"/>
      <c r="BM16" s="299">
        <f t="shared" si="22"/>
        <v>0</v>
      </c>
      <c r="BN16" s="299"/>
      <c r="BO16" s="299"/>
      <c r="BP16" s="299"/>
      <c r="BQ16" s="299"/>
      <c r="BR16" s="299"/>
      <c r="BS16" s="299"/>
      <c r="BT16" s="299"/>
      <c r="BU16" s="299"/>
      <c r="BV16" s="299"/>
      <c r="BW16" s="299"/>
      <c r="BX16" s="299"/>
      <c r="BY16" s="299"/>
      <c r="BZ16" s="299"/>
      <c r="CA16" s="299"/>
      <c r="CB16" s="299"/>
      <c r="CC16" s="299"/>
      <c r="CD16" s="299"/>
      <c r="CE16" s="299"/>
      <c r="CF16" s="299"/>
      <c r="CG16" s="299"/>
      <c r="CH16" s="299"/>
      <c r="CI16" s="299"/>
      <c r="CJ16" s="299"/>
      <c r="CK16" s="299"/>
      <c r="CL16" s="299"/>
      <c r="CM16" s="299"/>
      <c r="CN16" s="299"/>
      <c r="CO16" s="299"/>
      <c r="CP16" s="299"/>
      <c r="CQ16" s="299"/>
      <c r="CR16" s="299"/>
      <c r="CS16" s="299"/>
      <c r="CT16" s="299"/>
      <c r="CU16" s="299"/>
      <c r="CV16" s="299"/>
      <c r="CW16" s="299"/>
      <c r="CX16" s="299"/>
      <c r="CY16" s="299"/>
      <c r="CZ16" s="299"/>
      <c r="DA16" s="299"/>
      <c r="DB16" s="299"/>
      <c r="DC16" s="299"/>
      <c r="DD16" s="299"/>
      <c r="DE16" s="299"/>
      <c r="DF16" s="299"/>
      <c r="DG16" s="299"/>
      <c r="DH16" s="299"/>
      <c r="DI16" s="299"/>
      <c r="DJ16" s="299"/>
      <c r="DK16" s="299"/>
      <c r="DL16" s="299"/>
      <c r="DM16" s="299"/>
      <c r="DN16" s="299"/>
      <c r="DO16" s="299"/>
      <c r="DP16" s="299"/>
      <c r="DQ16" s="299"/>
    </row>
    <row r="17" spans="2:122" s="298" customFormat="1" ht="24" customHeight="1" x14ac:dyDescent="0.35">
      <c r="B17" s="2494"/>
      <c r="C17" s="2260"/>
      <c r="D17" s="2491"/>
      <c r="E17" s="2492"/>
      <c r="F17" s="81"/>
      <c r="G17" s="462"/>
      <c r="H17" s="81"/>
      <c r="I17" s="464"/>
      <c r="J17" s="618"/>
      <c r="K17" s="728"/>
      <c r="L17" s="70"/>
      <c r="M17" s="463"/>
      <c r="N17" s="57"/>
      <c r="O17" s="81"/>
      <c r="P17" s="81"/>
      <c r="Q17" s="928">
        <f t="shared" si="0"/>
        <v>0</v>
      </c>
      <c r="R17" s="929">
        <v>0</v>
      </c>
      <c r="S17" s="930">
        <f t="shared" si="27"/>
        <v>0</v>
      </c>
      <c r="T17" s="931">
        <f t="shared" si="23"/>
        <v>0</v>
      </c>
      <c r="U17" s="935">
        <f t="shared" si="1"/>
        <v>0</v>
      </c>
      <c r="V17" s="2488">
        <f>SUM(AT17:BG17)*(1+M$32+Summary!P$64)</f>
        <v>0</v>
      </c>
      <c r="W17" s="2489"/>
      <c r="X17" s="299"/>
      <c r="Y17" s="299"/>
      <c r="AF17" s="299"/>
      <c r="AG17" s="299"/>
      <c r="AH17" s="299"/>
      <c r="AI17" s="299">
        <f t="shared" si="24"/>
        <v>0</v>
      </c>
      <c r="AJ17" s="299">
        <f t="shared" si="2"/>
        <v>0</v>
      </c>
      <c r="AK17" s="299">
        <f t="shared" si="3"/>
        <v>0</v>
      </c>
      <c r="AL17" s="299">
        <f t="shared" si="4"/>
        <v>0</v>
      </c>
      <c r="AM17" s="299">
        <f t="shared" si="5"/>
        <v>0</v>
      </c>
      <c r="AN17" s="299">
        <f t="shared" si="6"/>
        <v>0</v>
      </c>
      <c r="AO17" s="299">
        <f t="shared" si="7"/>
        <v>0</v>
      </c>
      <c r="AP17" s="299">
        <f t="shared" si="25"/>
        <v>0</v>
      </c>
      <c r="AQ17" s="299">
        <f t="shared" si="26"/>
        <v>0</v>
      </c>
      <c r="AR17" s="299">
        <f t="shared" si="8"/>
        <v>0</v>
      </c>
      <c r="AS17" s="299">
        <f t="shared" si="9"/>
        <v>0</v>
      </c>
      <c r="AT17" s="299">
        <f>(AJ17*Pricing!F$2+AK17*Pricing!G$2+AL17*Pricing!H$2+AM17*Pricing!I$2+AN17*Pricing!J$2+AO17*Pricing!K$2)*IF(U$31="N",(1+W$31),1)</f>
        <v>0</v>
      </c>
      <c r="AU17" s="299">
        <f t="shared" si="10"/>
        <v>0</v>
      </c>
      <c r="AV17" s="299">
        <f t="shared" si="11"/>
        <v>0</v>
      </c>
      <c r="AW17" s="299">
        <f t="shared" si="12"/>
        <v>0</v>
      </c>
      <c r="AX17" s="299"/>
      <c r="AY17" s="299">
        <f t="shared" si="13"/>
        <v>0</v>
      </c>
      <c r="AZ17" s="299">
        <f t="shared" si="14"/>
        <v>0</v>
      </c>
      <c r="BA17" s="299">
        <f t="shared" si="15"/>
        <v>0</v>
      </c>
      <c r="BB17" s="299">
        <f t="shared" si="16"/>
        <v>0</v>
      </c>
      <c r="BC17" s="299">
        <f t="shared" si="17"/>
        <v>0</v>
      </c>
      <c r="BD17" s="510">
        <f t="shared" si="18"/>
        <v>0</v>
      </c>
      <c r="BE17" s="299">
        <f t="shared" si="19"/>
        <v>0</v>
      </c>
      <c r="BF17" s="299">
        <f t="shared" si="20"/>
        <v>0</v>
      </c>
      <c r="BG17" s="299">
        <f t="shared" si="21"/>
        <v>0</v>
      </c>
      <c r="BH17" s="299"/>
      <c r="BI17" s="299"/>
      <c r="BJ17" s="299"/>
      <c r="BK17" s="299"/>
      <c r="BL17" s="299"/>
      <c r="BM17" s="299">
        <f t="shared" si="22"/>
        <v>0</v>
      </c>
      <c r="BN17" s="299"/>
      <c r="BO17" s="299"/>
      <c r="BP17" s="299"/>
      <c r="BQ17" s="299"/>
      <c r="BR17" s="299"/>
      <c r="BS17" s="299"/>
      <c r="BT17" s="299"/>
      <c r="BU17" s="299"/>
      <c r="BV17" s="299"/>
      <c r="BW17" s="299"/>
      <c r="BX17" s="299"/>
      <c r="BY17" s="299"/>
      <c r="BZ17" s="299"/>
      <c r="CA17" s="299"/>
      <c r="CB17" s="299"/>
      <c r="CC17" s="299"/>
      <c r="CD17" s="299"/>
      <c r="CE17" s="299"/>
      <c r="CF17" s="299"/>
      <c r="CG17" s="299"/>
      <c r="CH17" s="299"/>
      <c r="CI17" s="299"/>
      <c r="CJ17" s="299"/>
      <c r="CK17" s="299"/>
      <c r="CL17" s="299"/>
      <c r="CM17" s="299"/>
      <c r="CN17" s="299"/>
      <c r="CO17" s="299"/>
      <c r="CP17" s="299"/>
      <c r="CQ17" s="299"/>
      <c r="CR17" s="299"/>
      <c r="CS17" s="299"/>
      <c r="CT17" s="299"/>
      <c r="CU17" s="299"/>
      <c r="CV17" s="299"/>
      <c r="CW17" s="299"/>
      <c r="CX17" s="299"/>
      <c r="CY17" s="299"/>
      <c r="CZ17" s="299"/>
      <c r="DA17" s="299"/>
      <c r="DB17" s="299"/>
      <c r="DC17" s="299"/>
      <c r="DD17" s="299"/>
      <c r="DE17" s="299"/>
      <c r="DF17" s="299"/>
      <c r="DG17" s="299"/>
      <c r="DH17" s="299"/>
      <c r="DI17" s="299"/>
      <c r="DJ17" s="299"/>
      <c r="DK17" s="299"/>
      <c r="DL17" s="299"/>
      <c r="DM17" s="299"/>
      <c r="DN17" s="299"/>
      <c r="DO17" s="299"/>
      <c r="DP17" s="299"/>
      <c r="DQ17" s="299"/>
    </row>
    <row r="18" spans="2:122" s="298" customFormat="1" ht="24" customHeight="1" x14ac:dyDescent="0.35">
      <c r="B18" s="2259"/>
      <c r="C18" s="2260"/>
      <c r="D18" s="2491"/>
      <c r="E18" s="2492"/>
      <c r="F18" s="81"/>
      <c r="G18" s="462"/>
      <c r="H18" s="81"/>
      <c r="I18" s="464"/>
      <c r="J18" s="618"/>
      <c r="K18" s="728"/>
      <c r="L18" s="70"/>
      <c r="M18" s="463"/>
      <c r="N18" s="57"/>
      <c r="O18" s="81"/>
      <c r="P18" s="81"/>
      <c r="Q18" s="928">
        <f t="shared" si="0"/>
        <v>0</v>
      </c>
      <c r="R18" s="929">
        <v>0</v>
      </c>
      <c r="S18" s="930">
        <f t="shared" si="27"/>
        <v>0</v>
      </c>
      <c r="T18" s="931">
        <f t="shared" si="23"/>
        <v>0</v>
      </c>
      <c r="U18" s="935">
        <f t="shared" si="1"/>
        <v>0</v>
      </c>
      <c r="V18" s="2488">
        <f>SUM(AT18:BG18)*(1+M$32+Summary!P$64)</f>
        <v>0</v>
      </c>
      <c r="W18" s="2489"/>
      <c r="X18" s="299"/>
      <c r="Y18" s="299"/>
      <c r="AF18" s="299"/>
      <c r="AG18" s="299"/>
      <c r="AH18" s="299"/>
      <c r="AI18" s="299">
        <f t="shared" si="24"/>
        <v>0</v>
      </c>
      <c r="AJ18" s="299">
        <f t="shared" si="2"/>
        <v>0</v>
      </c>
      <c r="AK18" s="299">
        <f t="shared" si="3"/>
        <v>0</v>
      </c>
      <c r="AL18" s="299">
        <f t="shared" si="4"/>
        <v>0</v>
      </c>
      <c r="AM18" s="299">
        <f t="shared" si="5"/>
        <v>0</v>
      </c>
      <c r="AN18" s="299">
        <f t="shared" si="6"/>
        <v>0</v>
      </c>
      <c r="AO18" s="299">
        <f t="shared" si="7"/>
        <v>0</v>
      </c>
      <c r="AP18" s="299">
        <f t="shared" si="25"/>
        <v>0</v>
      </c>
      <c r="AQ18" s="299">
        <f t="shared" si="26"/>
        <v>0</v>
      </c>
      <c r="AR18" s="299">
        <f t="shared" si="8"/>
        <v>0</v>
      </c>
      <c r="AS18" s="299">
        <f t="shared" si="9"/>
        <v>0</v>
      </c>
      <c r="AT18" s="299">
        <f>(AJ18*Pricing!F$2+AK18*Pricing!G$2+AL18*Pricing!H$2+AM18*Pricing!I$2+AN18*Pricing!J$2+AO18*Pricing!K$2)*IF(U$31="N",(1+W$31),1)</f>
        <v>0</v>
      </c>
      <c r="AU18" s="299">
        <f t="shared" si="10"/>
        <v>0</v>
      </c>
      <c r="AV18" s="299">
        <f t="shared" si="11"/>
        <v>0</v>
      </c>
      <c r="AW18" s="299">
        <f t="shared" si="12"/>
        <v>0</v>
      </c>
      <c r="AX18" s="299"/>
      <c r="AY18" s="299">
        <f t="shared" si="13"/>
        <v>0</v>
      </c>
      <c r="AZ18" s="299">
        <f t="shared" si="14"/>
        <v>0</v>
      </c>
      <c r="BA18" s="299">
        <f t="shared" si="15"/>
        <v>0</v>
      </c>
      <c r="BB18" s="299">
        <f t="shared" si="16"/>
        <v>0</v>
      </c>
      <c r="BC18" s="299">
        <f t="shared" si="17"/>
        <v>0</v>
      </c>
      <c r="BD18" s="510">
        <f t="shared" si="18"/>
        <v>0</v>
      </c>
      <c r="BE18" s="299">
        <f t="shared" si="19"/>
        <v>0</v>
      </c>
      <c r="BF18" s="299">
        <f t="shared" si="20"/>
        <v>0</v>
      </c>
      <c r="BG18" s="299">
        <f t="shared" si="21"/>
        <v>0</v>
      </c>
      <c r="BH18" s="299"/>
      <c r="BI18" s="299"/>
      <c r="BJ18" s="299"/>
      <c r="BK18" s="299"/>
      <c r="BL18" s="299"/>
      <c r="BM18" s="299">
        <f t="shared" si="22"/>
        <v>0</v>
      </c>
      <c r="BN18" s="299"/>
      <c r="BO18" s="299"/>
      <c r="BP18" s="299"/>
      <c r="BQ18" s="299"/>
      <c r="BR18" s="299"/>
      <c r="BS18" s="299"/>
      <c r="BT18" s="299"/>
      <c r="BU18" s="299"/>
      <c r="BV18" s="299"/>
      <c r="BW18" s="299"/>
      <c r="BX18" s="299"/>
      <c r="BY18" s="299"/>
      <c r="BZ18" s="299"/>
      <c r="CA18" s="299"/>
      <c r="CB18" s="299"/>
      <c r="CC18" s="299"/>
      <c r="CD18" s="299"/>
      <c r="CE18" s="299"/>
      <c r="CF18" s="299"/>
      <c r="CG18" s="299"/>
      <c r="CH18" s="299"/>
      <c r="CI18" s="299"/>
      <c r="CJ18" s="299"/>
      <c r="CK18" s="299"/>
      <c r="CL18" s="299"/>
      <c r="CM18" s="299"/>
      <c r="CN18" s="299"/>
      <c r="CO18" s="299"/>
      <c r="CP18" s="299"/>
      <c r="CQ18" s="299"/>
      <c r="CR18" s="299"/>
      <c r="CS18" s="299"/>
      <c r="CT18" s="299"/>
      <c r="CU18" s="299"/>
      <c r="CV18" s="299"/>
      <c r="CW18" s="299"/>
      <c r="CX18" s="299"/>
      <c r="CY18" s="299"/>
      <c r="CZ18" s="299"/>
      <c r="DA18" s="299"/>
      <c r="DB18" s="299"/>
      <c r="DC18" s="299"/>
      <c r="DD18" s="299"/>
      <c r="DE18" s="299"/>
      <c r="DF18" s="299"/>
      <c r="DG18" s="299"/>
      <c r="DH18" s="299"/>
      <c r="DI18" s="299"/>
      <c r="DJ18" s="299"/>
      <c r="DK18" s="299"/>
      <c r="DL18" s="299"/>
      <c r="DM18" s="299"/>
      <c r="DN18" s="299"/>
      <c r="DO18" s="299"/>
      <c r="DP18" s="299"/>
      <c r="DQ18" s="299"/>
    </row>
    <row r="19" spans="2:122" s="298" customFormat="1" ht="24" customHeight="1" x14ac:dyDescent="0.35">
      <c r="B19" s="2490"/>
      <c r="C19" s="2260"/>
      <c r="D19" s="2491"/>
      <c r="E19" s="2492"/>
      <c r="F19" s="81"/>
      <c r="G19" s="462"/>
      <c r="H19" s="81"/>
      <c r="I19" s="464"/>
      <c r="J19" s="618"/>
      <c r="K19" s="728"/>
      <c r="L19" s="70"/>
      <c r="M19" s="463"/>
      <c r="N19" s="57"/>
      <c r="O19" s="81"/>
      <c r="P19" s="81"/>
      <c r="Q19" s="928">
        <f t="shared" si="0"/>
        <v>0</v>
      </c>
      <c r="R19" s="929">
        <v>0</v>
      </c>
      <c r="S19" s="930">
        <f t="shared" si="27"/>
        <v>0</v>
      </c>
      <c r="T19" s="931">
        <f t="shared" si="23"/>
        <v>0</v>
      </c>
      <c r="U19" s="935">
        <f t="shared" si="1"/>
        <v>0</v>
      </c>
      <c r="V19" s="2488">
        <f>SUM(AT19:BG19)*(1+M$32+Summary!P$64)</f>
        <v>0</v>
      </c>
      <c r="W19" s="2489"/>
      <c r="X19" s="299"/>
      <c r="Y19" s="299"/>
      <c r="AF19" s="299"/>
      <c r="AG19" s="299"/>
      <c r="AH19" s="299"/>
      <c r="AI19" s="299">
        <f t="shared" si="24"/>
        <v>0</v>
      </c>
      <c r="AJ19" s="299">
        <f t="shared" si="2"/>
        <v>0</v>
      </c>
      <c r="AK19" s="299">
        <f t="shared" si="3"/>
        <v>0</v>
      </c>
      <c r="AL19" s="299">
        <f t="shared" si="4"/>
        <v>0</v>
      </c>
      <c r="AM19" s="299">
        <f t="shared" si="5"/>
        <v>0</v>
      </c>
      <c r="AN19" s="299">
        <f t="shared" si="6"/>
        <v>0</v>
      </c>
      <c r="AO19" s="299">
        <f t="shared" si="7"/>
        <v>0</v>
      </c>
      <c r="AP19" s="299">
        <f t="shared" si="25"/>
        <v>0</v>
      </c>
      <c r="AQ19" s="299">
        <f t="shared" si="26"/>
        <v>0</v>
      </c>
      <c r="AR19" s="299">
        <f t="shared" si="8"/>
        <v>0</v>
      </c>
      <c r="AS19" s="299">
        <f t="shared" si="9"/>
        <v>0</v>
      </c>
      <c r="AT19" s="299">
        <f>(AJ19*Pricing!F$2+AK19*Pricing!G$2+AL19*Pricing!H$2+AM19*Pricing!I$2+AN19*Pricing!J$2+AO19*Pricing!K$2)*IF(U$31="N",(1+W$31),1)</f>
        <v>0</v>
      </c>
      <c r="AU19" s="299">
        <f t="shared" si="10"/>
        <v>0</v>
      </c>
      <c r="AV19" s="299">
        <f t="shared" si="11"/>
        <v>0</v>
      </c>
      <c r="AW19" s="299">
        <f t="shared" si="12"/>
        <v>0</v>
      </c>
      <c r="AX19" s="299"/>
      <c r="AY19" s="299">
        <f t="shared" si="13"/>
        <v>0</v>
      </c>
      <c r="AZ19" s="299">
        <f t="shared" si="14"/>
        <v>0</v>
      </c>
      <c r="BA19" s="299">
        <f t="shared" si="15"/>
        <v>0</v>
      </c>
      <c r="BB19" s="299">
        <f t="shared" si="16"/>
        <v>0</v>
      </c>
      <c r="BC19" s="299">
        <f t="shared" si="17"/>
        <v>0</v>
      </c>
      <c r="BD19" s="510">
        <f t="shared" si="18"/>
        <v>0</v>
      </c>
      <c r="BE19" s="299">
        <f t="shared" si="19"/>
        <v>0</v>
      </c>
      <c r="BF19" s="299">
        <f t="shared" si="20"/>
        <v>0</v>
      </c>
      <c r="BG19" s="299">
        <f t="shared" si="21"/>
        <v>0</v>
      </c>
      <c r="BH19" s="299"/>
      <c r="BI19" s="299"/>
      <c r="BJ19" s="299"/>
      <c r="BK19" s="299"/>
      <c r="BL19" s="299"/>
      <c r="BM19" s="299">
        <f t="shared" si="22"/>
        <v>0</v>
      </c>
      <c r="BN19" s="299"/>
      <c r="BO19" s="299"/>
      <c r="BP19" s="299"/>
      <c r="BQ19" s="299"/>
      <c r="BR19" s="299"/>
      <c r="BS19" s="299"/>
      <c r="BT19" s="299"/>
      <c r="BU19" s="299"/>
      <c r="BV19" s="299"/>
      <c r="BW19" s="299"/>
      <c r="BX19" s="299"/>
      <c r="BY19" s="299"/>
      <c r="BZ19" s="299"/>
      <c r="CA19" s="299"/>
      <c r="CB19" s="299"/>
      <c r="CC19" s="299"/>
      <c r="CD19" s="299"/>
      <c r="CE19" s="299"/>
      <c r="CF19" s="299"/>
      <c r="CG19" s="299"/>
      <c r="CH19" s="299"/>
      <c r="CI19" s="299"/>
      <c r="CJ19" s="299"/>
      <c r="CK19" s="299"/>
      <c r="CL19" s="299"/>
      <c r="CM19" s="299"/>
      <c r="CN19" s="299"/>
      <c r="CO19" s="299"/>
      <c r="CP19" s="299"/>
      <c r="CQ19" s="299"/>
      <c r="CR19" s="299"/>
      <c r="CS19" s="299"/>
      <c r="CT19" s="299"/>
      <c r="CU19" s="299"/>
      <c r="CV19" s="299"/>
      <c r="CW19" s="299"/>
      <c r="CX19" s="299"/>
      <c r="CY19" s="299"/>
      <c r="CZ19" s="299"/>
      <c r="DA19" s="299"/>
      <c r="DB19" s="299"/>
      <c r="DC19" s="299"/>
      <c r="DD19" s="299"/>
      <c r="DE19" s="299"/>
      <c r="DF19" s="299"/>
      <c r="DG19" s="299"/>
      <c r="DH19" s="299"/>
      <c r="DI19" s="299"/>
      <c r="DJ19" s="299"/>
      <c r="DK19" s="299"/>
      <c r="DL19" s="299"/>
      <c r="DM19" s="299"/>
      <c r="DN19" s="299"/>
      <c r="DO19" s="299"/>
      <c r="DP19" s="299"/>
      <c r="DQ19" s="299"/>
    </row>
    <row r="20" spans="2:122" s="298" customFormat="1" ht="24" customHeight="1" x14ac:dyDescent="0.35">
      <c r="B20" s="2259"/>
      <c r="C20" s="2260"/>
      <c r="D20" s="2493"/>
      <c r="E20" s="2487"/>
      <c r="F20" s="81"/>
      <c r="G20" s="462"/>
      <c r="H20" s="81"/>
      <c r="I20" s="464"/>
      <c r="J20" s="618"/>
      <c r="K20" s="728"/>
      <c r="L20" s="70"/>
      <c r="M20" s="463"/>
      <c r="N20" s="57"/>
      <c r="O20" s="81"/>
      <c r="P20" s="81"/>
      <c r="Q20" s="928">
        <f t="shared" si="0"/>
        <v>0</v>
      </c>
      <c r="R20" s="929">
        <v>0</v>
      </c>
      <c r="S20" s="930">
        <f t="shared" si="27"/>
        <v>0</v>
      </c>
      <c r="T20" s="931">
        <f t="shared" si="23"/>
        <v>0</v>
      </c>
      <c r="U20" s="935">
        <f t="shared" si="1"/>
        <v>0</v>
      </c>
      <c r="V20" s="2488">
        <f>SUM(AT20:BG20)*(1+M$32+Summary!P$64)</f>
        <v>0</v>
      </c>
      <c r="W20" s="2489"/>
      <c r="X20" s="299"/>
      <c r="Y20" s="299"/>
      <c r="AF20" s="299"/>
      <c r="AG20" s="299"/>
      <c r="AH20" s="299"/>
      <c r="AI20" s="299">
        <f t="shared" si="24"/>
        <v>0</v>
      </c>
      <c r="AJ20" s="299">
        <f t="shared" si="2"/>
        <v>0</v>
      </c>
      <c r="AK20" s="299">
        <f t="shared" si="3"/>
        <v>0</v>
      </c>
      <c r="AL20" s="299">
        <f t="shared" si="4"/>
        <v>0</v>
      </c>
      <c r="AM20" s="299">
        <f t="shared" si="5"/>
        <v>0</v>
      </c>
      <c r="AN20" s="299">
        <f t="shared" si="6"/>
        <v>0</v>
      </c>
      <c r="AO20" s="299">
        <f t="shared" si="7"/>
        <v>0</v>
      </c>
      <c r="AP20" s="299">
        <f t="shared" si="25"/>
        <v>0</v>
      </c>
      <c r="AQ20" s="299">
        <f t="shared" si="26"/>
        <v>0</v>
      </c>
      <c r="AR20" s="299">
        <f t="shared" si="8"/>
        <v>0</v>
      </c>
      <c r="AS20" s="299">
        <f t="shared" si="9"/>
        <v>0</v>
      </c>
      <c r="AT20" s="299">
        <f>(AJ20*Pricing!F$2+AK20*Pricing!G$2+AL20*Pricing!H$2+AM20*Pricing!I$2+AN20*Pricing!J$2+AO20*Pricing!K$2)*IF(U$31="N",(1+W$31),1)</f>
        <v>0</v>
      </c>
      <c r="AU20" s="299">
        <f t="shared" si="10"/>
        <v>0</v>
      </c>
      <c r="AV20" s="299">
        <f t="shared" si="11"/>
        <v>0</v>
      </c>
      <c r="AW20" s="299">
        <f t="shared" si="12"/>
        <v>0</v>
      </c>
      <c r="AX20" s="299"/>
      <c r="AY20" s="299">
        <f t="shared" si="13"/>
        <v>0</v>
      </c>
      <c r="AZ20" s="299">
        <f t="shared" si="14"/>
        <v>0</v>
      </c>
      <c r="BA20" s="299">
        <f t="shared" si="15"/>
        <v>0</v>
      </c>
      <c r="BB20" s="299">
        <f t="shared" si="16"/>
        <v>0</v>
      </c>
      <c r="BC20" s="299">
        <f t="shared" si="17"/>
        <v>0</v>
      </c>
      <c r="BD20" s="510">
        <f t="shared" si="18"/>
        <v>0</v>
      </c>
      <c r="BE20" s="299">
        <f t="shared" si="19"/>
        <v>0</v>
      </c>
      <c r="BF20" s="299">
        <f t="shared" si="20"/>
        <v>0</v>
      </c>
      <c r="BG20" s="299">
        <f t="shared" si="21"/>
        <v>0</v>
      </c>
      <c r="BH20" s="299"/>
      <c r="BI20" s="299"/>
      <c r="BJ20" s="299"/>
      <c r="BK20" s="299"/>
      <c r="BL20" s="299"/>
      <c r="BM20" s="299">
        <f t="shared" si="22"/>
        <v>0</v>
      </c>
      <c r="BN20" s="299"/>
      <c r="BO20" s="299"/>
      <c r="BP20" s="299"/>
      <c r="BQ20" s="299"/>
      <c r="BR20" s="299"/>
      <c r="BS20" s="299"/>
      <c r="BT20" s="299"/>
      <c r="BU20" s="299"/>
      <c r="BV20" s="299"/>
      <c r="BW20" s="299"/>
      <c r="BX20" s="299"/>
      <c r="BY20" s="299"/>
      <c r="BZ20" s="299"/>
      <c r="CA20" s="299"/>
      <c r="CB20" s="299"/>
      <c r="CC20" s="299"/>
      <c r="CD20" s="299"/>
      <c r="CE20" s="299"/>
      <c r="CF20" s="299"/>
      <c r="CG20" s="299"/>
      <c r="CH20" s="299"/>
      <c r="CI20" s="299"/>
      <c r="CJ20" s="299"/>
      <c r="CK20" s="299"/>
      <c r="CL20" s="299"/>
      <c r="CM20" s="299"/>
      <c r="CN20" s="299"/>
      <c r="CO20" s="299"/>
      <c r="CP20" s="299"/>
      <c r="CQ20" s="299"/>
      <c r="CR20" s="299"/>
      <c r="CS20" s="299"/>
      <c r="CT20" s="299"/>
      <c r="CU20" s="299"/>
      <c r="CV20" s="299"/>
      <c r="CW20" s="299"/>
      <c r="CX20" s="299"/>
      <c r="CY20" s="299"/>
      <c r="CZ20" s="299"/>
      <c r="DA20" s="299"/>
      <c r="DB20" s="299"/>
      <c r="DC20" s="299"/>
      <c r="DD20" s="299"/>
      <c r="DE20" s="299"/>
      <c r="DF20" s="299"/>
      <c r="DG20" s="299"/>
      <c r="DH20" s="299"/>
      <c r="DI20" s="299"/>
      <c r="DJ20" s="299"/>
      <c r="DK20" s="299"/>
      <c r="DL20" s="299"/>
      <c r="DM20" s="299"/>
      <c r="DN20" s="299"/>
      <c r="DO20" s="299"/>
      <c r="DP20" s="299"/>
      <c r="DQ20" s="299"/>
    </row>
    <row r="21" spans="2:122" s="298" customFormat="1" ht="24" customHeight="1" x14ac:dyDescent="0.35">
      <c r="B21" s="2490"/>
      <c r="C21" s="2260"/>
      <c r="D21" s="2486"/>
      <c r="E21" s="2487"/>
      <c r="F21" s="81"/>
      <c r="G21" s="462"/>
      <c r="H21" s="81"/>
      <c r="I21" s="464"/>
      <c r="J21" s="618"/>
      <c r="K21" s="728"/>
      <c r="L21" s="70"/>
      <c r="M21" s="463"/>
      <c r="N21" s="57"/>
      <c r="O21" s="81"/>
      <c r="P21" s="81"/>
      <c r="Q21" s="928">
        <f t="shared" si="0"/>
        <v>0</v>
      </c>
      <c r="R21" s="929">
        <v>0</v>
      </c>
      <c r="S21" s="930">
        <f t="shared" si="27"/>
        <v>0</v>
      </c>
      <c r="T21" s="931">
        <f t="shared" si="23"/>
        <v>0</v>
      </c>
      <c r="U21" s="935">
        <f t="shared" si="1"/>
        <v>0</v>
      </c>
      <c r="V21" s="2488">
        <f>SUM(AT21:BG21)*(1+M$32+Summary!P$64)</f>
        <v>0</v>
      </c>
      <c r="W21" s="2489"/>
      <c r="X21" s="299"/>
      <c r="Y21" s="299"/>
      <c r="AF21" s="299"/>
      <c r="AG21" s="299"/>
      <c r="AH21" s="299"/>
      <c r="AI21" s="299">
        <f t="shared" si="24"/>
        <v>0</v>
      </c>
      <c r="AJ21" s="299">
        <f t="shared" si="2"/>
        <v>0</v>
      </c>
      <c r="AK21" s="299">
        <f t="shared" si="3"/>
        <v>0</v>
      </c>
      <c r="AL21" s="299">
        <f t="shared" si="4"/>
        <v>0</v>
      </c>
      <c r="AM21" s="299">
        <f t="shared" si="5"/>
        <v>0</v>
      </c>
      <c r="AN21" s="299">
        <f t="shared" si="6"/>
        <v>0</v>
      </c>
      <c r="AO21" s="299">
        <f t="shared" si="7"/>
        <v>0</v>
      </c>
      <c r="AP21" s="299">
        <f t="shared" si="25"/>
        <v>0</v>
      </c>
      <c r="AQ21" s="299">
        <f t="shared" si="26"/>
        <v>0</v>
      </c>
      <c r="AR21" s="299">
        <f t="shared" si="8"/>
        <v>0</v>
      </c>
      <c r="AS21" s="299">
        <f t="shared" si="9"/>
        <v>0</v>
      </c>
      <c r="AT21" s="299">
        <f>(AJ21*Pricing!F$2+AK21*Pricing!G$2+AL21*Pricing!H$2+AM21*Pricing!I$2+AN21*Pricing!J$2+AO21*Pricing!K$2)*IF(U$31="N",(1+W$31),1)</f>
        <v>0</v>
      </c>
      <c r="AU21" s="299">
        <f t="shared" si="10"/>
        <v>0</v>
      </c>
      <c r="AV21" s="299">
        <f t="shared" si="11"/>
        <v>0</v>
      </c>
      <c r="AW21" s="299">
        <f t="shared" si="12"/>
        <v>0</v>
      </c>
      <c r="AX21" s="299"/>
      <c r="AY21" s="299">
        <f t="shared" si="13"/>
        <v>0</v>
      </c>
      <c r="AZ21" s="299">
        <f t="shared" si="14"/>
        <v>0</v>
      </c>
      <c r="BA21" s="299">
        <f t="shared" si="15"/>
        <v>0</v>
      </c>
      <c r="BB21" s="299">
        <f t="shared" si="16"/>
        <v>0</v>
      </c>
      <c r="BC21" s="299">
        <f t="shared" si="17"/>
        <v>0</v>
      </c>
      <c r="BD21" s="510">
        <f t="shared" si="18"/>
        <v>0</v>
      </c>
      <c r="BE21" s="299">
        <f t="shared" si="19"/>
        <v>0</v>
      </c>
      <c r="BF21" s="299">
        <f t="shared" si="20"/>
        <v>0</v>
      </c>
      <c r="BG21" s="299">
        <f t="shared" si="21"/>
        <v>0</v>
      </c>
      <c r="BH21" s="299"/>
      <c r="BI21" s="299"/>
      <c r="BJ21" s="299"/>
      <c r="BK21" s="299"/>
      <c r="BL21" s="299"/>
      <c r="BM21" s="299">
        <f t="shared" si="22"/>
        <v>0</v>
      </c>
      <c r="BN21" s="299"/>
      <c r="BO21" s="299"/>
      <c r="BP21" s="299"/>
      <c r="BQ21" s="299"/>
      <c r="BR21" s="299"/>
      <c r="BS21" s="299"/>
      <c r="BT21" s="299"/>
      <c r="BU21" s="299"/>
      <c r="BV21" s="299"/>
      <c r="BW21" s="299"/>
      <c r="BX21" s="299"/>
      <c r="BY21" s="299"/>
      <c r="BZ21" s="299"/>
      <c r="CA21" s="299"/>
      <c r="CB21" s="299"/>
      <c r="CC21" s="299"/>
      <c r="CD21" s="299"/>
      <c r="CE21" s="299"/>
      <c r="CF21" s="299"/>
      <c r="CG21" s="299"/>
      <c r="CH21" s="299"/>
      <c r="CI21" s="299"/>
      <c r="CJ21" s="299"/>
      <c r="CK21" s="299"/>
      <c r="CL21" s="299"/>
      <c r="CM21" s="299"/>
      <c r="CN21" s="299"/>
      <c r="CO21" s="299"/>
      <c r="CP21" s="299"/>
      <c r="CQ21" s="299"/>
      <c r="CR21" s="299"/>
      <c r="CS21" s="299"/>
      <c r="CT21" s="299"/>
      <c r="CU21" s="299"/>
      <c r="CV21" s="299"/>
      <c r="CW21" s="299"/>
      <c r="CX21" s="299"/>
      <c r="CY21" s="299"/>
      <c r="CZ21" s="299"/>
      <c r="DA21" s="299"/>
      <c r="DB21" s="299"/>
      <c r="DC21" s="299"/>
      <c r="DD21" s="299"/>
      <c r="DE21" s="299"/>
      <c r="DF21" s="299"/>
      <c r="DG21" s="299"/>
      <c r="DH21" s="299"/>
      <c r="DI21" s="299"/>
      <c r="DJ21" s="299"/>
      <c r="DK21" s="299"/>
      <c r="DL21" s="299"/>
      <c r="DM21" s="299"/>
      <c r="DN21" s="299"/>
      <c r="DO21" s="299"/>
      <c r="DP21" s="299"/>
      <c r="DQ21" s="299"/>
    </row>
    <row r="22" spans="2:122" s="298" customFormat="1" ht="24" customHeight="1" x14ac:dyDescent="0.35">
      <c r="B22" s="2259"/>
      <c r="C22" s="2260"/>
      <c r="D22" s="2486"/>
      <c r="E22" s="2487"/>
      <c r="F22" s="81"/>
      <c r="G22" s="462"/>
      <c r="H22" s="81"/>
      <c r="I22" s="464"/>
      <c r="J22" s="618"/>
      <c r="K22" s="728"/>
      <c r="L22" s="70"/>
      <c r="M22" s="463"/>
      <c r="N22" s="57"/>
      <c r="O22" s="81"/>
      <c r="P22" s="81"/>
      <c r="Q22" s="928">
        <f t="shared" si="0"/>
        <v>0</v>
      </c>
      <c r="R22" s="929">
        <v>0</v>
      </c>
      <c r="S22" s="930">
        <f t="shared" si="27"/>
        <v>0</v>
      </c>
      <c r="T22" s="931">
        <f t="shared" si="23"/>
        <v>0</v>
      </c>
      <c r="U22" s="935">
        <f t="shared" si="1"/>
        <v>0</v>
      </c>
      <c r="V22" s="2488">
        <f>SUM(AT22:BG22)*(1+M$32+Summary!P$64)</f>
        <v>0</v>
      </c>
      <c r="W22" s="2489"/>
      <c r="X22" s="299"/>
      <c r="Y22" s="299"/>
      <c r="AF22" s="299"/>
      <c r="AG22" s="299"/>
      <c r="AH22" s="299"/>
      <c r="AI22" s="299">
        <f t="shared" si="24"/>
        <v>0</v>
      </c>
      <c r="AJ22" s="299">
        <f t="shared" si="2"/>
        <v>0</v>
      </c>
      <c r="AK22" s="299">
        <f t="shared" si="3"/>
        <v>0</v>
      </c>
      <c r="AL22" s="299">
        <f t="shared" si="4"/>
        <v>0</v>
      </c>
      <c r="AM22" s="299">
        <f t="shared" si="5"/>
        <v>0</v>
      </c>
      <c r="AN22" s="299">
        <f t="shared" si="6"/>
        <v>0</v>
      </c>
      <c r="AO22" s="299">
        <f t="shared" si="7"/>
        <v>0</v>
      </c>
      <c r="AP22" s="299">
        <f t="shared" si="25"/>
        <v>0</v>
      </c>
      <c r="AQ22" s="299">
        <f t="shared" si="26"/>
        <v>0</v>
      </c>
      <c r="AR22" s="299">
        <f t="shared" si="8"/>
        <v>0</v>
      </c>
      <c r="AS22" s="299">
        <f t="shared" si="9"/>
        <v>0</v>
      </c>
      <c r="AT22" s="299">
        <f>(AJ22*Pricing!F$2+AK22*Pricing!G$2+AL22*Pricing!H$2+AM22*Pricing!I$2+AN22*Pricing!J$2+AO22*Pricing!K$2)*IF(U$31="N",(1+W$31),1)</f>
        <v>0</v>
      </c>
      <c r="AU22" s="299">
        <f t="shared" si="10"/>
        <v>0</v>
      </c>
      <c r="AV22" s="299">
        <f t="shared" si="11"/>
        <v>0</v>
      </c>
      <c r="AW22" s="299">
        <f t="shared" si="12"/>
        <v>0</v>
      </c>
      <c r="AX22" s="299"/>
      <c r="AY22" s="299">
        <f t="shared" si="13"/>
        <v>0</v>
      </c>
      <c r="AZ22" s="299">
        <f t="shared" si="14"/>
        <v>0</v>
      </c>
      <c r="BA22" s="299">
        <f t="shared" si="15"/>
        <v>0</v>
      </c>
      <c r="BB22" s="299">
        <f t="shared" si="16"/>
        <v>0</v>
      </c>
      <c r="BC22" s="299">
        <f t="shared" si="17"/>
        <v>0</v>
      </c>
      <c r="BD22" s="510">
        <f t="shared" si="18"/>
        <v>0</v>
      </c>
      <c r="BE22" s="299">
        <f t="shared" si="19"/>
        <v>0</v>
      </c>
      <c r="BF22" s="299">
        <f t="shared" si="20"/>
        <v>0</v>
      </c>
      <c r="BG22" s="299">
        <f t="shared" si="21"/>
        <v>0</v>
      </c>
      <c r="BH22" s="299"/>
      <c r="BI22" s="299"/>
      <c r="BJ22" s="299"/>
      <c r="BK22" s="299"/>
      <c r="BL22" s="299"/>
      <c r="BM22" s="299">
        <f t="shared" si="22"/>
        <v>0</v>
      </c>
      <c r="BN22" s="299"/>
      <c r="BO22" s="299"/>
      <c r="BP22" s="299"/>
      <c r="BQ22" s="299"/>
      <c r="BR22" s="299"/>
      <c r="BS22" s="299"/>
      <c r="BT22" s="299"/>
      <c r="BU22" s="299"/>
      <c r="BV22" s="299"/>
      <c r="BW22" s="299"/>
      <c r="BX22" s="299"/>
      <c r="BY22" s="299"/>
      <c r="BZ22" s="299"/>
      <c r="CA22" s="299"/>
      <c r="CB22" s="299"/>
      <c r="CC22" s="299"/>
      <c r="CD22" s="299"/>
      <c r="CE22" s="299"/>
      <c r="CF22" s="299"/>
      <c r="CG22" s="299"/>
      <c r="CH22" s="299"/>
      <c r="CI22" s="299"/>
      <c r="CJ22" s="299"/>
      <c r="CK22" s="299"/>
      <c r="CL22" s="299"/>
      <c r="CM22" s="299"/>
      <c r="CN22" s="299"/>
      <c r="CO22" s="299"/>
      <c r="CP22" s="299"/>
      <c r="CQ22" s="299"/>
      <c r="CR22" s="299"/>
      <c r="CS22" s="299"/>
      <c r="CT22" s="299"/>
      <c r="CU22" s="299"/>
      <c r="CV22" s="299"/>
      <c r="CW22" s="299"/>
      <c r="CX22" s="299"/>
      <c r="CY22" s="299"/>
      <c r="CZ22" s="299"/>
      <c r="DA22" s="299"/>
      <c r="DB22" s="299"/>
      <c r="DC22" s="299"/>
      <c r="DD22" s="299"/>
      <c r="DE22" s="299"/>
      <c r="DF22" s="299"/>
      <c r="DG22" s="299"/>
      <c r="DH22" s="299"/>
      <c r="DI22" s="299"/>
      <c r="DJ22" s="299"/>
      <c r="DK22" s="299"/>
      <c r="DL22" s="299"/>
      <c r="DM22" s="299"/>
      <c r="DN22" s="299"/>
      <c r="DO22" s="299"/>
      <c r="DP22" s="299"/>
      <c r="DQ22" s="299"/>
    </row>
    <row r="23" spans="2:122" s="298" customFormat="1" ht="24" customHeight="1" x14ac:dyDescent="0.35">
      <c r="B23" s="2259"/>
      <c r="C23" s="2260"/>
      <c r="D23" s="2486"/>
      <c r="E23" s="2487"/>
      <c r="F23" s="81"/>
      <c r="G23" s="462"/>
      <c r="H23" s="81"/>
      <c r="I23" s="464"/>
      <c r="J23" s="618"/>
      <c r="K23" s="728"/>
      <c r="L23" s="70"/>
      <c r="M23" s="463"/>
      <c r="N23" s="57"/>
      <c r="O23" s="81"/>
      <c r="P23" s="81"/>
      <c r="Q23" s="928">
        <f t="shared" si="0"/>
        <v>0</v>
      </c>
      <c r="R23" s="929">
        <v>0</v>
      </c>
      <c r="S23" s="930">
        <f t="shared" si="27"/>
        <v>0</v>
      </c>
      <c r="T23" s="931">
        <f t="shared" si="23"/>
        <v>0</v>
      </c>
      <c r="U23" s="935">
        <f t="shared" si="1"/>
        <v>0</v>
      </c>
      <c r="V23" s="2488">
        <f>SUM(AT23:BG23)*(1+M$32+Summary!P$64)</f>
        <v>0</v>
      </c>
      <c r="W23" s="2489"/>
      <c r="X23" s="299"/>
      <c r="Y23" s="299"/>
      <c r="AF23" s="299"/>
      <c r="AG23" s="299"/>
      <c r="AH23" s="299"/>
      <c r="AI23" s="299">
        <f t="shared" si="24"/>
        <v>0</v>
      </c>
      <c r="AJ23" s="299">
        <f t="shared" si="2"/>
        <v>0</v>
      </c>
      <c r="AK23" s="299">
        <f t="shared" si="3"/>
        <v>0</v>
      </c>
      <c r="AL23" s="299">
        <f t="shared" si="4"/>
        <v>0</v>
      </c>
      <c r="AM23" s="299">
        <f t="shared" si="5"/>
        <v>0</v>
      </c>
      <c r="AN23" s="299">
        <f t="shared" si="6"/>
        <v>0</v>
      </c>
      <c r="AO23" s="299">
        <f t="shared" si="7"/>
        <v>0</v>
      </c>
      <c r="AP23" s="299">
        <f t="shared" si="25"/>
        <v>0</v>
      </c>
      <c r="AQ23" s="299">
        <f t="shared" si="26"/>
        <v>0</v>
      </c>
      <c r="AR23" s="299">
        <f t="shared" si="8"/>
        <v>0</v>
      </c>
      <c r="AS23" s="299">
        <f t="shared" si="9"/>
        <v>0</v>
      </c>
      <c r="AT23" s="299">
        <f>(AJ23*Pricing!F$2+AK23*Pricing!G$2+AL23*Pricing!H$2+AM23*Pricing!I$2+AN23*Pricing!J$2+AO23*Pricing!K$2)*IF(U$31="N",(1+W$31),1)</f>
        <v>0</v>
      </c>
      <c r="AU23" s="299">
        <f t="shared" si="10"/>
        <v>0</v>
      </c>
      <c r="AV23" s="299">
        <f t="shared" si="11"/>
        <v>0</v>
      </c>
      <c r="AW23" s="299">
        <f t="shared" si="12"/>
        <v>0</v>
      </c>
      <c r="AX23" s="299"/>
      <c r="AY23" s="299">
        <f t="shared" si="13"/>
        <v>0</v>
      </c>
      <c r="AZ23" s="299">
        <f t="shared" si="14"/>
        <v>0</v>
      </c>
      <c r="BA23" s="299">
        <f t="shared" si="15"/>
        <v>0</v>
      </c>
      <c r="BB23" s="299">
        <f t="shared" si="16"/>
        <v>0</v>
      </c>
      <c r="BC23" s="299">
        <f t="shared" si="17"/>
        <v>0</v>
      </c>
      <c r="BD23" s="510">
        <f t="shared" si="18"/>
        <v>0</v>
      </c>
      <c r="BE23" s="299">
        <f t="shared" si="19"/>
        <v>0</v>
      </c>
      <c r="BF23" s="299">
        <f t="shared" si="20"/>
        <v>0</v>
      </c>
      <c r="BG23" s="299">
        <f t="shared" si="21"/>
        <v>0</v>
      </c>
      <c r="BH23" s="299"/>
      <c r="BI23" s="299"/>
      <c r="BJ23" s="299"/>
      <c r="BK23" s="299"/>
      <c r="BL23" s="299"/>
      <c r="BM23" s="299">
        <f t="shared" si="22"/>
        <v>0</v>
      </c>
      <c r="BN23" s="299"/>
      <c r="BO23" s="299"/>
      <c r="BP23" s="299"/>
      <c r="BQ23" s="299"/>
      <c r="BR23" s="299"/>
      <c r="BS23" s="299"/>
      <c r="BT23" s="299"/>
      <c r="BU23" s="299"/>
      <c r="BV23" s="299"/>
      <c r="BW23" s="299"/>
      <c r="BX23" s="299"/>
      <c r="BY23" s="299"/>
      <c r="BZ23" s="299"/>
      <c r="CA23" s="299"/>
      <c r="CB23" s="299"/>
      <c r="CC23" s="299"/>
      <c r="CD23" s="299"/>
      <c r="CE23" s="299"/>
      <c r="CF23" s="299"/>
      <c r="CG23" s="299"/>
      <c r="CH23" s="299"/>
      <c r="CI23" s="299"/>
      <c r="CJ23" s="299"/>
      <c r="CK23" s="299"/>
      <c r="CL23" s="299"/>
      <c r="CM23" s="299"/>
      <c r="CN23" s="299"/>
      <c r="CO23" s="299"/>
      <c r="CP23" s="299"/>
      <c r="CQ23" s="299"/>
      <c r="CR23" s="299"/>
      <c r="CS23" s="299"/>
      <c r="CT23" s="299"/>
      <c r="CU23" s="299"/>
      <c r="CV23" s="299"/>
      <c r="CW23" s="299"/>
      <c r="CX23" s="299"/>
      <c r="CY23" s="299"/>
      <c r="CZ23" s="299"/>
      <c r="DA23" s="299"/>
      <c r="DB23" s="299"/>
      <c r="DC23" s="299"/>
      <c r="DD23" s="299"/>
      <c r="DE23" s="299"/>
      <c r="DF23" s="299"/>
      <c r="DG23" s="299"/>
      <c r="DH23" s="299"/>
      <c r="DI23" s="299"/>
      <c r="DJ23" s="299"/>
      <c r="DK23" s="299"/>
      <c r="DL23" s="299"/>
      <c r="DM23" s="299"/>
      <c r="DN23" s="299"/>
      <c r="DO23" s="299"/>
      <c r="DP23" s="299"/>
      <c r="DQ23" s="299"/>
    </row>
    <row r="24" spans="2:122" s="298" customFormat="1" ht="24" customHeight="1" x14ac:dyDescent="0.35">
      <c r="B24" s="2490"/>
      <c r="C24" s="2260"/>
      <c r="D24" s="2486"/>
      <c r="E24" s="2487"/>
      <c r="F24" s="81"/>
      <c r="G24" s="462"/>
      <c r="H24" s="81"/>
      <c r="I24" s="464"/>
      <c r="J24" s="618"/>
      <c r="K24" s="728"/>
      <c r="L24" s="70"/>
      <c r="M24" s="463"/>
      <c r="N24" s="57"/>
      <c r="O24" s="81"/>
      <c r="P24" s="81"/>
      <c r="Q24" s="928">
        <f t="shared" si="0"/>
        <v>0</v>
      </c>
      <c r="R24" s="929">
        <v>0</v>
      </c>
      <c r="S24" s="930">
        <f t="shared" si="27"/>
        <v>0</v>
      </c>
      <c r="T24" s="931">
        <f t="shared" si="23"/>
        <v>0</v>
      </c>
      <c r="U24" s="935">
        <f t="shared" si="1"/>
        <v>0</v>
      </c>
      <c r="V24" s="2488">
        <f>SUM(AT24:BG24)*(1+M$32+Summary!P$64)</f>
        <v>0</v>
      </c>
      <c r="W24" s="2489"/>
      <c r="X24" s="299"/>
      <c r="Y24" s="299"/>
      <c r="AF24" s="299"/>
      <c r="AG24" s="299"/>
      <c r="AH24" s="299"/>
      <c r="AI24" s="299">
        <f t="shared" si="24"/>
        <v>0</v>
      </c>
      <c r="AJ24" s="299">
        <f t="shared" si="2"/>
        <v>0</v>
      </c>
      <c r="AK24" s="299">
        <f t="shared" si="3"/>
        <v>0</v>
      </c>
      <c r="AL24" s="299">
        <f t="shared" si="4"/>
        <v>0</v>
      </c>
      <c r="AM24" s="299">
        <f t="shared" si="5"/>
        <v>0</v>
      </c>
      <c r="AN24" s="299">
        <f t="shared" si="6"/>
        <v>0</v>
      </c>
      <c r="AO24" s="299">
        <f t="shared" si="7"/>
        <v>0</v>
      </c>
      <c r="AP24" s="299">
        <f t="shared" si="25"/>
        <v>0</v>
      </c>
      <c r="AQ24" s="299">
        <f t="shared" si="26"/>
        <v>0</v>
      </c>
      <c r="AR24" s="299">
        <f t="shared" si="8"/>
        <v>0</v>
      </c>
      <c r="AS24" s="299">
        <f t="shared" si="9"/>
        <v>0</v>
      </c>
      <c r="AT24" s="299">
        <f>(AJ24*Pricing!F$2+AK24*Pricing!G$2+AL24*Pricing!H$2+AM24*Pricing!I$2+AN24*Pricing!J$2+AO24*Pricing!K$2)*IF(U$31="N",(1+W$31),1)</f>
        <v>0</v>
      </c>
      <c r="AU24" s="299">
        <f t="shared" si="10"/>
        <v>0</v>
      </c>
      <c r="AV24" s="299">
        <f t="shared" si="11"/>
        <v>0</v>
      </c>
      <c r="AW24" s="299">
        <f t="shared" si="12"/>
        <v>0</v>
      </c>
      <c r="AX24" s="299"/>
      <c r="AY24" s="299">
        <f t="shared" si="13"/>
        <v>0</v>
      </c>
      <c r="AZ24" s="299">
        <f t="shared" si="14"/>
        <v>0</v>
      </c>
      <c r="BA24" s="299">
        <f t="shared" si="15"/>
        <v>0</v>
      </c>
      <c r="BB24" s="299">
        <f t="shared" si="16"/>
        <v>0</v>
      </c>
      <c r="BC24" s="299">
        <f t="shared" si="17"/>
        <v>0</v>
      </c>
      <c r="BD24" s="510">
        <f t="shared" si="18"/>
        <v>0</v>
      </c>
      <c r="BE24" s="299">
        <f t="shared" si="19"/>
        <v>0</v>
      </c>
      <c r="BF24" s="299">
        <f t="shared" si="20"/>
        <v>0</v>
      </c>
      <c r="BG24" s="299">
        <f t="shared" si="21"/>
        <v>0</v>
      </c>
      <c r="BH24" s="299"/>
      <c r="BI24" s="299"/>
      <c r="BJ24" s="299"/>
      <c r="BK24" s="299"/>
      <c r="BL24" s="299"/>
      <c r="BM24" s="299">
        <f t="shared" si="22"/>
        <v>0</v>
      </c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9"/>
      <c r="CQ24" s="299"/>
      <c r="CR24" s="299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</row>
    <row r="25" spans="2:122" s="298" customFormat="1" ht="24" customHeight="1" x14ac:dyDescent="0.35">
      <c r="B25" s="2259"/>
      <c r="C25" s="2260"/>
      <c r="D25" s="2486"/>
      <c r="E25" s="2487"/>
      <c r="F25" s="81"/>
      <c r="G25" s="462"/>
      <c r="H25" s="81"/>
      <c r="I25" s="464"/>
      <c r="J25" s="618"/>
      <c r="K25" s="728"/>
      <c r="L25" s="70"/>
      <c r="M25" s="463"/>
      <c r="N25" s="57"/>
      <c r="O25" s="81"/>
      <c r="P25" s="81"/>
      <c r="Q25" s="928">
        <f t="shared" si="0"/>
        <v>0</v>
      </c>
      <c r="R25" s="929">
        <v>0</v>
      </c>
      <c r="S25" s="930">
        <f t="shared" si="27"/>
        <v>0</v>
      </c>
      <c r="T25" s="931">
        <f t="shared" si="23"/>
        <v>0</v>
      </c>
      <c r="U25" s="935">
        <f t="shared" si="1"/>
        <v>0</v>
      </c>
      <c r="V25" s="2488">
        <f>SUM(AT25:BG25)*(1+M$32+Summary!P$64)</f>
        <v>0</v>
      </c>
      <c r="W25" s="2489"/>
      <c r="X25" s="299"/>
      <c r="Y25" s="299"/>
      <c r="AF25" s="299"/>
      <c r="AG25" s="299"/>
      <c r="AH25" s="299"/>
      <c r="AI25" s="299">
        <f t="shared" si="24"/>
        <v>0</v>
      </c>
      <c r="AJ25" s="299">
        <f t="shared" si="2"/>
        <v>0</v>
      </c>
      <c r="AK25" s="299">
        <f t="shared" si="3"/>
        <v>0</v>
      </c>
      <c r="AL25" s="299">
        <f t="shared" si="4"/>
        <v>0</v>
      </c>
      <c r="AM25" s="299">
        <f t="shared" si="5"/>
        <v>0</v>
      </c>
      <c r="AN25" s="299">
        <f t="shared" si="6"/>
        <v>0</v>
      </c>
      <c r="AO25" s="299">
        <f t="shared" si="7"/>
        <v>0</v>
      </c>
      <c r="AP25" s="299">
        <f t="shared" si="25"/>
        <v>0</v>
      </c>
      <c r="AQ25" s="299">
        <f t="shared" si="26"/>
        <v>0</v>
      </c>
      <c r="AR25" s="299">
        <f t="shared" si="8"/>
        <v>0</v>
      </c>
      <c r="AS25" s="299">
        <f t="shared" si="9"/>
        <v>0</v>
      </c>
      <c r="AT25" s="299">
        <f>(AJ25*Pricing!F$2+AK25*Pricing!G$2+AL25*Pricing!H$2+AM25*Pricing!I$2+AN25*Pricing!J$2+AO25*Pricing!K$2)*IF(U$31="N",(1+W$31),1)</f>
        <v>0</v>
      </c>
      <c r="AU25" s="299">
        <f t="shared" si="10"/>
        <v>0</v>
      </c>
      <c r="AV25" s="299">
        <f t="shared" si="11"/>
        <v>0</v>
      </c>
      <c r="AW25" s="299">
        <f t="shared" si="12"/>
        <v>0</v>
      </c>
      <c r="AX25" s="299"/>
      <c r="AY25" s="299">
        <f t="shared" si="13"/>
        <v>0</v>
      </c>
      <c r="AZ25" s="299">
        <f t="shared" si="14"/>
        <v>0</v>
      </c>
      <c r="BA25" s="299">
        <f t="shared" si="15"/>
        <v>0</v>
      </c>
      <c r="BB25" s="299">
        <f t="shared" si="16"/>
        <v>0</v>
      </c>
      <c r="BC25" s="299">
        <f t="shared" si="17"/>
        <v>0</v>
      </c>
      <c r="BD25" s="510">
        <f t="shared" si="18"/>
        <v>0</v>
      </c>
      <c r="BE25" s="299">
        <f t="shared" si="19"/>
        <v>0</v>
      </c>
      <c r="BF25" s="299">
        <f t="shared" si="20"/>
        <v>0</v>
      </c>
      <c r="BG25" s="299">
        <f t="shared" si="21"/>
        <v>0</v>
      </c>
      <c r="BH25" s="299"/>
      <c r="BI25" s="299"/>
      <c r="BJ25" s="299"/>
      <c r="BK25" s="299"/>
      <c r="BL25" s="299"/>
      <c r="BM25" s="299">
        <f t="shared" si="22"/>
        <v>0</v>
      </c>
      <c r="BN25" s="299"/>
      <c r="BO25" s="299"/>
      <c r="BP25" s="299"/>
      <c r="BQ25" s="299"/>
      <c r="BR25" s="299"/>
      <c r="BS25" s="299"/>
      <c r="BT25" s="299"/>
      <c r="BU25" s="299"/>
      <c r="BV25" s="299"/>
      <c r="BW25" s="299"/>
      <c r="BX25" s="299"/>
      <c r="BY25" s="299"/>
      <c r="BZ25" s="299"/>
      <c r="CA25" s="299"/>
      <c r="CB25" s="299"/>
      <c r="CC25" s="299"/>
      <c r="CD25" s="299"/>
      <c r="CE25" s="299"/>
      <c r="CF25" s="299"/>
      <c r="CG25" s="299"/>
      <c r="CH25" s="299"/>
      <c r="CI25" s="299"/>
      <c r="CJ25" s="299"/>
      <c r="CK25" s="299"/>
      <c r="CL25" s="299"/>
      <c r="CM25" s="299"/>
      <c r="CN25" s="299"/>
      <c r="CO25" s="299"/>
      <c r="CP25" s="299"/>
      <c r="CQ25" s="299"/>
      <c r="CR25" s="299"/>
      <c r="CS25" s="299"/>
      <c r="CT25" s="299"/>
      <c r="CU25" s="299"/>
      <c r="CV25" s="299"/>
      <c r="CW25" s="299"/>
      <c r="CX25" s="299"/>
      <c r="CY25" s="299"/>
      <c r="CZ25" s="299"/>
      <c r="DA25" s="299"/>
      <c r="DB25" s="299"/>
      <c r="DC25" s="299"/>
      <c r="DD25" s="299"/>
      <c r="DE25" s="299"/>
      <c r="DF25" s="299"/>
      <c r="DG25" s="299"/>
      <c r="DH25" s="299"/>
      <c r="DI25" s="299"/>
      <c r="DJ25" s="299"/>
      <c r="DK25" s="299"/>
      <c r="DL25" s="299"/>
      <c r="DM25" s="299"/>
      <c r="DN25" s="299"/>
      <c r="DO25" s="299"/>
      <c r="DP25" s="299"/>
      <c r="DQ25" s="299"/>
    </row>
    <row r="26" spans="2:122" s="298" customFormat="1" ht="24" customHeight="1" x14ac:dyDescent="0.35">
      <c r="B26" s="2490"/>
      <c r="C26" s="2260"/>
      <c r="D26" s="2486"/>
      <c r="E26" s="2487"/>
      <c r="F26" s="81"/>
      <c r="G26" s="462"/>
      <c r="H26" s="81"/>
      <c r="I26" s="464"/>
      <c r="J26" s="618"/>
      <c r="K26" s="728"/>
      <c r="L26" s="70"/>
      <c r="M26" s="463"/>
      <c r="N26" s="57"/>
      <c r="O26" s="81"/>
      <c r="P26" s="81"/>
      <c r="Q26" s="928">
        <f t="shared" si="0"/>
        <v>0</v>
      </c>
      <c r="R26" s="929">
        <v>0</v>
      </c>
      <c r="S26" s="930">
        <f t="shared" si="27"/>
        <v>0</v>
      </c>
      <c r="T26" s="931">
        <f t="shared" si="23"/>
        <v>0</v>
      </c>
      <c r="U26" s="935">
        <f t="shared" si="1"/>
        <v>0</v>
      </c>
      <c r="V26" s="2488">
        <f>SUM(AT26:BG26)*(1+M$32+Summary!P$64)</f>
        <v>0</v>
      </c>
      <c r="W26" s="2489"/>
      <c r="X26" s="299"/>
      <c r="Y26" s="299"/>
      <c r="AF26" s="299"/>
      <c r="AG26" s="299"/>
      <c r="AH26" s="299"/>
      <c r="AI26" s="299">
        <f t="shared" si="24"/>
        <v>0</v>
      </c>
      <c r="AJ26" s="299">
        <f t="shared" si="2"/>
        <v>0</v>
      </c>
      <c r="AK26" s="299">
        <f t="shared" si="3"/>
        <v>0</v>
      </c>
      <c r="AL26" s="299">
        <f t="shared" si="4"/>
        <v>0</v>
      </c>
      <c r="AM26" s="299">
        <f t="shared" si="5"/>
        <v>0</v>
      </c>
      <c r="AN26" s="299">
        <f t="shared" si="6"/>
        <v>0</v>
      </c>
      <c r="AO26" s="299">
        <f t="shared" si="7"/>
        <v>0</v>
      </c>
      <c r="AP26" s="299">
        <f t="shared" si="25"/>
        <v>0</v>
      </c>
      <c r="AQ26" s="299">
        <f t="shared" si="26"/>
        <v>0</v>
      </c>
      <c r="AR26" s="299">
        <f t="shared" si="8"/>
        <v>0</v>
      </c>
      <c r="AS26" s="299">
        <f t="shared" si="9"/>
        <v>0</v>
      </c>
      <c r="AT26" s="299">
        <f>(AJ26*Pricing!F$2+AK26*Pricing!G$2+AL26*Pricing!H$2+AM26*Pricing!I$2+AN26*Pricing!J$2+AO26*Pricing!K$2)*IF(U$31="N",(1+W$31),1)</f>
        <v>0</v>
      </c>
      <c r="AU26" s="299">
        <f t="shared" si="10"/>
        <v>0</v>
      </c>
      <c r="AV26" s="299">
        <f t="shared" si="11"/>
        <v>0</v>
      </c>
      <c r="AW26" s="299">
        <f t="shared" si="12"/>
        <v>0</v>
      </c>
      <c r="AX26" s="299"/>
      <c r="AY26" s="299">
        <f t="shared" si="13"/>
        <v>0</v>
      </c>
      <c r="AZ26" s="299">
        <f t="shared" si="14"/>
        <v>0</v>
      </c>
      <c r="BA26" s="299">
        <f t="shared" si="15"/>
        <v>0</v>
      </c>
      <c r="BB26" s="299">
        <f t="shared" si="16"/>
        <v>0</v>
      </c>
      <c r="BC26" s="299">
        <f t="shared" si="17"/>
        <v>0</v>
      </c>
      <c r="BD26" s="510">
        <f t="shared" si="18"/>
        <v>0</v>
      </c>
      <c r="BE26" s="299">
        <f t="shared" si="19"/>
        <v>0</v>
      </c>
      <c r="BF26" s="299">
        <f t="shared" si="20"/>
        <v>0</v>
      </c>
      <c r="BG26" s="299">
        <f t="shared" si="21"/>
        <v>0</v>
      </c>
      <c r="BH26" s="299"/>
      <c r="BI26" s="299"/>
      <c r="BJ26" s="299"/>
      <c r="BK26" s="299"/>
      <c r="BL26" s="299"/>
      <c r="BM26" s="299">
        <f t="shared" si="22"/>
        <v>0</v>
      </c>
      <c r="BN26" s="299"/>
      <c r="BO26" s="299"/>
      <c r="BP26" s="299"/>
      <c r="BQ26" s="299"/>
      <c r="BR26" s="299"/>
      <c r="BS26" s="299"/>
      <c r="BT26" s="299"/>
      <c r="BU26" s="299"/>
      <c r="BV26" s="299"/>
      <c r="BW26" s="299"/>
      <c r="BX26" s="299"/>
      <c r="BY26" s="299"/>
      <c r="BZ26" s="299"/>
      <c r="CA26" s="299"/>
      <c r="CB26" s="299"/>
      <c r="CC26" s="299"/>
      <c r="CD26" s="299"/>
      <c r="CE26" s="299"/>
      <c r="CF26" s="299"/>
      <c r="CG26" s="299"/>
      <c r="CH26" s="299"/>
      <c r="CI26" s="299"/>
      <c r="CJ26" s="299"/>
      <c r="CK26" s="299"/>
      <c r="CL26" s="299"/>
      <c r="CM26" s="299"/>
      <c r="CN26" s="299"/>
      <c r="CO26" s="299"/>
      <c r="CP26" s="299"/>
      <c r="CQ26" s="299"/>
      <c r="CR26" s="299"/>
      <c r="CS26" s="299"/>
      <c r="CT26" s="299"/>
      <c r="CU26" s="299"/>
      <c r="CV26" s="299"/>
      <c r="CW26" s="299"/>
      <c r="CX26" s="299"/>
      <c r="CY26" s="299"/>
      <c r="CZ26" s="299"/>
      <c r="DA26" s="299"/>
      <c r="DB26" s="299"/>
      <c r="DC26" s="299"/>
      <c r="DD26" s="299"/>
      <c r="DE26" s="299"/>
      <c r="DF26" s="299"/>
      <c r="DG26" s="299"/>
      <c r="DH26" s="299"/>
      <c r="DI26" s="299"/>
      <c r="DJ26" s="299"/>
      <c r="DK26" s="299"/>
      <c r="DL26" s="299"/>
      <c r="DM26" s="299"/>
      <c r="DN26" s="299"/>
      <c r="DO26" s="299"/>
      <c r="DP26" s="299"/>
      <c r="DQ26" s="299"/>
    </row>
    <row r="27" spans="2:122" s="298" customFormat="1" ht="24" customHeight="1" thickBot="1" x14ac:dyDescent="0.4">
      <c r="B27" s="2471"/>
      <c r="C27" s="2344"/>
      <c r="D27" s="2472"/>
      <c r="E27" s="2473"/>
      <c r="F27" s="465"/>
      <c r="G27" s="466"/>
      <c r="H27" s="465"/>
      <c r="I27" s="467"/>
      <c r="J27" s="1643"/>
      <c r="K27" s="904"/>
      <c r="L27" s="71"/>
      <c r="M27" s="468"/>
      <c r="N27" s="76"/>
      <c r="O27" s="465"/>
      <c r="P27" s="468"/>
      <c r="Q27" s="932">
        <f t="shared" si="0"/>
        <v>0</v>
      </c>
      <c r="R27" s="933">
        <v>0</v>
      </c>
      <c r="S27" s="934">
        <f t="shared" si="27"/>
        <v>0</v>
      </c>
      <c r="T27" s="1607">
        <f t="shared" si="23"/>
        <v>0</v>
      </c>
      <c r="U27" s="936">
        <f t="shared" si="1"/>
        <v>0</v>
      </c>
      <c r="V27" s="2474">
        <f>SUM(AT27:BG27)*(1+M$32+Summary!P$64)</f>
        <v>0</v>
      </c>
      <c r="W27" s="2475"/>
      <c r="X27" s="299"/>
      <c r="Y27" s="299"/>
      <c r="AF27" s="299"/>
      <c r="AG27" s="299"/>
      <c r="AH27" s="299"/>
      <c r="AI27" s="299">
        <f t="shared" si="24"/>
        <v>0</v>
      </c>
      <c r="AJ27" s="299">
        <f t="shared" si="2"/>
        <v>0</v>
      </c>
      <c r="AK27" s="299">
        <f t="shared" si="3"/>
        <v>0</v>
      </c>
      <c r="AL27" s="299">
        <f t="shared" si="4"/>
        <v>0</v>
      </c>
      <c r="AM27" s="299">
        <f t="shared" si="5"/>
        <v>0</v>
      </c>
      <c r="AN27" s="299">
        <f t="shared" si="6"/>
        <v>0</v>
      </c>
      <c r="AO27" s="299">
        <f t="shared" si="7"/>
        <v>0</v>
      </c>
      <c r="AP27" s="299">
        <f t="shared" si="25"/>
        <v>0</v>
      </c>
      <c r="AQ27" s="299">
        <f t="shared" si="26"/>
        <v>0</v>
      </c>
      <c r="AR27" s="299">
        <f t="shared" si="8"/>
        <v>0</v>
      </c>
      <c r="AS27" s="299">
        <f t="shared" si="9"/>
        <v>0</v>
      </c>
      <c r="AT27" s="299">
        <f>(AJ27*Pricing!F$2+AK27*Pricing!G$2+AL27*Pricing!H$2+AM27*Pricing!I$2+AN27*Pricing!J$2+AO27*Pricing!K$2)*IF(U$31="N",(1+W$31),1)</f>
        <v>0</v>
      </c>
      <c r="AU27" s="299">
        <f t="shared" si="10"/>
        <v>0</v>
      </c>
      <c r="AV27" s="299">
        <f t="shared" si="11"/>
        <v>0</v>
      </c>
      <c r="AW27" s="299">
        <f t="shared" si="12"/>
        <v>0</v>
      </c>
      <c r="AX27" s="299"/>
      <c r="AY27" s="299">
        <f t="shared" si="13"/>
        <v>0</v>
      </c>
      <c r="AZ27" s="299">
        <f t="shared" si="14"/>
        <v>0</v>
      </c>
      <c r="BA27" s="299">
        <f t="shared" si="15"/>
        <v>0</v>
      </c>
      <c r="BB27" s="299">
        <f t="shared" si="16"/>
        <v>0</v>
      </c>
      <c r="BC27" s="299">
        <f t="shared" si="17"/>
        <v>0</v>
      </c>
      <c r="BD27" s="510">
        <f t="shared" si="18"/>
        <v>0</v>
      </c>
      <c r="BE27" s="299">
        <f t="shared" si="19"/>
        <v>0</v>
      </c>
      <c r="BF27" s="299">
        <f t="shared" si="20"/>
        <v>0</v>
      </c>
      <c r="BG27" s="299">
        <f t="shared" si="21"/>
        <v>0</v>
      </c>
      <c r="BH27" s="299"/>
      <c r="BI27" s="299"/>
      <c r="BJ27" s="299"/>
      <c r="BK27" s="299"/>
      <c r="BL27" s="299"/>
      <c r="BM27" s="299">
        <f t="shared" si="22"/>
        <v>0</v>
      </c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9"/>
      <c r="CQ27" s="299"/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</row>
    <row r="28" spans="2:122" s="298" customFormat="1" ht="24" customHeight="1" thickBot="1" x14ac:dyDescent="0.4">
      <c r="B28" s="42"/>
      <c r="C28" s="42"/>
      <c r="D28" s="2476">
        <f>SUM(D11:E27)</f>
        <v>0</v>
      </c>
      <c r="E28" s="2477"/>
      <c r="F28" s="42" t="s">
        <v>98</v>
      </c>
      <c r="G28" s="42"/>
      <c r="H28" s="42"/>
      <c r="I28" s="42"/>
      <c r="J28" s="535">
        <f>SUM(J11:J27)</f>
        <v>0</v>
      </c>
      <c r="K28" s="42"/>
      <c r="L28" s="42"/>
      <c r="M28" s="57"/>
      <c r="N28" s="2478">
        <f>SUM(S11:S27)</f>
        <v>0</v>
      </c>
      <c r="O28" s="2479"/>
      <c r="P28" s="131" t="s">
        <v>520</v>
      </c>
      <c r="Q28" s="72"/>
      <c r="R28" s="82"/>
      <c r="S28" s="83">
        <f>SUM(T11:T27)</f>
        <v>0</v>
      </c>
      <c r="T28" s="84" t="s">
        <v>106</v>
      </c>
      <c r="U28" s="85"/>
      <c r="V28" s="46"/>
      <c r="W28" s="46"/>
      <c r="X28" s="299"/>
      <c r="Y28" s="299"/>
      <c r="AF28" s="299"/>
      <c r="AG28" s="299"/>
      <c r="AH28" s="299"/>
      <c r="AI28" s="299">
        <f>SUM(AI11:AI27)</f>
        <v>0</v>
      </c>
      <c r="AJ28" s="299">
        <f t="shared" ref="AJ28:AQ28" si="28">SUM(AJ11:AJ27)</f>
        <v>0</v>
      </c>
      <c r="AK28" s="299">
        <f t="shared" si="28"/>
        <v>0</v>
      </c>
      <c r="AL28" s="299">
        <f t="shared" si="28"/>
        <v>0</v>
      </c>
      <c r="AM28" s="299">
        <f t="shared" si="28"/>
        <v>0</v>
      </c>
      <c r="AN28" s="299">
        <f t="shared" si="28"/>
        <v>0</v>
      </c>
      <c r="AO28" s="299">
        <f t="shared" si="28"/>
        <v>0</v>
      </c>
      <c r="AP28" s="299">
        <f t="shared" si="28"/>
        <v>0</v>
      </c>
      <c r="AQ28" s="299">
        <f t="shared" si="28"/>
        <v>0</v>
      </c>
      <c r="AR28" s="299">
        <f>ROUNDUP(SUM(AR11:AR27),0)</f>
        <v>0</v>
      </c>
      <c r="AS28" s="299">
        <f>ROUNDUP(SUM(AS11:AS27),0)</f>
        <v>0</v>
      </c>
      <c r="AT28" s="299"/>
      <c r="AU28" s="299"/>
      <c r="AV28" s="299"/>
      <c r="AW28" s="299"/>
      <c r="AX28" s="299"/>
      <c r="AY28" s="299"/>
      <c r="AZ28" s="299"/>
      <c r="BA28" s="299"/>
      <c r="BB28" s="299"/>
      <c r="BC28" s="299"/>
      <c r="BD28" s="299"/>
      <c r="BE28" s="299"/>
      <c r="BF28" s="299"/>
      <c r="BG28" s="299"/>
      <c r="BH28" s="299"/>
      <c r="BI28" s="299"/>
      <c r="BJ28" s="299"/>
      <c r="BK28" s="299"/>
      <c r="BL28" s="299"/>
      <c r="BM28" s="299"/>
      <c r="BN28" s="299"/>
      <c r="BO28" s="299"/>
      <c r="BP28" s="299"/>
      <c r="BQ28" s="299"/>
      <c r="BR28" s="299"/>
      <c r="BS28" s="299"/>
      <c r="BT28" s="299"/>
      <c r="BU28" s="299"/>
      <c r="BV28" s="299"/>
      <c r="BW28" s="299"/>
      <c r="BX28" s="299"/>
      <c r="BY28" s="299"/>
      <c r="BZ28" s="299"/>
      <c r="CA28" s="299"/>
      <c r="CB28" s="299"/>
      <c r="CC28" s="299"/>
      <c r="CD28" s="299"/>
      <c r="CE28" s="299"/>
      <c r="CF28" s="299"/>
      <c r="CG28" s="299"/>
      <c r="CH28" s="299"/>
      <c r="CI28" s="299"/>
      <c r="CJ28" s="299"/>
      <c r="CK28" s="299"/>
      <c r="CL28" s="299"/>
      <c r="CM28" s="299"/>
      <c r="CN28" s="299"/>
      <c r="CO28" s="299"/>
      <c r="CP28" s="299"/>
      <c r="CQ28" s="299"/>
      <c r="CR28" s="299"/>
      <c r="CS28" s="299"/>
      <c r="CT28" s="299"/>
      <c r="CU28" s="299"/>
      <c r="CV28" s="299"/>
      <c r="CW28" s="299"/>
      <c r="CX28" s="299"/>
      <c r="CY28" s="299"/>
      <c r="CZ28" s="299"/>
      <c r="DA28" s="299"/>
      <c r="DB28" s="299"/>
      <c r="DC28" s="299"/>
      <c r="DD28" s="299"/>
      <c r="DE28" s="299"/>
      <c r="DF28" s="299"/>
      <c r="DG28" s="299"/>
      <c r="DH28" s="299"/>
      <c r="DI28" s="299"/>
      <c r="DJ28" s="299"/>
      <c r="DK28" s="299"/>
      <c r="DL28" s="299"/>
      <c r="DM28" s="299"/>
      <c r="DN28" s="299"/>
      <c r="DO28" s="299"/>
      <c r="DP28" s="299"/>
      <c r="DQ28" s="299"/>
    </row>
    <row r="29" spans="2:122" s="298" customFormat="1" ht="24" customHeight="1" thickBot="1" x14ac:dyDescent="0.4">
      <c r="B29" s="42" t="s">
        <v>1079</v>
      </c>
      <c r="C29" s="42"/>
      <c r="D29" s="2480">
        <v>0</v>
      </c>
      <c r="E29" s="2481"/>
      <c r="F29" s="2482" t="e">
        <f>D29/D28</f>
        <v>#DIV/0!</v>
      </c>
      <c r="G29" s="2483"/>
      <c r="H29" s="2484"/>
      <c r="I29" s="2006"/>
      <c r="J29" s="42"/>
      <c r="K29" s="42"/>
      <c r="L29" s="42"/>
      <c r="M29" s="57"/>
      <c r="N29" s="57"/>
      <c r="O29" s="57"/>
      <c r="P29" s="57"/>
      <c r="Q29" s="42"/>
      <c r="R29" s="42"/>
      <c r="S29" s="42"/>
      <c r="T29" s="42"/>
      <c r="U29" s="2485">
        <f>SUM(AT29:BM30)</f>
        <v>0</v>
      </c>
      <c r="V29" s="2015"/>
      <c r="W29" s="46">
        <f>U32-U29</f>
        <v>0</v>
      </c>
      <c r="X29" s="299"/>
      <c r="Y29" s="299"/>
      <c r="AF29" s="299"/>
      <c r="AG29" s="299"/>
      <c r="AH29" s="299"/>
      <c r="AI29" s="299"/>
      <c r="AJ29" s="299"/>
      <c r="AK29" s="299"/>
      <c r="AL29" s="299"/>
      <c r="AM29" s="299"/>
      <c r="AN29" s="299"/>
      <c r="AO29" s="299"/>
      <c r="AP29" s="299"/>
      <c r="AQ29" s="299"/>
      <c r="AR29" s="299"/>
      <c r="AS29" s="299"/>
      <c r="AT29" s="299">
        <f>SUM(AT11:AT28)</f>
        <v>0</v>
      </c>
      <c r="AU29" s="299">
        <f t="shared" ref="AU29:BG29" si="29">SUM(AU11:AU28)</f>
        <v>0</v>
      </c>
      <c r="AV29" s="299">
        <f t="shared" si="29"/>
        <v>0</v>
      </c>
      <c r="AW29" s="299">
        <f>SUM(AW11:AW28)</f>
        <v>0</v>
      </c>
      <c r="AX29" s="299">
        <f t="shared" si="29"/>
        <v>0</v>
      </c>
      <c r="AY29" s="299">
        <f t="shared" si="29"/>
        <v>0</v>
      </c>
      <c r="AZ29" s="299">
        <f t="shared" si="29"/>
        <v>0</v>
      </c>
      <c r="BA29" s="299">
        <f t="shared" si="29"/>
        <v>0</v>
      </c>
      <c r="BB29" s="299">
        <f t="shared" si="29"/>
        <v>0</v>
      </c>
      <c r="BC29" s="299">
        <f t="shared" si="29"/>
        <v>0</v>
      </c>
      <c r="BD29" s="299">
        <f t="shared" si="29"/>
        <v>0</v>
      </c>
      <c r="BE29" s="299">
        <f t="shared" si="29"/>
        <v>0</v>
      </c>
      <c r="BF29" s="299">
        <f t="shared" si="29"/>
        <v>0</v>
      </c>
      <c r="BG29" s="299">
        <f t="shared" si="29"/>
        <v>0</v>
      </c>
      <c r="BH29" s="299"/>
      <c r="BI29" s="299"/>
      <c r="BJ29" s="299"/>
      <c r="BK29" s="299"/>
      <c r="BL29" s="299"/>
      <c r="BM29" s="299">
        <f>SUM(BM11:BM28)</f>
        <v>0</v>
      </c>
      <c r="BN29" s="299"/>
      <c r="BO29" s="299"/>
      <c r="BP29" s="299"/>
      <c r="BQ29" s="299"/>
      <c r="BR29" s="299"/>
      <c r="BS29" s="299"/>
      <c r="BT29" s="299"/>
      <c r="BU29" s="299"/>
      <c r="BV29" s="299"/>
      <c r="BW29" s="299"/>
      <c r="BX29" s="299"/>
      <c r="BY29" s="299"/>
      <c r="BZ29" s="299"/>
      <c r="CA29" s="299"/>
      <c r="CB29" s="299"/>
      <c r="CC29" s="299"/>
      <c r="CD29" s="299"/>
      <c r="CE29" s="299"/>
      <c r="CF29" s="299"/>
      <c r="CG29" s="299"/>
      <c r="CH29" s="299"/>
      <c r="CI29" s="299"/>
      <c r="CJ29" s="299"/>
      <c r="CK29" s="299"/>
      <c r="CL29" s="299"/>
      <c r="CM29" s="299"/>
      <c r="CN29" s="299"/>
      <c r="CO29" s="299"/>
      <c r="CP29" s="299"/>
      <c r="CQ29" s="299"/>
      <c r="CR29" s="299"/>
      <c r="CS29" s="299"/>
      <c r="CT29" s="299"/>
      <c r="CU29" s="299"/>
      <c r="CV29" s="299"/>
      <c r="CW29" s="299"/>
      <c r="CX29" s="299"/>
      <c r="CY29" s="299"/>
      <c r="CZ29" s="299"/>
      <c r="DA29" s="299"/>
      <c r="DB29" s="299"/>
      <c r="DC29" s="299"/>
      <c r="DD29" s="299"/>
      <c r="DE29" s="299"/>
      <c r="DF29" s="299"/>
      <c r="DG29" s="299"/>
      <c r="DH29" s="299"/>
      <c r="DI29" s="299"/>
      <c r="DJ29" s="299"/>
      <c r="DK29" s="299"/>
      <c r="DL29" s="299"/>
      <c r="DM29" s="299"/>
      <c r="DN29" s="299"/>
      <c r="DO29" s="299"/>
      <c r="DP29" s="299"/>
      <c r="DQ29" s="299"/>
    </row>
    <row r="30" spans="2:122" s="298" customFormat="1" ht="24" customHeight="1" thickBot="1" x14ac:dyDescent="0.4">
      <c r="B30" s="898"/>
      <c r="C30" s="899"/>
      <c r="D30" s="899"/>
      <c r="E30" s="2469">
        <f>SUM(V11:W20)</f>
        <v>0</v>
      </c>
      <c r="F30" s="2470"/>
      <c r="G30" s="899"/>
      <c r="H30" s="899"/>
      <c r="I30" s="899"/>
      <c r="J30" s="899"/>
      <c r="K30" s="899"/>
      <c r="L30" s="900"/>
      <c r="M30" s="899"/>
      <c r="N30" s="899"/>
      <c r="O30" s="899"/>
      <c r="P30" s="899"/>
      <c r="Q30" s="899"/>
      <c r="R30" s="899"/>
      <c r="S30" s="899"/>
      <c r="T30" s="899"/>
      <c r="U30" s="899"/>
      <c r="V30" s="899"/>
      <c r="W30" s="901"/>
      <c r="X30" s="299"/>
      <c r="Y30" s="299"/>
      <c r="AF30" s="299"/>
      <c r="AG30" s="299"/>
      <c r="AH30" s="299"/>
      <c r="AI30" s="299"/>
      <c r="AJ30" s="299"/>
      <c r="AK30" s="299"/>
      <c r="AL30" s="299"/>
      <c r="AM30" s="299"/>
      <c r="AN30" s="299"/>
      <c r="AO30" s="299"/>
      <c r="AP30" s="299"/>
      <c r="AQ30" s="299"/>
      <c r="AR30" s="299"/>
      <c r="AS30" s="299"/>
      <c r="AT30" s="299"/>
      <c r="AU30" s="299"/>
      <c r="AV30" s="299"/>
      <c r="AW30" s="299"/>
      <c r="AX30" s="299"/>
      <c r="AY30" s="299"/>
      <c r="AZ30" s="299"/>
      <c r="BA30" s="299"/>
      <c r="BB30" s="299"/>
      <c r="BC30" s="299"/>
      <c r="BD30" s="299"/>
      <c r="BE30" s="299"/>
      <c r="BF30" s="299"/>
      <c r="BG30" s="299"/>
      <c r="BH30" s="299"/>
      <c r="BI30" s="299"/>
      <c r="BJ30" s="299"/>
      <c r="BK30" s="299"/>
      <c r="BL30" s="299"/>
      <c r="BM30" s="299"/>
      <c r="BN30" s="299"/>
      <c r="BO30" s="299"/>
      <c r="BP30" s="299"/>
      <c r="BQ30" s="299"/>
      <c r="BR30" s="299"/>
      <c r="BS30" s="299"/>
      <c r="BT30" s="299"/>
      <c r="BU30" s="299"/>
      <c r="BV30" s="299"/>
      <c r="BW30" s="299"/>
      <c r="BX30" s="299"/>
      <c r="BY30" s="299"/>
      <c r="BZ30" s="299"/>
      <c r="CA30" s="299"/>
      <c r="CB30" s="299"/>
      <c r="CC30" s="299"/>
      <c r="CD30" s="299"/>
      <c r="CE30" s="299"/>
      <c r="CF30" s="299"/>
      <c r="CG30" s="299"/>
      <c r="CH30" s="299"/>
      <c r="CI30" s="299"/>
      <c r="CJ30" s="299"/>
      <c r="CK30" s="299"/>
      <c r="CL30" s="299"/>
      <c r="CM30" s="299"/>
      <c r="CN30" s="299"/>
      <c r="CO30" s="299"/>
      <c r="CP30" s="299"/>
      <c r="CQ30" s="299"/>
      <c r="CR30" s="299"/>
      <c r="CS30" s="299"/>
      <c r="CT30" s="299"/>
      <c r="CU30" s="299"/>
      <c r="CV30" s="299"/>
      <c r="CW30" s="299"/>
      <c r="CX30" s="299"/>
      <c r="CY30" s="299"/>
      <c r="CZ30" s="299"/>
      <c r="DA30" s="299"/>
      <c r="DB30" s="299"/>
      <c r="DC30" s="299"/>
      <c r="DD30" s="299"/>
      <c r="DE30" s="299"/>
      <c r="DF30" s="299"/>
      <c r="DG30" s="299"/>
      <c r="DH30" s="299"/>
      <c r="DI30" s="299"/>
      <c r="DJ30" s="299"/>
      <c r="DK30" s="299"/>
      <c r="DL30" s="299"/>
      <c r="DM30" s="299"/>
      <c r="DN30" s="299"/>
      <c r="DO30" s="299"/>
      <c r="DP30" s="299"/>
      <c r="DQ30" s="299"/>
    </row>
    <row r="31" spans="2:122" s="298" customFormat="1" ht="24" customHeight="1" x14ac:dyDescent="0.35">
      <c r="B31" s="1987" t="s">
        <v>185</v>
      </c>
      <c r="C31" s="2041"/>
      <c r="D31" s="1988"/>
      <c r="E31" s="1987" t="s">
        <v>140</v>
      </c>
      <c r="F31" s="1988"/>
      <c r="G31" s="1987" t="s">
        <v>178</v>
      </c>
      <c r="H31" s="2041"/>
      <c r="I31" s="1988"/>
      <c r="J31" s="1935" t="s">
        <v>184</v>
      </c>
      <c r="K31" s="1936"/>
      <c r="L31" s="1937"/>
      <c r="M31" s="2044" t="s">
        <v>179</v>
      </c>
      <c r="N31" s="2045"/>
      <c r="O31" s="132"/>
      <c r="P31" s="133"/>
      <c r="Q31" s="897"/>
      <c r="R31" s="43" t="s">
        <v>34</v>
      </c>
      <c r="S31" s="42"/>
      <c r="T31" s="42" t="s">
        <v>758</v>
      </c>
      <c r="U31" s="822" t="str">
        <f>Summary!P65</f>
        <v>n</v>
      </c>
      <c r="V31" s="73" t="s">
        <v>298</v>
      </c>
      <c r="W31" s="905">
        <f>Summary!R65</f>
        <v>8.2500000000000004E-2</v>
      </c>
      <c r="X31" s="299"/>
      <c r="Y31" s="299"/>
      <c r="AF31" s="299"/>
      <c r="AG31" s="299"/>
      <c r="AH31" s="299"/>
      <c r="AI31" s="299"/>
      <c r="AJ31" s="299"/>
      <c r="AK31" s="299"/>
      <c r="AL31" s="299"/>
      <c r="AM31" s="299"/>
      <c r="AN31" s="299"/>
      <c r="AO31" s="299"/>
      <c r="AP31" s="299"/>
      <c r="AQ31" s="299"/>
      <c r="AR31" s="299"/>
      <c r="AS31" s="299"/>
      <c r="AT31" s="299"/>
      <c r="AU31" s="299"/>
      <c r="AV31" s="299"/>
      <c r="AW31" s="299"/>
      <c r="AX31" s="299"/>
      <c r="AY31" s="299"/>
      <c r="AZ31" s="299"/>
      <c r="BA31" s="299"/>
      <c r="BB31" s="299"/>
      <c r="BC31" s="299"/>
      <c r="BD31" s="299"/>
      <c r="BE31" s="299"/>
      <c r="BF31" s="299"/>
      <c r="BG31" s="299"/>
      <c r="BH31" s="299"/>
      <c r="BI31" s="299"/>
      <c r="BJ31" s="299"/>
      <c r="BK31" s="299"/>
      <c r="BL31" s="299"/>
      <c r="BM31" s="299"/>
      <c r="BN31" s="299"/>
      <c r="BO31" s="299"/>
      <c r="BP31" s="299"/>
      <c r="BQ31" s="299"/>
      <c r="BR31" s="299"/>
      <c r="BS31" s="299"/>
      <c r="BT31" s="299"/>
      <c r="BU31" s="299"/>
      <c r="BV31" s="299"/>
      <c r="BW31" s="299"/>
      <c r="BX31" s="299"/>
      <c r="BY31" s="299"/>
      <c r="BZ31" s="299"/>
      <c r="CA31" s="299"/>
      <c r="CB31" s="299"/>
      <c r="CC31" s="299"/>
      <c r="CD31" s="299"/>
      <c r="CE31" s="299"/>
      <c r="CF31" s="299"/>
      <c r="CG31" s="299"/>
      <c r="CH31" s="299"/>
      <c r="CI31" s="299"/>
      <c r="CJ31" s="299"/>
      <c r="CK31" s="299"/>
      <c r="CL31" s="299"/>
      <c r="CM31" s="299"/>
      <c r="CN31" s="299"/>
      <c r="CO31" s="299"/>
      <c r="CP31" s="299"/>
      <c r="CQ31" s="299"/>
      <c r="CR31" s="299"/>
      <c r="CS31" s="299"/>
      <c r="CT31" s="299"/>
      <c r="CU31" s="299"/>
      <c r="CV31" s="299"/>
      <c r="CW31" s="299"/>
      <c r="CX31" s="299"/>
      <c r="CY31" s="299"/>
      <c r="CZ31" s="299"/>
      <c r="DA31" s="299"/>
      <c r="DB31" s="299"/>
      <c r="DC31" s="299"/>
      <c r="DD31" s="299"/>
      <c r="DE31" s="299"/>
      <c r="DF31" s="299"/>
      <c r="DG31" s="299"/>
      <c r="DH31" s="299"/>
      <c r="DI31" s="299"/>
      <c r="DJ31" s="299"/>
      <c r="DK31" s="299"/>
      <c r="DL31" s="299"/>
      <c r="DM31" s="299"/>
      <c r="DN31" s="299"/>
      <c r="DO31" s="299"/>
      <c r="DP31" s="299"/>
      <c r="DQ31" s="299"/>
      <c r="DR31" s="299"/>
    </row>
    <row r="32" spans="2:122" s="298" customFormat="1" ht="24" customHeight="1" thickBot="1" x14ac:dyDescent="0.4">
      <c r="B32" s="11" t="s">
        <v>180</v>
      </c>
      <c r="C32" s="1999">
        <f>IF(D28=0,0,E32/D28)</f>
        <v>0</v>
      </c>
      <c r="D32" s="2000"/>
      <c r="E32" s="2003">
        <f>U32*(1+M32+Summary!P64)</f>
        <v>0</v>
      </c>
      <c r="F32" s="2004"/>
      <c r="G32" s="15">
        <f>IF(H32=0,0,H32/E32)</f>
        <v>0</v>
      </c>
      <c r="H32" s="2042">
        <f>E32-U32</f>
        <v>0</v>
      </c>
      <c r="I32" s="2043"/>
      <c r="J32" s="2064">
        <f>IF(D28=0,0,U32/D28)</f>
        <v>0</v>
      </c>
      <c r="K32" s="2065"/>
      <c r="L32" s="2066"/>
      <c r="M32" s="2466">
        <f>Summary!P63</f>
        <v>0.18</v>
      </c>
      <c r="N32" s="2467"/>
      <c r="O32" s="2467"/>
      <c r="P32" s="2468"/>
      <c r="Q32" s="897"/>
      <c r="R32" s="86" t="s">
        <v>50</v>
      </c>
      <c r="S32" s="42"/>
      <c r="T32" s="42"/>
      <c r="U32" s="1932">
        <f>SUM(O40:P48)+SUM(O50:P54)+SUM(O57:P61)+SUM(O63:P68)+SUM(O70:P78)+W79+SUM(L50:M54)</f>
        <v>0</v>
      </c>
      <c r="V32" s="1932"/>
      <c r="W32" s="74"/>
      <c r="X32" s="299"/>
      <c r="Y32" s="299"/>
      <c r="AF32" s="299"/>
      <c r="AG32" s="299"/>
      <c r="AH32" s="299"/>
      <c r="AI32" s="299"/>
      <c r="AJ32" s="299"/>
      <c r="AK32" s="299"/>
      <c r="AL32" s="299"/>
      <c r="AM32" s="299"/>
      <c r="AN32" s="299"/>
      <c r="AO32" s="299"/>
      <c r="AP32" s="299"/>
      <c r="AQ32" s="299"/>
      <c r="AR32" s="299"/>
      <c r="AS32" s="299"/>
      <c r="AT32" s="299"/>
      <c r="AU32" s="299"/>
      <c r="AV32" s="299"/>
      <c r="AW32" s="299"/>
      <c r="AX32" s="299"/>
      <c r="AY32" s="299"/>
      <c r="AZ32" s="299"/>
      <c r="BA32" s="299"/>
      <c r="BB32" s="299"/>
      <c r="BC32" s="299"/>
      <c r="BD32" s="299"/>
      <c r="BE32" s="299"/>
      <c r="BF32" s="299"/>
      <c r="BG32" s="299"/>
      <c r="BH32" s="299"/>
      <c r="BI32" s="299"/>
      <c r="BJ32" s="299"/>
      <c r="BK32" s="299"/>
      <c r="BL32" s="299"/>
      <c r="BM32" s="299"/>
      <c r="BN32" s="299"/>
      <c r="BO32" s="299"/>
      <c r="BP32" s="299"/>
      <c r="BQ32" s="299"/>
      <c r="BR32" s="299"/>
      <c r="BS32" s="299"/>
      <c r="BT32" s="299"/>
      <c r="BU32" s="299"/>
      <c r="BV32" s="299"/>
      <c r="BW32" s="299"/>
      <c r="BX32" s="299"/>
      <c r="BY32" s="299"/>
      <c r="BZ32" s="299"/>
      <c r="CA32" s="299"/>
      <c r="CB32" s="299"/>
      <c r="CC32" s="299"/>
      <c r="CD32" s="299"/>
      <c r="CE32" s="299"/>
      <c r="CF32" s="299"/>
      <c r="CG32" s="299"/>
      <c r="CH32" s="299"/>
      <c r="CI32" s="299"/>
      <c r="CJ32" s="299"/>
      <c r="CK32" s="299"/>
      <c r="CL32" s="299"/>
      <c r="CM32" s="299"/>
      <c r="CN32" s="299"/>
      <c r="CO32" s="299"/>
      <c r="CP32" s="299"/>
      <c r="CQ32" s="299"/>
      <c r="CR32" s="299"/>
      <c r="CS32" s="299"/>
      <c r="CT32" s="299"/>
      <c r="CU32" s="299"/>
      <c r="CV32" s="299"/>
      <c r="CW32" s="299"/>
      <c r="CX32" s="299"/>
      <c r="CY32" s="299"/>
      <c r="CZ32" s="299"/>
      <c r="DA32" s="299"/>
      <c r="DB32" s="299"/>
      <c r="DC32" s="299"/>
      <c r="DD32" s="299"/>
      <c r="DE32" s="299"/>
      <c r="DF32" s="299"/>
      <c r="DG32" s="299"/>
      <c r="DH32" s="299"/>
      <c r="DI32" s="299"/>
      <c r="DJ32" s="299"/>
      <c r="DK32" s="299"/>
      <c r="DL32" s="299"/>
      <c r="DM32" s="299"/>
      <c r="DN32" s="299"/>
      <c r="DO32" s="299"/>
      <c r="DP32" s="299"/>
      <c r="DQ32" s="299"/>
      <c r="DR32" s="299"/>
    </row>
    <row r="33" spans="2:122" s="298" customFormat="1" ht="24" customHeight="1" thickBot="1" x14ac:dyDescent="0.4">
      <c r="B33" s="889"/>
      <c r="C33" s="890"/>
      <c r="D33" s="890"/>
      <c r="E33" s="890"/>
      <c r="F33" s="890"/>
      <c r="G33" s="890"/>
      <c r="H33" s="890"/>
      <c r="I33" s="891" t="s">
        <v>891</v>
      </c>
      <c r="J33" s="892"/>
      <c r="K33" s="2036"/>
      <c r="L33" s="2037"/>
      <c r="M33" s="893"/>
      <c r="N33" s="1899">
        <f>IF(K33&gt;0,(K33-E32)/(1+M32),0)</f>
        <v>0</v>
      </c>
      <c r="O33" s="1900"/>
      <c r="P33" s="890"/>
      <c r="Q33" s="894"/>
      <c r="R33" s="895"/>
      <c r="S33" s="890"/>
      <c r="T33" s="890"/>
      <c r="U33" s="2245">
        <f>AE119</f>
        <v>0</v>
      </c>
      <c r="V33" s="2245"/>
      <c r="W33" s="896"/>
      <c r="X33" s="299"/>
      <c r="Y33" s="299"/>
      <c r="AF33" s="299"/>
      <c r="AG33" s="299"/>
      <c r="AH33" s="299"/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9"/>
      <c r="BK33" s="299"/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9"/>
      <c r="CQ33" s="299"/>
      <c r="CR33" s="299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</row>
    <row r="34" spans="2:122" s="298" customFormat="1" ht="20.25" customHeight="1" x14ac:dyDescent="0.35">
      <c r="B34" s="42" t="s">
        <v>632</v>
      </c>
      <c r="C34" s="906" t="s">
        <v>633</v>
      </c>
      <c r="D34" s="770"/>
      <c r="E34" s="770"/>
      <c r="F34" s="907"/>
      <c r="G34" s="770"/>
      <c r="H34" s="770"/>
      <c r="I34" s="770"/>
      <c r="J34" s="770"/>
      <c r="K34" s="770"/>
      <c r="L34" s="770"/>
      <c r="M34" s="770"/>
      <c r="N34" s="2461"/>
      <c r="O34" s="2461"/>
      <c r="P34" s="770"/>
      <c r="T34" s="500" t="s">
        <v>42</v>
      </c>
      <c r="U34" s="501" t="s">
        <v>28</v>
      </c>
      <c r="V34" s="502" t="s">
        <v>320</v>
      </c>
      <c r="W34" s="503" t="s">
        <v>705</v>
      </c>
    </row>
    <row r="35" spans="2:122" s="298" customFormat="1" ht="19" customHeight="1" x14ac:dyDescent="0.35">
      <c r="C35" s="908"/>
      <c r="D35" s="770"/>
      <c r="E35" s="770"/>
      <c r="F35" s="909"/>
      <c r="G35" s="770"/>
      <c r="H35" s="770"/>
      <c r="I35" s="770"/>
      <c r="J35" s="2462"/>
      <c r="K35" s="2463"/>
      <c r="L35" s="770"/>
      <c r="M35" s="770"/>
      <c r="N35" s="770"/>
      <c r="O35" s="770"/>
      <c r="P35" s="770"/>
      <c r="T35" s="504">
        <v>1</v>
      </c>
      <c r="U35" s="498">
        <v>3</v>
      </c>
      <c r="V35" s="499">
        <v>1</v>
      </c>
      <c r="W35" s="507">
        <f>T35*(U35*U35*0.04180884375)*V35</f>
        <v>0.37627959374999997</v>
      </c>
    </row>
    <row r="36" spans="2:122" s="298" customFormat="1" ht="19" customHeight="1" x14ac:dyDescent="0.35">
      <c r="C36" s="908"/>
      <c r="D36" s="770"/>
      <c r="E36" s="770"/>
      <c r="F36" s="910"/>
      <c r="G36" s="770"/>
      <c r="H36" s="770"/>
      <c r="I36" s="770"/>
      <c r="J36" s="770"/>
      <c r="K36" s="770"/>
      <c r="L36" s="770"/>
      <c r="M36" s="770"/>
      <c r="N36" s="770"/>
      <c r="O36" s="770"/>
      <c r="P36" s="770"/>
      <c r="T36" s="504">
        <v>1</v>
      </c>
      <c r="U36" s="498">
        <v>4</v>
      </c>
      <c r="V36" s="499">
        <v>1</v>
      </c>
      <c r="W36" s="507">
        <f>T36*(U36*U36*0.04180884375)*V36</f>
        <v>0.66894149999999997</v>
      </c>
    </row>
    <row r="37" spans="2:122" s="298" customFormat="1" ht="19" customHeight="1" x14ac:dyDescent="0.35">
      <c r="C37" s="770"/>
      <c r="D37" s="770"/>
      <c r="E37" s="770"/>
      <c r="F37" s="770"/>
      <c r="G37" s="770"/>
      <c r="H37" s="770"/>
      <c r="I37" s="770"/>
      <c r="J37" s="770"/>
      <c r="K37" s="770"/>
      <c r="L37" s="770"/>
      <c r="M37" s="770"/>
      <c r="N37" s="770"/>
      <c r="O37" s="770"/>
      <c r="P37" s="770"/>
      <c r="T37" s="504">
        <v>1</v>
      </c>
      <c r="U37" s="498">
        <v>5</v>
      </c>
      <c r="V37" s="499">
        <v>1</v>
      </c>
      <c r="W37" s="507">
        <f>T37*(U37*U37*0.04180884375)*V37</f>
        <v>1.0452210937499999</v>
      </c>
    </row>
    <row r="38" spans="2:122" s="298" customFormat="1" ht="19" customHeight="1" thickBot="1" x14ac:dyDescent="0.4">
      <c r="C38" s="911"/>
      <c r="D38" s="770"/>
      <c r="E38" s="770"/>
      <c r="F38" s="770"/>
      <c r="G38" s="770"/>
      <c r="H38" s="911"/>
      <c r="I38" s="911"/>
      <c r="J38" s="770"/>
      <c r="K38" s="770"/>
      <c r="L38" s="770"/>
      <c r="M38" s="770"/>
      <c r="N38" s="912"/>
      <c r="O38" s="911"/>
      <c r="P38" s="770"/>
    </row>
    <row r="39" spans="2:122" ht="45" customHeight="1" thickBot="1" x14ac:dyDescent="0.4">
      <c r="B39" s="926" t="s">
        <v>226</v>
      </c>
      <c r="C39" s="2309" t="s">
        <v>167</v>
      </c>
      <c r="D39" s="2370"/>
      <c r="E39" s="2370"/>
      <c r="F39" s="2370"/>
      <c r="G39" s="2370"/>
      <c r="H39" s="2370"/>
      <c r="I39" s="2370"/>
      <c r="J39" s="2370"/>
      <c r="K39" s="2370"/>
      <c r="L39" s="2370"/>
      <c r="M39" s="2370"/>
      <c r="N39" s="2370"/>
      <c r="O39" s="2370"/>
      <c r="P39" s="2371"/>
      <c r="Q39" s="2464" t="s">
        <v>196</v>
      </c>
      <c r="R39" s="2465"/>
      <c r="S39" s="152" t="s">
        <v>52</v>
      </c>
      <c r="T39" s="143"/>
      <c r="U39" s="164" t="s">
        <v>7</v>
      </c>
      <c r="V39" s="143"/>
      <c r="W39" s="165"/>
    </row>
    <row r="40" spans="2:122" ht="19" customHeight="1" thickTop="1" thickBot="1" x14ac:dyDescent="0.4">
      <c r="B40" s="12">
        <v>2</v>
      </c>
      <c r="C40" s="42" t="str">
        <f>IF(B40=1,Pricing!F$1,IF(B40=2,Pricing!G$1,IF(B40=3,Pricing!H$1,IF(B40=4,Pricing!I$1,IF(B40=5,Pricing!J$1,IF(B40=6,Pricing!K$1,0))))))</f>
        <v>3500 Psi</v>
      </c>
      <c r="G40" s="954">
        <f>IF(B40=1,Pricing!F$2,IF(B40=2,Pricing!G$2,IF(B40=3,Pricing!H$2,IF(B40=4,Pricing!I$2,IF(B40=5,Pricing!J$2,IF(B40=6,Pricing!K$2,0))))))</f>
        <v>152</v>
      </c>
      <c r="H40" s="88" t="s">
        <v>168</v>
      </c>
      <c r="I40" s="2032" t="s">
        <v>323</v>
      </c>
      <c r="J40" s="2033"/>
      <c r="K40" s="2459">
        <v>0.08</v>
      </c>
      <c r="L40" s="2456">
        <f>IF(B40=1,AJ$28,IF(B40=2,AK$28,IF(B40=3,AL$28,IF(B40=4,AM$28,IF(B40=5,AN$28,IF(B40=6,AO$28))))))</f>
        <v>0</v>
      </c>
      <c r="M40" s="1874"/>
      <c r="N40" s="58" t="s">
        <v>102</v>
      </c>
      <c r="O40" s="2457">
        <f>L40*G40*(IF(U$31="N",1+W$31,1))</f>
        <v>0</v>
      </c>
      <c r="P40" s="2458"/>
      <c r="Q40" s="193" t="s">
        <v>203</v>
      </c>
      <c r="R40" s="106"/>
      <c r="S40" s="194">
        <f>S43</f>
        <v>0</v>
      </c>
      <c r="T40" s="106" t="s">
        <v>42</v>
      </c>
      <c r="U40" s="195">
        <f>Pricing!N3</f>
        <v>0.5625</v>
      </c>
      <c r="V40" s="401" t="s">
        <v>787</v>
      </c>
      <c r="W40" s="118">
        <f>IF(U$31="Y",S40*U40,S40*U40*(1+W$31))</f>
        <v>0</v>
      </c>
    </row>
    <row r="41" spans="2:122" ht="19" customHeight="1" thickTop="1" thickBot="1" x14ac:dyDescent="0.4">
      <c r="B41" s="13">
        <v>3</v>
      </c>
      <c r="C41" s="42" t="str">
        <f>IF(B41=1,Pricing!F$1,IF(B41=2,Pricing!G$1,IF(B41=3,Pricing!H$1,IF(B41=4,Pricing!I$1,IF(B41=5,Pricing!J$1,IF(B41=6,Pricing!K$1,0))))))</f>
        <v>4000 psi</v>
      </c>
      <c r="G41" s="954">
        <f>IF(B41=1,Pricing!F$2,IF(B41=2,Pricing!G$2,IF(B41=3,Pricing!H$2,IF(B41=4,Pricing!I$2,IF(B41=5,Pricing!J$2,IF(B41=6,Pricing!K$2,0))))))</f>
        <v>157</v>
      </c>
      <c r="H41" s="88" t="s">
        <v>168</v>
      </c>
      <c r="I41" s="2032"/>
      <c r="J41" s="2033"/>
      <c r="K41" s="2459"/>
      <c r="L41" s="2456">
        <f>IF(B41=1,AJ$28,IF(B41=2,AK$28,IF(B41=3,AL$28,IF(B41=4,AM$28,IF(B41=5,AN$28,IF(B41=6,AO$28))))))</f>
        <v>0</v>
      </c>
      <c r="M41" s="1874"/>
      <c r="N41" s="58" t="s">
        <v>102</v>
      </c>
      <c r="O41" s="2457">
        <f>L41*G41*(IF(U$31="N",1+W$31,1))</f>
        <v>0</v>
      </c>
      <c r="P41" s="2458"/>
      <c r="Q41" s="193" t="s">
        <v>204</v>
      </c>
      <c r="R41" s="106"/>
      <c r="S41" s="194">
        <f>S43</f>
        <v>0</v>
      </c>
      <c r="T41" s="106" t="s">
        <v>42</v>
      </c>
      <c r="U41" s="195">
        <f>Pricing!N4</f>
        <v>0.65625</v>
      </c>
      <c r="V41" s="401" t="s">
        <v>787</v>
      </c>
      <c r="W41" s="118">
        <f>IF(U$31="Y",S41*U41,S41*U41*(1+W$31))</f>
        <v>0</v>
      </c>
    </row>
    <row r="42" spans="2:122" ht="19" customHeight="1" thickTop="1" thickBot="1" x14ac:dyDescent="0.4">
      <c r="B42" s="14">
        <v>4</v>
      </c>
      <c r="C42" s="42" t="str">
        <f>IF(B42=1,Pricing!F$1,IF(B42=2,Pricing!G$1,IF(B42=3,Pricing!H$1,IF(B42=4,Pricing!I$1,IF(B42=5,Pricing!J$1,IF(B42=6,Pricing!K$1,0))))))</f>
        <v>4500 psi</v>
      </c>
      <c r="G42" s="954">
        <f>IF(B42=1,Pricing!F$2,IF(B42=2,Pricing!G$2,IF(B42=3,Pricing!H$2,IF(B42=4,Pricing!I$2,IF(B42=5,Pricing!J$2,IF(B42=6,Pricing!K$2,0))))))</f>
        <v>162</v>
      </c>
      <c r="H42" s="90" t="s">
        <v>168</v>
      </c>
      <c r="I42" s="2034"/>
      <c r="J42" s="2035"/>
      <c r="K42" s="2460"/>
      <c r="L42" s="2456">
        <f>IF(B42=1,AJ$28,IF(B42=2,AK$28,IF(B42=3,AL$28,IF(B42=4,AM$28,IF(B42=5,AN$28,IF(B42=6,AO$28))))))</f>
        <v>0</v>
      </c>
      <c r="M42" s="1874"/>
      <c r="N42" s="91" t="s">
        <v>102</v>
      </c>
      <c r="O42" s="2457">
        <f>L42*G42*(IF(U$31="N",1+W$31,1))</f>
        <v>0</v>
      </c>
      <c r="P42" s="2458"/>
      <c r="Q42" s="193" t="s">
        <v>206</v>
      </c>
      <c r="R42" s="106"/>
      <c r="S42" s="194">
        <v>0</v>
      </c>
      <c r="T42" s="106" t="s">
        <v>42</v>
      </c>
      <c r="U42" s="195">
        <f>Pricing!N5</f>
        <v>1</v>
      </c>
      <c r="V42" s="401" t="s">
        <v>787</v>
      </c>
      <c r="W42" s="118">
        <f>IF(U$31="Y",S42*U42,S42*U42*(1+W$31))</f>
        <v>0</v>
      </c>
    </row>
    <row r="43" spans="2:122" ht="19" customHeight="1" thickTop="1" x14ac:dyDescent="0.35">
      <c r="B43" s="43"/>
      <c r="C43" s="92" t="s">
        <v>104</v>
      </c>
      <c r="G43" s="955">
        <f>Pricing!D23</f>
        <v>0.55000000000000004</v>
      </c>
      <c r="H43" s="88" t="s">
        <v>88</v>
      </c>
      <c r="I43" s="2246" t="s">
        <v>202</v>
      </c>
      <c r="J43" s="2247"/>
      <c r="K43" s="913">
        <v>0.1</v>
      </c>
      <c r="L43" s="2454">
        <f>SUM(S11:S27)</f>
        <v>0</v>
      </c>
      <c r="M43" s="2455"/>
      <c r="N43" s="42" t="s">
        <v>32</v>
      </c>
      <c r="O43" s="2450">
        <f>G43*L43*(IF(U31="N",1+W31,1))</f>
        <v>0</v>
      </c>
      <c r="P43" s="2451"/>
      <c r="Q43" s="193" t="s">
        <v>205</v>
      </c>
      <c r="R43" s="106"/>
      <c r="S43" s="194">
        <f>SUM(J11:J27)*0.5</f>
        <v>0</v>
      </c>
      <c r="T43" s="106" t="s">
        <v>42</v>
      </c>
      <c r="U43" s="195">
        <f>Pricing!N6</f>
        <v>1.25</v>
      </c>
      <c r="V43" s="401" t="s">
        <v>787</v>
      </c>
      <c r="W43" s="118">
        <f>IF(U$31="Y",S43*U43,S43*U43*(1+W$31))</f>
        <v>0</v>
      </c>
    </row>
    <row r="44" spans="2:122" ht="19" customHeight="1" x14ac:dyDescent="0.35">
      <c r="B44" s="43"/>
      <c r="C44" s="92" t="s">
        <v>86</v>
      </c>
      <c r="G44" s="955">
        <f>Pricing!D27</f>
        <v>0.4</v>
      </c>
      <c r="H44" s="88" t="s">
        <v>69</v>
      </c>
      <c r="I44" s="2008" t="s">
        <v>202</v>
      </c>
      <c r="J44" s="2009"/>
      <c r="K44" s="914">
        <v>0.05</v>
      </c>
      <c r="L44" s="2456">
        <v>0</v>
      </c>
      <c r="M44" s="1874"/>
      <c r="N44" s="42" t="s">
        <v>95</v>
      </c>
      <c r="O44" s="2457">
        <f>L44*G44*(IF(U31="N",1+W31,1))*(K44+1)</f>
        <v>0</v>
      </c>
      <c r="P44" s="2458"/>
      <c r="Q44" s="193" t="s">
        <v>375</v>
      </c>
      <c r="R44" s="106"/>
      <c r="S44" s="194">
        <f>ROUNDUP(SUM(J11:J27)*0.05/16,0)</f>
        <v>0</v>
      </c>
      <c r="T44" s="106" t="s">
        <v>791</v>
      </c>
      <c r="U44" s="195">
        <f>Pricing!N8</f>
        <v>19</v>
      </c>
      <c r="V44" s="106" t="s">
        <v>378</v>
      </c>
      <c r="W44" s="118">
        <f>U44*S44</f>
        <v>0</v>
      </c>
    </row>
    <row r="45" spans="2:122" ht="19" customHeight="1" thickBot="1" x14ac:dyDescent="0.4">
      <c r="B45" s="43"/>
      <c r="C45" s="93"/>
      <c r="D45" s="75"/>
      <c r="E45" s="75"/>
      <c r="F45" s="75"/>
      <c r="G45" s="954">
        <v>0.35</v>
      </c>
      <c r="H45" s="90" t="s">
        <v>69</v>
      </c>
      <c r="I45" s="75" t="s">
        <v>199</v>
      </c>
      <c r="J45" s="2440">
        <v>0</v>
      </c>
      <c r="K45" s="2440"/>
      <c r="L45" s="2441">
        <v>0</v>
      </c>
      <c r="M45" s="2441"/>
      <c r="N45" s="75" t="s">
        <v>95</v>
      </c>
      <c r="O45" s="2442"/>
      <c r="P45" s="2443"/>
      <c r="Q45" s="193" t="s">
        <v>207</v>
      </c>
      <c r="R45" s="106"/>
      <c r="S45" s="194">
        <f>BW27*0.35</f>
        <v>0</v>
      </c>
      <c r="T45" s="106" t="s">
        <v>791</v>
      </c>
      <c r="U45" s="195">
        <f>Pricing!N7</f>
        <v>50</v>
      </c>
      <c r="V45" s="401" t="s">
        <v>290</v>
      </c>
      <c r="W45" s="118">
        <f t="shared" ref="W45:W50" si="30">IF(U$31="Y",S45*U45,S45*U45*(1+W$31))</f>
        <v>0</v>
      </c>
    </row>
    <row r="46" spans="2:122" ht="19" customHeight="1" thickTop="1" x14ac:dyDescent="0.35">
      <c r="B46" s="94"/>
      <c r="C46" s="58" t="s">
        <v>103</v>
      </c>
      <c r="G46" s="956">
        <f>Pricing!D18</f>
        <v>25</v>
      </c>
      <c r="H46" s="88" t="s">
        <v>169</v>
      </c>
      <c r="I46" s="2444" t="s">
        <v>202</v>
      </c>
      <c r="J46" s="2445"/>
      <c r="K46" s="2448">
        <v>0.05</v>
      </c>
      <c r="L46" s="1874">
        <f>SUM(Q11:Q27)</f>
        <v>0</v>
      </c>
      <c r="M46" s="1874"/>
      <c r="N46" s="42" t="s">
        <v>102</v>
      </c>
      <c r="O46" s="2450">
        <f>L46*G46*(IF(U31="N",(1+W31),1))</f>
        <v>0</v>
      </c>
      <c r="P46" s="2451"/>
      <c r="Q46" s="193" t="s">
        <v>757</v>
      </c>
      <c r="R46" s="106"/>
      <c r="S46" s="194">
        <f>ROUND(S43/25,0)</f>
        <v>0</v>
      </c>
      <c r="T46" s="106" t="s">
        <v>790</v>
      </c>
      <c r="U46" s="195">
        <f>Pricing!N14</f>
        <v>18</v>
      </c>
      <c r="V46" s="401" t="s">
        <v>291</v>
      </c>
      <c r="W46" s="118">
        <f t="shared" si="30"/>
        <v>0</v>
      </c>
    </row>
    <row r="47" spans="2:122" ht="19" customHeight="1" thickBot="1" x14ac:dyDescent="0.4">
      <c r="B47" s="43"/>
      <c r="C47" s="134" t="s">
        <v>362</v>
      </c>
      <c r="D47" s="75"/>
      <c r="E47" s="95"/>
      <c r="F47" s="75"/>
      <c r="G47" s="957">
        <v>15</v>
      </c>
      <c r="H47" s="90" t="s">
        <v>124</v>
      </c>
      <c r="I47" s="2446"/>
      <c r="J47" s="2447"/>
      <c r="K47" s="2449"/>
      <c r="L47" s="2441">
        <v>0</v>
      </c>
      <c r="M47" s="2441"/>
      <c r="N47" s="75" t="s">
        <v>102</v>
      </c>
      <c r="O47" s="2452">
        <f>L47*G47*(IF(U31="N",(1+W31),1))</f>
        <v>0</v>
      </c>
      <c r="P47" s="2453"/>
      <c r="Q47" s="193" t="s">
        <v>0</v>
      </c>
      <c r="R47" s="106"/>
      <c r="S47" s="529">
        <f>ROUNDUP(SUM(J11:J27)*1.25/1500,0)</f>
        <v>0</v>
      </c>
      <c r="T47" s="106" t="s">
        <v>626</v>
      </c>
      <c r="U47" s="195">
        <f>Pricing!N15</f>
        <v>42</v>
      </c>
      <c r="V47" s="401" t="s">
        <v>292</v>
      </c>
      <c r="W47" s="118">
        <f t="shared" si="30"/>
        <v>0</v>
      </c>
    </row>
    <row r="48" spans="2:122" ht="19" customHeight="1" thickTop="1" thickBot="1" x14ac:dyDescent="0.4">
      <c r="B48" s="47"/>
      <c r="C48" s="47" t="s">
        <v>70</v>
      </c>
      <c r="D48" s="49"/>
      <c r="E48" s="49"/>
      <c r="F48" s="49"/>
      <c r="G48" s="958">
        <v>0.65</v>
      </c>
      <c r="H48" s="96" t="s">
        <v>193</v>
      </c>
      <c r="I48" s="2360" t="s">
        <v>195</v>
      </c>
      <c r="J48" s="2361"/>
      <c r="K48" s="915">
        <v>0</v>
      </c>
      <c r="L48" s="2427">
        <f>SUM(J11:J27)</f>
        <v>0</v>
      </c>
      <c r="M48" s="2428"/>
      <c r="N48" s="49" t="s">
        <v>42</v>
      </c>
      <c r="O48" s="2429">
        <f>G48*K48*L48</f>
        <v>0</v>
      </c>
      <c r="P48" s="2430"/>
      <c r="Q48" s="193" t="s">
        <v>2</v>
      </c>
      <c r="R48" s="106"/>
      <c r="S48" s="194">
        <f>ROUNDUP(SUM(J11:J27)*1.25/3000,0)</f>
        <v>0</v>
      </c>
      <c r="T48" s="106" t="s">
        <v>626</v>
      </c>
      <c r="U48" s="195">
        <f>Pricing!N16</f>
        <v>42</v>
      </c>
      <c r="V48" s="401" t="s">
        <v>292</v>
      </c>
      <c r="W48" s="118">
        <f t="shared" si="30"/>
        <v>0</v>
      </c>
    </row>
    <row r="49" spans="2:31" ht="19" customHeight="1" thickBot="1" x14ac:dyDescent="0.4">
      <c r="B49" s="835" t="s">
        <v>221</v>
      </c>
      <c r="C49" s="834"/>
      <c r="D49" s="834" t="s">
        <v>299</v>
      </c>
      <c r="E49" s="834"/>
      <c r="F49" s="834"/>
      <c r="G49" s="834"/>
      <c r="H49" s="834"/>
      <c r="I49" s="834"/>
      <c r="J49" s="834"/>
      <c r="K49" s="834"/>
      <c r="L49" s="2306" t="s">
        <v>45</v>
      </c>
      <c r="M49" s="2306"/>
      <c r="N49" s="2306" t="s">
        <v>300</v>
      </c>
      <c r="O49" s="2306"/>
      <c r="P49" s="2307"/>
      <c r="Q49" s="193" t="s">
        <v>1</v>
      </c>
      <c r="R49" s="106"/>
      <c r="S49" s="194">
        <f>S48</f>
        <v>0</v>
      </c>
      <c r="T49" s="106" t="s">
        <v>626</v>
      </c>
      <c r="U49" s="195">
        <f>Pricing!N17</f>
        <v>42</v>
      </c>
      <c r="V49" s="401" t="s">
        <v>292</v>
      </c>
      <c r="W49" s="118">
        <f t="shared" si="30"/>
        <v>0</v>
      </c>
    </row>
    <row r="50" spans="2:31" ht="19" customHeight="1" x14ac:dyDescent="0.35">
      <c r="B50" s="43" t="s">
        <v>329</v>
      </c>
      <c r="C50" s="57"/>
      <c r="D50" s="97" t="s">
        <v>235</v>
      </c>
      <c r="E50" s="2418">
        <v>0.2</v>
      </c>
      <c r="F50" s="2419"/>
      <c r="G50" s="88" t="s">
        <v>191</v>
      </c>
      <c r="H50" s="2431">
        <f>SUM(E50:F52)</f>
        <v>0.85</v>
      </c>
      <c r="I50" s="2432">
        <f>D28</f>
        <v>0</v>
      </c>
      <c r="J50" s="2433"/>
      <c r="K50" s="42" t="s">
        <v>95</v>
      </c>
      <c r="L50" s="1886">
        <f>IF(D50="N",E50*I50,0)</f>
        <v>0</v>
      </c>
      <c r="M50" s="1886"/>
      <c r="N50" s="7"/>
      <c r="O50" s="2438">
        <f>IF(D50="y",I$50*E50,0)</f>
        <v>0</v>
      </c>
      <c r="P50" s="2439"/>
      <c r="Q50" s="193" t="s">
        <v>210</v>
      </c>
      <c r="R50" s="106"/>
      <c r="S50" s="194">
        <v>0</v>
      </c>
      <c r="T50" s="106" t="s">
        <v>626</v>
      </c>
      <c r="U50" s="195">
        <f>Pricing!N33</f>
        <v>25.5</v>
      </c>
      <c r="V50" s="401" t="s">
        <v>292</v>
      </c>
      <c r="W50" s="118">
        <f t="shared" si="30"/>
        <v>0</v>
      </c>
    </row>
    <row r="51" spans="2:31" ht="19" customHeight="1" x14ac:dyDescent="0.35">
      <c r="B51" s="92" t="s">
        <v>162</v>
      </c>
      <c r="C51" s="57"/>
      <c r="D51" s="98" t="s">
        <v>200</v>
      </c>
      <c r="E51" s="2418">
        <v>0.5</v>
      </c>
      <c r="F51" s="2419"/>
      <c r="G51" s="88" t="s">
        <v>191</v>
      </c>
      <c r="H51" s="2431"/>
      <c r="I51" s="2434"/>
      <c r="J51" s="2435"/>
      <c r="K51" s="42" t="s">
        <v>95</v>
      </c>
      <c r="L51" s="1886">
        <f>IF(D51="N",E51*I50,0)</f>
        <v>0</v>
      </c>
      <c r="M51" s="1886"/>
      <c r="N51" s="7"/>
      <c r="O51" s="2420">
        <f>IF(D51="y",I$50*E51,0)</f>
        <v>0</v>
      </c>
      <c r="P51" s="2421"/>
      <c r="Q51" s="193" t="s">
        <v>236</v>
      </c>
      <c r="R51" s="106"/>
      <c r="S51" s="194">
        <v>0</v>
      </c>
      <c r="T51" s="106" t="s">
        <v>42</v>
      </c>
      <c r="U51" s="195">
        <f>Pricing!N18</f>
        <v>0.78</v>
      </c>
      <c r="V51" s="106" t="s">
        <v>787</v>
      </c>
      <c r="W51" s="118">
        <f>IF(U$31="Y",S51*U51,S51*U51*(1+W$31))</f>
        <v>0</v>
      </c>
    </row>
    <row r="52" spans="2:31" ht="19" customHeight="1" x14ac:dyDescent="0.35">
      <c r="B52" s="92" t="s">
        <v>84</v>
      </c>
      <c r="C52" s="57"/>
      <c r="D52" s="98" t="s">
        <v>200</v>
      </c>
      <c r="E52" s="2418">
        <v>0.15</v>
      </c>
      <c r="F52" s="2419"/>
      <c r="G52" s="88" t="s">
        <v>191</v>
      </c>
      <c r="H52" s="2431"/>
      <c r="I52" s="2436"/>
      <c r="J52" s="2437"/>
      <c r="K52" s="42" t="s">
        <v>95</v>
      </c>
      <c r="L52" s="1886">
        <f>IF(D52="N",E52*I50,0)</f>
        <v>0</v>
      </c>
      <c r="M52" s="1886"/>
      <c r="N52" s="7"/>
      <c r="O52" s="2420">
        <f>IF(D52="y",I$50*E52,0)</f>
        <v>0</v>
      </c>
      <c r="P52" s="2421"/>
      <c r="Q52" s="193" t="s">
        <v>119</v>
      </c>
      <c r="R52" s="106"/>
      <c r="S52" s="194">
        <v>0</v>
      </c>
      <c r="T52" s="106" t="s">
        <v>42</v>
      </c>
      <c r="U52" s="195">
        <f>Pricing!N19</f>
        <v>0.16</v>
      </c>
      <c r="V52" s="106" t="s">
        <v>787</v>
      </c>
      <c r="W52" s="118">
        <f>IF(U$31="Y",S52*U52,S52*U52*(1+W$31))</f>
        <v>0</v>
      </c>
    </row>
    <row r="53" spans="2:31" ht="19" customHeight="1" x14ac:dyDescent="0.35">
      <c r="B53" s="92" t="s">
        <v>33</v>
      </c>
      <c r="C53" s="57"/>
      <c r="D53" s="98" t="s">
        <v>200</v>
      </c>
      <c r="E53" s="2418">
        <v>300</v>
      </c>
      <c r="F53" s="2419"/>
      <c r="G53" s="88" t="s">
        <v>89</v>
      </c>
      <c r="I53" s="1874">
        <f>SUM(S11:S27)/2000</f>
        <v>0</v>
      </c>
      <c r="J53" s="1874"/>
      <c r="K53" s="42" t="s">
        <v>183</v>
      </c>
      <c r="L53" s="1886">
        <f>IF(D53="N",E53*I53,0)</f>
        <v>0</v>
      </c>
      <c r="M53" s="1886"/>
      <c r="N53" s="7"/>
      <c r="O53" s="2420">
        <f>IF(D53="y",I53*E53,0)</f>
        <v>0</v>
      </c>
      <c r="P53" s="2421"/>
      <c r="Q53" s="193" t="s">
        <v>363</v>
      </c>
      <c r="R53" s="106"/>
      <c r="S53" s="194">
        <f>G70</f>
        <v>0</v>
      </c>
      <c r="T53" s="106" t="s">
        <v>42</v>
      </c>
      <c r="U53" s="195">
        <f>Pricing!N11</f>
        <v>1.25</v>
      </c>
      <c r="V53" s="106" t="s">
        <v>787</v>
      </c>
      <c r="W53" s="118">
        <f>IF(U$31="Y",S53*U53,S53*U53*(1+W$31))</f>
        <v>0</v>
      </c>
    </row>
    <row r="54" spans="2:31" ht="19" customHeight="1" x14ac:dyDescent="0.35">
      <c r="B54" s="99" t="s">
        <v>558</v>
      </c>
      <c r="C54" s="79"/>
      <c r="D54" s="98" t="s">
        <v>200</v>
      </c>
      <c r="E54" s="2422">
        <v>4</v>
      </c>
      <c r="F54" s="2423"/>
      <c r="G54" s="137" t="s">
        <v>42</v>
      </c>
      <c r="H54" s="602"/>
      <c r="I54" s="2424">
        <f>J28</f>
        <v>0</v>
      </c>
      <c r="J54" s="2424"/>
      <c r="K54" s="52" t="s">
        <v>42</v>
      </c>
      <c r="L54" s="2118">
        <f>IF(D54="n",E54*I54,0)</f>
        <v>0</v>
      </c>
      <c r="M54" s="2118"/>
      <c r="N54" s="7"/>
      <c r="O54" s="2425">
        <f>IF(D54="y",I54*E54,0)</f>
        <v>0</v>
      </c>
      <c r="P54" s="2426"/>
      <c r="Q54" s="193" t="s">
        <v>367</v>
      </c>
      <c r="R54" s="106"/>
      <c r="S54" s="194">
        <v>0</v>
      </c>
      <c r="T54" s="106" t="s">
        <v>42</v>
      </c>
      <c r="U54" s="195">
        <f>Pricing!N12</f>
        <v>0.9</v>
      </c>
      <c r="V54" s="106" t="s">
        <v>787</v>
      </c>
      <c r="W54" s="118">
        <f>U54*S54</f>
        <v>0</v>
      </c>
    </row>
    <row r="55" spans="2:31" ht="19" customHeight="1" thickBot="1" x14ac:dyDescent="0.4">
      <c r="B55" s="6" t="s">
        <v>223</v>
      </c>
      <c r="C55" s="4"/>
      <c r="D55" s="5"/>
      <c r="E55" s="2414">
        <f>IF(I50=0,0,(O55+L55)/I50)</f>
        <v>0</v>
      </c>
      <c r="F55" s="2415"/>
      <c r="G55" s="76"/>
      <c r="H55" s="49"/>
      <c r="I55" s="2017" t="s">
        <v>50</v>
      </c>
      <c r="J55" s="2017"/>
      <c r="K55" s="2017"/>
      <c r="L55" s="2124">
        <f>SUM(L50:M54)</f>
        <v>0</v>
      </c>
      <c r="M55" s="2124"/>
      <c r="N55" s="7"/>
      <c r="O55" s="2416">
        <f>SUM(O50:P54)</f>
        <v>0</v>
      </c>
      <c r="P55" s="2417"/>
      <c r="Q55" s="193" t="s">
        <v>770</v>
      </c>
      <c r="R55" s="106"/>
      <c r="S55" s="194">
        <f>S54+S53</f>
        <v>0</v>
      </c>
      <c r="T55" s="106" t="s">
        <v>42</v>
      </c>
      <c r="U55" s="195">
        <f>Pricing!N9</f>
        <v>0.15</v>
      </c>
      <c r="V55" s="106" t="s">
        <v>787</v>
      </c>
      <c r="W55" s="118">
        <f>U55*S55</f>
        <v>0</v>
      </c>
    </row>
    <row r="56" spans="2:31" ht="19" customHeight="1" thickBot="1" x14ac:dyDescent="0.4">
      <c r="B56" s="2217" t="s">
        <v>374</v>
      </c>
      <c r="C56" s="1917"/>
      <c r="D56" s="1917"/>
      <c r="E56" s="1917"/>
      <c r="F56" s="1917"/>
      <c r="G56" s="1917"/>
      <c r="H56" s="1917"/>
      <c r="I56" s="1917"/>
      <c r="J56" s="1917"/>
      <c r="K56" s="1917"/>
      <c r="L56" s="1917"/>
      <c r="M56" s="1917"/>
      <c r="N56" s="1917"/>
      <c r="O56" s="1917"/>
      <c r="P56" s="1918"/>
      <c r="Q56" s="368"/>
      <c r="R56" s="368"/>
      <c r="S56" s="524"/>
      <c r="T56" s="368"/>
      <c r="U56" s="528">
        <v>0</v>
      </c>
      <c r="V56" s="106"/>
      <c r="W56" s="118">
        <f>S56*U56</f>
        <v>0</v>
      </c>
    </row>
    <row r="57" spans="2:31" ht="19" customHeight="1" x14ac:dyDescent="0.35">
      <c r="B57" s="100" t="s">
        <v>1164</v>
      </c>
      <c r="C57" s="48"/>
      <c r="D57" s="101"/>
      <c r="E57" s="752">
        <v>0</v>
      </c>
      <c r="F57" s="48" t="s">
        <v>187</v>
      </c>
      <c r="G57" s="807">
        <v>295</v>
      </c>
      <c r="H57" s="102" t="s">
        <v>68</v>
      </c>
      <c r="I57" s="48"/>
      <c r="J57" s="48"/>
      <c r="K57" s="48"/>
      <c r="L57" s="48"/>
      <c r="M57" s="1834">
        <f>IF(E29=0,0,(SUM(O57:P61))/E29)</f>
        <v>0</v>
      </c>
      <c r="N57" s="1835"/>
      <c r="O57" s="1828">
        <f>E57*G57</f>
        <v>0</v>
      </c>
      <c r="P57" s="1829"/>
      <c r="Q57" s="193" t="s">
        <v>755</v>
      </c>
      <c r="R57" s="106"/>
      <c r="S57" s="194">
        <v>0</v>
      </c>
      <c r="T57" s="106" t="s">
        <v>335</v>
      </c>
      <c r="U57" s="195">
        <v>200</v>
      </c>
      <c r="V57" s="106" t="s">
        <v>606</v>
      </c>
      <c r="W57" s="118">
        <f>S57*U57</f>
        <v>0</v>
      </c>
    </row>
    <row r="58" spans="2:31" ht="19" customHeight="1" x14ac:dyDescent="0.35">
      <c r="B58" s="92" t="s">
        <v>1162</v>
      </c>
      <c r="E58" s="753">
        <f>E57*0.5</f>
        <v>0</v>
      </c>
      <c r="F58" s="103" t="s">
        <v>187</v>
      </c>
      <c r="G58" s="808">
        <v>390</v>
      </c>
      <c r="H58" s="108" t="s">
        <v>68</v>
      </c>
      <c r="M58" s="1830">
        <f>SUM(O57:P61)</f>
        <v>0</v>
      </c>
      <c r="N58" s="1831"/>
      <c r="O58" s="1804">
        <f>E58*G58</f>
        <v>0</v>
      </c>
      <c r="P58" s="1805"/>
      <c r="Q58" s="193"/>
      <c r="R58" s="106"/>
      <c r="S58" s="194"/>
      <c r="T58" s="106"/>
      <c r="U58" s="195"/>
      <c r="V58" s="106"/>
      <c r="W58" s="118"/>
      <c r="Z58" s="299" t="s">
        <v>237</v>
      </c>
      <c r="AA58" s="299"/>
      <c r="AB58" s="299"/>
      <c r="AC58" s="299"/>
      <c r="AD58" s="299"/>
      <c r="AE58" s="299"/>
    </row>
    <row r="59" spans="2:31" ht="19" customHeight="1" x14ac:dyDescent="0.35">
      <c r="B59" s="196" t="s">
        <v>1165</v>
      </c>
      <c r="E59" s="1408"/>
      <c r="F59" s="103" t="s">
        <v>187</v>
      </c>
      <c r="G59" s="1414">
        <v>200</v>
      </c>
      <c r="H59" s="108" t="s">
        <v>68</v>
      </c>
      <c r="M59" s="1814"/>
      <c r="N59" s="1814"/>
      <c r="O59" s="1804">
        <f t="shared" ref="O59:O60" si="31">E59*G59</f>
        <v>0</v>
      </c>
      <c r="P59" s="1805"/>
      <c r="Q59" s="193"/>
      <c r="R59" s="106"/>
      <c r="S59" s="194"/>
      <c r="T59" s="106"/>
      <c r="U59" s="195"/>
      <c r="V59" s="106"/>
      <c r="W59" s="118"/>
      <c r="Z59" s="299"/>
      <c r="AA59" s="299"/>
      <c r="AB59" s="299"/>
      <c r="AC59" s="299"/>
      <c r="AD59" s="299"/>
      <c r="AE59" s="299"/>
    </row>
    <row r="60" spans="2:31" ht="19" customHeight="1" x14ac:dyDescent="0.35">
      <c r="B60" s="196" t="s">
        <v>1168</v>
      </c>
      <c r="E60" s="1408">
        <f>E57*0.5</f>
        <v>0</v>
      </c>
      <c r="F60" s="103" t="s">
        <v>187</v>
      </c>
      <c r="G60" s="1414">
        <v>200</v>
      </c>
      <c r="H60" s="88"/>
      <c r="M60" s="1814"/>
      <c r="N60" s="1814"/>
      <c r="O60" s="1804">
        <f t="shared" si="31"/>
        <v>0</v>
      </c>
      <c r="P60" s="1805"/>
      <c r="Q60" s="193"/>
      <c r="R60" s="106"/>
      <c r="S60" s="194"/>
      <c r="T60" s="106"/>
      <c r="U60" s="195"/>
      <c r="V60" s="106"/>
      <c r="W60" s="118"/>
      <c r="Z60" s="299"/>
      <c r="AA60" s="299"/>
      <c r="AB60" s="299"/>
      <c r="AC60" s="299"/>
      <c r="AD60" s="299"/>
      <c r="AE60" s="299"/>
    </row>
    <row r="61" spans="2:31" ht="19" customHeight="1" thickBot="1" x14ac:dyDescent="0.4">
      <c r="B61" s="219" t="s">
        <v>188</v>
      </c>
      <c r="C61" s="49"/>
      <c r="D61" s="49"/>
      <c r="E61" s="754">
        <f>IF(E57=0,E58,E57)</f>
        <v>0</v>
      </c>
      <c r="F61" s="49" t="s">
        <v>187</v>
      </c>
      <c r="G61" s="809">
        <v>100</v>
      </c>
      <c r="H61" s="96" t="s">
        <v>68</v>
      </c>
      <c r="I61" s="49"/>
      <c r="J61" s="49"/>
      <c r="K61" s="49"/>
      <c r="L61" s="49"/>
      <c r="M61" s="49"/>
      <c r="N61" s="49"/>
      <c r="O61" s="1832">
        <f>E61*G61</f>
        <v>0</v>
      </c>
      <c r="P61" s="1833"/>
      <c r="Q61" s="193"/>
      <c r="R61" s="106"/>
      <c r="S61" s="194"/>
      <c r="T61" s="106"/>
      <c r="U61" s="195"/>
      <c r="V61" s="106"/>
      <c r="W61" s="118"/>
      <c r="Z61" s="299" t="s">
        <v>126</v>
      </c>
      <c r="AA61" s="299">
        <v>0</v>
      </c>
      <c r="AB61" s="299"/>
      <c r="AC61" s="299"/>
      <c r="AD61" s="299"/>
      <c r="AE61" s="299"/>
    </row>
    <row r="62" spans="2:31" ht="19" customHeight="1" thickBot="1" x14ac:dyDescent="0.4">
      <c r="B62" s="2395" t="s">
        <v>44</v>
      </c>
      <c r="C62" s="2236"/>
      <c r="D62" s="2236"/>
      <c r="E62" s="2236"/>
      <c r="F62" s="2236"/>
      <c r="G62" s="2236"/>
      <c r="H62" s="2236"/>
      <c r="I62" s="2236"/>
      <c r="J62" s="2236"/>
      <c r="K62" s="2236"/>
      <c r="L62" s="2236"/>
      <c r="M62" s="2236"/>
      <c r="N62" s="2236"/>
      <c r="O62" s="2236"/>
      <c r="P62" s="2396"/>
      <c r="Q62" s="193"/>
      <c r="R62" s="106"/>
      <c r="S62" s="194"/>
      <c r="T62" s="402"/>
      <c r="U62" s="195"/>
      <c r="V62" s="106"/>
      <c r="W62" s="118"/>
      <c r="Z62" s="299" t="s">
        <v>238</v>
      </c>
      <c r="AA62" s="299">
        <v>0</v>
      </c>
      <c r="AB62" s="299"/>
      <c r="AC62" s="299"/>
      <c r="AD62" s="299"/>
      <c r="AE62" s="299"/>
    </row>
    <row r="63" spans="2:31" ht="19" customHeight="1" x14ac:dyDescent="0.35">
      <c r="B63" s="2297" t="s">
        <v>732</v>
      </c>
      <c r="C63" s="2298"/>
      <c r="D63" s="2337"/>
      <c r="E63" s="916">
        <v>0</v>
      </c>
      <c r="F63" s="48" t="s">
        <v>107</v>
      </c>
      <c r="G63" s="959">
        <v>250</v>
      </c>
      <c r="H63" s="116" t="s">
        <v>68</v>
      </c>
      <c r="I63" s="48"/>
      <c r="J63" s="48"/>
      <c r="K63" s="48"/>
      <c r="L63" s="48"/>
      <c r="M63" s="48"/>
      <c r="N63" s="48"/>
      <c r="O63" s="2412">
        <f>(IF(AND(E63&gt;0,E63&lt;4),E63*G63,0)+IF(AND(E63&gt;3,E63&lt;8),G63*3,0)+IF(AND(E63&gt;7,E63&lt;21),E63/7*G63*3,0)+IF(AND(E63&gt;20,E63&lt;30),G63*9,0)+IF(E63&gt;29,E63/30*G63*9,0))*(1+W$31+J$65)</f>
        <v>0</v>
      </c>
      <c r="P63" s="2413"/>
      <c r="Q63" s="193"/>
      <c r="R63" s="106"/>
      <c r="S63" s="194"/>
      <c r="T63" s="106"/>
      <c r="U63" s="195"/>
      <c r="V63" s="401"/>
      <c r="W63" s="118"/>
      <c r="Z63" s="299" t="s">
        <v>283</v>
      </c>
      <c r="AA63" s="299">
        <v>0</v>
      </c>
      <c r="AB63" s="299"/>
      <c r="AC63" s="299"/>
      <c r="AD63" s="299"/>
      <c r="AE63" s="299"/>
    </row>
    <row r="64" spans="2:31" ht="19" customHeight="1" thickBot="1" x14ac:dyDescent="0.4">
      <c r="B64" s="2259" t="s">
        <v>803</v>
      </c>
      <c r="C64" s="1972"/>
      <c r="D64" s="2260"/>
      <c r="E64" s="919">
        <f>IF(E$61&gt;0,IF(E$61&lt;=3,E$61,7),0)+IF(E$61&gt;5,IF(E$61&lt;=10,7,0),0)+IF(E$61&gt;10,IF(E$61&lt;=15,14,0),0)+IF(E$61&gt;15,IF(E$61&lt;=20,23,0),0)+IF(E$61&gt;20,IF(E$61&lt;=40,53,0),0)+IF(E$61&gt;40,IF(E$61&lt;=60,83,0),0)+IF(E$61&gt;60,IF(E$61&lt;=80,113,0),0)+IF(E$61&gt;80,IF(E$61&lt;=100,143,0),0)+IF(E$61&gt;100,IF(E$61&lt;=120,173,0),0)+IF(E$61&gt;120,IF(E$61&lt;=140,203,0),0)+IF(E$61&gt;140,IF(E$61&lt;=160,233,0),0)</f>
        <v>0</v>
      </c>
      <c r="F64" s="42" t="s">
        <v>107</v>
      </c>
      <c r="G64" s="960">
        <f>Pricing!D33</f>
        <v>350</v>
      </c>
      <c r="H64" s="88" t="s">
        <v>68</v>
      </c>
      <c r="J64" s="2083" t="s">
        <v>469</v>
      </c>
      <c r="K64" s="2084"/>
      <c r="M64" s="2404">
        <f>IF(E32=0,0,(SUM(O63:P68))/E32)</f>
        <v>0</v>
      </c>
      <c r="N64" s="2405"/>
      <c r="O64" s="2388">
        <f>(IF(AND(E64&gt;0,E64&lt;4),E64*G64,0)+IF(AND(E64&gt;3,E64&lt;8),G64*3,0)+IF(AND(E64&gt;7,E64&lt;21),E64/7*G64*3,0)+IF(AND(E64&gt;20,E64&lt;30),G64*9,0)+IF(E64&gt;29,E64/30*G64*9,0))*(1+W$31+J$65)</f>
        <v>0</v>
      </c>
      <c r="P64" s="2389"/>
      <c r="Q64" s="193"/>
      <c r="R64" s="106"/>
      <c r="S64" s="194"/>
      <c r="T64" s="106"/>
      <c r="U64" s="195"/>
      <c r="V64" s="106"/>
      <c r="W64" s="118"/>
      <c r="Z64" s="299" t="s">
        <v>239</v>
      </c>
      <c r="AA64" s="299" t="s">
        <v>240</v>
      </c>
      <c r="AB64" s="299"/>
      <c r="AC64" s="299"/>
      <c r="AD64" s="299"/>
      <c r="AE64" s="299" t="s">
        <v>92</v>
      </c>
    </row>
    <row r="65" spans="2:31" ht="19" customHeight="1" thickTop="1" thickBot="1" x14ac:dyDescent="0.4">
      <c r="B65" s="2259" t="s">
        <v>559</v>
      </c>
      <c r="C65" s="1972"/>
      <c r="D65" s="2260"/>
      <c r="E65" s="919">
        <v>0</v>
      </c>
      <c r="F65" s="42" t="s">
        <v>107</v>
      </c>
      <c r="G65" s="960">
        <v>150</v>
      </c>
      <c r="H65" s="88" t="s">
        <v>68</v>
      </c>
      <c r="J65" s="2406">
        <v>0.5</v>
      </c>
      <c r="K65" s="2407"/>
      <c r="M65" s="2410">
        <f>SUM(O63:P68)</f>
        <v>0</v>
      </c>
      <c r="N65" s="2411"/>
      <c r="O65" s="2388">
        <f>(IF(AND(E65&gt;0,E65&lt;4),E65*G65,0)+IF(AND(E65&gt;3,E65&lt;8),G65*3,0)+IF(AND(E65&gt;7,E65&lt;21),E65/7*G65*3,0)+IF(AND(E65&gt;20,E65&lt;30),G65*9,0)+IF(E65&gt;29,E65/30*G65*9,0))*(1+W$31+J$65)</f>
        <v>0</v>
      </c>
      <c r="P65" s="2389"/>
      <c r="Q65" s="949" t="s">
        <v>892</v>
      </c>
      <c r="R65" s="950"/>
      <c r="S65" s="949"/>
      <c r="T65" s="951"/>
      <c r="U65" s="2243"/>
      <c r="V65" s="2244"/>
      <c r="W65" s="952">
        <f>U65</f>
        <v>0</v>
      </c>
      <c r="Z65" s="299"/>
      <c r="AA65" s="299"/>
      <c r="AB65" s="299"/>
      <c r="AC65" s="299"/>
      <c r="AD65" s="299"/>
      <c r="AE65" s="299"/>
    </row>
    <row r="66" spans="2:31" ht="19" customHeight="1" thickTop="1" x14ac:dyDescent="0.35">
      <c r="B66" s="2259" t="s">
        <v>160</v>
      </c>
      <c r="C66" s="1972"/>
      <c r="D66" s="2260"/>
      <c r="E66" s="919">
        <f>IF(E$61&gt;0,IF(E$61&lt;=3,E$61,7),0)+IF(E$61&gt;5,IF(E$61&lt;=10,7,0),0)+IF(E$61&gt;10,IF(E$61&lt;=15,14,0),0)+IF(E$61&gt;15,IF(E$61&lt;=20,23,0),0)+IF(E$61&gt;20,IF(E$61&lt;=40,53,0),0)+IF(E$61&gt;40,IF(E$61&lt;=60,83,0),0)+IF(E$61&gt;60,IF(E$61&lt;=80,113,0),0)+IF(E$61&gt;80,IF(E$61&lt;=100,143,0),0)</f>
        <v>0</v>
      </c>
      <c r="F66" s="42" t="s">
        <v>107</v>
      </c>
      <c r="G66" s="960">
        <f>Pricing!D37</f>
        <v>65</v>
      </c>
      <c r="H66" s="88" t="s">
        <v>68</v>
      </c>
      <c r="J66" s="2408"/>
      <c r="K66" s="2409"/>
      <c r="O66" s="2388">
        <f>(IF(AND(E66&gt;0,E66&lt;4),E66*G66,0)+IF(AND(E66&gt;3,E66&lt;8),G66*3,0)+IF(AND(E66&gt;7,E66&lt;21),E66/7*G66*3,0)+IF(AND(E66&gt;20,E66&lt;30),G66*9,0)+IF(E66&gt;29,E66/30*G66*9,0))*(1+W$31+J$65)</f>
        <v>0</v>
      </c>
      <c r="P66" s="2389"/>
      <c r="Q66" s="193" t="s">
        <v>772</v>
      </c>
      <c r="R66" s="106"/>
      <c r="S66" s="194">
        <f>ROUNDUP(D28/15000,0)</f>
        <v>0</v>
      </c>
      <c r="T66" s="106" t="s">
        <v>288</v>
      </c>
      <c r="U66" s="195">
        <f>Pricing!N37</f>
        <v>35</v>
      </c>
      <c r="V66" s="401" t="s">
        <v>293</v>
      </c>
      <c r="W66" s="111">
        <f>S66*U66*(1+W$31)</f>
        <v>0</v>
      </c>
      <c r="Z66" s="299">
        <v>0</v>
      </c>
      <c r="AA66" s="299" t="s">
        <v>241</v>
      </c>
      <c r="AB66" s="299"/>
      <c r="AC66" s="299"/>
      <c r="AD66" s="299"/>
      <c r="AE66" s="299"/>
    </row>
    <row r="67" spans="2:31" ht="19" customHeight="1" x14ac:dyDescent="0.35">
      <c r="B67" s="2259" t="s">
        <v>723</v>
      </c>
      <c r="C67" s="1972"/>
      <c r="D67" s="2260"/>
      <c r="E67" s="919">
        <f>E66</f>
        <v>0</v>
      </c>
      <c r="F67" s="42" t="s">
        <v>107</v>
      </c>
      <c r="G67" s="960">
        <v>15</v>
      </c>
      <c r="H67" s="88" t="s">
        <v>68</v>
      </c>
      <c r="O67" s="2388">
        <f>(IF(AND(E67&gt;0,E67&lt;4),E67*G67,0)+IF(AND(E67&gt;3,E67&lt;8),G67*3,0)+IF(AND(E67&gt;7,E67&lt;21),E67/7*G67*3,0)+IF(AND(E67&gt;20,E67&lt;30),G67*9,0)+IF(E67&gt;29,E67/30*G67*9,0))*(1+W$31+J$65)</f>
        <v>0</v>
      </c>
      <c r="P67" s="2389"/>
      <c r="Q67" s="193" t="s">
        <v>361</v>
      </c>
      <c r="R67" s="106"/>
      <c r="S67" s="194">
        <f>I50/15000</f>
        <v>0</v>
      </c>
      <c r="T67" s="106" t="s">
        <v>781</v>
      </c>
      <c r="U67" s="195">
        <f>Pricing!N34</f>
        <v>4</v>
      </c>
      <c r="V67" s="106" t="s">
        <v>294</v>
      </c>
      <c r="W67" s="118">
        <f>S67*U67*(1+W$31)</f>
        <v>0</v>
      </c>
      <c r="Z67" s="299">
        <v>1</v>
      </c>
      <c r="AA67" s="299" t="s">
        <v>242</v>
      </c>
      <c r="AB67" s="299"/>
      <c r="AC67" s="299"/>
      <c r="AD67" s="299"/>
      <c r="AE67" s="299"/>
    </row>
    <row r="68" spans="2:31" ht="19" customHeight="1" thickBot="1" x14ac:dyDescent="0.4">
      <c r="B68" s="2318" t="s">
        <v>383</v>
      </c>
      <c r="C68" s="2308"/>
      <c r="D68" s="2344"/>
      <c r="E68" s="918">
        <v>0</v>
      </c>
      <c r="F68" s="49" t="s">
        <v>780</v>
      </c>
      <c r="G68" s="961">
        <v>3000</v>
      </c>
      <c r="H68" s="96" t="s">
        <v>388</v>
      </c>
      <c r="I68" s="49"/>
      <c r="J68" s="49"/>
      <c r="K68" s="49"/>
      <c r="L68" s="49"/>
      <c r="M68" s="117"/>
      <c r="N68" s="49"/>
      <c r="O68" s="2402">
        <f>(IF(AND(E68&gt;0,E68&lt;4),E68*G68,0)+IF(AND(E68&gt;3,E68&lt;8),G68*3,0)+IF(AND(E68&gt;7,E68&lt;21),E68/7*G68*3,0)+IF(AND(E68&gt;20,E68&lt;30),G68*9,0)+IF(E68&gt;29,E68/30*G68*9,0))</f>
        <v>0</v>
      </c>
      <c r="P68" s="2403"/>
      <c r="Q68" s="193" t="s">
        <v>285</v>
      </c>
      <c r="R68" s="106"/>
      <c r="S68" s="194">
        <f>L43</f>
        <v>0</v>
      </c>
      <c r="T68" s="106" t="s">
        <v>32</v>
      </c>
      <c r="U68" s="195">
        <v>0.02</v>
      </c>
      <c r="V68" s="401" t="s">
        <v>88</v>
      </c>
      <c r="W68" s="118">
        <f>S68*U68*(1+W$31)</f>
        <v>0</v>
      </c>
      <c r="Z68" s="299">
        <v>2</v>
      </c>
      <c r="AA68" s="299" t="s">
        <v>243</v>
      </c>
      <c r="AB68" s="299"/>
      <c r="AC68" s="299"/>
      <c r="AD68" s="299"/>
      <c r="AE68" s="343">
        <f>SUM(W40:W64)+O48</f>
        <v>0</v>
      </c>
    </row>
    <row r="69" spans="2:31" ht="19" customHeight="1" thickBot="1" x14ac:dyDescent="0.4">
      <c r="B69" s="2395" t="s">
        <v>174</v>
      </c>
      <c r="C69" s="2236"/>
      <c r="D69" s="2236"/>
      <c r="E69" s="2236"/>
      <c r="F69" s="2236"/>
      <c r="G69" s="2236"/>
      <c r="H69" s="2236"/>
      <c r="I69" s="2236"/>
      <c r="J69" s="2236"/>
      <c r="K69" s="2236"/>
      <c r="L69" s="2236"/>
      <c r="M69" s="2236"/>
      <c r="N69" s="2236"/>
      <c r="O69" s="2236"/>
      <c r="P69" s="2396"/>
      <c r="Q69" s="193" t="s">
        <v>557</v>
      </c>
      <c r="R69" s="106"/>
      <c r="S69" s="194">
        <v>0</v>
      </c>
      <c r="T69" s="106" t="s">
        <v>42</v>
      </c>
      <c r="U69" s="195">
        <v>5.25</v>
      </c>
      <c r="V69" s="106" t="s">
        <v>787</v>
      </c>
      <c r="W69" s="118">
        <f>S69*U69*(1+W$31)</f>
        <v>0</v>
      </c>
      <c r="Z69" s="299">
        <v>3</v>
      </c>
      <c r="AA69" s="299" t="s">
        <v>244</v>
      </c>
      <c r="AB69" s="299"/>
      <c r="AC69" s="299"/>
      <c r="AD69" s="299"/>
      <c r="AE69" s="299">
        <f>O46</f>
        <v>0</v>
      </c>
    </row>
    <row r="70" spans="2:31" ht="19" customHeight="1" x14ac:dyDescent="0.35">
      <c r="B70" s="2297" t="s">
        <v>366</v>
      </c>
      <c r="C70" s="2298"/>
      <c r="D70" s="2337"/>
      <c r="E70" s="920">
        <v>1.25</v>
      </c>
      <c r="F70" s="115" t="s">
        <v>118</v>
      </c>
      <c r="G70" s="2397">
        <f>ROUNDUP(D28/N70*K70,0)</f>
        <v>0</v>
      </c>
      <c r="H70" s="2397"/>
      <c r="I70" s="116" t="s">
        <v>42</v>
      </c>
      <c r="J70" s="509" t="s">
        <v>709</v>
      </c>
      <c r="K70" s="813">
        <v>1</v>
      </c>
      <c r="L70" s="2398" t="s">
        <v>382</v>
      </c>
      <c r="M70" s="2398"/>
      <c r="N70" s="813">
        <v>90</v>
      </c>
      <c r="O70" s="2399">
        <f t="shared" ref="O70:O75" si="32">E70*G70</f>
        <v>0</v>
      </c>
      <c r="P70" s="2400"/>
      <c r="Q70" s="193"/>
      <c r="R70" s="106"/>
      <c r="S70" s="106"/>
      <c r="T70" s="106"/>
      <c r="U70" s="195"/>
      <c r="V70" s="106"/>
      <c r="W70" s="118"/>
      <c r="Z70" s="299">
        <v>4</v>
      </c>
      <c r="AA70" s="299" t="s">
        <v>245</v>
      </c>
      <c r="AB70" s="299"/>
      <c r="AC70" s="299"/>
      <c r="AD70" s="299"/>
      <c r="AE70" s="299">
        <f>O47</f>
        <v>0</v>
      </c>
    </row>
    <row r="71" spans="2:31" ht="19" customHeight="1" thickBot="1" x14ac:dyDescent="0.4">
      <c r="B71" s="2259" t="s">
        <v>365</v>
      </c>
      <c r="C71" s="1972"/>
      <c r="D71" s="2260"/>
      <c r="E71" s="921">
        <v>0.5</v>
      </c>
      <c r="F71" s="88" t="s">
        <v>118</v>
      </c>
      <c r="G71" s="2390">
        <f>ROUNDUP(D28/N71*2-G70,0)</f>
        <v>0</v>
      </c>
      <c r="H71" s="2390"/>
      <c r="I71" s="88" t="s">
        <v>42</v>
      </c>
      <c r="L71" s="2092" t="s">
        <v>382</v>
      </c>
      <c r="M71" s="2093"/>
      <c r="N71" s="2401">
        <v>15</v>
      </c>
      <c r="O71" s="2377">
        <f t="shared" si="32"/>
        <v>0</v>
      </c>
      <c r="P71" s="2378"/>
      <c r="Q71" s="198"/>
      <c r="R71" s="199"/>
      <c r="S71" s="199"/>
      <c r="T71" s="199"/>
      <c r="U71" s="201"/>
      <c r="V71" s="199"/>
      <c r="W71" s="119"/>
      <c r="Z71" s="299">
        <v>5</v>
      </c>
      <c r="AA71" s="299" t="s">
        <v>246</v>
      </c>
      <c r="AB71" s="299"/>
      <c r="AC71" s="299"/>
      <c r="AD71" s="299"/>
      <c r="AE71" s="299">
        <f>O43+O44+W78</f>
        <v>0</v>
      </c>
    </row>
    <row r="72" spans="2:31" ht="19" customHeight="1" thickTop="1" x14ac:dyDescent="0.35">
      <c r="B72" s="2259" t="s">
        <v>767</v>
      </c>
      <c r="C72" s="1972"/>
      <c r="D72" s="2260"/>
      <c r="E72" s="922">
        <v>0.5</v>
      </c>
      <c r="F72" s="108" t="s">
        <v>118</v>
      </c>
      <c r="G72" s="2390">
        <f>G71</f>
        <v>0</v>
      </c>
      <c r="H72" s="2390"/>
      <c r="I72" s="42" t="s">
        <v>42</v>
      </c>
      <c r="L72" s="2092"/>
      <c r="M72" s="2093"/>
      <c r="N72" s="2401"/>
      <c r="O72" s="2377">
        <f>E72*G72</f>
        <v>0</v>
      </c>
      <c r="P72" s="2378"/>
      <c r="Q72" s="193"/>
      <c r="R72" s="106"/>
      <c r="S72" s="106"/>
      <c r="T72" s="106"/>
      <c r="U72" s="195"/>
      <c r="V72" s="106"/>
      <c r="W72" s="118"/>
      <c r="Z72" s="299">
        <v>6</v>
      </c>
      <c r="AA72" s="299" t="s">
        <v>248</v>
      </c>
      <c r="AB72" s="299"/>
      <c r="AC72" s="299"/>
      <c r="AD72" s="299"/>
      <c r="AE72" s="299">
        <f>SUM(W66:W71)</f>
        <v>0</v>
      </c>
    </row>
    <row r="73" spans="2:31" ht="19" customHeight="1" x14ac:dyDescent="0.35">
      <c r="B73" s="92" t="s">
        <v>746</v>
      </c>
      <c r="C73" s="58"/>
      <c r="D73" s="58"/>
      <c r="E73" s="922">
        <f>Pricing!D41</f>
        <v>16</v>
      </c>
      <c r="F73" s="88" t="s">
        <v>169</v>
      </c>
      <c r="G73" s="2391">
        <f>AP28</f>
        <v>0</v>
      </c>
      <c r="H73" s="2392"/>
      <c r="I73" s="42" t="s">
        <v>31</v>
      </c>
      <c r="L73" s="519"/>
      <c r="M73" s="519"/>
      <c r="N73" s="520"/>
      <c r="O73" s="2377">
        <f>E73*G73</f>
        <v>0</v>
      </c>
      <c r="P73" s="2378"/>
      <c r="Q73" s="193"/>
      <c r="R73" s="106"/>
      <c r="S73" s="106"/>
      <c r="T73" s="106"/>
      <c r="U73" s="195"/>
      <c r="V73" s="106"/>
      <c r="W73" s="118"/>
      <c r="Z73" s="299">
        <v>7</v>
      </c>
      <c r="AA73" s="299" t="s">
        <v>247</v>
      </c>
      <c r="AB73" s="299"/>
      <c r="AC73" s="299"/>
      <c r="AD73" s="299"/>
      <c r="AE73" s="299"/>
    </row>
    <row r="74" spans="2:31" ht="19" customHeight="1" x14ac:dyDescent="0.35">
      <c r="B74" s="2259" t="s">
        <v>566</v>
      </c>
      <c r="C74" s="1972"/>
      <c r="D74" s="1972"/>
      <c r="E74" s="922">
        <v>3.5</v>
      </c>
      <c r="F74" s="88" t="s">
        <v>191</v>
      </c>
      <c r="G74" s="2393">
        <v>0</v>
      </c>
      <c r="H74" s="2394"/>
      <c r="I74" s="42" t="s">
        <v>95</v>
      </c>
      <c r="O74" s="2377">
        <f>E74*G74</f>
        <v>0</v>
      </c>
      <c r="P74" s="2378"/>
      <c r="Q74" s="193" t="s">
        <v>211</v>
      </c>
      <c r="R74" s="106"/>
      <c r="S74" s="194">
        <f>ROUNDUP(I50/350/55,0)</f>
        <v>0</v>
      </c>
      <c r="T74" s="106" t="s">
        <v>754</v>
      </c>
      <c r="U74" s="195">
        <f>Pricing!N42</f>
        <v>540</v>
      </c>
      <c r="V74" s="401" t="s">
        <v>295</v>
      </c>
      <c r="W74" s="118">
        <f>U74*S74</f>
        <v>0</v>
      </c>
      <c r="Z74" s="299">
        <v>8</v>
      </c>
      <c r="AA74" s="299" t="s">
        <v>249</v>
      </c>
      <c r="AB74" s="299"/>
      <c r="AC74" s="299"/>
      <c r="AD74" s="299"/>
      <c r="AE74" s="299">
        <f>SUM(O40:P42)</f>
        <v>0</v>
      </c>
    </row>
    <row r="75" spans="2:31" ht="19" customHeight="1" thickBot="1" x14ac:dyDescent="0.4">
      <c r="B75" s="92" t="s">
        <v>373</v>
      </c>
      <c r="C75" s="57"/>
      <c r="D75" s="57"/>
      <c r="E75" s="921">
        <v>10</v>
      </c>
      <c r="F75" s="110" t="s">
        <v>118</v>
      </c>
      <c r="G75" s="2385">
        <f>SUM(I11:I27)</f>
        <v>0</v>
      </c>
      <c r="H75" s="2386"/>
      <c r="I75" s="2387" t="s">
        <v>42</v>
      </c>
      <c r="J75" s="1972"/>
      <c r="N75" s="46"/>
      <c r="O75" s="2388">
        <f t="shared" si="32"/>
        <v>0</v>
      </c>
      <c r="P75" s="2389"/>
      <c r="Q75" s="198" t="s">
        <v>212</v>
      </c>
      <c r="R75" s="199"/>
      <c r="S75" s="200">
        <f>BM64</f>
        <v>0</v>
      </c>
      <c r="T75" s="199" t="s">
        <v>754</v>
      </c>
      <c r="U75" s="201">
        <f>Pricing!N43</f>
        <v>542</v>
      </c>
      <c r="V75" s="426" t="s">
        <v>295</v>
      </c>
      <c r="W75" s="119">
        <f>U75*S75</f>
        <v>0</v>
      </c>
      <c r="Z75" s="299">
        <v>9</v>
      </c>
      <c r="AA75" s="299" t="s">
        <v>234</v>
      </c>
      <c r="AB75" s="299"/>
      <c r="AC75" s="299"/>
      <c r="AD75" s="299"/>
      <c r="AE75" s="299"/>
    </row>
    <row r="76" spans="2:31" ht="18" customHeight="1" thickTop="1" x14ac:dyDescent="0.35">
      <c r="B76" s="2259" t="s">
        <v>1045</v>
      </c>
      <c r="C76" s="1972"/>
      <c r="D76" s="1972"/>
      <c r="E76" s="923"/>
      <c r="F76" s="88" t="s">
        <v>191</v>
      </c>
      <c r="G76" s="2385">
        <f>BM29</f>
        <v>0</v>
      </c>
      <c r="H76" s="2386"/>
      <c r="I76" s="42" t="s">
        <v>95</v>
      </c>
      <c r="O76" s="2377">
        <f>IF(E76=0,0,E76*G76)</f>
        <v>0</v>
      </c>
      <c r="P76" s="2378"/>
      <c r="Q76" s="43"/>
      <c r="W76" s="111"/>
      <c r="Z76" s="299">
        <v>10</v>
      </c>
      <c r="AA76" s="299" t="s">
        <v>250</v>
      </c>
      <c r="AB76" s="299"/>
      <c r="AC76" s="299"/>
      <c r="AD76" s="299"/>
      <c r="AE76" s="299">
        <f>SUM(W72:W75)</f>
        <v>0</v>
      </c>
    </row>
    <row r="77" spans="2:31" ht="24.75" customHeight="1" x14ac:dyDescent="0.35">
      <c r="B77" s="2259" t="s">
        <v>186</v>
      </c>
      <c r="C77" s="1972"/>
      <c r="D77" s="1972"/>
      <c r="E77" s="917">
        <v>0</v>
      </c>
      <c r="F77" s="469" t="s">
        <v>97</v>
      </c>
      <c r="G77" s="2376">
        <v>250</v>
      </c>
      <c r="H77" s="2376"/>
      <c r="I77" s="88" t="s">
        <v>68</v>
      </c>
      <c r="O77" s="2377">
        <f>E77*G77</f>
        <v>0</v>
      </c>
      <c r="P77" s="2378"/>
      <c r="Q77" s="2314" t="s">
        <v>216</v>
      </c>
      <c r="R77" s="2315"/>
      <c r="S77" s="770">
        <v>18</v>
      </c>
      <c r="T77" s="42" t="s">
        <v>217</v>
      </c>
      <c r="W77" s="534"/>
      <c r="Z77" s="299">
        <v>11</v>
      </c>
      <c r="AA77" s="299" t="s">
        <v>251</v>
      </c>
      <c r="AB77" s="299"/>
      <c r="AC77" s="299"/>
      <c r="AD77" s="299"/>
      <c r="AE77" s="299"/>
    </row>
    <row r="78" spans="2:31" ht="20.25" customHeight="1" thickBot="1" x14ac:dyDescent="0.4">
      <c r="B78" s="2379" t="s">
        <v>752</v>
      </c>
      <c r="C78" s="2380"/>
      <c r="D78" s="2380"/>
      <c r="E78" s="924">
        <v>0</v>
      </c>
      <c r="F78" s="49"/>
      <c r="G78" s="2381">
        <v>1000</v>
      </c>
      <c r="H78" s="2382"/>
      <c r="I78" s="49" t="s">
        <v>737</v>
      </c>
      <c r="J78" s="49"/>
      <c r="K78" s="49"/>
      <c r="L78" s="49"/>
      <c r="M78" s="49"/>
      <c r="N78" s="49"/>
      <c r="O78" s="2383">
        <f>E78*G78</f>
        <v>0</v>
      </c>
      <c r="P78" s="2384"/>
      <c r="Q78" s="47" t="s">
        <v>730</v>
      </c>
      <c r="R78" s="49"/>
      <c r="S78" s="49">
        <f>ROUNDUP((S51+S53+S54)*12/S77,0)</f>
        <v>0</v>
      </c>
      <c r="T78" s="49" t="s">
        <v>215</v>
      </c>
      <c r="U78" s="2313">
        <f>Pricing!D24</f>
        <v>2</v>
      </c>
      <c r="V78" s="2313"/>
      <c r="W78" s="22">
        <f>U78*S78</f>
        <v>0</v>
      </c>
      <c r="Z78" s="299">
        <v>12</v>
      </c>
      <c r="AA78" s="299" t="s">
        <v>252</v>
      </c>
      <c r="AB78" s="299"/>
      <c r="AC78" s="299"/>
      <c r="AD78" s="299"/>
      <c r="AE78" s="299"/>
    </row>
    <row r="79" spans="2:31" ht="20.25" customHeight="1" thickBot="1" x14ac:dyDescent="0.4">
      <c r="B79" s="47"/>
      <c r="C79" s="49"/>
      <c r="D79" s="49"/>
      <c r="E79" s="49"/>
      <c r="F79" s="49"/>
      <c r="G79" s="49"/>
      <c r="H79" s="96"/>
      <c r="I79" s="76"/>
      <c r="J79" s="76"/>
      <c r="K79" s="135"/>
      <c r="L79" s="136"/>
      <c r="M79" s="136"/>
      <c r="N79" s="49"/>
      <c r="O79" s="21"/>
      <c r="P79" s="254"/>
      <c r="W79" s="953">
        <f>SUM(W40:W78)</f>
        <v>0</v>
      </c>
      <c r="Z79" s="299">
        <v>15</v>
      </c>
      <c r="AA79" s="299" t="s">
        <v>253</v>
      </c>
      <c r="AB79" s="299"/>
      <c r="AC79" s="299"/>
      <c r="AD79" s="299"/>
      <c r="AE79" s="299"/>
    </row>
    <row r="80" spans="2:31" ht="43.5" customHeight="1" thickBot="1" x14ac:dyDescent="0.4">
      <c r="B80" s="898"/>
      <c r="C80" s="899"/>
      <c r="D80" s="899"/>
      <c r="E80" s="899"/>
      <c r="F80" s="899"/>
      <c r="G80" s="899"/>
      <c r="H80" s="899"/>
      <c r="I80" s="899"/>
      <c r="J80" s="899"/>
      <c r="K80" s="899"/>
      <c r="L80" s="900"/>
      <c r="M80" s="899"/>
      <c r="N80" s="899"/>
      <c r="O80" s="899"/>
      <c r="P80" s="899"/>
      <c r="Q80" s="899"/>
      <c r="R80" s="899"/>
      <c r="S80" s="899"/>
      <c r="T80" s="899"/>
      <c r="U80" s="899"/>
      <c r="V80" s="899"/>
      <c r="W80" s="901"/>
      <c r="Z80" s="299">
        <v>16</v>
      </c>
      <c r="AA80" s="299" t="s">
        <v>845</v>
      </c>
      <c r="AB80" s="299"/>
      <c r="AC80" s="299"/>
      <c r="AD80" s="299"/>
      <c r="AE80" s="299"/>
    </row>
    <row r="81" spans="2:31" ht="26.25" customHeight="1" x14ac:dyDescent="0.35">
      <c r="B81" s="1987" t="s">
        <v>185</v>
      </c>
      <c r="C81" s="2041"/>
      <c r="D81" s="1988"/>
      <c r="E81" s="1987" t="s">
        <v>140</v>
      </c>
      <c r="F81" s="1988"/>
      <c r="G81" s="1987" t="s">
        <v>178</v>
      </c>
      <c r="H81" s="2041"/>
      <c r="I81" s="1988"/>
      <c r="J81" s="61" t="s">
        <v>184</v>
      </c>
      <c r="K81" s="62"/>
      <c r="L81" s="60"/>
      <c r="M81" s="2044" t="s">
        <v>179</v>
      </c>
      <c r="N81" s="2045"/>
      <c r="O81" s="132"/>
      <c r="P81" s="133"/>
      <c r="Q81" s="897"/>
      <c r="R81" s="43" t="s">
        <v>34</v>
      </c>
      <c r="T81" s="42" t="s">
        <v>758</v>
      </c>
      <c r="U81" s="728" t="str">
        <f>U31</f>
        <v>n</v>
      </c>
      <c r="V81" s="73" t="s">
        <v>298</v>
      </c>
      <c r="W81" s="925">
        <f>W31</f>
        <v>8.2500000000000004E-2</v>
      </c>
      <c r="Z81" s="299">
        <v>17</v>
      </c>
      <c r="AA81" s="299" t="s">
        <v>842</v>
      </c>
      <c r="AB81" s="299"/>
      <c r="AC81" s="299"/>
      <c r="AD81" s="299"/>
      <c r="AE81" s="299"/>
    </row>
    <row r="82" spans="2:31" ht="16" thickBot="1" x14ac:dyDescent="0.4">
      <c r="B82" s="11" t="s">
        <v>180</v>
      </c>
      <c r="C82" s="1999">
        <f>C32</f>
        <v>0</v>
      </c>
      <c r="D82" s="2000"/>
      <c r="E82" s="2003">
        <f>E32</f>
        <v>0</v>
      </c>
      <c r="F82" s="2004"/>
      <c r="G82" s="15">
        <f>G32</f>
        <v>0</v>
      </c>
      <c r="H82" s="2042">
        <f>H32</f>
        <v>0</v>
      </c>
      <c r="I82" s="2043"/>
      <c r="J82" s="2064">
        <f>J32</f>
        <v>0</v>
      </c>
      <c r="K82" s="2065"/>
      <c r="L82" s="2066"/>
      <c r="M82" s="725">
        <f>M32</f>
        <v>0.18</v>
      </c>
      <c r="N82" s="726"/>
      <c r="O82" s="726"/>
      <c r="P82" s="727"/>
      <c r="Q82" s="902"/>
      <c r="R82" s="86" t="s">
        <v>50</v>
      </c>
      <c r="U82" s="1932">
        <f>U32</f>
        <v>0</v>
      </c>
      <c r="V82" s="1932"/>
      <c r="W82" s="74"/>
      <c r="Z82" s="299">
        <v>18</v>
      </c>
      <c r="AA82" s="299" t="s">
        <v>843</v>
      </c>
      <c r="AB82" s="299"/>
      <c r="AC82" s="299"/>
      <c r="AD82" s="299"/>
      <c r="AE82" s="299"/>
    </row>
    <row r="83" spans="2:31" ht="16" thickBot="1" x14ac:dyDescent="0.4">
      <c r="B83" s="889"/>
      <c r="C83" s="890"/>
      <c r="D83" s="890"/>
      <c r="E83" s="890"/>
      <c r="F83" s="890"/>
      <c r="G83" s="890"/>
      <c r="H83" s="890"/>
      <c r="I83" s="890"/>
      <c r="J83" s="890"/>
      <c r="K83" s="890"/>
      <c r="L83" s="890"/>
      <c r="M83" s="890"/>
      <c r="N83" s="890"/>
      <c r="O83" s="890"/>
      <c r="P83" s="890"/>
      <c r="Q83" s="890"/>
      <c r="R83" s="890"/>
      <c r="S83" s="890"/>
      <c r="T83" s="890"/>
      <c r="U83" s="890"/>
      <c r="V83" s="890"/>
      <c r="W83" s="896"/>
      <c r="Z83" s="299">
        <v>20</v>
      </c>
      <c r="AA83" s="299" t="s">
        <v>93</v>
      </c>
      <c r="AB83" s="299"/>
      <c r="AC83" s="299"/>
      <c r="AD83" s="299"/>
      <c r="AE83" s="299">
        <f>SUM(O57:P58)</f>
        <v>0</v>
      </c>
    </row>
    <row r="84" spans="2:31" x14ac:dyDescent="0.35">
      <c r="C84" s="69"/>
      <c r="H84" s="69"/>
      <c r="I84" s="69"/>
      <c r="J84" s="114"/>
      <c r="K84" s="69"/>
      <c r="L84" s="69"/>
      <c r="M84" s="69"/>
      <c r="N84" s="113"/>
      <c r="O84" s="69"/>
      <c r="Z84" s="299">
        <v>21</v>
      </c>
      <c r="AA84" s="299" t="s">
        <v>254</v>
      </c>
      <c r="AB84" s="299"/>
      <c r="AC84" s="299"/>
      <c r="AD84" s="299"/>
      <c r="AE84" s="299">
        <f>SUM(O61:P61)</f>
        <v>0</v>
      </c>
    </row>
    <row r="85" spans="2:31" hidden="1" x14ac:dyDescent="0.35">
      <c r="C85" s="69"/>
      <c r="H85" s="69"/>
      <c r="I85" s="69"/>
      <c r="J85" s="114"/>
      <c r="K85" s="69"/>
      <c r="L85" s="69"/>
      <c r="M85" s="69"/>
      <c r="N85" s="113"/>
      <c r="O85" s="69"/>
      <c r="Z85" s="299">
        <v>22</v>
      </c>
      <c r="AA85" s="299" t="s">
        <v>255</v>
      </c>
      <c r="AB85" s="299"/>
      <c r="AC85" s="299"/>
      <c r="AD85" s="299"/>
      <c r="AE85" s="511">
        <f>SUM(L50:M54)</f>
        <v>0</v>
      </c>
    </row>
    <row r="86" spans="2:31" hidden="1" x14ac:dyDescent="0.35">
      <c r="C86" s="69"/>
      <c r="H86" s="69"/>
      <c r="I86" s="69"/>
      <c r="J86" s="114"/>
      <c r="K86" s="69"/>
      <c r="L86" s="69"/>
      <c r="M86" s="69"/>
      <c r="N86" s="113"/>
      <c r="O86" s="69"/>
      <c r="Z86" s="299">
        <v>23</v>
      </c>
      <c r="AA86" s="299" t="s">
        <v>256</v>
      </c>
      <c r="AB86" s="299"/>
      <c r="AC86" s="299"/>
      <c r="AD86" s="299"/>
      <c r="AE86" s="299">
        <f>O77</f>
        <v>0</v>
      </c>
    </row>
    <row r="87" spans="2:31" hidden="1" x14ac:dyDescent="0.35">
      <c r="Z87" s="299">
        <v>24</v>
      </c>
      <c r="AA87" s="299" t="s">
        <v>257</v>
      </c>
      <c r="AB87" s="299"/>
      <c r="AC87" s="299"/>
      <c r="AD87" s="299"/>
      <c r="AE87" s="299"/>
    </row>
    <row r="88" spans="2:31" hidden="1" x14ac:dyDescent="0.35">
      <c r="Z88" s="299">
        <v>25</v>
      </c>
      <c r="AA88" s="299" t="s">
        <v>258</v>
      </c>
      <c r="AB88" s="299"/>
      <c r="AC88" s="299"/>
      <c r="AD88" s="299"/>
      <c r="AE88" s="299"/>
    </row>
    <row r="89" spans="2:31" hidden="1" x14ac:dyDescent="0.35">
      <c r="Z89" s="299">
        <v>30</v>
      </c>
      <c r="AA89" s="299" t="s">
        <v>259</v>
      </c>
      <c r="AB89" s="299"/>
      <c r="AC89" s="299"/>
      <c r="AD89" s="299"/>
      <c r="AE89" s="343">
        <f>O73</f>
        <v>0</v>
      </c>
    </row>
    <row r="90" spans="2:31" hidden="1" x14ac:dyDescent="0.35">
      <c r="Z90" s="299">
        <v>31</v>
      </c>
      <c r="AA90" s="299" t="s">
        <v>744</v>
      </c>
      <c r="AB90" s="299"/>
      <c r="AC90" s="299"/>
      <c r="AD90" s="299"/>
      <c r="AE90" s="343">
        <f>O78</f>
        <v>0</v>
      </c>
    </row>
    <row r="91" spans="2:31" hidden="1" x14ac:dyDescent="0.35">
      <c r="Z91" s="299">
        <v>32</v>
      </c>
      <c r="AA91" s="299" t="s">
        <v>260</v>
      </c>
      <c r="AB91" s="299"/>
      <c r="AC91" s="299"/>
      <c r="AD91" s="299"/>
      <c r="AE91" s="299"/>
    </row>
    <row r="92" spans="2:31" hidden="1" x14ac:dyDescent="0.35">
      <c r="Z92" s="299">
        <v>33</v>
      </c>
      <c r="AA92" s="299" t="s">
        <v>261</v>
      </c>
      <c r="AB92" s="299"/>
      <c r="AC92" s="299"/>
      <c r="AD92" s="299"/>
      <c r="AE92" s="299">
        <f>O74</f>
        <v>0</v>
      </c>
    </row>
    <row r="93" spans="2:31" hidden="1" x14ac:dyDescent="0.35">
      <c r="Z93" s="299">
        <v>34</v>
      </c>
      <c r="AA93" s="299" t="s">
        <v>262</v>
      </c>
      <c r="AB93" s="299"/>
      <c r="AC93" s="299"/>
      <c r="AD93" s="299"/>
      <c r="AE93" s="299">
        <f>O70+O71+O72+O75</f>
        <v>0</v>
      </c>
    </row>
    <row r="94" spans="2:31" hidden="1" x14ac:dyDescent="0.35">
      <c r="Z94" s="299">
        <v>35</v>
      </c>
      <c r="AA94" s="299" t="s">
        <v>263</v>
      </c>
      <c r="AB94" s="299"/>
      <c r="AC94" s="299"/>
      <c r="AD94" s="299"/>
      <c r="AE94" s="299"/>
    </row>
    <row r="95" spans="2:31" hidden="1" x14ac:dyDescent="0.35">
      <c r="Z95" s="299">
        <v>36</v>
      </c>
      <c r="AA95" s="299" t="s">
        <v>745</v>
      </c>
      <c r="AB95" s="299"/>
      <c r="AC95" s="299"/>
      <c r="AD95" s="299"/>
      <c r="AE95" s="299"/>
    </row>
    <row r="96" spans="2:31" hidden="1" x14ac:dyDescent="0.35">
      <c r="Z96" s="299">
        <v>39</v>
      </c>
      <c r="AA96" s="299" t="s">
        <v>264</v>
      </c>
      <c r="AB96" s="299"/>
      <c r="AC96" s="299"/>
      <c r="AD96" s="299"/>
      <c r="AE96" s="299"/>
    </row>
    <row r="97" spans="26:31" hidden="1" x14ac:dyDescent="0.35">
      <c r="Z97" s="299">
        <v>40</v>
      </c>
      <c r="AA97" s="299" t="s">
        <v>222</v>
      </c>
      <c r="AB97" s="299"/>
      <c r="AC97" s="299"/>
      <c r="AD97" s="299"/>
      <c r="AE97" s="299"/>
    </row>
    <row r="98" spans="26:31" hidden="1" x14ac:dyDescent="0.35">
      <c r="Z98" s="299">
        <v>41</v>
      </c>
      <c r="AA98" s="299" t="s">
        <v>265</v>
      </c>
      <c r="AB98" s="299"/>
      <c r="AC98" s="299"/>
      <c r="AD98" s="299"/>
      <c r="AE98" s="299"/>
    </row>
    <row r="99" spans="26:31" hidden="1" x14ac:dyDescent="0.35">
      <c r="Z99" s="299">
        <v>42</v>
      </c>
      <c r="AA99" s="299" t="s">
        <v>266</v>
      </c>
      <c r="AB99" s="299"/>
      <c r="AC99" s="299"/>
      <c r="AD99" s="299"/>
      <c r="AE99" s="299"/>
    </row>
    <row r="100" spans="26:31" hidden="1" x14ac:dyDescent="0.35">
      <c r="Z100" s="299">
        <v>44</v>
      </c>
      <c r="AA100" s="299" t="s">
        <v>267</v>
      </c>
      <c r="AB100" s="299"/>
      <c r="AC100" s="299"/>
      <c r="AD100" s="299"/>
      <c r="AE100" s="299"/>
    </row>
    <row r="101" spans="26:31" hidden="1" x14ac:dyDescent="0.35">
      <c r="Z101">
        <v>45</v>
      </c>
      <c r="AA101" t="s">
        <v>268</v>
      </c>
    </row>
    <row r="102" spans="26:31" hidden="1" x14ac:dyDescent="0.35">
      <c r="Z102">
        <v>46</v>
      </c>
      <c r="AA102" t="s">
        <v>269</v>
      </c>
    </row>
    <row r="103" spans="26:31" hidden="1" x14ac:dyDescent="0.35">
      <c r="Z103">
        <v>47</v>
      </c>
      <c r="AA103" t="s">
        <v>270</v>
      </c>
    </row>
    <row r="104" spans="26:31" hidden="1" x14ac:dyDescent="0.35">
      <c r="Z104">
        <v>48</v>
      </c>
      <c r="AA104" t="s">
        <v>271</v>
      </c>
      <c r="AE104" s="382">
        <f>SUM(O50:P54)-O53</f>
        <v>0</v>
      </c>
    </row>
    <row r="105" spans="26:31" hidden="1" x14ac:dyDescent="0.35">
      <c r="Z105">
        <v>49</v>
      </c>
      <c r="AA105" t="s">
        <v>272</v>
      </c>
    </row>
    <row r="106" spans="26:31" hidden="1" x14ac:dyDescent="0.35">
      <c r="Z106">
        <v>50</v>
      </c>
      <c r="AA106" t="s">
        <v>711</v>
      </c>
    </row>
    <row r="107" spans="26:31" hidden="1" x14ac:dyDescent="0.35">
      <c r="Z107">
        <v>51</v>
      </c>
      <c r="AA107" t="s">
        <v>712</v>
      </c>
    </row>
    <row r="108" spans="26:31" hidden="1" x14ac:dyDescent="0.35">
      <c r="Z108">
        <v>52</v>
      </c>
      <c r="AA108" t="s">
        <v>273</v>
      </c>
    </row>
    <row r="109" spans="26:31" hidden="1" x14ac:dyDescent="0.35">
      <c r="Z109">
        <v>53</v>
      </c>
      <c r="AA109" t="s">
        <v>274</v>
      </c>
    </row>
    <row r="110" spans="26:31" hidden="1" x14ac:dyDescent="0.35">
      <c r="Z110">
        <v>54</v>
      </c>
      <c r="AA110" t="s">
        <v>275</v>
      </c>
    </row>
    <row r="111" spans="26:31" hidden="1" x14ac:dyDescent="0.35">
      <c r="Z111">
        <v>55</v>
      </c>
      <c r="AA111" t="s">
        <v>276</v>
      </c>
    </row>
    <row r="112" spans="26:31" hidden="1" x14ac:dyDescent="0.35">
      <c r="Z112">
        <v>56</v>
      </c>
      <c r="AA112" t="s">
        <v>277</v>
      </c>
    </row>
    <row r="113" spans="26:31" hidden="1" x14ac:dyDescent="0.35">
      <c r="Z113">
        <v>57</v>
      </c>
      <c r="AA113" t="s">
        <v>278</v>
      </c>
    </row>
    <row r="114" spans="26:31" hidden="1" x14ac:dyDescent="0.35">
      <c r="Z114">
        <v>58</v>
      </c>
      <c r="AA114" t="s">
        <v>279</v>
      </c>
      <c r="AE114">
        <f>O76</f>
        <v>0</v>
      </c>
    </row>
    <row r="115" spans="26:31" hidden="1" x14ac:dyDescent="0.35">
      <c r="Z115">
        <v>59</v>
      </c>
      <c r="AA115" t="s">
        <v>280</v>
      </c>
      <c r="AE115">
        <f>O53</f>
        <v>0</v>
      </c>
    </row>
    <row r="116" spans="26:31" hidden="1" x14ac:dyDescent="0.35">
      <c r="Z116">
        <v>60</v>
      </c>
      <c r="AA116" t="s">
        <v>281</v>
      </c>
      <c r="AE116">
        <f>SUM(O63:P68)</f>
        <v>0</v>
      </c>
    </row>
    <row r="117" spans="26:31" hidden="1" x14ac:dyDescent="0.35">
      <c r="Z117">
        <v>65</v>
      </c>
      <c r="AA117" t="s">
        <v>282</v>
      </c>
      <c r="AE117">
        <v>0</v>
      </c>
    </row>
    <row r="118" spans="26:31" hidden="1" x14ac:dyDescent="0.35">
      <c r="Z118">
        <v>99</v>
      </c>
      <c r="AA118" t="s">
        <v>893</v>
      </c>
      <c r="AE118" s="261">
        <f>W65</f>
        <v>0</v>
      </c>
    </row>
    <row r="119" spans="26:31" hidden="1" x14ac:dyDescent="0.35">
      <c r="AE119">
        <f>SUM(AE66:AE118)</f>
        <v>0</v>
      </c>
    </row>
    <row r="65523" x14ac:dyDescent="0.35"/>
    <row r="65537" x14ac:dyDescent="0.35"/>
    <row r="65538" x14ac:dyDescent="0.35"/>
    <row r="65539" ht="21" hidden="1" customHeight="1" x14ac:dyDescent="0.35"/>
  </sheetData>
  <mergeCells count="227">
    <mergeCell ref="Q7:R7"/>
    <mergeCell ref="B5:E5"/>
    <mergeCell ref="J5:N5"/>
    <mergeCell ref="O5:P5"/>
    <mergeCell ref="Q5:R5"/>
    <mergeCell ref="J6:N6"/>
    <mergeCell ref="O6:P6"/>
    <mergeCell ref="Q6:R6"/>
    <mergeCell ref="V2:W2"/>
    <mergeCell ref="B3:E3"/>
    <mergeCell ref="O3:P3"/>
    <mergeCell ref="Q3:R3"/>
    <mergeCell ref="B4:E4"/>
    <mergeCell ref="J4:N4"/>
    <mergeCell ref="O4:P4"/>
    <mergeCell ref="Q4:R4"/>
    <mergeCell ref="B9:C10"/>
    <mergeCell ref="D9:E10"/>
    <mergeCell ref="F9:F10"/>
    <mergeCell ref="G9:G10"/>
    <mergeCell ref="H9:H10"/>
    <mergeCell ref="I9:I10"/>
    <mergeCell ref="D7:E7"/>
    <mergeCell ref="J7:N7"/>
    <mergeCell ref="O7:P7"/>
    <mergeCell ref="D8:E8"/>
    <mergeCell ref="G8:I8"/>
    <mergeCell ref="J8:N8"/>
    <mergeCell ref="Q9:Q10"/>
    <mergeCell ref="R9:R10"/>
    <mergeCell ref="S9:S10"/>
    <mergeCell ref="T9:T10"/>
    <mergeCell ref="U9:U10"/>
    <mergeCell ref="V9:W10"/>
    <mergeCell ref="J9:J10"/>
    <mergeCell ref="K9:K10"/>
    <mergeCell ref="L9:L10"/>
    <mergeCell ref="M9:M10"/>
    <mergeCell ref="N9:O9"/>
    <mergeCell ref="P9:P10"/>
    <mergeCell ref="B13:C13"/>
    <mergeCell ref="D13:E13"/>
    <mergeCell ref="V13:W13"/>
    <mergeCell ref="B14:C14"/>
    <mergeCell ref="D14:E14"/>
    <mergeCell ref="V14:W14"/>
    <mergeCell ref="B11:C11"/>
    <mergeCell ref="D11:E11"/>
    <mergeCell ref="V11:W11"/>
    <mergeCell ref="B12:C12"/>
    <mergeCell ref="D12:E12"/>
    <mergeCell ref="V12:W12"/>
    <mergeCell ref="B17:C17"/>
    <mergeCell ref="D17:E17"/>
    <mergeCell ref="V17:W17"/>
    <mergeCell ref="B18:C18"/>
    <mergeCell ref="D18:E18"/>
    <mergeCell ref="V18:W18"/>
    <mergeCell ref="B15:C15"/>
    <mergeCell ref="D15:E15"/>
    <mergeCell ref="V15:W15"/>
    <mergeCell ref="B16:C16"/>
    <mergeCell ref="D16:E16"/>
    <mergeCell ref="V16:W16"/>
    <mergeCell ref="B21:C21"/>
    <mergeCell ref="D21:E21"/>
    <mergeCell ref="V21:W21"/>
    <mergeCell ref="B22:C22"/>
    <mergeCell ref="D22:E22"/>
    <mergeCell ref="V22:W22"/>
    <mergeCell ref="B19:C19"/>
    <mergeCell ref="D19:E19"/>
    <mergeCell ref="V19:W19"/>
    <mergeCell ref="B20:C20"/>
    <mergeCell ref="D20:E20"/>
    <mergeCell ref="V20:W20"/>
    <mergeCell ref="B25:C25"/>
    <mergeCell ref="D25:E25"/>
    <mergeCell ref="V25:W25"/>
    <mergeCell ref="B26:C26"/>
    <mergeCell ref="D26:E26"/>
    <mergeCell ref="V26:W26"/>
    <mergeCell ref="B23:C23"/>
    <mergeCell ref="D23:E23"/>
    <mergeCell ref="V23:W23"/>
    <mergeCell ref="B24:C24"/>
    <mergeCell ref="D24:E24"/>
    <mergeCell ref="V24:W24"/>
    <mergeCell ref="E30:F30"/>
    <mergeCell ref="B31:D31"/>
    <mergeCell ref="E31:F31"/>
    <mergeCell ref="G31:I31"/>
    <mergeCell ref="J31:L31"/>
    <mergeCell ref="M31:N31"/>
    <mergeCell ref="B27:C27"/>
    <mergeCell ref="D27:E27"/>
    <mergeCell ref="V27:W27"/>
    <mergeCell ref="D28:E28"/>
    <mergeCell ref="N28:O28"/>
    <mergeCell ref="D29:E29"/>
    <mergeCell ref="F29:G29"/>
    <mergeCell ref="H29:I29"/>
    <mergeCell ref="U29:V29"/>
    <mergeCell ref="K33:L33"/>
    <mergeCell ref="N33:O33"/>
    <mergeCell ref="U33:V33"/>
    <mergeCell ref="N34:O34"/>
    <mergeCell ref="J35:K35"/>
    <mergeCell ref="C39:P39"/>
    <mergeCell ref="Q39:R39"/>
    <mergeCell ref="C32:D32"/>
    <mergeCell ref="E32:F32"/>
    <mergeCell ref="H32:I32"/>
    <mergeCell ref="J32:L32"/>
    <mergeCell ref="M32:P32"/>
    <mergeCell ref="U32:V32"/>
    <mergeCell ref="I43:J43"/>
    <mergeCell ref="L43:M43"/>
    <mergeCell ref="O43:P43"/>
    <mergeCell ref="I44:J44"/>
    <mergeCell ref="L44:M44"/>
    <mergeCell ref="O44:P44"/>
    <mergeCell ref="I40:J42"/>
    <mergeCell ref="K40:K42"/>
    <mergeCell ref="L40:M40"/>
    <mergeCell ref="O40:P40"/>
    <mergeCell ref="L41:M41"/>
    <mergeCell ref="O41:P41"/>
    <mergeCell ref="L42:M42"/>
    <mergeCell ref="O42:P42"/>
    <mergeCell ref="J45:K45"/>
    <mergeCell ref="L45:M45"/>
    <mergeCell ref="O45:P45"/>
    <mergeCell ref="I46:J47"/>
    <mergeCell ref="K46:K47"/>
    <mergeCell ref="L46:M46"/>
    <mergeCell ref="O46:P46"/>
    <mergeCell ref="L47:M47"/>
    <mergeCell ref="O47:P47"/>
    <mergeCell ref="I48:J48"/>
    <mergeCell ref="L48:M48"/>
    <mergeCell ref="O48:P48"/>
    <mergeCell ref="L49:M49"/>
    <mergeCell ref="N49:P49"/>
    <mergeCell ref="E50:F50"/>
    <mergeCell ref="H50:H52"/>
    <mergeCell ref="I50:J52"/>
    <mergeCell ref="L50:M50"/>
    <mergeCell ref="O50:P50"/>
    <mergeCell ref="E53:F53"/>
    <mergeCell ref="I53:J53"/>
    <mergeCell ref="L53:M53"/>
    <mergeCell ref="O53:P53"/>
    <mergeCell ref="E54:F54"/>
    <mergeCell ref="I54:J54"/>
    <mergeCell ref="L54:M54"/>
    <mergeCell ref="O54:P54"/>
    <mergeCell ref="E51:F51"/>
    <mergeCell ref="L51:M51"/>
    <mergeCell ref="O51:P51"/>
    <mergeCell ref="E52:F52"/>
    <mergeCell ref="L52:M52"/>
    <mergeCell ref="O52:P52"/>
    <mergeCell ref="B62:P62"/>
    <mergeCell ref="B63:D63"/>
    <mergeCell ref="O63:P63"/>
    <mergeCell ref="E55:F55"/>
    <mergeCell ref="I55:K55"/>
    <mergeCell ref="L55:M55"/>
    <mergeCell ref="O55:P55"/>
    <mergeCell ref="B56:P56"/>
    <mergeCell ref="U65:V65"/>
    <mergeCell ref="B66:D66"/>
    <mergeCell ref="O66:P66"/>
    <mergeCell ref="B67:D67"/>
    <mergeCell ref="O67:P67"/>
    <mergeCell ref="B68:D68"/>
    <mergeCell ref="O68:P68"/>
    <mergeCell ref="B64:D64"/>
    <mergeCell ref="J64:K64"/>
    <mergeCell ref="M64:N64"/>
    <mergeCell ref="O64:P64"/>
    <mergeCell ref="B65:D65"/>
    <mergeCell ref="J65:K66"/>
    <mergeCell ref="M65:N65"/>
    <mergeCell ref="O65:P65"/>
    <mergeCell ref="B72:D72"/>
    <mergeCell ref="G72:H72"/>
    <mergeCell ref="O72:P72"/>
    <mergeCell ref="G73:H73"/>
    <mergeCell ref="O73:P73"/>
    <mergeCell ref="B74:D74"/>
    <mergeCell ref="G74:H74"/>
    <mergeCell ref="O74:P74"/>
    <mergeCell ref="B69:P69"/>
    <mergeCell ref="B70:D70"/>
    <mergeCell ref="G70:H70"/>
    <mergeCell ref="L70:M70"/>
    <mergeCell ref="O70:P70"/>
    <mergeCell ref="B71:D71"/>
    <mergeCell ref="G71:H71"/>
    <mergeCell ref="L71:M72"/>
    <mergeCell ref="N71:N72"/>
    <mergeCell ref="O71:P71"/>
    <mergeCell ref="B77:D77"/>
    <mergeCell ref="G77:H77"/>
    <mergeCell ref="O77:P77"/>
    <mergeCell ref="Q77:R77"/>
    <mergeCell ref="B78:D78"/>
    <mergeCell ref="G78:H78"/>
    <mergeCell ref="O78:P78"/>
    <mergeCell ref="G75:H75"/>
    <mergeCell ref="I75:J75"/>
    <mergeCell ref="O75:P75"/>
    <mergeCell ref="B76:D76"/>
    <mergeCell ref="G76:H76"/>
    <mergeCell ref="O76:P76"/>
    <mergeCell ref="U78:V78"/>
    <mergeCell ref="B81:D81"/>
    <mergeCell ref="E81:F81"/>
    <mergeCell ref="G81:I81"/>
    <mergeCell ref="M81:N81"/>
    <mergeCell ref="C82:D82"/>
    <mergeCell ref="E82:F82"/>
    <mergeCell ref="H82:I82"/>
    <mergeCell ref="J82:L82"/>
    <mergeCell ref="U82:V82"/>
  </mergeCells>
  <printOptions gridLines="1"/>
  <pageMargins left="1.33" right="0.46" top="0.26" bottom="0.19" header="0.1" footer="0.17"/>
  <pageSetup paperSize="5" scale="60" orientation="landscape" horizontalDpi="4294967293" r:id="rId1"/>
  <headerFooter alignWithMargins="0">
    <oddHeader>&amp;L&amp;"Arial,Bold"&amp;16               &amp;A&amp;C&amp;"Arial,Bold"&amp;16&amp;F&amp;R&amp;16&amp;D</oddHeader>
  </headerFooter>
  <rowBreaks count="1" manualBreakCount="1">
    <brk id="33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FC65539"/>
  <sheetViews>
    <sheetView topLeftCell="A30" zoomScaleNormal="100" workbookViewId="0">
      <selection activeCell="E61" sqref="E61"/>
    </sheetView>
  </sheetViews>
  <sheetFormatPr defaultColWidth="0" defaultRowHeight="15.5" zeroHeight="1" x14ac:dyDescent="0.35"/>
  <cols>
    <col min="1" max="1" width="3.6328125" style="42" customWidth="1"/>
    <col min="2" max="2" width="9.453125" style="42" customWidth="1"/>
    <col min="3" max="3" width="13.1796875" style="42" customWidth="1"/>
    <col min="4" max="4" width="7" style="42" customWidth="1"/>
    <col min="5" max="5" width="9.453125" style="42" customWidth="1"/>
    <col min="6" max="6" width="9.7265625" style="42" customWidth="1"/>
    <col min="7" max="7" width="13.1796875" style="42" customWidth="1"/>
    <col min="8" max="10" width="9.7265625" style="42" customWidth="1"/>
    <col min="11" max="11" width="9.26953125" style="42" customWidth="1"/>
    <col min="12" max="12" width="12.81640625" style="42" customWidth="1"/>
    <col min="13" max="15" width="9.7265625" style="42" customWidth="1"/>
    <col min="16" max="16" width="12.54296875" style="42" customWidth="1"/>
    <col min="17" max="17" width="11.54296875" style="42" customWidth="1"/>
    <col min="18" max="18" width="12.81640625" style="42" customWidth="1"/>
    <col min="19" max="19" width="11.81640625" style="42" customWidth="1"/>
    <col min="20" max="20" width="10.81640625" style="42" customWidth="1"/>
    <col min="21" max="21" width="11.26953125" style="42" customWidth="1"/>
    <col min="22" max="22" width="9.54296875" style="42" bestFit="1" customWidth="1"/>
    <col min="23" max="23" width="20.26953125" style="42" customWidth="1"/>
    <col min="24" max="24" width="5.26953125" customWidth="1"/>
    <col min="25" max="25" width="0.26953125" customWidth="1"/>
    <col min="26" max="122" width="6.81640625" hidden="1"/>
    <col min="123" max="16383" width="6.81640625" style="42" hidden="1"/>
    <col min="16384" max="16384" width="6.54296875" style="42" hidden="1"/>
  </cols>
  <sheetData>
    <row r="1" spans="2:122" x14ac:dyDescent="0.35"/>
    <row r="2" spans="2:122" s="298" customFormat="1" ht="24" customHeight="1" thickBot="1" x14ac:dyDescent="0.4">
      <c r="B2" s="937" t="s">
        <v>303</v>
      </c>
      <c r="C2" s="897"/>
      <c r="D2" s="897"/>
      <c r="E2" s="897"/>
      <c r="T2" s="941" t="s">
        <v>305</v>
      </c>
      <c r="U2" s="941"/>
      <c r="V2" s="2265">
        <v>37456</v>
      </c>
      <c r="W2" s="2265"/>
      <c r="X2" s="299"/>
      <c r="Y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  <c r="BQ2" s="299"/>
      <c r="BR2" s="299"/>
      <c r="BS2" s="299"/>
      <c r="BT2" s="299"/>
      <c r="BU2" s="299"/>
      <c r="BV2" s="299"/>
      <c r="BW2" s="299"/>
      <c r="BX2" s="299"/>
      <c r="BY2" s="299"/>
      <c r="BZ2" s="299"/>
      <c r="CA2" s="299"/>
      <c r="CB2" s="299"/>
      <c r="CC2" s="299"/>
      <c r="CD2" s="299"/>
      <c r="CE2" s="299"/>
      <c r="CF2" s="299"/>
      <c r="CG2" s="299"/>
      <c r="CH2" s="299"/>
      <c r="CI2" s="299"/>
      <c r="CJ2" s="299"/>
      <c r="CK2" s="299"/>
      <c r="CL2" s="299"/>
      <c r="CM2" s="299"/>
      <c r="CN2" s="299"/>
      <c r="CO2" s="299"/>
      <c r="CP2" s="299"/>
      <c r="CQ2" s="299"/>
      <c r="CR2" s="299"/>
      <c r="CS2" s="299"/>
      <c r="CT2" s="299"/>
      <c r="CU2" s="299"/>
      <c r="CV2" s="299"/>
      <c r="CW2" s="299"/>
      <c r="CX2" s="299"/>
      <c r="CY2" s="299"/>
      <c r="CZ2" s="299"/>
      <c r="DA2" s="299"/>
      <c r="DB2" s="299"/>
      <c r="DC2" s="299"/>
      <c r="DD2" s="299"/>
      <c r="DE2" s="299"/>
      <c r="DF2" s="299"/>
      <c r="DG2" s="299"/>
      <c r="DH2" s="299"/>
      <c r="DI2" s="299"/>
      <c r="DJ2" s="299"/>
      <c r="DK2" s="299"/>
      <c r="DL2" s="299"/>
      <c r="DM2" s="299"/>
      <c r="DN2" s="299"/>
      <c r="DO2" s="299"/>
      <c r="DP2" s="299"/>
      <c r="DQ2" s="299"/>
      <c r="DR2" s="299"/>
    </row>
    <row r="3" spans="2:122" s="298" customFormat="1" ht="24" customHeight="1" thickBot="1" x14ac:dyDescent="0.4">
      <c r="B3" s="1947">
        <f>Summary!C2</f>
        <v>0</v>
      </c>
      <c r="C3" s="1948"/>
      <c r="D3" s="1948"/>
      <c r="E3" s="1949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T3" s="792" t="s">
        <v>304</v>
      </c>
      <c r="U3" s="942"/>
      <c r="V3" s="943" t="str">
        <f>Information!C8</f>
        <v>Chad McKinney</v>
      </c>
      <c r="W3" s="944"/>
      <c r="X3" s="299"/>
      <c r="Y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  <c r="AT3" s="299"/>
      <c r="AU3" s="299"/>
      <c r="AV3" s="299"/>
      <c r="AW3" s="299"/>
      <c r="AX3" s="299"/>
      <c r="AY3" s="299"/>
      <c r="AZ3" s="299"/>
      <c r="BA3" s="299"/>
      <c r="BB3" s="299"/>
      <c r="BC3" s="299"/>
      <c r="BD3" s="299"/>
      <c r="BE3" s="299"/>
      <c r="BF3" s="299"/>
      <c r="BG3" s="299"/>
      <c r="BH3" s="299"/>
      <c r="BI3" s="299"/>
      <c r="BJ3" s="299"/>
      <c r="BK3" s="299"/>
      <c r="BL3" s="299"/>
      <c r="BM3" s="299"/>
      <c r="BN3" s="299"/>
      <c r="BO3" s="299"/>
      <c r="BP3" s="299"/>
      <c r="BQ3" s="299"/>
      <c r="BR3" s="299"/>
      <c r="BS3" s="299"/>
      <c r="BT3" s="299"/>
      <c r="BU3" s="299"/>
      <c r="BV3" s="299"/>
      <c r="BW3" s="299"/>
      <c r="BX3" s="299"/>
      <c r="BY3" s="299"/>
      <c r="BZ3" s="299"/>
      <c r="CA3" s="299"/>
      <c r="CB3" s="299"/>
      <c r="CC3" s="299"/>
      <c r="CD3" s="299"/>
      <c r="CE3" s="299"/>
      <c r="CF3" s="299"/>
      <c r="CG3" s="299"/>
      <c r="CH3" s="299"/>
      <c r="CI3" s="299"/>
      <c r="CJ3" s="299"/>
      <c r="CK3" s="299"/>
      <c r="CL3" s="299"/>
      <c r="CM3" s="299"/>
      <c r="CN3" s="299"/>
      <c r="CO3" s="299"/>
      <c r="CP3" s="299"/>
      <c r="CQ3" s="299"/>
      <c r="CR3" s="299"/>
      <c r="CS3" s="299"/>
      <c r="CT3" s="299"/>
      <c r="CU3" s="299"/>
      <c r="CV3" s="299"/>
      <c r="CW3" s="299"/>
      <c r="CX3" s="299"/>
      <c r="CY3" s="299"/>
      <c r="CZ3" s="299"/>
      <c r="DA3" s="299"/>
      <c r="DB3" s="299"/>
      <c r="DC3" s="299"/>
      <c r="DD3" s="299"/>
      <c r="DE3" s="299"/>
      <c r="DF3" s="299"/>
      <c r="DG3" s="299"/>
      <c r="DH3" s="299"/>
      <c r="DI3" s="299"/>
      <c r="DJ3" s="299"/>
      <c r="DK3" s="299"/>
      <c r="DL3" s="299"/>
      <c r="DM3" s="299"/>
      <c r="DN3" s="299"/>
      <c r="DO3" s="299"/>
      <c r="DP3" s="299"/>
      <c r="DQ3" s="299"/>
      <c r="DR3" s="299"/>
    </row>
    <row r="4" spans="2:122" s="298" customFormat="1" ht="24" customHeight="1" x14ac:dyDescent="0.35">
      <c r="B4" s="1952">
        <f>Summary!C3</f>
        <v>0</v>
      </c>
      <c r="C4" s="1953"/>
      <c r="D4" s="1953"/>
      <c r="E4" s="1954"/>
      <c r="H4" s="938"/>
      <c r="I4" s="939" t="s">
        <v>132</v>
      </c>
      <c r="J4" s="2223">
        <f>Summary!K3</f>
        <v>0</v>
      </c>
      <c r="K4" s="2224"/>
      <c r="L4" s="2224"/>
      <c r="M4" s="2224"/>
      <c r="N4" s="2224"/>
      <c r="O4" s="2523">
        <f>Summary!O3</f>
        <v>0</v>
      </c>
      <c r="P4" s="2523"/>
      <c r="Q4" s="1964">
        <f>Summary!P3</f>
        <v>0</v>
      </c>
      <c r="R4" s="1965"/>
      <c r="T4" s="790"/>
      <c r="U4" s="770"/>
      <c r="V4" s="770"/>
      <c r="W4" s="876"/>
      <c r="X4" s="299"/>
      <c r="Y4" s="299"/>
      <c r="AF4" s="299"/>
      <c r="AG4" s="299"/>
      <c r="AH4" s="299"/>
      <c r="AI4" s="299"/>
      <c r="AJ4" s="299"/>
      <c r="AK4" s="299"/>
      <c r="AL4" s="299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299"/>
      <c r="BX4" s="299"/>
      <c r="BY4" s="299"/>
      <c r="BZ4" s="299"/>
      <c r="CA4" s="299"/>
      <c r="CB4" s="299"/>
      <c r="CC4" s="299"/>
      <c r="CD4" s="299"/>
      <c r="CE4" s="299"/>
      <c r="CF4" s="299"/>
      <c r="CG4" s="299"/>
      <c r="CH4" s="299"/>
      <c r="CI4" s="299"/>
      <c r="CJ4" s="299"/>
      <c r="CK4" s="299"/>
      <c r="CL4" s="299"/>
      <c r="CM4" s="299"/>
      <c r="CN4" s="299"/>
      <c r="CO4" s="299"/>
      <c r="CP4" s="299"/>
      <c r="CQ4" s="299"/>
      <c r="CR4" s="299"/>
      <c r="CS4" s="299"/>
      <c r="CT4" s="299"/>
      <c r="CU4" s="299"/>
      <c r="CV4" s="299"/>
      <c r="CW4" s="299"/>
      <c r="CX4" s="299"/>
      <c r="CY4" s="299"/>
      <c r="CZ4" s="299"/>
      <c r="DA4" s="299"/>
      <c r="DB4" s="299"/>
      <c r="DC4" s="299"/>
      <c r="DD4" s="299"/>
      <c r="DE4" s="299"/>
      <c r="DF4" s="299"/>
      <c r="DG4" s="299"/>
      <c r="DH4" s="299"/>
      <c r="DI4" s="299"/>
      <c r="DJ4" s="299"/>
      <c r="DK4" s="299"/>
      <c r="DL4" s="299"/>
      <c r="DM4" s="299"/>
      <c r="DN4" s="299"/>
      <c r="DO4" s="299"/>
      <c r="DP4" s="299"/>
      <c r="DQ4" s="299"/>
      <c r="DR4" s="299"/>
    </row>
    <row r="5" spans="2:122" s="298" customFormat="1" ht="24" customHeight="1" thickBot="1" x14ac:dyDescent="0.4">
      <c r="B5" s="1966">
        <f>Summary!C4</f>
        <v>0</v>
      </c>
      <c r="C5" s="1967"/>
      <c r="D5" s="1967"/>
      <c r="E5" s="1968"/>
      <c r="H5" s="938"/>
      <c r="I5" s="939" t="s">
        <v>133</v>
      </c>
      <c r="J5" s="2273">
        <f>Summary!K4</f>
        <v>0</v>
      </c>
      <c r="K5" s="2274"/>
      <c r="L5" s="2274"/>
      <c r="M5" s="2274"/>
      <c r="N5" s="2274"/>
      <c r="O5" s="1969">
        <f>Summary!O4</f>
        <v>0</v>
      </c>
      <c r="P5" s="1969"/>
      <c r="Q5" s="1927">
        <f>Summary!P4</f>
        <v>0</v>
      </c>
      <c r="R5" s="1928"/>
      <c r="T5" s="790" t="str">
        <f>Information!H5</f>
        <v>Approved by Chad:</v>
      </c>
      <c r="U5" s="770"/>
      <c r="V5" s="945"/>
      <c r="W5" s="946"/>
      <c r="X5" s="299"/>
      <c r="Y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299"/>
      <c r="BX5" s="299"/>
      <c r="BY5" s="299"/>
      <c r="BZ5" s="299"/>
      <c r="CA5" s="299"/>
      <c r="CB5" s="299"/>
      <c r="CC5" s="299"/>
      <c r="CD5" s="299"/>
      <c r="CE5" s="299"/>
      <c r="CF5" s="299"/>
      <c r="CG5" s="299"/>
      <c r="CH5" s="299"/>
      <c r="CI5" s="299"/>
      <c r="CJ5" s="299"/>
      <c r="CK5" s="299"/>
      <c r="CL5" s="299"/>
      <c r="CM5" s="299"/>
      <c r="CN5" s="299"/>
      <c r="CO5" s="299"/>
      <c r="CP5" s="299"/>
      <c r="CQ5" s="299"/>
      <c r="CR5" s="299"/>
      <c r="CS5" s="299"/>
      <c r="CT5" s="299"/>
      <c r="CU5" s="299"/>
      <c r="CV5" s="299"/>
      <c r="CW5" s="299"/>
      <c r="CX5" s="299"/>
      <c r="CY5" s="299"/>
      <c r="CZ5" s="299"/>
      <c r="DA5" s="299"/>
      <c r="DB5" s="299"/>
      <c r="DC5" s="299"/>
      <c r="DD5" s="299"/>
      <c r="DE5" s="299"/>
      <c r="DF5" s="299"/>
      <c r="DG5" s="299"/>
      <c r="DH5" s="299"/>
      <c r="DI5" s="299"/>
      <c r="DJ5" s="299"/>
      <c r="DK5" s="299"/>
      <c r="DL5" s="299"/>
      <c r="DM5" s="299"/>
      <c r="DN5" s="299"/>
      <c r="DO5" s="299"/>
      <c r="DP5" s="299"/>
      <c r="DQ5" s="299"/>
      <c r="DR5" s="299"/>
    </row>
    <row r="6" spans="2:122" s="298" customFormat="1" ht="24" customHeight="1" thickBot="1" x14ac:dyDescent="0.4">
      <c r="B6" s="57" t="s">
        <v>115</v>
      </c>
      <c r="C6" s="42"/>
      <c r="D6" s="57" t="s">
        <v>125</v>
      </c>
      <c r="E6" s="42"/>
      <c r="H6" s="938"/>
      <c r="I6" s="939" t="s">
        <v>134</v>
      </c>
      <c r="J6" s="2273">
        <f>Summary!K5</f>
        <v>0</v>
      </c>
      <c r="K6" s="2274"/>
      <c r="L6" s="2274"/>
      <c r="M6" s="2274"/>
      <c r="N6" s="2274"/>
      <c r="O6" s="1969">
        <f>Summary!O5</f>
        <v>0</v>
      </c>
      <c r="P6" s="1969"/>
      <c r="Q6" s="1927">
        <f>Summary!P5</f>
        <v>0</v>
      </c>
      <c r="R6" s="1928"/>
      <c r="T6" s="790"/>
      <c r="U6" s="770"/>
      <c r="V6" s="770"/>
      <c r="W6" s="876"/>
      <c r="X6" s="299"/>
      <c r="Y6" s="299"/>
      <c r="AF6" s="299"/>
      <c r="AG6" s="299"/>
      <c r="AH6" s="299"/>
      <c r="AI6" s="299"/>
      <c r="AJ6" s="299"/>
      <c r="AK6" s="299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9"/>
      <c r="AZ6" s="299"/>
      <c r="BA6" s="299"/>
      <c r="BB6" s="299"/>
      <c r="BC6" s="299"/>
      <c r="BD6" s="299"/>
      <c r="BE6" s="299"/>
      <c r="BF6" s="299"/>
      <c r="BG6" s="299"/>
      <c r="BH6" s="299"/>
      <c r="BI6" s="299"/>
      <c r="BJ6" s="299"/>
      <c r="BK6" s="299"/>
      <c r="BL6" s="299"/>
      <c r="BM6" s="299"/>
      <c r="BN6" s="299"/>
      <c r="BO6" s="299"/>
      <c r="BP6" s="299"/>
      <c r="BQ6" s="299"/>
      <c r="BR6" s="299"/>
      <c r="BS6" s="299"/>
      <c r="BT6" s="299"/>
      <c r="BU6" s="299"/>
      <c r="BV6" s="299"/>
      <c r="BW6" s="299"/>
      <c r="BX6" s="299"/>
      <c r="BY6" s="299"/>
      <c r="BZ6" s="299"/>
      <c r="CA6" s="299"/>
      <c r="CB6" s="299"/>
      <c r="CC6" s="299"/>
      <c r="CD6" s="299"/>
      <c r="CE6" s="299"/>
      <c r="CF6" s="299"/>
      <c r="CG6" s="299"/>
      <c r="CH6" s="299"/>
      <c r="CI6" s="299"/>
      <c r="CJ6" s="299"/>
      <c r="CK6" s="299"/>
      <c r="CL6" s="299"/>
      <c r="CM6" s="299"/>
      <c r="CN6" s="299"/>
      <c r="CO6" s="299"/>
      <c r="CP6" s="299"/>
      <c r="CQ6" s="299"/>
      <c r="CR6" s="299"/>
      <c r="CS6" s="299"/>
      <c r="CT6" s="299"/>
      <c r="CU6" s="299"/>
      <c r="CV6" s="299"/>
      <c r="CW6" s="299"/>
      <c r="CX6" s="299"/>
      <c r="CY6" s="299"/>
      <c r="CZ6" s="299"/>
      <c r="DA6" s="299"/>
      <c r="DB6" s="299"/>
      <c r="DC6" s="299"/>
      <c r="DD6" s="299"/>
      <c r="DE6" s="299"/>
      <c r="DF6" s="299"/>
      <c r="DG6" s="299"/>
      <c r="DH6" s="299"/>
      <c r="DI6" s="299"/>
      <c r="DJ6" s="299"/>
      <c r="DK6" s="299"/>
      <c r="DL6" s="299"/>
      <c r="DM6" s="299"/>
      <c r="DN6" s="299"/>
      <c r="DO6" s="299"/>
      <c r="DP6" s="299"/>
      <c r="DQ6" s="299"/>
      <c r="DR6" s="299"/>
    </row>
    <row r="7" spans="2:122" s="298" customFormat="1" ht="24" customHeight="1" thickBot="1" x14ac:dyDescent="0.4">
      <c r="B7" s="1597">
        <v>0</v>
      </c>
      <c r="D7" s="2517">
        <v>0</v>
      </c>
      <c r="E7" s="2518"/>
      <c r="H7" s="889"/>
      <c r="I7" s="940" t="s">
        <v>135</v>
      </c>
      <c r="J7" s="2228">
        <f>Summary!K6</f>
        <v>0</v>
      </c>
      <c r="K7" s="2229"/>
      <c r="L7" s="2229"/>
      <c r="M7" s="2229"/>
      <c r="N7" s="2229"/>
      <c r="O7" s="2519">
        <f>Summary!O6</f>
        <v>0</v>
      </c>
      <c r="P7" s="2519"/>
      <c r="Q7" s="1970">
        <f>Summary!P6</f>
        <v>0</v>
      </c>
      <c r="R7" s="1971"/>
      <c r="T7" s="791" t="str">
        <f>Information!H6</f>
        <v>Approved by Edward:</v>
      </c>
      <c r="U7" s="947"/>
      <c r="V7" s="947"/>
      <c r="W7" s="948"/>
      <c r="X7" s="299"/>
      <c r="Y7" s="299"/>
      <c r="AF7" s="299"/>
      <c r="AG7" s="299"/>
      <c r="AH7" s="299"/>
      <c r="AI7" s="299"/>
      <c r="AJ7" s="299"/>
      <c r="AK7" s="299"/>
      <c r="AL7" s="299"/>
      <c r="AM7" s="299"/>
      <c r="AN7" s="299"/>
      <c r="AO7" s="299"/>
      <c r="AP7" s="299"/>
      <c r="AQ7" s="299"/>
      <c r="AR7" s="299"/>
      <c r="AS7" s="299"/>
      <c r="AT7" s="299"/>
      <c r="AU7" s="299"/>
      <c r="AV7" s="299"/>
      <c r="AW7" s="299"/>
      <c r="AX7" s="299"/>
      <c r="AY7" s="299"/>
      <c r="AZ7" s="299"/>
      <c r="BA7" s="299"/>
      <c r="BB7" s="299"/>
      <c r="BC7" s="299"/>
      <c r="BD7" s="299"/>
      <c r="BE7" s="299"/>
      <c r="BF7" s="299"/>
      <c r="BG7" s="299"/>
      <c r="BH7" s="299"/>
      <c r="BI7" s="299"/>
      <c r="BJ7" s="299"/>
      <c r="BK7" s="299"/>
      <c r="BL7" s="299"/>
      <c r="BM7" s="299"/>
      <c r="BN7" s="299"/>
      <c r="BO7" s="299"/>
      <c r="BP7" s="299"/>
      <c r="BQ7" s="299"/>
      <c r="BR7" s="299"/>
      <c r="BS7" s="299"/>
      <c r="BT7" s="299"/>
      <c r="BU7" s="299"/>
      <c r="BV7" s="299"/>
      <c r="BW7" s="299"/>
      <c r="BX7" s="299"/>
      <c r="BY7" s="299"/>
      <c r="BZ7" s="299"/>
      <c r="CA7" s="299"/>
      <c r="CB7" s="299"/>
      <c r="CC7" s="299"/>
      <c r="CD7" s="299"/>
      <c r="CE7" s="299"/>
      <c r="CF7" s="299"/>
      <c r="CG7" s="299"/>
      <c r="CH7" s="299"/>
      <c r="CI7" s="299"/>
      <c r="CJ7" s="299"/>
      <c r="CK7" s="299"/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299"/>
      <c r="DH7" s="299"/>
      <c r="DI7" s="299"/>
      <c r="DJ7" s="299"/>
      <c r="DK7" s="299"/>
      <c r="DL7" s="299"/>
      <c r="DM7" s="299"/>
      <c r="DN7" s="299"/>
      <c r="DO7" s="299"/>
      <c r="DP7" s="299"/>
      <c r="DQ7" s="299"/>
      <c r="DR7" s="299"/>
    </row>
    <row r="8" spans="2:122" s="298" customFormat="1" ht="24" customHeight="1" thickBot="1" x14ac:dyDescent="0.4">
      <c r="B8" s="1598">
        <v>0</v>
      </c>
      <c r="D8" s="2520">
        <v>0</v>
      </c>
      <c r="E8" s="2521"/>
      <c r="F8" s="306"/>
      <c r="G8" s="1962" t="s">
        <v>308</v>
      </c>
      <c r="H8" s="1962"/>
      <c r="I8" s="1962"/>
      <c r="J8" s="2522" t="str">
        <f>Pricing!A2</f>
        <v>Martin Marrieta</v>
      </c>
      <c r="K8" s="2522"/>
      <c r="L8" s="2522"/>
      <c r="M8" s="2522"/>
      <c r="N8" s="2522"/>
      <c r="O8" s="306"/>
      <c r="P8" s="306"/>
      <c r="Q8" s="306"/>
      <c r="R8" s="306"/>
      <c r="S8" s="306"/>
      <c r="T8" s="306"/>
      <c r="X8" s="299"/>
      <c r="Y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299"/>
      <c r="AX8" s="299"/>
      <c r="AY8" s="299"/>
      <c r="AZ8" s="299"/>
      <c r="BA8" s="299"/>
      <c r="BB8" s="299"/>
      <c r="BC8" s="299"/>
      <c r="BD8" s="299"/>
      <c r="BE8" s="299"/>
      <c r="BF8" s="299"/>
      <c r="BG8" s="299"/>
      <c r="BH8" s="299"/>
      <c r="BI8" s="299"/>
      <c r="BJ8" s="299"/>
      <c r="BK8" s="299"/>
      <c r="BL8" s="299"/>
      <c r="BM8" s="299"/>
      <c r="BN8" s="299"/>
      <c r="BO8" s="299"/>
      <c r="BP8" s="299"/>
      <c r="BQ8" s="299"/>
      <c r="BR8" s="299"/>
      <c r="BS8" s="299"/>
      <c r="BT8" s="299"/>
      <c r="BU8" s="299"/>
      <c r="BV8" s="299"/>
      <c r="BW8" s="299"/>
      <c r="BX8" s="299"/>
      <c r="BY8" s="299"/>
      <c r="BZ8" s="299"/>
      <c r="CA8" s="299"/>
      <c r="CB8" s="299"/>
      <c r="CC8" s="299"/>
      <c r="CD8" s="299"/>
      <c r="CE8" s="299"/>
      <c r="CF8" s="299"/>
      <c r="CG8" s="299"/>
      <c r="CH8" s="299"/>
      <c r="CI8" s="299"/>
      <c r="CJ8" s="299"/>
      <c r="CK8" s="299"/>
      <c r="CL8" s="299"/>
      <c r="CM8" s="299"/>
      <c r="CN8" s="299"/>
      <c r="CO8" s="299"/>
      <c r="CP8" s="299"/>
      <c r="CQ8" s="299"/>
      <c r="CR8" s="299"/>
      <c r="CS8" s="299"/>
      <c r="CT8" s="299"/>
      <c r="CU8" s="299"/>
      <c r="CV8" s="299"/>
      <c r="CW8" s="299"/>
      <c r="CX8" s="299"/>
      <c r="CY8" s="299"/>
      <c r="CZ8" s="299"/>
      <c r="DA8" s="299"/>
      <c r="DB8" s="299"/>
      <c r="DC8" s="299"/>
      <c r="DD8" s="299"/>
      <c r="DE8" s="299"/>
      <c r="DF8" s="299"/>
      <c r="DG8" s="299"/>
      <c r="DH8" s="299"/>
      <c r="DI8" s="299"/>
      <c r="DJ8" s="299"/>
      <c r="DK8" s="299"/>
      <c r="DL8" s="299"/>
      <c r="DM8" s="299"/>
      <c r="DN8" s="299"/>
      <c r="DO8" s="299"/>
      <c r="DP8" s="299"/>
      <c r="DQ8" s="299"/>
      <c r="DR8" s="299"/>
    </row>
    <row r="9" spans="2:122" s="298" customFormat="1" ht="29.25" customHeight="1" x14ac:dyDescent="0.35">
      <c r="B9" s="2510" t="s">
        <v>345</v>
      </c>
      <c r="C9" s="1975"/>
      <c r="D9" s="2513" t="s">
        <v>346</v>
      </c>
      <c r="E9" s="2514"/>
      <c r="F9" s="2501" t="s">
        <v>364</v>
      </c>
      <c r="G9" s="1866" t="s">
        <v>357</v>
      </c>
      <c r="H9" s="1866" t="s">
        <v>384</v>
      </c>
      <c r="I9" s="1866" t="s">
        <v>372</v>
      </c>
      <c r="J9" s="1866" t="s">
        <v>347</v>
      </c>
      <c r="K9" s="2506" t="s">
        <v>35</v>
      </c>
      <c r="L9" s="1866" t="s">
        <v>389</v>
      </c>
      <c r="M9" s="2508" t="s">
        <v>356</v>
      </c>
      <c r="N9" s="1933" t="s">
        <v>81</v>
      </c>
      <c r="O9" s="1934"/>
      <c r="P9" s="1866" t="s">
        <v>348</v>
      </c>
      <c r="Q9" s="2501" t="s">
        <v>352</v>
      </c>
      <c r="R9" s="2501" t="s">
        <v>351</v>
      </c>
      <c r="S9" s="2501" t="s">
        <v>349</v>
      </c>
      <c r="T9" s="2501" t="s">
        <v>106</v>
      </c>
      <c r="U9" s="2501" t="s">
        <v>359</v>
      </c>
      <c r="V9" s="2501" t="s">
        <v>350</v>
      </c>
      <c r="W9" s="2503"/>
      <c r="X9" s="299"/>
      <c r="Y9" s="299"/>
      <c r="AF9" s="299"/>
      <c r="AG9" s="299"/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/>
      <c r="AS9" s="299"/>
      <c r="AT9" s="299"/>
      <c r="AU9" s="299"/>
      <c r="AV9" s="299"/>
      <c r="AW9" s="299"/>
      <c r="AX9" s="299"/>
      <c r="AY9" s="299">
        <f>SUM(AW11:AZ11)</f>
        <v>0</v>
      </c>
      <c r="AZ9" s="299"/>
      <c r="BA9" s="299"/>
      <c r="BB9" s="299"/>
      <c r="BC9" s="299"/>
      <c r="BD9" s="299"/>
      <c r="BE9" s="299"/>
      <c r="BF9" s="299"/>
      <c r="BG9" s="299"/>
      <c r="BH9" s="299"/>
      <c r="BI9" s="299"/>
      <c r="BJ9" s="299"/>
      <c r="BK9" s="299"/>
      <c r="BL9" s="299"/>
      <c r="BM9" s="299"/>
      <c r="BN9" s="299"/>
      <c r="BO9" s="299"/>
      <c r="BP9" s="299"/>
      <c r="BQ9" s="299"/>
      <c r="BR9" s="299"/>
      <c r="BS9" s="299"/>
      <c r="BT9" s="299"/>
      <c r="BU9" s="299"/>
      <c r="BV9" s="299"/>
      <c r="BW9" s="299"/>
      <c r="BX9" s="299"/>
      <c r="BY9" s="299"/>
      <c r="BZ9" s="299"/>
      <c r="CA9" s="299"/>
      <c r="CB9" s="299"/>
      <c r="CC9" s="299"/>
      <c r="CD9" s="299"/>
      <c r="CE9" s="299"/>
      <c r="CF9" s="299"/>
      <c r="CG9" s="299"/>
      <c r="CH9" s="299"/>
      <c r="CI9" s="299"/>
      <c r="CJ9" s="299"/>
      <c r="CK9" s="299"/>
      <c r="CL9" s="299"/>
      <c r="CM9" s="299"/>
      <c r="CN9" s="299"/>
      <c r="CO9" s="299"/>
      <c r="CP9" s="299"/>
      <c r="CQ9" s="299"/>
      <c r="CR9" s="299"/>
      <c r="CS9" s="299"/>
      <c r="CT9" s="299"/>
      <c r="CU9" s="299"/>
      <c r="CV9" s="299"/>
      <c r="CW9" s="299"/>
      <c r="CX9" s="299"/>
      <c r="CY9" s="299"/>
      <c r="CZ9" s="299"/>
      <c r="DA9" s="299"/>
      <c r="DB9" s="299"/>
      <c r="DC9" s="299"/>
      <c r="DD9" s="299"/>
      <c r="DE9" s="299"/>
      <c r="DF9" s="299"/>
      <c r="DG9" s="299"/>
      <c r="DH9" s="299"/>
      <c r="DI9" s="299"/>
      <c r="DJ9" s="299"/>
      <c r="DK9" s="299"/>
      <c r="DL9" s="299"/>
      <c r="DM9" s="299"/>
      <c r="DN9" s="299"/>
      <c r="DO9" s="299"/>
      <c r="DP9" s="299"/>
      <c r="DQ9" s="299"/>
      <c r="DR9" s="299"/>
    </row>
    <row r="10" spans="2:122" s="298" customFormat="1" ht="24" customHeight="1" thickBot="1" x14ac:dyDescent="0.4">
      <c r="B10" s="2511"/>
      <c r="C10" s="2512"/>
      <c r="D10" s="2515"/>
      <c r="E10" s="2516"/>
      <c r="F10" s="2502"/>
      <c r="G10" s="2505"/>
      <c r="H10" s="2505"/>
      <c r="I10" s="2505"/>
      <c r="J10" s="2505"/>
      <c r="K10" s="2507"/>
      <c r="L10" s="2505"/>
      <c r="M10" s="2509"/>
      <c r="N10" s="1233" t="s">
        <v>28</v>
      </c>
      <c r="O10" s="1644" t="s">
        <v>29</v>
      </c>
      <c r="P10" s="2505"/>
      <c r="Q10" s="2502"/>
      <c r="R10" s="2502"/>
      <c r="S10" s="2502"/>
      <c r="T10" s="2502"/>
      <c r="U10" s="2502"/>
      <c r="V10" s="2502"/>
      <c r="W10" s="2504"/>
      <c r="X10" s="299"/>
      <c r="Y10" s="299"/>
      <c r="AF10" s="299"/>
      <c r="AG10" s="299"/>
      <c r="AH10" s="299"/>
      <c r="AI10" s="299" t="s">
        <v>386</v>
      </c>
      <c r="AJ10" s="299" t="s">
        <v>227</v>
      </c>
      <c r="AK10" s="299" t="s">
        <v>228</v>
      </c>
      <c r="AL10" s="299" t="s">
        <v>229</v>
      </c>
      <c r="AM10" s="299" t="s">
        <v>230</v>
      </c>
      <c r="AN10" s="299" t="s">
        <v>231</v>
      </c>
      <c r="AO10" s="299" t="s">
        <v>232</v>
      </c>
      <c r="AP10" s="299" t="s">
        <v>114</v>
      </c>
      <c r="AQ10" s="299" t="s">
        <v>358</v>
      </c>
      <c r="AR10" s="299" t="s">
        <v>59</v>
      </c>
      <c r="AS10" s="299" t="s">
        <v>369</v>
      </c>
      <c r="AT10" s="299" t="s">
        <v>106</v>
      </c>
      <c r="AU10" s="299" t="s">
        <v>82</v>
      </c>
      <c r="AV10" s="299" t="s">
        <v>405</v>
      </c>
      <c r="AW10" s="299" t="s">
        <v>353</v>
      </c>
      <c r="AX10" s="299" t="s">
        <v>355</v>
      </c>
      <c r="AY10" s="299" t="s">
        <v>371</v>
      </c>
      <c r="AZ10" s="299" t="s">
        <v>33</v>
      </c>
      <c r="BA10" s="299" t="s">
        <v>360</v>
      </c>
      <c r="BB10" s="299" t="s">
        <v>67</v>
      </c>
      <c r="BC10" s="299" t="s">
        <v>148</v>
      </c>
      <c r="BD10" s="299" t="s">
        <v>370</v>
      </c>
      <c r="BE10" s="299" t="s">
        <v>80</v>
      </c>
      <c r="BF10" s="299" t="s">
        <v>381</v>
      </c>
      <c r="BG10" s="299" t="s">
        <v>385</v>
      </c>
      <c r="BH10" s="299"/>
      <c r="BI10" s="299"/>
      <c r="BJ10" s="299"/>
      <c r="BK10" s="299"/>
      <c r="BL10" s="299"/>
      <c r="BM10" s="299" t="str">
        <f>B76</f>
        <v>SLIP FORMING</v>
      </c>
      <c r="BN10" s="299"/>
      <c r="BO10" s="299"/>
      <c r="BP10" s="299"/>
      <c r="BQ10" s="299"/>
      <c r="BR10" s="299"/>
      <c r="BS10" s="299"/>
      <c r="BT10" s="299"/>
      <c r="BU10" s="299"/>
      <c r="BV10" s="299"/>
      <c r="BW10" s="299"/>
      <c r="BX10" s="299"/>
      <c r="BY10" s="299"/>
      <c r="BZ10" s="299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299"/>
      <c r="CT10" s="299"/>
      <c r="CU10" s="299"/>
      <c r="CV10" s="299"/>
      <c r="CW10" s="299"/>
      <c r="CX10" s="299"/>
      <c r="CY10" s="299"/>
      <c r="CZ10" s="299"/>
      <c r="DA10" s="299"/>
      <c r="DB10" s="299"/>
      <c r="DC10" s="299"/>
      <c r="DD10" s="299"/>
      <c r="DE10" s="299"/>
      <c r="DF10" s="299"/>
      <c r="DG10" s="299"/>
      <c r="DH10" s="299"/>
      <c r="DI10" s="299"/>
      <c r="DJ10" s="299"/>
      <c r="DK10" s="299"/>
      <c r="DL10" s="299"/>
      <c r="DM10" s="299"/>
      <c r="DN10" s="299"/>
      <c r="DO10" s="299"/>
      <c r="DP10" s="299"/>
      <c r="DQ10" s="299"/>
    </row>
    <row r="11" spans="2:122" s="298" customFormat="1" ht="24" customHeight="1" x14ac:dyDescent="0.35">
      <c r="B11" s="2496"/>
      <c r="C11" s="2337"/>
      <c r="D11" s="2497"/>
      <c r="E11" s="2498"/>
      <c r="F11" s="1599"/>
      <c r="G11" s="1645"/>
      <c r="H11" s="1599"/>
      <c r="I11" s="1646"/>
      <c r="J11" s="1647"/>
      <c r="K11" s="813">
        <v>3</v>
      </c>
      <c r="L11" s="1648"/>
      <c r="M11" s="1649"/>
      <c r="N11" s="78">
        <v>4</v>
      </c>
      <c r="O11" s="1599">
        <v>18</v>
      </c>
      <c r="P11" s="1599"/>
      <c r="Q11" s="1282">
        <f t="shared" ref="Q11:Q27" si="0">D11*M11/324*(1+K$46)</f>
        <v>0</v>
      </c>
      <c r="R11" s="1650">
        <v>0</v>
      </c>
      <c r="S11" s="1651">
        <f>IF(O11=0,0,(O11/12+O11/12)/(O11/12*O11/12)*D11*((N11/16*N11/16)*10.6870159))*(1+K$43)+(J11*W$35)</f>
        <v>0</v>
      </c>
      <c r="T11" s="1652">
        <f>(D11*F11/324+J11/108+L11*1.5*0.18/27)*(1+K$40)</f>
        <v>0</v>
      </c>
      <c r="U11" s="1653">
        <f t="shared" ref="U11:U27" si="1">IF(D11=0,0,V11/D11)</f>
        <v>0</v>
      </c>
      <c r="V11" s="2499">
        <f>SUM(AT11:BG11)*(1+M$32+Summary!P$64)</f>
        <v>0</v>
      </c>
      <c r="W11" s="2500"/>
      <c r="X11" s="299"/>
      <c r="Y11" s="299"/>
      <c r="AF11" s="299"/>
      <c r="AG11" s="299"/>
      <c r="AH11" s="299"/>
      <c r="AI11" s="299">
        <f>IF(H11="y",D11,0)</f>
        <v>0</v>
      </c>
      <c r="AJ11" s="299">
        <f t="shared" ref="AJ11:AJ27" si="2">IF($K11=1,$T11,0)</f>
        <v>0</v>
      </c>
      <c r="AK11" s="299">
        <f t="shared" ref="AK11:AK27" si="3">IF($K11=2,$T11,0)</f>
        <v>0</v>
      </c>
      <c r="AL11" s="299">
        <f t="shared" ref="AL11:AL27" si="4">IF($K11=3,$T11,0)</f>
        <v>0</v>
      </c>
      <c r="AM11" s="299">
        <f t="shared" ref="AM11:AM27" si="5">IF($K11=4,$T11,0)</f>
        <v>0</v>
      </c>
      <c r="AN11" s="299">
        <f t="shared" ref="AN11:AN27" si="6">IF($K11=5,$T11,0)</f>
        <v>0</v>
      </c>
      <c r="AO11" s="299">
        <f t="shared" ref="AO11:AO27" si="7">IF($K11=6,$T11,0)</f>
        <v>0</v>
      </c>
      <c r="AP11" s="299">
        <f>SUM(AJ11:AO11)</f>
        <v>0</v>
      </c>
      <c r="AQ11" s="299">
        <f>IF(G11="N",D11,0)</f>
        <v>0</v>
      </c>
      <c r="AR11" s="299">
        <f t="shared" ref="AR11:AR27" si="8">IF(D11=0,0,IF(F11&lt;8,D11/N$70,0))</f>
        <v>0</v>
      </c>
      <c r="AS11" s="299">
        <f t="shared" ref="AS11:AS27" si="9">IF(D11=0,0,IF(F11&gt;8,D11/N$70,0))</f>
        <v>0</v>
      </c>
      <c r="AT11" s="299">
        <f>(AJ11*Pricing!F$2+AK11*Pricing!G$2+AL11*Pricing!H$2+AM11*Pricing!I$2+AN11*Pricing!J$2+AO11*Pricing!K$2)*IF(U$31="N",(1+W$31),1)</f>
        <v>0</v>
      </c>
      <c r="AU11" s="299">
        <f t="shared" ref="AU11:AU27" si="10">S11*G$43*IF(U$31="n",1+W$31,1)</f>
        <v>0</v>
      </c>
      <c r="AV11" s="299">
        <f t="shared" ref="AV11:AV27" si="11">IF(SUM(J$11:J$27)=0,0,O$54/SUM(J$11:J$27)*J11)</f>
        <v>0</v>
      </c>
      <c r="AW11" s="299">
        <f t="shared" ref="AW11:AW27" si="12">D11*SUM(E$50:F$52)</f>
        <v>0</v>
      </c>
      <c r="AX11" s="299"/>
      <c r="AY11" s="299">
        <f t="shared" ref="AY11:AY27" si="13">I11*E$75</f>
        <v>0</v>
      </c>
      <c r="AZ11" s="299">
        <f t="shared" ref="AZ11:AZ27" si="14">S11/2000*E$53</f>
        <v>0</v>
      </c>
      <c r="BA11" s="299">
        <f t="shared" ref="BA11:BA27" si="15">IF(D11=0,0,SUM(O$57:P$61)/D$28*D11)</f>
        <v>0</v>
      </c>
      <c r="BB11" s="299">
        <f t="shared" ref="BB11:BB27" si="16">IF(D11=0,0,SUM(W$40:W$78)/D$28*D11)</f>
        <v>0</v>
      </c>
      <c r="BC11" s="299">
        <f t="shared" ref="BC11:BC27" si="17">IF(D11=0,0,(SUM(O$63:P$68)-O$68)/D$28*D11)</f>
        <v>0</v>
      </c>
      <c r="BD11" s="510">
        <f t="shared" ref="BD11:BD27" si="18">IF(D11=0,0,(SUM(O$70:O$78)-O$75)/D$28)*D11</f>
        <v>0</v>
      </c>
      <c r="BE11" s="299">
        <f t="shared" ref="BE11:BE27" si="19">(Q11*G$46)*IF(U$31="N",1+W$31,1)+IF(D$28=0,0,(O$47/D$28*D11))</f>
        <v>0</v>
      </c>
      <c r="BF11" s="299">
        <f t="shared" ref="BF11:BF27" si="20">IF(BM11&gt;0,O$76/BM$29*BM11,0)</f>
        <v>0</v>
      </c>
      <c r="BG11" s="299">
        <f t="shared" ref="BG11:BG27" si="21">IF(H11="y",O$68/AI$28*D11,0)</f>
        <v>0</v>
      </c>
      <c r="BH11" s="299"/>
      <c r="BI11" s="299"/>
      <c r="BJ11" s="299"/>
      <c r="BK11" s="299"/>
      <c r="BL11" s="299"/>
      <c r="BM11" s="299">
        <f t="shared" ref="BM11:BM27" si="22">IF(G11="N",D11,0)</f>
        <v>0</v>
      </c>
      <c r="BN11" s="299"/>
      <c r="BO11" s="299"/>
      <c r="BP11" s="299"/>
      <c r="BQ11" s="299"/>
      <c r="BR11" s="299"/>
      <c r="BS11" s="299"/>
      <c r="BT11" s="299"/>
      <c r="BU11" s="299"/>
      <c r="BV11" s="299"/>
      <c r="BW11" s="299"/>
      <c r="BX11" s="299"/>
      <c r="BY11" s="299"/>
      <c r="BZ11" s="299"/>
      <c r="CA11" s="299"/>
      <c r="CB11" s="299"/>
      <c r="CC11" s="299"/>
      <c r="CD11" s="299"/>
      <c r="CE11" s="299"/>
      <c r="CF11" s="299"/>
      <c r="CG11" s="299"/>
      <c r="CH11" s="299"/>
      <c r="CI11" s="299"/>
      <c r="CJ11" s="299"/>
      <c r="CK11" s="299"/>
      <c r="CL11" s="299"/>
      <c r="CM11" s="299"/>
      <c r="CN11" s="299"/>
      <c r="CO11" s="299"/>
      <c r="CP11" s="299"/>
      <c r="CQ11" s="299"/>
      <c r="CR11" s="299"/>
      <c r="CS11" s="299"/>
      <c r="CT11" s="299"/>
      <c r="CU11" s="299"/>
      <c r="CV11" s="299"/>
      <c r="CW11" s="299"/>
      <c r="CX11" s="299"/>
      <c r="CY11" s="299"/>
      <c r="CZ11" s="299"/>
      <c r="DA11" s="299"/>
      <c r="DB11" s="299"/>
      <c r="DC11" s="299"/>
      <c r="DD11" s="299"/>
      <c r="DE11" s="299"/>
      <c r="DF11" s="299"/>
      <c r="DG11" s="299"/>
      <c r="DH11" s="299"/>
      <c r="DI11" s="299"/>
      <c r="DJ11" s="299"/>
      <c r="DK11" s="299"/>
      <c r="DL11" s="299"/>
      <c r="DM11" s="299"/>
      <c r="DN11" s="299"/>
      <c r="DO11" s="299"/>
      <c r="DP11" s="299"/>
      <c r="DQ11" s="299"/>
    </row>
    <row r="12" spans="2:122" s="298" customFormat="1" ht="24" customHeight="1" x14ac:dyDescent="0.35">
      <c r="B12" s="2259"/>
      <c r="C12" s="2260"/>
      <c r="D12" s="2493"/>
      <c r="E12" s="2487"/>
      <c r="F12" s="81"/>
      <c r="G12" s="462"/>
      <c r="H12" s="81"/>
      <c r="I12" s="611"/>
      <c r="J12" s="618"/>
      <c r="K12" s="728">
        <v>3</v>
      </c>
      <c r="L12" s="70"/>
      <c r="M12" s="463"/>
      <c r="N12" s="57">
        <v>4</v>
      </c>
      <c r="O12" s="81">
        <v>18</v>
      </c>
      <c r="P12" s="81"/>
      <c r="Q12" s="928">
        <f t="shared" si="0"/>
        <v>0</v>
      </c>
      <c r="R12" s="929">
        <v>0</v>
      </c>
      <c r="S12" s="930">
        <f>IF(O12=0,0,(O12/12+O12/12)/(O12/12*O12/12)*D12*((N12/16*N12/16)*10.6870159))*(1+K$43)+(J12*W$35)</f>
        <v>0</v>
      </c>
      <c r="T12" s="931">
        <f t="shared" ref="T12:T27" si="23">(D12*F12/324+J12/108+L12*1.5*0.18/27)*(1+K$40)</f>
        <v>0</v>
      </c>
      <c r="U12" s="935">
        <f t="shared" si="1"/>
        <v>0</v>
      </c>
      <c r="V12" s="2488">
        <f>SUM(AT12:BG12)*(1+M$32+Summary!P$64)</f>
        <v>0</v>
      </c>
      <c r="W12" s="2489"/>
      <c r="X12" s="299"/>
      <c r="Y12" s="299"/>
      <c r="AF12" s="299"/>
      <c r="AG12" s="299"/>
      <c r="AH12" s="299"/>
      <c r="AI12" s="299">
        <f t="shared" ref="AI12:AI27" si="24">IF(H12="y",D12,0)</f>
        <v>0</v>
      </c>
      <c r="AJ12" s="299">
        <f t="shared" si="2"/>
        <v>0</v>
      </c>
      <c r="AK12" s="299">
        <f t="shared" si="3"/>
        <v>0</v>
      </c>
      <c r="AL12" s="299">
        <f t="shared" si="4"/>
        <v>0</v>
      </c>
      <c r="AM12" s="299">
        <f t="shared" si="5"/>
        <v>0</v>
      </c>
      <c r="AN12" s="299">
        <f t="shared" si="6"/>
        <v>0</v>
      </c>
      <c r="AO12" s="299">
        <f t="shared" si="7"/>
        <v>0</v>
      </c>
      <c r="AP12" s="299">
        <f t="shared" ref="AP12:AP27" si="25">SUM(AJ12:AO12)</f>
        <v>0</v>
      </c>
      <c r="AQ12" s="299">
        <f t="shared" ref="AQ12:AQ27" si="26">IF(G12="N",D12,0)</f>
        <v>0</v>
      </c>
      <c r="AR12" s="299">
        <f t="shared" si="8"/>
        <v>0</v>
      </c>
      <c r="AS12" s="299">
        <f t="shared" si="9"/>
        <v>0</v>
      </c>
      <c r="AT12" s="299">
        <f>(AJ12*Pricing!F$2+AK12*Pricing!G$2+AL12*Pricing!H$2+AM12*Pricing!I$2+AN12*Pricing!J$2+AO12*Pricing!K$2)*IF(U$31="N",(1+W$31),1)</f>
        <v>0</v>
      </c>
      <c r="AU12" s="299">
        <f t="shared" si="10"/>
        <v>0</v>
      </c>
      <c r="AV12" s="299">
        <f t="shared" si="11"/>
        <v>0</v>
      </c>
      <c r="AW12" s="299">
        <f t="shared" si="12"/>
        <v>0</v>
      </c>
      <c r="AX12" s="299"/>
      <c r="AY12" s="299">
        <f t="shared" si="13"/>
        <v>0</v>
      </c>
      <c r="AZ12" s="299">
        <f t="shared" si="14"/>
        <v>0</v>
      </c>
      <c r="BA12" s="299">
        <f t="shared" si="15"/>
        <v>0</v>
      </c>
      <c r="BB12" s="299">
        <f t="shared" si="16"/>
        <v>0</v>
      </c>
      <c r="BC12" s="299">
        <f t="shared" si="17"/>
        <v>0</v>
      </c>
      <c r="BD12" s="510">
        <f t="shared" si="18"/>
        <v>0</v>
      </c>
      <c r="BE12" s="299">
        <f t="shared" si="19"/>
        <v>0</v>
      </c>
      <c r="BF12" s="299">
        <f t="shared" si="20"/>
        <v>0</v>
      </c>
      <c r="BG12" s="299">
        <f t="shared" si="21"/>
        <v>0</v>
      </c>
      <c r="BH12" s="299"/>
      <c r="BI12" s="299"/>
      <c r="BJ12" s="299"/>
      <c r="BK12" s="299"/>
      <c r="BL12" s="299"/>
      <c r="BM12" s="299">
        <f t="shared" si="22"/>
        <v>0</v>
      </c>
      <c r="BN12" s="299"/>
      <c r="BO12" s="299"/>
      <c r="BP12" s="299"/>
      <c r="BQ12" s="299"/>
      <c r="BR12" s="299"/>
      <c r="BS12" s="299"/>
      <c r="BT12" s="299"/>
      <c r="BU12" s="299"/>
      <c r="BV12" s="299"/>
      <c r="BW12" s="299"/>
      <c r="BX12" s="299"/>
      <c r="BY12" s="299"/>
      <c r="BZ12" s="299"/>
      <c r="CA12" s="299"/>
      <c r="CB12" s="299"/>
      <c r="CC12" s="299"/>
      <c r="CD12" s="299"/>
      <c r="CE12" s="299"/>
      <c r="CF12" s="299"/>
      <c r="CG12" s="299"/>
      <c r="CH12" s="299"/>
      <c r="CI12" s="299"/>
      <c r="CJ12" s="299"/>
      <c r="CK12" s="299"/>
      <c r="CL12" s="299"/>
      <c r="CM12" s="299"/>
      <c r="CN12" s="299"/>
      <c r="CO12" s="299"/>
      <c r="CP12" s="299"/>
      <c r="CQ12" s="299"/>
      <c r="CR12" s="299"/>
      <c r="CS12" s="299"/>
      <c r="CT12" s="299"/>
      <c r="CU12" s="299"/>
      <c r="CV12" s="299"/>
      <c r="CW12" s="299"/>
      <c r="CX12" s="299"/>
      <c r="CY12" s="299"/>
      <c r="CZ12" s="299"/>
      <c r="DA12" s="299"/>
      <c r="DB12" s="299"/>
      <c r="DC12" s="299"/>
      <c r="DD12" s="299"/>
      <c r="DE12" s="299"/>
      <c r="DF12" s="299"/>
      <c r="DG12" s="299"/>
      <c r="DH12" s="299"/>
      <c r="DI12" s="299"/>
      <c r="DJ12" s="299"/>
      <c r="DK12" s="299"/>
      <c r="DL12" s="299"/>
      <c r="DM12" s="299"/>
      <c r="DN12" s="299"/>
      <c r="DO12" s="299"/>
      <c r="DP12" s="299"/>
      <c r="DQ12" s="299"/>
    </row>
    <row r="13" spans="2:122" s="298" customFormat="1" ht="24" customHeight="1" x14ac:dyDescent="0.35">
      <c r="B13" s="2259"/>
      <c r="C13" s="2260"/>
      <c r="D13" s="2493"/>
      <c r="E13" s="2487"/>
      <c r="F13" s="81"/>
      <c r="G13" s="462"/>
      <c r="H13" s="81"/>
      <c r="I13" s="611"/>
      <c r="J13" s="618"/>
      <c r="K13" s="728">
        <v>3</v>
      </c>
      <c r="L13" s="70"/>
      <c r="M13" s="463"/>
      <c r="N13" s="57">
        <v>4</v>
      </c>
      <c r="O13" s="81">
        <v>18</v>
      </c>
      <c r="P13" s="81"/>
      <c r="Q13" s="928">
        <f t="shared" si="0"/>
        <v>0</v>
      </c>
      <c r="R13" s="929">
        <v>0</v>
      </c>
      <c r="S13" s="930">
        <f t="shared" ref="S13:S27" si="27">IF(O13=0,0,(O13/12+O13/12)/(O13/12*O13/12)*D13*((N13/16*N13/16)*10.6870159))*(1+K$43)+(J13*W$35)</f>
        <v>0</v>
      </c>
      <c r="T13" s="931">
        <f t="shared" si="23"/>
        <v>0</v>
      </c>
      <c r="U13" s="935">
        <f t="shared" si="1"/>
        <v>0</v>
      </c>
      <c r="V13" s="2488">
        <f>SUM(AT13:BG13)*(1+M$32+Summary!P$64)</f>
        <v>0</v>
      </c>
      <c r="W13" s="2489"/>
      <c r="X13" s="299"/>
      <c r="Y13" s="299"/>
      <c r="AF13" s="299"/>
      <c r="AG13" s="299"/>
      <c r="AH13" s="299"/>
      <c r="AI13" s="299">
        <f t="shared" si="24"/>
        <v>0</v>
      </c>
      <c r="AJ13" s="299">
        <f t="shared" si="2"/>
        <v>0</v>
      </c>
      <c r="AK13" s="299">
        <f t="shared" si="3"/>
        <v>0</v>
      </c>
      <c r="AL13" s="299">
        <f t="shared" si="4"/>
        <v>0</v>
      </c>
      <c r="AM13" s="299">
        <f t="shared" si="5"/>
        <v>0</v>
      </c>
      <c r="AN13" s="299">
        <f t="shared" si="6"/>
        <v>0</v>
      </c>
      <c r="AO13" s="299">
        <f t="shared" si="7"/>
        <v>0</v>
      </c>
      <c r="AP13" s="299">
        <f t="shared" si="25"/>
        <v>0</v>
      </c>
      <c r="AQ13" s="299">
        <f t="shared" si="26"/>
        <v>0</v>
      </c>
      <c r="AR13" s="299">
        <f t="shared" si="8"/>
        <v>0</v>
      </c>
      <c r="AS13" s="299">
        <f t="shared" si="9"/>
        <v>0</v>
      </c>
      <c r="AT13" s="299">
        <f>(AJ13*Pricing!F$2+AK13*Pricing!G$2+AL13*Pricing!H$2+AM13*Pricing!I$2+AN13*Pricing!J$2+AO13*Pricing!K$2)*IF(U$31="N",(1+W$31),1)</f>
        <v>0</v>
      </c>
      <c r="AU13" s="299">
        <f t="shared" si="10"/>
        <v>0</v>
      </c>
      <c r="AV13" s="299">
        <f t="shared" si="11"/>
        <v>0</v>
      </c>
      <c r="AW13" s="299">
        <f t="shared" si="12"/>
        <v>0</v>
      </c>
      <c r="AX13" s="299"/>
      <c r="AY13" s="299">
        <f t="shared" si="13"/>
        <v>0</v>
      </c>
      <c r="AZ13" s="299">
        <f t="shared" si="14"/>
        <v>0</v>
      </c>
      <c r="BA13" s="299">
        <f t="shared" si="15"/>
        <v>0</v>
      </c>
      <c r="BB13" s="299">
        <f t="shared" si="16"/>
        <v>0</v>
      </c>
      <c r="BC13" s="299">
        <f t="shared" si="17"/>
        <v>0</v>
      </c>
      <c r="BD13" s="510">
        <f t="shared" si="18"/>
        <v>0</v>
      </c>
      <c r="BE13" s="299">
        <f t="shared" si="19"/>
        <v>0</v>
      </c>
      <c r="BF13" s="299">
        <f t="shared" si="20"/>
        <v>0</v>
      </c>
      <c r="BG13" s="299">
        <f t="shared" si="21"/>
        <v>0</v>
      </c>
      <c r="BH13" s="299"/>
      <c r="BI13" s="299"/>
      <c r="BJ13" s="299"/>
      <c r="BK13" s="299"/>
      <c r="BL13" s="299"/>
      <c r="BM13" s="299">
        <f t="shared" si="22"/>
        <v>0</v>
      </c>
      <c r="BN13" s="299"/>
      <c r="BO13" s="299"/>
      <c r="BP13" s="299"/>
      <c r="BQ13" s="299"/>
      <c r="BR13" s="299"/>
      <c r="BS13" s="299"/>
      <c r="BT13" s="299"/>
      <c r="BU13" s="299"/>
      <c r="BV13" s="299"/>
      <c r="BW13" s="299"/>
      <c r="BX13" s="299"/>
      <c r="BY13" s="299"/>
      <c r="BZ13" s="299"/>
      <c r="CA13" s="299"/>
      <c r="CB13" s="299"/>
      <c r="CC13" s="299"/>
      <c r="CD13" s="299"/>
      <c r="CE13" s="299"/>
      <c r="CF13" s="299"/>
      <c r="CG13" s="299"/>
      <c r="CH13" s="299"/>
      <c r="CI13" s="299"/>
      <c r="CJ13" s="299"/>
      <c r="CK13" s="299"/>
      <c r="CL13" s="299"/>
      <c r="CM13" s="299"/>
      <c r="CN13" s="299"/>
      <c r="CO13" s="299"/>
      <c r="CP13" s="299"/>
      <c r="CQ13" s="299"/>
      <c r="CR13" s="299"/>
      <c r="CS13" s="299"/>
      <c r="CT13" s="299"/>
      <c r="CU13" s="299"/>
      <c r="CV13" s="299"/>
      <c r="CW13" s="299"/>
      <c r="CX13" s="299"/>
      <c r="CY13" s="299"/>
      <c r="CZ13" s="299"/>
      <c r="DA13" s="299"/>
      <c r="DB13" s="299"/>
      <c r="DC13" s="299"/>
      <c r="DD13" s="299"/>
      <c r="DE13" s="299"/>
      <c r="DF13" s="299"/>
      <c r="DG13" s="299"/>
      <c r="DH13" s="299"/>
      <c r="DI13" s="299"/>
      <c r="DJ13" s="299"/>
      <c r="DK13" s="299"/>
      <c r="DL13" s="299"/>
      <c r="DM13" s="299"/>
      <c r="DN13" s="299"/>
      <c r="DO13" s="299"/>
      <c r="DP13" s="299"/>
      <c r="DQ13" s="299"/>
    </row>
    <row r="14" spans="2:122" s="298" customFormat="1" ht="24" customHeight="1" x14ac:dyDescent="0.35">
      <c r="B14" s="2259"/>
      <c r="C14" s="2260"/>
      <c r="D14" s="2493"/>
      <c r="E14" s="2487"/>
      <c r="F14" s="81"/>
      <c r="G14" s="462"/>
      <c r="H14" s="81"/>
      <c r="I14" s="612"/>
      <c r="J14" s="618"/>
      <c r="K14" s="728"/>
      <c r="L14" s="70"/>
      <c r="M14" s="463"/>
      <c r="N14" s="57"/>
      <c r="O14" s="81"/>
      <c r="P14" s="81"/>
      <c r="Q14" s="928">
        <f t="shared" si="0"/>
        <v>0</v>
      </c>
      <c r="R14" s="929">
        <v>0</v>
      </c>
      <c r="S14" s="930">
        <f t="shared" si="27"/>
        <v>0</v>
      </c>
      <c r="T14" s="931">
        <f t="shared" si="23"/>
        <v>0</v>
      </c>
      <c r="U14" s="935">
        <f t="shared" si="1"/>
        <v>0</v>
      </c>
      <c r="V14" s="2495">
        <f>SUM(AT14:BG14)*(1+M$32+Summary!P$64)</f>
        <v>0</v>
      </c>
      <c r="W14" s="2489"/>
      <c r="X14" s="299"/>
      <c r="Y14" s="299"/>
      <c r="AF14" s="299"/>
      <c r="AG14" s="299"/>
      <c r="AH14" s="299"/>
      <c r="AI14" s="299">
        <f t="shared" si="24"/>
        <v>0</v>
      </c>
      <c r="AJ14" s="299">
        <f t="shared" si="2"/>
        <v>0</v>
      </c>
      <c r="AK14" s="299">
        <f t="shared" si="3"/>
        <v>0</v>
      </c>
      <c r="AL14" s="299">
        <f t="shared" si="4"/>
        <v>0</v>
      </c>
      <c r="AM14" s="299">
        <f t="shared" si="5"/>
        <v>0</v>
      </c>
      <c r="AN14" s="299">
        <f t="shared" si="6"/>
        <v>0</v>
      </c>
      <c r="AO14" s="299">
        <f t="shared" si="7"/>
        <v>0</v>
      </c>
      <c r="AP14" s="299">
        <f t="shared" si="25"/>
        <v>0</v>
      </c>
      <c r="AQ14" s="299">
        <f t="shared" si="26"/>
        <v>0</v>
      </c>
      <c r="AR14" s="299">
        <f t="shared" si="8"/>
        <v>0</v>
      </c>
      <c r="AS14" s="299">
        <f t="shared" si="9"/>
        <v>0</v>
      </c>
      <c r="AT14" s="299">
        <f>(AJ14*Pricing!F$2+AK14*Pricing!G$2+AL14*Pricing!H$2+AM14*Pricing!I$2+AN14*Pricing!J$2+AO14*Pricing!K$2)*IF(U$31="N",(1+W$31),1)</f>
        <v>0</v>
      </c>
      <c r="AU14" s="299">
        <f t="shared" si="10"/>
        <v>0</v>
      </c>
      <c r="AV14" s="299">
        <f t="shared" si="11"/>
        <v>0</v>
      </c>
      <c r="AW14" s="299">
        <f t="shared" si="12"/>
        <v>0</v>
      </c>
      <c r="AX14" s="299"/>
      <c r="AY14" s="299">
        <f t="shared" si="13"/>
        <v>0</v>
      </c>
      <c r="AZ14" s="299">
        <f t="shared" si="14"/>
        <v>0</v>
      </c>
      <c r="BA14" s="299">
        <f t="shared" si="15"/>
        <v>0</v>
      </c>
      <c r="BB14" s="299">
        <f t="shared" si="16"/>
        <v>0</v>
      </c>
      <c r="BC14" s="299">
        <f t="shared" si="17"/>
        <v>0</v>
      </c>
      <c r="BD14" s="510">
        <f t="shared" si="18"/>
        <v>0</v>
      </c>
      <c r="BE14" s="299">
        <f t="shared" si="19"/>
        <v>0</v>
      </c>
      <c r="BF14" s="299">
        <f t="shared" si="20"/>
        <v>0</v>
      </c>
      <c r="BG14" s="299">
        <f t="shared" si="21"/>
        <v>0</v>
      </c>
      <c r="BH14" s="299"/>
      <c r="BI14" s="299"/>
      <c r="BJ14" s="299"/>
      <c r="BK14" s="299"/>
      <c r="BL14" s="299"/>
      <c r="BM14" s="299">
        <f t="shared" si="22"/>
        <v>0</v>
      </c>
      <c r="BN14" s="299"/>
      <c r="BO14" s="299"/>
      <c r="BP14" s="299"/>
      <c r="BQ14" s="299"/>
      <c r="BR14" s="299"/>
      <c r="BS14" s="299"/>
      <c r="BT14" s="299"/>
      <c r="BU14" s="299"/>
      <c r="BV14" s="299"/>
      <c r="BW14" s="299"/>
      <c r="BX14" s="299"/>
      <c r="BY14" s="299"/>
      <c r="BZ14" s="299"/>
      <c r="CA14" s="299"/>
      <c r="CB14" s="299"/>
      <c r="CC14" s="299"/>
      <c r="CD14" s="299"/>
      <c r="CE14" s="299"/>
      <c r="CF14" s="299"/>
      <c r="CG14" s="299"/>
      <c r="CH14" s="299"/>
      <c r="CI14" s="299"/>
      <c r="CJ14" s="299"/>
      <c r="CK14" s="299"/>
      <c r="CL14" s="299"/>
      <c r="CM14" s="299"/>
      <c r="CN14" s="299"/>
      <c r="CO14" s="299"/>
      <c r="CP14" s="299"/>
      <c r="CQ14" s="299"/>
      <c r="CR14" s="299"/>
      <c r="CS14" s="299"/>
      <c r="CT14" s="299"/>
      <c r="CU14" s="299"/>
      <c r="CV14" s="299"/>
      <c r="CW14" s="299"/>
      <c r="CX14" s="299"/>
      <c r="CY14" s="299"/>
      <c r="CZ14" s="299"/>
      <c r="DA14" s="299"/>
      <c r="DB14" s="299"/>
      <c r="DC14" s="299"/>
      <c r="DD14" s="299"/>
      <c r="DE14" s="299"/>
      <c r="DF14" s="299"/>
      <c r="DG14" s="299"/>
      <c r="DH14" s="299"/>
      <c r="DI14" s="299"/>
      <c r="DJ14" s="299"/>
      <c r="DK14" s="299"/>
      <c r="DL14" s="299"/>
      <c r="DM14" s="299"/>
      <c r="DN14" s="299"/>
      <c r="DO14" s="299"/>
      <c r="DP14" s="299"/>
      <c r="DQ14" s="299"/>
    </row>
    <row r="15" spans="2:122" s="298" customFormat="1" ht="24" customHeight="1" x14ac:dyDescent="0.35">
      <c r="B15" s="2494"/>
      <c r="C15" s="2260"/>
      <c r="D15" s="2491"/>
      <c r="E15" s="2524"/>
      <c r="F15" s="81"/>
      <c r="G15" s="462"/>
      <c r="H15" s="81"/>
      <c r="I15" s="464"/>
      <c r="J15" s="618"/>
      <c r="K15" s="728"/>
      <c r="L15" s="70"/>
      <c r="M15" s="463"/>
      <c r="N15" s="57"/>
      <c r="O15" s="81"/>
      <c r="P15" s="81"/>
      <c r="Q15" s="928">
        <f t="shared" si="0"/>
        <v>0</v>
      </c>
      <c r="R15" s="929">
        <v>0</v>
      </c>
      <c r="S15" s="930">
        <f t="shared" si="27"/>
        <v>0</v>
      </c>
      <c r="T15" s="931">
        <f t="shared" si="23"/>
        <v>0</v>
      </c>
      <c r="U15" s="935">
        <f t="shared" si="1"/>
        <v>0</v>
      </c>
      <c r="V15" s="2488">
        <f>SUM(AT15:BG15)*(1+M$32+Summary!P$64)</f>
        <v>0</v>
      </c>
      <c r="W15" s="2489"/>
      <c r="X15" s="299"/>
      <c r="Y15" s="299"/>
      <c r="AF15" s="299"/>
      <c r="AG15" s="299"/>
      <c r="AH15" s="299"/>
      <c r="AI15" s="299">
        <f t="shared" si="24"/>
        <v>0</v>
      </c>
      <c r="AJ15" s="299">
        <f t="shared" si="2"/>
        <v>0</v>
      </c>
      <c r="AK15" s="299">
        <f t="shared" si="3"/>
        <v>0</v>
      </c>
      <c r="AL15" s="299">
        <f t="shared" si="4"/>
        <v>0</v>
      </c>
      <c r="AM15" s="299">
        <f t="shared" si="5"/>
        <v>0</v>
      </c>
      <c r="AN15" s="299">
        <f t="shared" si="6"/>
        <v>0</v>
      </c>
      <c r="AO15" s="299">
        <f t="shared" si="7"/>
        <v>0</v>
      </c>
      <c r="AP15" s="299">
        <f t="shared" si="25"/>
        <v>0</v>
      </c>
      <c r="AQ15" s="299">
        <f t="shared" si="26"/>
        <v>0</v>
      </c>
      <c r="AR15" s="299">
        <f t="shared" si="8"/>
        <v>0</v>
      </c>
      <c r="AS15" s="299">
        <f t="shared" si="9"/>
        <v>0</v>
      </c>
      <c r="AT15" s="299">
        <f>(AJ15*Pricing!F$2+AK15*Pricing!G$2+AL15*Pricing!H$2+AM15*Pricing!I$2+AN15*Pricing!J$2+AO15*Pricing!K$2)*IF(U$31="N",(1+W$31),1)</f>
        <v>0</v>
      </c>
      <c r="AU15" s="299">
        <f t="shared" si="10"/>
        <v>0</v>
      </c>
      <c r="AV15" s="299">
        <f t="shared" si="11"/>
        <v>0</v>
      </c>
      <c r="AW15" s="299">
        <f t="shared" si="12"/>
        <v>0</v>
      </c>
      <c r="AX15" s="299"/>
      <c r="AY15" s="299">
        <f t="shared" si="13"/>
        <v>0</v>
      </c>
      <c r="AZ15" s="299">
        <f t="shared" si="14"/>
        <v>0</v>
      </c>
      <c r="BA15" s="299">
        <f t="shared" si="15"/>
        <v>0</v>
      </c>
      <c r="BB15" s="299">
        <f t="shared" si="16"/>
        <v>0</v>
      </c>
      <c r="BC15" s="299">
        <f t="shared" si="17"/>
        <v>0</v>
      </c>
      <c r="BD15" s="510">
        <f t="shared" si="18"/>
        <v>0</v>
      </c>
      <c r="BE15" s="299">
        <f t="shared" si="19"/>
        <v>0</v>
      </c>
      <c r="BF15" s="299">
        <f t="shared" si="20"/>
        <v>0</v>
      </c>
      <c r="BG15" s="299">
        <f t="shared" si="21"/>
        <v>0</v>
      </c>
      <c r="BH15" s="299"/>
      <c r="BI15" s="299"/>
      <c r="BJ15" s="299"/>
      <c r="BK15" s="299"/>
      <c r="BL15" s="299"/>
      <c r="BM15" s="299">
        <f t="shared" si="22"/>
        <v>0</v>
      </c>
      <c r="BN15" s="299"/>
      <c r="BO15" s="299"/>
      <c r="BP15" s="299"/>
      <c r="BQ15" s="299"/>
      <c r="BR15" s="299"/>
      <c r="BS15" s="299"/>
      <c r="BT15" s="299"/>
      <c r="BU15" s="299"/>
      <c r="BV15" s="299"/>
      <c r="BW15" s="299"/>
      <c r="BX15" s="299"/>
      <c r="BY15" s="299"/>
      <c r="BZ15" s="299"/>
      <c r="CA15" s="299"/>
      <c r="CB15" s="299"/>
      <c r="CC15" s="299"/>
      <c r="CD15" s="299"/>
      <c r="CE15" s="299"/>
      <c r="CF15" s="299"/>
      <c r="CG15" s="299"/>
      <c r="CH15" s="299"/>
      <c r="CI15" s="299"/>
      <c r="CJ15" s="299"/>
      <c r="CK15" s="299"/>
      <c r="CL15" s="299"/>
      <c r="CM15" s="299"/>
      <c r="CN15" s="299"/>
      <c r="CO15" s="299"/>
      <c r="CP15" s="299"/>
      <c r="CQ15" s="299"/>
      <c r="CR15" s="299"/>
      <c r="CS15" s="299"/>
      <c r="CT15" s="299"/>
      <c r="CU15" s="299"/>
      <c r="CV15" s="299"/>
      <c r="CW15" s="299"/>
      <c r="CX15" s="299"/>
      <c r="CY15" s="299"/>
      <c r="CZ15" s="299"/>
      <c r="DA15" s="299"/>
      <c r="DB15" s="299"/>
      <c r="DC15" s="299"/>
      <c r="DD15" s="299"/>
      <c r="DE15" s="299"/>
      <c r="DF15" s="299"/>
      <c r="DG15" s="299"/>
      <c r="DH15" s="299"/>
      <c r="DI15" s="299"/>
      <c r="DJ15" s="299"/>
      <c r="DK15" s="299"/>
      <c r="DL15" s="299"/>
      <c r="DM15" s="299"/>
      <c r="DN15" s="299"/>
      <c r="DO15" s="299"/>
      <c r="DP15" s="299"/>
      <c r="DQ15" s="299"/>
    </row>
    <row r="16" spans="2:122" s="298" customFormat="1" ht="24" customHeight="1" x14ac:dyDescent="0.35">
      <c r="B16" s="2490"/>
      <c r="C16" s="2260"/>
      <c r="D16" s="2493"/>
      <c r="E16" s="2487"/>
      <c r="F16" s="81"/>
      <c r="G16" s="462"/>
      <c r="H16" s="81"/>
      <c r="I16" s="464"/>
      <c r="J16" s="618"/>
      <c r="K16" s="728"/>
      <c r="L16" s="70"/>
      <c r="M16" s="463"/>
      <c r="N16" s="57"/>
      <c r="O16" s="81"/>
      <c r="P16" s="81"/>
      <c r="Q16" s="928">
        <f t="shared" si="0"/>
        <v>0</v>
      </c>
      <c r="R16" s="929">
        <v>0</v>
      </c>
      <c r="S16" s="930">
        <f t="shared" si="27"/>
        <v>0</v>
      </c>
      <c r="T16" s="931">
        <f t="shared" si="23"/>
        <v>0</v>
      </c>
      <c r="U16" s="935">
        <f t="shared" si="1"/>
        <v>0</v>
      </c>
      <c r="V16" s="2488">
        <f>SUM(AT16:BG16)*(1+M$32+Summary!P$64)</f>
        <v>0</v>
      </c>
      <c r="W16" s="2489"/>
      <c r="X16" s="299"/>
      <c r="Y16" s="299"/>
      <c r="AF16" s="299"/>
      <c r="AG16" s="299"/>
      <c r="AH16" s="299"/>
      <c r="AI16" s="299">
        <f t="shared" si="24"/>
        <v>0</v>
      </c>
      <c r="AJ16" s="299">
        <f t="shared" si="2"/>
        <v>0</v>
      </c>
      <c r="AK16" s="299">
        <f t="shared" si="3"/>
        <v>0</v>
      </c>
      <c r="AL16" s="299">
        <f t="shared" si="4"/>
        <v>0</v>
      </c>
      <c r="AM16" s="299">
        <f t="shared" si="5"/>
        <v>0</v>
      </c>
      <c r="AN16" s="299">
        <f t="shared" si="6"/>
        <v>0</v>
      </c>
      <c r="AO16" s="299">
        <f t="shared" si="7"/>
        <v>0</v>
      </c>
      <c r="AP16" s="299">
        <f t="shared" si="25"/>
        <v>0</v>
      </c>
      <c r="AQ16" s="299">
        <f t="shared" si="26"/>
        <v>0</v>
      </c>
      <c r="AR16" s="299">
        <f t="shared" si="8"/>
        <v>0</v>
      </c>
      <c r="AS16" s="299">
        <f t="shared" si="9"/>
        <v>0</v>
      </c>
      <c r="AT16" s="299">
        <f>(AJ16*Pricing!F$2+AK16*Pricing!G$2+AL16*Pricing!H$2+AM16*Pricing!I$2+AN16*Pricing!J$2+AO16*Pricing!K$2)*IF(U$31="N",(1+W$31),1)</f>
        <v>0</v>
      </c>
      <c r="AU16" s="299">
        <f t="shared" si="10"/>
        <v>0</v>
      </c>
      <c r="AV16" s="299">
        <f t="shared" si="11"/>
        <v>0</v>
      </c>
      <c r="AW16" s="299">
        <f t="shared" si="12"/>
        <v>0</v>
      </c>
      <c r="AX16" s="299"/>
      <c r="AY16" s="299">
        <f t="shared" si="13"/>
        <v>0</v>
      </c>
      <c r="AZ16" s="299">
        <f t="shared" si="14"/>
        <v>0</v>
      </c>
      <c r="BA16" s="299">
        <f t="shared" si="15"/>
        <v>0</v>
      </c>
      <c r="BB16" s="299">
        <f t="shared" si="16"/>
        <v>0</v>
      </c>
      <c r="BC16" s="299">
        <f t="shared" si="17"/>
        <v>0</v>
      </c>
      <c r="BD16" s="510">
        <f t="shared" si="18"/>
        <v>0</v>
      </c>
      <c r="BE16" s="299">
        <f t="shared" si="19"/>
        <v>0</v>
      </c>
      <c r="BF16" s="299">
        <f t="shared" si="20"/>
        <v>0</v>
      </c>
      <c r="BG16" s="299">
        <f t="shared" si="21"/>
        <v>0</v>
      </c>
      <c r="BH16" s="299"/>
      <c r="BI16" s="299"/>
      <c r="BJ16" s="299"/>
      <c r="BK16" s="299"/>
      <c r="BL16" s="299"/>
      <c r="BM16" s="299">
        <f t="shared" si="22"/>
        <v>0</v>
      </c>
      <c r="BN16" s="299"/>
      <c r="BO16" s="299"/>
      <c r="BP16" s="299"/>
      <c r="BQ16" s="299"/>
      <c r="BR16" s="299"/>
      <c r="BS16" s="299"/>
      <c r="BT16" s="299"/>
      <c r="BU16" s="299"/>
      <c r="BV16" s="299"/>
      <c r="BW16" s="299"/>
      <c r="BX16" s="299"/>
      <c r="BY16" s="299"/>
      <c r="BZ16" s="299"/>
      <c r="CA16" s="299"/>
      <c r="CB16" s="299"/>
      <c r="CC16" s="299"/>
      <c r="CD16" s="299"/>
      <c r="CE16" s="299"/>
      <c r="CF16" s="299"/>
      <c r="CG16" s="299"/>
      <c r="CH16" s="299"/>
      <c r="CI16" s="299"/>
      <c r="CJ16" s="299"/>
      <c r="CK16" s="299"/>
      <c r="CL16" s="299"/>
      <c r="CM16" s="299"/>
      <c r="CN16" s="299"/>
      <c r="CO16" s="299"/>
      <c r="CP16" s="299"/>
      <c r="CQ16" s="299"/>
      <c r="CR16" s="299"/>
      <c r="CS16" s="299"/>
      <c r="CT16" s="299"/>
      <c r="CU16" s="299"/>
      <c r="CV16" s="299"/>
      <c r="CW16" s="299"/>
      <c r="CX16" s="299"/>
      <c r="CY16" s="299"/>
      <c r="CZ16" s="299"/>
      <c r="DA16" s="299"/>
      <c r="DB16" s="299"/>
      <c r="DC16" s="299"/>
      <c r="DD16" s="299"/>
      <c r="DE16" s="299"/>
      <c r="DF16" s="299"/>
      <c r="DG16" s="299"/>
      <c r="DH16" s="299"/>
      <c r="DI16" s="299"/>
      <c r="DJ16" s="299"/>
      <c r="DK16" s="299"/>
      <c r="DL16" s="299"/>
      <c r="DM16" s="299"/>
      <c r="DN16" s="299"/>
      <c r="DO16" s="299"/>
      <c r="DP16" s="299"/>
      <c r="DQ16" s="299"/>
    </row>
    <row r="17" spans="2:122" s="298" customFormat="1" ht="24" customHeight="1" x14ac:dyDescent="0.35">
      <c r="B17" s="2494"/>
      <c r="C17" s="2260"/>
      <c r="D17" s="2493"/>
      <c r="E17" s="2487"/>
      <c r="F17" s="81"/>
      <c r="G17" s="462"/>
      <c r="H17" s="81"/>
      <c r="I17" s="464"/>
      <c r="J17" s="618"/>
      <c r="K17" s="728"/>
      <c r="L17" s="70"/>
      <c r="M17" s="463"/>
      <c r="N17" s="57"/>
      <c r="O17" s="81"/>
      <c r="P17" s="81"/>
      <c r="Q17" s="928">
        <f t="shared" si="0"/>
        <v>0</v>
      </c>
      <c r="R17" s="929">
        <v>0</v>
      </c>
      <c r="S17" s="930">
        <f t="shared" si="27"/>
        <v>0</v>
      </c>
      <c r="T17" s="931">
        <f t="shared" si="23"/>
        <v>0</v>
      </c>
      <c r="U17" s="935">
        <f t="shared" si="1"/>
        <v>0</v>
      </c>
      <c r="V17" s="2488">
        <f>SUM(AT17:BG17)*(1+M$32+Summary!P$64)</f>
        <v>0</v>
      </c>
      <c r="W17" s="2489"/>
      <c r="X17" s="299"/>
      <c r="Y17" s="299"/>
      <c r="AF17" s="299"/>
      <c r="AG17" s="299"/>
      <c r="AH17" s="299"/>
      <c r="AI17" s="299">
        <f t="shared" si="24"/>
        <v>0</v>
      </c>
      <c r="AJ17" s="299">
        <f t="shared" si="2"/>
        <v>0</v>
      </c>
      <c r="AK17" s="299">
        <f t="shared" si="3"/>
        <v>0</v>
      </c>
      <c r="AL17" s="299">
        <f t="shared" si="4"/>
        <v>0</v>
      </c>
      <c r="AM17" s="299">
        <f t="shared" si="5"/>
        <v>0</v>
      </c>
      <c r="AN17" s="299">
        <f t="shared" si="6"/>
        <v>0</v>
      </c>
      <c r="AO17" s="299">
        <f t="shared" si="7"/>
        <v>0</v>
      </c>
      <c r="AP17" s="299">
        <f t="shared" si="25"/>
        <v>0</v>
      </c>
      <c r="AQ17" s="299">
        <f t="shared" si="26"/>
        <v>0</v>
      </c>
      <c r="AR17" s="299">
        <f t="shared" si="8"/>
        <v>0</v>
      </c>
      <c r="AS17" s="299">
        <f t="shared" si="9"/>
        <v>0</v>
      </c>
      <c r="AT17" s="299">
        <f>(AJ17*Pricing!F$2+AK17*Pricing!G$2+AL17*Pricing!H$2+AM17*Pricing!I$2+AN17*Pricing!J$2+AO17*Pricing!K$2)*IF(U$31="N",(1+W$31),1)</f>
        <v>0</v>
      </c>
      <c r="AU17" s="299">
        <f t="shared" si="10"/>
        <v>0</v>
      </c>
      <c r="AV17" s="299">
        <f t="shared" si="11"/>
        <v>0</v>
      </c>
      <c r="AW17" s="299">
        <f t="shared" si="12"/>
        <v>0</v>
      </c>
      <c r="AX17" s="299"/>
      <c r="AY17" s="299">
        <f t="shared" si="13"/>
        <v>0</v>
      </c>
      <c r="AZ17" s="299">
        <f t="shared" si="14"/>
        <v>0</v>
      </c>
      <c r="BA17" s="299">
        <f t="shared" si="15"/>
        <v>0</v>
      </c>
      <c r="BB17" s="299">
        <f t="shared" si="16"/>
        <v>0</v>
      </c>
      <c r="BC17" s="299">
        <f t="shared" si="17"/>
        <v>0</v>
      </c>
      <c r="BD17" s="510">
        <f t="shared" si="18"/>
        <v>0</v>
      </c>
      <c r="BE17" s="299">
        <f t="shared" si="19"/>
        <v>0</v>
      </c>
      <c r="BF17" s="299">
        <f t="shared" si="20"/>
        <v>0</v>
      </c>
      <c r="BG17" s="299">
        <f t="shared" si="21"/>
        <v>0</v>
      </c>
      <c r="BH17" s="299"/>
      <c r="BI17" s="299"/>
      <c r="BJ17" s="299"/>
      <c r="BK17" s="299"/>
      <c r="BL17" s="299"/>
      <c r="BM17" s="299">
        <f t="shared" si="22"/>
        <v>0</v>
      </c>
      <c r="BN17" s="299"/>
      <c r="BO17" s="299"/>
      <c r="BP17" s="299"/>
      <c r="BQ17" s="299"/>
      <c r="BR17" s="299"/>
      <c r="BS17" s="299"/>
      <c r="BT17" s="299"/>
      <c r="BU17" s="299"/>
      <c r="BV17" s="299"/>
      <c r="BW17" s="299"/>
      <c r="BX17" s="299"/>
      <c r="BY17" s="299"/>
      <c r="BZ17" s="299"/>
      <c r="CA17" s="299"/>
      <c r="CB17" s="299"/>
      <c r="CC17" s="299"/>
      <c r="CD17" s="299"/>
      <c r="CE17" s="299"/>
      <c r="CF17" s="299"/>
      <c r="CG17" s="299"/>
      <c r="CH17" s="299"/>
      <c r="CI17" s="299"/>
      <c r="CJ17" s="299"/>
      <c r="CK17" s="299"/>
      <c r="CL17" s="299"/>
      <c r="CM17" s="299"/>
      <c r="CN17" s="299"/>
      <c r="CO17" s="299"/>
      <c r="CP17" s="299"/>
      <c r="CQ17" s="299"/>
      <c r="CR17" s="299"/>
      <c r="CS17" s="299"/>
      <c r="CT17" s="299"/>
      <c r="CU17" s="299"/>
      <c r="CV17" s="299"/>
      <c r="CW17" s="299"/>
      <c r="CX17" s="299"/>
      <c r="CY17" s="299"/>
      <c r="CZ17" s="299"/>
      <c r="DA17" s="299"/>
      <c r="DB17" s="299"/>
      <c r="DC17" s="299"/>
      <c r="DD17" s="299"/>
      <c r="DE17" s="299"/>
      <c r="DF17" s="299"/>
      <c r="DG17" s="299"/>
      <c r="DH17" s="299"/>
      <c r="DI17" s="299"/>
      <c r="DJ17" s="299"/>
      <c r="DK17" s="299"/>
      <c r="DL17" s="299"/>
      <c r="DM17" s="299"/>
      <c r="DN17" s="299"/>
      <c r="DO17" s="299"/>
      <c r="DP17" s="299"/>
      <c r="DQ17" s="299"/>
    </row>
    <row r="18" spans="2:122" s="298" customFormat="1" ht="24" customHeight="1" x14ac:dyDescent="0.35">
      <c r="B18" s="2259"/>
      <c r="C18" s="2260"/>
      <c r="D18" s="2493"/>
      <c r="E18" s="2487"/>
      <c r="F18" s="81"/>
      <c r="G18" s="462"/>
      <c r="H18" s="81"/>
      <c r="I18" s="464"/>
      <c r="J18" s="618"/>
      <c r="K18" s="728"/>
      <c r="L18" s="70"/>
      <c r="M18" s="463"/>
      <c r="N18" s="57"/>
      <c r="O18" s="81"/>
      <c r="P18" s="81"/>
      <c r="Q18" s="928">
        <f t="shared" si="0"/>
        <v>0</v>
      </c>
      <c r="R18" s="929">
        <v>0</v>
      </c>
      <c r="S18" s="930">
        <f t="shared" si="27"/>
        <v>0</v>
      </c>
      <c r="T18" s="931">
        <f t="shared" si="23"/>
        <v>0</v>
      </c>
      <c r="U18" s="935">
        <f t="shared" si="1"/>
        <v>0</v>
      </c>
      <c r="V18" s="2488">
        <f>SUM(AT18:BG18)*(1+M$32+Summary!P$64)</f>
        <v>0</v>
      </c>
      <c r="W18" s="2489"/>
      <c r="X18" s="299"/>
      <c r="Y18" s="299"/>
      <c r="AF18" s="299"/>
      <c r="AG18" s="299"/>
      <c r="AH18" s="299"/>
      <c r="AI18" s="299">
        <f t="shared" si="24"/>
        <v>0</v>
      </c>
      <c r="AJ18" s="299">
        <f t="shared" si="2"/>
        <v>0</v>
      </c>
      <c r="AK18" s="299">
        <f t="shared" si="3"/>
        <v>0</v>
      </c>
      <c r="AL18" s="299">
        <f t="shared" si="4"/>
        <v>0</v>
      </c>
      <c r="AM18" s="299">
        <f t="shared" si="5"/>
        <v>0</v>
      </c>
      <c r="AN18" s="299">
        <f t="shared" si="6"/>
        <v>0</v>
      </c>
      <c r="AO18" s="299">
        <f t="shared" si="7"/>
        <v>0</v>
      </c>
      <c r="AP18" s="299">
        <f t="shared" si="25"/>
        <v>0</v>
      </c>
      <c r="AQ18" s="299">
        <f t="shared" si="26"/>
        <v>0</v>
      </c>
      <c r="AR18" s="299">
        <f t="shared" si="8"/>
        <v>0</v>
      </c>
      <c r="AS18" s="299">
        <f t="shared" si="9"/>
        <v>0</v>
      </c>
      <c r="AT18" s="299">
        <f>(AJ18*Pricing!F$2+AK18*Pricing!G$2+AL18*Pricing!H$2+AM18*Pricing!I$2+AN18*Pricing!J$2+AO18*Pricing!K$2)*IF(U$31="N",(1+W$31),1)</f>
        <v>0</v>
      </c>
      <c r="AU18" s="299">
        <f t="shared" si="10"/>
        <v>0</v>
      </c>
      <c r="AV18" s="299">
        <f t="shared" si="11"/>
        <v>0</v>
      </c>
      <c r="AW18" s="299">
        <f t="shared" si="12"/>
        <v>0</v>
      </c>
      <c r="AX18" s="299"/>
      <c r="AY18" s="299">
        <f t="shared" si="13"/>
        <v>0</v>
      </c>
      <c r="AZ18" s="299">
        <f t="shared" si="14"/>
        <v>0</v>
      </c>
      <c r="BA18" s="299">
        <f t="shared" si="15"/>
        <v>0</v>
      </c>
      <c r="BB18" s="299">
        <f t="shared" si="16"/>
        <v>0</v>
      </c>
      <c r="BC18" s="299">
        <f t="shared" si="17"/>
        <v>0</v>
      </c>
      <c r="BD18" s="510">
        <f t="shared" si="18"/>
        <v>0</v>
      </c>
      <c r="BE18" s="299">
        <f t="shared" si="19"/>
        <v>0</v>
      </c>
      <c r="BF18" s="299">
        <f t="shared" si="20"/>
        <v>0</v>
      </c>
      <c r="BG18" s="299">
        <f t="shared" si="21"/>
        <v>0</v>
      </c>
      <c r="BH18" s="299"/>
      <c r="BI18" s="299"/>
      <c r="BJ18" s="299"/>
      <c r="BK18" s="299"/>
      <c r="BL18" s="299"/>
      <c r="BM18" s="299">
        <f t="shared" si="22"/>
        <v>0</v>
      </c>
      <c r="BN18" s="299"/>
      <c r="BO18" s="299"/>
      <c r="BP18" s="299"/>
      <c r="BQ18" s="299"/>
      <c r="BR18" s="299"/>
      <c r="BS18" s="299"/>
      <c r="BT18" s="299"/>
      <c r="BU18" s="299"/>
      <c r="BV18" s="299"/>
      <c r="BW18" s="299"/>
      <c r="BX18" s="299"/>
      <c r="BY18" s="299"/>
      <c r="BZ18" s="299"/>
      <c r="CA18" s="299"/>
      <c r="CB18" s="299"/>
      <c r="CC18" s="299"/>
      <c r="CD18" s="299"/>
      <c r="CE18" s="299"/>
      <c r="CF18" s="299"/>
      <c r="CG18" s="299"/>
      <c r="CH18" s="299"/>
      <c r="CI18" s="299"/>
      <c r="CJ18" s="299"/>
      <c r="CK18" s="299"/>
      <c r="CL18" s="299"/>
      <c r="CM18" s="299"/>
      <c r="CN18" s="299"/>
      <c r="CO18" s="299"/>
      <c r="CP18" s="299"/>
      <c r="CQ18" s="299"/>
      <c r="CR18" s="299"/>
      <c r="CS18" s="299"/>
      <c r="CT18" s="299"/>
      <c r="CU18" s="299"/>
      <c r="CV18" s="299"/>
      <c r="CW18" s="299"/>
      <c r="CX18" s="299"/>
      <c r="CY18" s="299"/>
      <c r="CZ18" s="299"/>
      <c r="DA18" s="299"/>
      <c r="DB18" s="299"/>
      <c r="DC18" s="299"/>
      <c r="DD18" s="299"/>
      <c r="DE18" s="299"/>
      <c r="DF18" s="299"/>
      <c r="DG18" s="299"/>
      <c r="DH18" s="299"/>
      <c r="DI18" s="299"/>
      <c r="DJ18" s="299"/>
      <c r="DK18" s="299"/>
      <c r="DL18" s="299"/>
      <c r="DM18" s="299"/>
      <c r="DN18" s="299"/>
      <c r="DO18" s="299"/>
      <c r="DP18" s="299"/>
      <c r="DQ18" s="299"/>
    </row>
    <row r="19" spans="2:122" s="298" customFormat="1" ht="24" customHeight="1" x14ac:dyDescent="0.35">
      <c r="B19" s="2490"/>
      <c r="C19" s="2260"/>
      <c r="D19" s="2493"/>
      <c r="E19" s="2487"/>
      <c r="F19" s="81"/>
      <c r="G19" s="462"/>
      <c r="H19" s="81"/>
      <c r="I19" s="464"/>
      <c r="J19" s="618"/>
      <c r="K19" s="728"/>
      <c r="L19" s="70"/>
      <c r="M19" s="463"/>
      <c r="N19" s="57"/>
      <c r="O19" s="81"/>
      <c r="P19" s="81"/>
      <c r="Q19" s="928">
        <f t="shared" si="0"/>
        <v>0</v>
      </c>
      <c r="R19" s="929">
        <v>0</v>
      </c>
      <c r="S19" s="930">
        <f t="shared" si="27"/>
        <v>0</v>
      </c>
      <c r="T19" s="931">
        <f t="shared" si="23"/>
        <v>0</v>
      </c>
      <c r="U19" s="935">
        <f t="shared" si="1"/>
        <v>0</v>
      </c>
      <c r="V19" s="2488">
        <f>SUM(AT19:BG19)*(1+M$32+Summary!P$64)</f>
        <v>0</v>
      </c>
      <c r="W19" s="2489"/>
      <c r="X19" s="299"/>
      <c r="Y19" s="299"/>
      <c r="AF19" s="299"/>
      <c r="AG19" s="299"/>
      <c r="AH19" s="299"/>
      <c r="AI19" s="299">
        <f t="shared" si="24"/>
        <v>0</v>
      </c>
      <c r="AJ19" s="299">
        <f t="shared" si="2"/>
        <v>0</v>
      </c>
      <c r="AK19" s="299">
        <f t="shared" si="3"/>
        <v>0</v>
      </c>
      <c r="AL19" s="299">
        <f t="shared" si="4"/>
        <v>0</v>
      </c>
      <c r="AM19" s="299">
        <f t="shared" si="5"/>
        <v>0</v>
      </c>
      <c r="AN19" s="299">
        <f t="shared" si="6"/>
        <v>0</v>
      </c>
      <c r="AO19" s="299">
        <f t="shared" si="7"/>
        <v>0</v>
      </c>
      <c r="AP19" s="299">
        <f t="shared" si="25"/>
        <v>0</v>
      </c>
      <c r="AQ19" s="299">
        <f t="shared" si="26"/>
        <v>0</v>
      </c>
      <c r="AR19" s="299">
        <f t="shared" si="8"/>
        <v>0</v>
      </c>
      <c r="AS19" s="299">
        <f t="shared" si="9"/>
        <v>0</v>
      </c>
      <c r="AT19" s="299">
        <f>(AJ19*Pricing!F$2+AK19*Pricing!G$2+AL19*Pricing!H$2+AM19*Pricing!I$2+AN19*Pricing!J$2+AO19*Pricing!K$2)*IF(U$31="N",(1+W$31),1)</f>
        <v>0</v>
      </c>
      <c r="AU19" s="299">
        <f t="shared" si="10"/>
        <v>0</v>
      </c>
      <c r="AV19" s="299">
        <f t="shared" si="11"/>
        <v>0</v>
      </c>
      <c r="AW19" s="299">
        <f t="shared" si="12"/>
        <v>0</v>
      </c>
      <c r="AX19" s="299"/>
      <c r="AY19" s="299">
        <f t="shared" si="13"/>
        <v>0</v>
      </c>
      <c r="AZ19" s="299">
        <f t="shared" si="14"/>
        <v>0</v>
      </c>
      <c r="BA19" s="299">
        <f t="shared" si="15"/>
        <v>0</v>
      </c>
      <c r="BB19" s="299">
        <f t="shared" si="16"/>
        <v>0</v>
      </c>
      <c r="BC19" s="299">
        <f t="shared" si="17"/>
        <v>0</v>
      </c>
      <c r="BD19" s="510">
        <f t="shared" si="18"/>
        <v>0</v>
      </c>
      <c r="BE19" s="299">
        <f t="shared" si="19"/>
        <v>0</v>
      </c>
      <c r="BF19" s="299">
        <f t="shared" si="20"/>
        <v>0</v>
      </c>
      <c r="BG19" s="299">
        <f t="shared" si="21"/>
        <v>0</v>
      </c>
      <c r="BH19" s="299"/>
      <c r="BI19" s="299"/>
      <c r="BJ19" s="299"/>
      <c r="BK19" s="299"/>
      <c r="BL19" s="299"/>
      <c r="BM19" s="299">
        <f t="shared" si="22"/>
        <v>0</v>
      </c>
      <c r="BN19" s="299"/>
      <c r="BO19" s="299"/>
      <c r="BP19" s="299"/>
      <c r="BQ19" s="299"/>
      <c r="BR19" s="299"/>
      <c r="BS19" s="299"/>
      <c r="BT19" s="299"/>
      <c r="BU19" s="299"/>
      <c r="BV19" s="299"/>
      <c r="BW19" s="299"/>
      <c r="BX19" s="299"/>
      <c r="BY19" s="299"/>
      <c r="BZ19" s="299"/>
      <c r="CA19" s="299"/>
      <c r="CB19" s="299"/>
      <c r="CC19" s="299"/>
      <c r="CD19" s="299"/>
      <c r="CE19" s="299"/>
      <c r="CF19" s="299"/>
      <c r="CG19" s="299"/>
      <c r="CH19" s="299"/>
      <c r="CI19" s="299"/>
      <c r="CJ19" s="299"/>
      <c r="CK19" s="299"/>
      <c r="CL19" s="299"/>
      <c r="CM19" s="299"/>
      <c r="CN19" s="299"/>
      <c r="CO19" s="299"/>
      <c r="CP19" s="299"/>
      <c r="CQ19" s="299"/>
      <c r="CR19" s="299"/>
      <c r="CS19" s="299"/>
      <c r="CT19" s="299"/>
      <c r="CU19" s="299"/>
      <c r="CV19" s="299"/>
      <c r="CW19" s="299"/>
      <c r="CX19" s="299"/>
      <c r="CY19" s="299"/>
      <c r="CZ19" s="299"/>
      <c r="DA19" s="299"/>
      <c r="DB19" s="299"/>
      <c r="DC19" s="299"/>
      <c r="DD19" s="299"/>
      <c r="DE19" s="299"/>
      <c r="DF19" s="299"/>
      <c r="DG19" s="299"/>
      <c r="DH19" s="299"/>
      <c r="DI19" s="299"/>
      <c r="DJ19" s="299"/>
      <c r="DK19" s="299"/>
      <c r="DL19" s="299"/>
      <c r="DM19" s="299"/>
      <c r="DN19" s="299"/>
      <c r="DO19" s="299"/>
      <c r="DP19" s="299"/>
      <c r="DQ19" s="299"/>
    </row>
    <row r="20" spans="2:122" s="298" customFormat="1" ht="24" customHeight="1" x14ac:dyDescent="0.35">
      <c r="B20" s="2259"/>
      <c r="C20" s="2260"/>
      <c r="D20" s="2493"/>
      <c r="E20" s="2487"/>
      <c r="F20" s="81"/>
      <c r="G20" s="462"/>
      <c r="H20" s="81"/>
      <c r="I20" s="464"/>
      <c r="J20" s="618"/>
      <c r="K20" s="728"/>
      <c r="L20" s="70"/>
      <c r="M20" s="463"/>
      <c r="N20" s="57"/>
      <c r="O20" s="81"/>
      <c r="P20" s="81"/>
      <c r="Q20" s="928">
        <f t="shared" si="0"/>
        <v>0</v>
      </c>
      <c r="R20" s="929">
        <v>0</v>
      </c>
      <c r="S20" s="930">
        <f t="shared" si="27"/>
        <v>0</v>
      </c>
      <c r="T20" s="931">
        <f t="shared" si="23"/>
        <v>0</v>
      </c>
      <c r="U20" s="935">
        <f t="shared" si="1"/>
        <v>0</v>
      </c>
      <c r="V20" s="2488">
        <f>SUM(AT20:BG20)*(1+M$32+Summary!P$64)</f>
        <v>0</v>
      </c>
      <c r="W20" s="2489"/>
      <c r="X20" s="299"/>
      <c r="Y20" s="299"/>
      <c r="AF20" s="299"/>
      <c r="AG20" s="299"/>
      <c r="AH20" s="299"/>
      <c r="AI20" s="299">
        <f t="shared" si="24"/>
        <v>0</v>
      </c>
      <c r="AJ20" s="299">
        <f t="shared" si="2"/>
        <v>0</v>
      </c>
      <c r="AK20" s="299">
        <f t="shared" si="3"/>
        <v>0</v>
      </c>
      <c r="AL20" s="299">
        <f t="shared" si="4"/>
        <v>0</v>
      </c>
      <c r="AM20" s="299">
        <f t="shared" si="5"/>
        <v>0</v>
      </c>
      <c r="AN20" s="299">
        <f t="shared" si="6"/>
        <v>0</v>
      </c>
      <c r="AO20" s="299">
        <f t="shared" si="7"/>
        <v>0</v>
      </c>
      <c r="AP20" s="299">
        <f t="shared" si="25"/>
        <v>0</v>
      </c>
      <c r="AQ20" s="299">
        <f t="shared" si="26"/>
        <v>0</v>
      </c>
      <c r="AR20" s="299">
        <f t="shared" si="8"/>
        <v>0</v>
      </c>
      <c r="AS20" s="299">
        <f t="shared" si="9"/>
        <v>0</v>
      </c>
      <c r="AT20" s="299">
        <f>(AJ20*Pricing!F$2+AK20*Pricing!G$2+AL20*Pricing!H$2+AM20*Pricing!I$2+AN20*Pricing!J$2+AO20*Pricing!K$2)*IF(U$31="N",(1+W$31),1)</f>
        <v>0</v>
      </c>
      <c r="AU20" s="299">
        <f t="shared" si="10"/>
        <v>0</v>
      </c>
      <c r="AV20" s="299">
        <f t="shared" si="11"/>
        <v>0</v>
      </c>
      <c r="AW20" s="299">
        <f t="shared" si="12"/>
        <v>0</v>
      </c>
      <c r="AX20" s="299"/>
      <c r="AY20" s="299">
        <f t="shared" si="13"/>
        <v>0</v>
      </c>
      <c r="AZ20" s="299">
        <f t="shared" si="14"/>
        <v>0</v>
      </c>
      <c r="BA20" s="299">
        <f t="shared" si="15"/>
        <v>0</v>
      </c>
      <c r="BB20" s="299">
        <f t="shared" si="16"/>
        <v>0</v>
      </c>
      <c r="BC20" s="299">
        <f t="shared" si="17"/>
        <v>0</v>
      </c>
      <c r="BD20" s="510">
        <f t="shared" si="18"/>
        <v>0</v>
      </c>
      <c r="BE20" s="299">
        <f t="shared" si="19"/>
        <v>0</v>
      </c>
      <c r="BF20" s="299">
        <f t="shared" si="20"/>
        <v>0</v>
      </c>
      <c r="BG20" s="299">
        <f t="shared" si="21"/>
        <v>0</v>
      </c>
      <c r="BH20" s="299"/>
      <c r="BI20" s="299"/>
      <c r="BJ20" s="299"/>
      <c r="BK20" s="299"/>
      <c r="BL20" s="299"/>
      <c r="BM20" s="299">
        <f t="shared" si="22"/>
        <v>0</v>
      </c>
      <c r="BN20" s="299"/>
      <c r="BO20" s="299"/>
      <c r="BP20" s="299"/>
      <c r="BQ20" s="299"/>
      <c r="BR20" s="299"/>
      <c r="BS20" s="299"/>
      <c r="BT20" s="299"/>
      <c r="BU20" s="299"/>
      <c r="BV20" s="299"/>
      <c r="BW20" s="299"/>
      <c r="BX20" s="299"/>
      <c r="BY20" s="299"/>
      <c r="BZ20" s="299"/>
      <c r="CA20" s="299"/>
      <c r="CB20" s="299"/>
      <c r="CC20" s="299"/>
      <c r="CD20" s="299"/>
      <c r="CE20" s="299"/>
      <c r="CF20" s="299"/>
      <c r="CG20" s="299"/>
      <c r="CH20" s="299"/>
      <c r="CI20" s="299"/>
      <c r="CJ20" s="299"/>
      <c r="CK20" s="299"/>
      <c r="CL20" s="299"/>
      <c r="CM20" s="299"/>
      <c r="CN20" s="299"/>
      <c r="CO20" s="299"/>
      <c r="CP20" s="299"/>
      <c r="CQ20" s="299"/>
      <c r="CR20" s="299"/>
      <c r="CS20" s="299"/>
      <c r="CT20" s="299"/>
      <c r="CU20" s="299"/>
      <c r="CV20" s="299"/>
      <c r="CW20" s="299"/>
      <c r="CX20" s="299"/>
      <c r="CY20" s="299"/>
      <c r="CZ20" s="299"/>
      <c r="DA20" s="299"/>
      <c r="DB20" s="299"/>
      <c r="DC20" s="299"/>
      <c r="DD20" s="299"/>
      <c r="DE20" s="299"/>
      <c r="DF20" s="299"/>
      <c r="DG20" s="299"/>
      <c r="DH20" s="299"/>
      <c r="DI20" s="299"/>
      <c r="DJ20" s="299"/>
      <c r="DK20" s="299"/>
      <c r="DL20" s="299"/>
      <c r="DM20" s="299"/>
      <c r="DN20" s="299"/>
      <c r="DO20" s="299"/>
      <c r="DP20" s="299"/>
      <c r="DQ20" s="299"/>
    </row>
    <row r="21" spans="2:122" s="298" customFormat="1" ht="24" customHeight="1" x14ac:dyDescent="0.35">
      <c r="B21" s="2490"/>
      <c r="C21" s="2260"/>
      <c r="D21" s="2486"/>
      <c r="E21" s="2487"/>
      <c r="F21" s="81"/>
      <c r="G21" s="462"/>
      <c r="H21" s="81"/>
      <c r="I21" s="464"/>
      <c r="J21" s="618"/>
      <c r="K21" s="728"/>
      <c r="L21" s="70"/>
      <c r="M21" s="463"/>
      <c r="N21" s="57"/>
      <c r="O21" s="81"/>
      <c r="P21" s="81"/>
      <c r="Q21" s="928">
        <f t="shared" si="0"/>
        <v>0</v>
      </c>
      <c r="R21" s="929">
        <v>0</v>
      </c>
      <c r="S21" s="930">
        <f t="shared" si="27"/>
        <v>0</v>
      </c>
      <c r="T21" s="931">
        <f t="shared" si="23"/>
        <v>0</v>
      </c>
      <c r="U21" s="935">
        <f t="shared" si="1"/>
        <v>0</v>
      </c>
      <c r="V21" s="2488">
        <f>SUM(AT21:BG21)*(1+M$32+Summary!P$64)</f>
        <v>0</v>
      </c>
      <c r="W21" s="2489"/>
      <c r="X21" s="299"/>
      <c r="Y21" s="299"/>
      <c r="AF21" s="299"/>
      <c r="AG21" s="299"/>
      <c r="AH21" s="299"/>
      <c r="AI21" s="299">
        <f t="shared" si="24"/>
        <v>0</v>
      </c>
      <c r="AJ21" s="299">
        <f t="shared" si="2"/>
        <v>0</v>
      </c>
      <c r="AK21" s="299">
        <f t="shared" si="3"/>
        <v>0</v>
      </c>
      <c r="AL21" s="299">
        <f t="shared" si="4"/>
        <v>0</v>
      </c>
      <c r="AM21" s="299">
        <f t="shared" si="5"/>
        <v>0</v>
      </c>
      <c r="AN21" s="299">
        <f t="shared" si="6"/>
        <v>0</v>
      </c>
      <c r="AO21" s="299">
        <f t="shared" si="7"/>
        <v>0</v>
      </c>
      <c r="AP21" s="299">
        <f t="shared" si="25"/>
        <v>0</v>
      </c>
      <c r="AQ21" s="299">
        <f t="shared" si="26"/>
        <v>0</v>
      </c>
      <c r="AR21" s="299">
        <f t="shared" si="8"/>
        <v>0</v>
      </c>
      <c r="AS21" s="299">
        <f t="shared" si="9"/>
        <v>0</v>
      </c>
      <c r="AT21" s="299">
        <f>(AJ21*Pricing!F$2+AK21*Pricing!G$2+AL21*Pricing!H$2+AM21*Pricing!I$2+AN21*Pricing!J$2+AO21*Pricing!K$2)*IF(U$31="N",(1+W$31),1)</f>
        <v>0</v>
      </c>
      <c r="AU21" s="299">
        <f t="shared" si="10"/>
        <v>0</v>
      </c>
      <c r="AV21" s="299">
        <f t="shared" si="11"/>
        <v>0</v>
      </c>
      <c r="AW21" s="299">
        <f t="shared" si="12"/>
        <v>0</v>
      </c>
      <c r="AX21" s="299"/>
      <c r="AY21" s="299">
        <f t="shared" si="13"/>
        <v>0</v>
      </c>
      <c r="AZ21" s="299">
        <f t="shared" si="14"/>
        <v>0</v>
      </c>
      <c r="BA21" s="299">
        <f t="shared" si="15"/>
        <v>0</v>
      </c>
      <c r="BB21" s="299">
        <f t="shared" si="16"/>
        <v>0</v>
      </c>
      <c r="BC21" s="299">
        <f t="shared" si="17"/>
        <v>0</v>
      </c>
      <c r="BD21" s="510">
        <f t="shared" si="18"/>
        <v>0</v>
      </c>
      <c r="BE21" s="299">
        <f t="shared" si="19"/>
        <v>0</v>
      </c>
      <c r="BF21" s="299">
        <f t="shared" si="20"/>
        <v>0</v>
      </c>
      <c r="BG21" s="299">
        <f t="shared" si="21"/>
        <v>0</v>
      </c>
      <c r="BH21" s="299"/>
      <c r="BI21" s="299"/>
      <c r="BJ21" s="299"/>
      <c r="BK21" s="299"/>
      <c r="BL21" s="299"/>
      <c r="BM21" s="299">
        <f t="shared" si="22"/>
        <v>0</v>
      </c>
      <c r="BN21" s="299"/>
      <c r="BO21" s="299"/>
      <c r="BP21" s="299"/>
      <c r="BQ21" s="299"/>
      <c r="BR21" s="299"/>
      <c r="BS21" s="299"/>
      <c r="BT21" s="299"/>
      <c r="BU21" s="299"/>
      <c r="BV21" s="299"/>
      <c r="BW21" s="299"/>
      <c r="BX21" s="299"/>
      <c r="BY21" s="299"/>
      <c r="BZ21" s="299"/>
      <c r="CA21" s="299"/>
      <c r="CB21" s="299"/>
      <c r="CC21" s="299"/>
      <c r="CD21" s="299"/>
      <c r="CE21" s="299"/>
      <c r="CF21" s="299"/>
      <c r="CG21" s="299"/>
      <c r="CH21" s="299"/>
      <c r="CI21" s="299"/>
      <c r="CJ21" s="299"/>
      <c r="CK21" s="299"/>
      <c r="CL21" s="299"/>
      <c r="CM21" s="299"/>
      <c r="CN21" s="299"/>
      <c r="CO21" s="299"/>
      <c r="CP21" s="299"/>
      <c r="CQ21" s="299"/>
      <c r="CR21" s="299"/>
      <c r="CS21" s="299"/>
      <c r="CT21" s="299"/>
      <c r="CU21" s="299"/>
      <c r="CV21" s="299"/>
      <c r="CW21" s="299"/>
      <c r="CX21" s="299"/>
      <c r="CY21" s="299"/>
      <c r="CZ21" s="299"/>
      <c r="DA21" s="299"/>
      <c r="DB21" s="299"/>
      <c r="DC21" s="299"/>
      <c r="DD21" s="299"/>
      <c r="DE21" s="299"/>
      <c r="DF21" s="299"/>
      <c r="DG21" s="299"/>
      <c r="DH21" s="299"/>
      <c r="DI21" s="299"/>
      <c r="DJ21" s="299"/>
      <c r="DK21" s="299"/>
      <c r="DL21" s="299"/>
      <c r="DM21" s="299"/>
      <c r="DN21" s="299"/>
      <c r="DO21" s="299"/>
      <c r="DP21" s="299"/>
      <c r="DQ21" s="299"/>
    </row>
    <row r="22" spans="2:122" s="298" customFormat="1" ht="24" customHeight="1" x14ac:dyDescent="0.35">
      <c r="B22" s="2259"/>
      <c r="C22" s="2260"/>
      <c r="D22" s="2486"/>
      <c r="E22" s="2487"/>
      <c r="F22" s="81"/>
      <c r="G22" s="462"/>
      <c r="H22" s="81"/>
      <c r="I22" s="464"/>
      <c r="J22" s="618"/>
      <c r="K22" s="728"/>
      <c r="L22" s="70"/>
      <c r="M22" s="463"/>
      <c r="N22" s="57"/>
      <c r="O22" s="81"/>
      <c r="P22" s="81"/>
      <c r="Q22" s="928">
        <f t="shared" si="0"/>
        <v>0</v>
      </c>
      <c r="R22" s="929">
        <v>0</v>
      </c>
      <c r="S22" s="930">
        <f t="shared" si="27"/>
        <v>0</v>
      </c>
      <c r="T22" s="931">
        <f t="shared" si="23"/>
        <v>0</v>
      </c>
      <c r="U22" s="935">
        <f t="shared" si="1"/>
        <v>0</v>
      </c>
      <c r="V22" s="2488">
        <f>SUM(AT22:BG22)*(1+M$32+Summary!P$64)</f>
        <v>0</v>
      </c>
      <c r="W22" s="2489"/>
      <c r="X22" s="299"/>
      <c r="Y22" s="299"/>
      <c r="AF22" s="299"/>
      <c r="AG22" s="299"/>
      <c r="AH22" s="299"/>
      <c r="AI22" s="299">
        <f t="shared" si="24"/>
        <v>0</v>
      </c>
      <c r="AJ22" s="299">
        <f t="shared" si="2"/>
        <v>0</v>
      </c>
      <c r="AK22" s="299">
        <f t="shared" si="3"/>
        <v>0</v>
      </c>
      <c r="AL22" s="299">
        <f t="shared" si="4"/>
        <v>0</v>
      </c>
      <c r="AM22" s="299">
        <f t="shared" si="5"/>
        <v>0</v>
      </c>
      <c r="AN22" s="299">
        <f t="shared" si="6"/>
        <v>0</v>
      </c>
      <c r="AO22" s="299">
        <f t="shared" si="7"/>
        <v>0</v>
      </c>
      <c r="AP22" s="299">
        <f t="shared" si="25"/>
        <v>0</v>
      </c>
      <c r="AQ22" s="299">
        <f t="shared" si="26"/>
        <v>0</v>
      </c>
      <c r="AR22" s="299">
        <f t="shared" si="8"/>
        <v>0</v>
      </c>
      <c r="AS22" s="299">
        <f t="shared" si="9"/>
        <v>0</v>
      </c>
      <c r="AT22" s="299">
        <f>(AJ22*Pricing!F$2+AK22*Pricing!G$2+AL22*Pricing!H$2+AM22*Pricing!I$2+AN22*Pricing!J$2+AO22*Pricing!K$2)*IF(U$31="N",(1+W$31),1)</f>
        <v>0</v>
      </c>
      <c r="AU22" s="299">
        <f t="shared" si="10"/>
        <v>0</v>
      </c>
      <c r="AV22" s="299">
        <f t="shared" si="11"/>
        <v>0</v>
      </c>
      <c r="AW22" s="299">
        <f t="shared" si="12"/>
        <v>0</v>
      </c>
      <c r="AX22" s="299"/>
      <c r="AY22" s="299">
        <f t="shared" si="13"/>
        <v>0</v>
      </c>
      <c r="AZ22" s="299">
        <f t="shared" si="14"/>
        <v>0</v>
      </c>
      <c r="BA22" s="299">
        <f t="shared" si="15"/>
        <v>0</v>
      </c>
      <c r="BB22" s="299">
        <f t="shared" si="16"/>
        <v>0</v>
      </c>
      <c r="BC22" s="299">
        <f t="shared" si="17"/>
        <v>0</v>
      </c>
      <c r="BD22" s="510">
        <f t="shared" si="18"/>
        <v>0</v>
      </c>
      <c r="BE22" s="299">
        <f t="shared" si="19"/>
        <v>0</v>
      </c>
      <c r="BF22" s="299">
        <f t="shared" si="20"/>
        <v>0</v>
      </c>
      <c r="BG22" s="299">
        <f t="shared" si="21"/>
        <v>0</v>
      </c>
      <c r="BH22" s="299"/>
      <c r="BI22" s="299"/>
      <c r="BJ22" s="299"/>
      <c r="BK22" s="299"/>
      <c r="BL22" s="299"/>
      <c r="BM22" s="299">
        <f t="shared" si="22"/>
        <v>0</v>
      </c>
      <c r="BN22" s="299"/>
      <c r="BO22" s="299"/>
      <c r="BP22" s="299"/>
      <c r="BQ22" s="299"/>
      <c r="BR22" s="299"/>
      <c r="BS22" s="299"/>
      <c r="BT22" s="299"/>
      <c r="BU22" s="299"/>
      <c r="BV22" s="299"/>
      <c r="BW22" s="299"/>
      <c r="BX22" s="299"/>
      <c r="BY22" s="299"/>
      <c r="BZ22" s="299"/>
      <c r="CA22" s="299"/>
      <c r="CB22" s="299"/>
      <c r="CC22" s="299"/>
      <c r="CD22" s="299"/>
      <c r="CE22" s="299"/>
      <c r="CF22" s="299"/>
      <c r="CG22" s="299"/>
      <c r="CH22" s="299"/>
      <c r="CI22" s="299"/>
      <c r="CJ22" s="299"/>
      <c r="CK22" s="299"/>
      <c r="CL22" s="299"/>
      <c r="CM22" s="299"/>
      <c r="CN22" s="299"/>
      <c r="CO22" s="299"/>
      <c r="CP22" s="299"/>
      <c r="CQ22" s="299"/>
      <c r="CR22" s="299"/>
      <c r="CS22" s="299"/>
      <c r="CT22" s="299"/>
      <c r="CU22" s="299"/>
      <c r="CV22" s="299"/>
      <c r="CW22" s="299"/>
      <c r="CX22" s="299"/>
      <c r="CY22" s="299"/>
      <c r="CZ22" s="299"/>
      <c r="DA22" s="299"/>
      <c r="DB22" s="299"/>
      <c r="DC22" s="299"/>
      <c r="DD22" s="299"/>
      <c r="DE22" s="299"/>
      <c r="DF22" s="299"/>
      <c r="DG22" s="299"/>
      <c r="DH22" s="299"/>
      <c r="DI22" s="299"/>
      <c r="DJ22" s="299"/>
      <c r="DK22" s="299"/>
      <c r="DL22" s="299"/>
      <c r="DM22" s="299"/>
      <c r="DN22" s="299"/>
      <c r="DO22" s="299"/>
      <c r="DP22" s="299"/>
      <c r="DQ22" s="299"/>
    </row>
    <row r="23" spans="2:122" s="298" customFormat="1" ht="24" customHeight="1" x14ac:dyDescent="0.35">
      <c r="B23" s="2259"/>
      <c r="C23" s="2260"/>
      <c r="D23" s="2486"/>
      <c r="E23" s="2487"/>
      <c r="F23" s="81"/>
      <c r="G23" s="462"/>
      <c r="H23" s="81"/>
      <c r="I23" s="464"/>
      <c r="J23" s="618"/>
      <c r="K23" s="728"/>
      <c r="L23" s="70"/>
      <c r="M23" s="463"/>
      <c r="N23" s="57"/>
      <c r="O23" s="81"/>
      <c r="P23" s="81"/>
      <c r="Q23" s="928">
        <f t="shared" si="0"/>
        <v>0</v>
      </c>
      <c r="R23" s="929">
        <v>0</v>
      </c>
      <c r="S23" s="930">
        <f t="shared" si="27"/>
        <v>0</v>
      </c>
      <c r="T23" s="931">
        <f t="shared" si="23"/>
        <v>0</v>
      </c>
      <c r="U23" s="935">
        <f t="shared" si="1"/>
        <v>0</v>
      </c>
      <c r="V23" s="2488">
        <f>SUM(AT23:BG23)*(1+M$32+Summary!P$64)</f>
        <v>0</v>
      </c>
      <c r="W23" s="2489"/>
      <c r="X23" s="299"/>
      <c r="Y23" s="299"/>
      <c r="AF23" s="299"/>
      <c r="AG23" s="299"/>
      <c r="AH23" s="299"/>
      <c r="AI23" s="299">
        <f t="shared" si="24"/>
        <v>0</v>
      </c>
      <c r="AJ23" s="299">
        <f t="shared" si="2"/>
        <v>0</v>
      </c>
      <c r="AK23" s="299">
        <f t="shared" si="3"/>
        <v>0</v>
      </c>
      <c r="AL23" s="299">
        <f t="shared" si="4"/>
        <v>0</v>
      </c>
      <c r="AM23" s="299">
        <f t="shared" si="5"/>
        <v>0</v>
      </c>
      <c r="AN23" s="299">
        <f t="shared" si="6"/>
        <v>0</v>
      </c>
      <c r="AO23" s="299">
        <f t="shared" si="7"/>
        <v>0</v>
      </c>
      <c r="AP23" s="299">
        <f t="shared" si="25"/>
        <v>0</v>
      </c>
      <c r="AQ23" s="299">
        <f t="shared" si="26"/>
        <v>0</v>
      </c>
      <c r="AR23" s="299">
        <f t="shared" si="8"/>
        <v>0</v>
      </c>
      <c r="AS23" s="299">
        <f t="shared" si="9"/>
        <v>0</v>
      </c>
      <c r="AT23" s="299">
        <f>(AJ23*Pricing!F$2+AK23*Pricing!G$2+AL23*Pricing!H$2+AM23*Pricing!I$2+AN23*Pricing!J$2+AO23*Pricing!K$2)*IF(U$31="N",(1+W$31),1)</f>
        <v>0</v>
      </c>
      <c r="AU23" s="299">
        <f t="shared" si="10"/>
        <v>0</v>
      </c>
      <c r="AV23" s="299">
        <f t="shared" si="11"/>
        <v>0</v>
      </c>
      <c r="AW23" s="299">
        <f t="shared" si="12"/>
        <v>0</v>
      </c>
      <c r="AX23" s="299"/>
      <c r="AY23" s="299">
        <f t="shared" si="13"/>
        <v>0</v>
      </c>
      <c r="AZ23" s="299">
        <f t="shared" si="14"/>
        <v>0</v>
      </c>
      <c r="BA23" s="299">
        <f t="shared" si="15"/>
        <v>0</v>
      </c>
      <c r="BB23" s="299">
        <f t="shared" si="16"/>
        <v>0</v>
      </c>
      <c r="BC23" s="299">
        <f t="shared" si="17"/>
        <v>0</v>
      </c>
      <c r="BD23" s="510">
        <f t="shared" si="18"/>
        <v>0</v>
      </c>
      <c r="BE23" s="299">
        <f t="shared" si="19"/>
        <v>0</v>
      </c>
      <c r="BF23" s="299">
        <f t="shared" si="20"/>
        <v>0</v>
      </c>
      <c r="BG23" s="299">
        <f t="shared" si="21"/>
        <v>0</v>
      </c>
      <c r="BH23" s="299"/>
      <c r="BI23" s="299"/>
      <c r="BJ23" s="299"/>
      <c r="BK23" s="299"/>
      <c r="BL23" s="299"/>
      <c r="BM23" s="299">
        <f t="shared" si="22"/>
        <v>0</v>
      </c>
      <c r="BN23" s="299"/>
      <c r="BO23" s="299"/>
      <c r="BP23" s="299"/>
      <c r="BQ23" s="299"/>
      <c r="BR23" s="299"/>
      <c r="BS23" s="299"/>
      <c r="BT23" s="299"/>
      <c r="BU23" s="299"/>
      <c r="BV23" s="299"/>
      <c r="BW23" s="299"/>
      <c r="BX23" s="299"/>
      <c r="BY23" s="299"/>
      <c r="BZ23" s="299"/>
      <c r="CA23" s="299"/>
      <c r="CB23" s="299"/>
      <c r="CC23" s="299"/>
      <c r="CD23" s="299"/>
      <c r="CE23" s="299"/>
      <c r="CF23" s="299"/>
      <c r="CG23" s="299"/>
      <c r="CH23" s="299"/>
      <c r="CI23" s="299"/>
      <c r="CJ23" s="299"/>
      <c r="CK23" s="299"/>
      <c r="CL23" s="299"/>
      <c r="CM23" s="299"/>
      <c r="CN23" s="299"/>
      <c r="CO23" s="299"/>
      <c r="CP23" s="299"/>
      <c r="CQ23" s="299"/>
      <c r="CR23" s="299"/>
      <c r="CS23" s="299"/>
      <c r="CT23" s="299"/>
      <c r="CU23" s="299"/>
      <c r="CV23" s="299"/>
      <c r="CW23" s="299"/>
      <c r="CX23" s="299"/>
      <c r="CY23" s="299"/>
      <c r="CZ23" s="299"/>
      <c r="DA23" s="299"/>
      <c r="DB23" s="299"/>
      <c r="DC23" s="299"/>
      <c r="DD23" s="299"/>
      <c r="DE23" s="299"/>
      <c r="DF23" s="299"/>
      <c r="DG23" s="299"/>
      <c r="DH23" s="299"/>
      <c r="DI23" s="299"/>
      <c r="DJ23" s="299"/>
      <c r="DK23" s="299"/>
      <c r="DL23" s="299"/>
      <c r="DM23" s="299"/>
      <c r="DN23" s="299"/>
      <c r="DO23" s="299"/>
      <c r="DP23" s="299"/>
      <c r="DQ23" s="299"/>
    </row>
    <row r="24" spans="2:122" s="298" customFormat="1" ht="24" customHeight="1" x14ac:dyDescent="0.35">
      <c r="B24" s="2490"/>
      <c r="C24" s="2260"/>
      <c r="D24" s="2486"/>
      <c r="E24" s="2487"/>
      <c r="F24" s="81"/>
      <c r="G24" s="462"/>
      <c r="H24" s="81"/>
      <c r="I24" s="464"/>
      <c r="J24" s="618"/>
      <c r="K24" s="728"/>
      <c r="L24" s="70"/>
      <c r="M24" s="463"/>
      <c r="N24" s="57"/>
      <c r="O24" s="81"/>
      <c r="P24" s="81"/>
      <c r="Q24" s="928">
        <f t="shared" si="0"/>
        <v>0</v>
      </c>
      <c r="R24" s="929">
        <v>0</v>
      </c>
      <c r="S24" s="930">
        <f t="shared" si="27"/>
        <v>0</v>
      </c>
      <c r="T24" s="931">
        <f t="shared" si="23"/>
        <v>0</v>
      </c>
      <c r="U24" s="935">
        <f t="shared" si="1"/>
        <v>0</v>
      </c>
      <c r="V24" s="2488">
        <f>SUM(AT24:BG24)*(1+M$32+Summary!P$64)</f>
        <v>0</v>
      </c>
      <c r="W24" s="2489"/>
      <c r="X24" s="299"/>
      <c r="Y24" s="299"/>
      <c r="AF24" s="299"/>
      <c r="AG24" s="299"/>
      <c r="AH24" s="299"/>
      <c r="AI24" s="299">
        <f t="shared" si="24"/>
        <v>0</v>
      </c>
      <c r="AJ24" s="299">
        <f t="shared" si="2"/>
        <v>0</v>
      </c>
      <c r="AK24" s="299">
        <f t="shared" si="3"/>
        <v>0</v>
      </c>
      <c r="AL24" s="299">
        <f t="shared" si="4"/>
        <v>0</v>
      </c>
      <c r="AM24" s="299">
        <f t="shared" si="5"/>
        <v>0</v>
      </c>
      <c r="AN24" s="299">
        <f t="shared" si="6"/>
        <v>0</v>
      </c>
      <c r="AO24" s="299">
        <f t="shared" si="7"/>
        <v>0</v>
      </c>
      <c r="AP24" s="299">
        <f t="shared" si="25"/>
        <v>0</v>
      </c>
      <c r="AQ24" s="299">
        <f t="shared" si="26"/>
        <v>0</v>
      </c>
      <c r="AR24" s="299">
        <f t="shared" si="8"/>
        <v>0</v>
      </c>
      <c r="AS24" s="299">
        <f t="shared" si="9"/>
        <v>0</v>
      </c>
      <c r="AT24" s="299">
        <f>(AJ24*Pricing!F$2+AK24*Pricing!G$2+AL24*Pricing!H$2+AM24*Pricing!I$2+AN24*Pricing!J$2+AO24*Pricing!K$2)*IF(U$31="N",(1+W$31),1)</f>
        <v>0</v>
      </c>
      <c r="AU24" s="299">
        <f t="shared" si="10"/>
        <v>0</v>
      </c>
      <c r="AV24" s="299">
        <f t="shared" si="11"/>
        <v>0</v>
      </c>
      <c r="AW24" s="299">
        <f t="shared" si="12"/>
        <v>0</v>
      </c>
      <c r="AX24" s="299"/>
      <c r="AY24" s="299">
        <f t="shared" si="13"/>
        <v>0</v>
      </c>
      <c r="AZ24" s="299">
        <f t="shared" si="14"/>
        <v>0</v>
      </c>
      <c r="BA24" s="299">
        <f t="shared" si="15"/>
        <v>0</v>
      </c>
      <c r="BB24" s="299">
        <f t="shared" si="16"/>
        <v>0</v>
      </c>
      <c r="BC24" s="299">
        <f t="shared" si="17"/>
        <v>0</v>
      </c>
      <c r="BD24" s="510">
        <f t="shared" si="18"/>
        <v>0</v>
      </c>
      <c r="BE24" s="299">
        <f t="shared" si="19"/>
        <v>0</v>
      </c>
      <c r="BF24" s="299">
        <f t="shared" si="20"/>
        <v>0</v>
      </c>
      <c r="BG24" s="299">
        <f t="shared" si="21"/>
        <v>0</v>
      </c>
      <c r="BH24" s="299"/>
      <c r="BI24" s="299"/>
      <c r="BJ24" s="299"/>
      <c r="BK24" s="299"/>
      <c r="BL24" s="299"/>
      <c r="BM24" s="299">
        <f t="shared" si="22"/>
        <v>0</v>
      </c>
      <c r="BN24" s="299"/>
      <c r="BO24" s="299"/>
      <c r="BP24" s="299"/>
      <c r="BQ24" s="299"/>
      <c r="BR24" s="299"/>
      <c r="BS24" s="299"/>
      <c r="BT24" s="299"/>
      <c r="BU24" s="299"/>
      <c r="BV24" s="299"/>
      <c r="BW24" s="299"/>
      <c r="BX24" s="299"/>
      <c r="BY24" s="299"/>
      <c r="BZ24" s="299"/>
      <c r="CA24" s="299"/>
      <c r="CB24" s="299"/>
      <c r="CC24" s="299"/>
      <c r="CD24" s="299"/>
      <c r="CE24" s="299"/>
      <c r="CF24" s="299"/>
      <c r="CG24" s="299"/>
      <c r="CH24" s="299"/>
      <c r="CI24" s="299"/>
      <c r="CJ24" s="299"/>
      <c r="CK24" s="299"/>
      <c r="CL24" s="299"/>
      <c r="CM24" s="299"/>
      <c r="CN24" s="299"/>
      <c r="CO24" s="299"/>
      <c r="CP24" s="299"/>
      <c r="CQ24" s="299"/>
      <c r="CR24" s="299"/>
      <c r="CS24" s="299"/>
      <c r="CT24" s="299"/>
      <c r="CU24" s="299"/>
      <c r="CV24" s="299"/>
      <c r="CW24" s="299"/>
      <c r="CX24" s="299"/>
      <c r="CY24" s="299"/>
      <c r="CZ24" s="299"/>
      <c r="DA24" s="299"/>
      <c r="DB24" s="299"/>
      <c r="DC24" s="299"/>
      <c r="DD24" s="299"/>
      <c r="DE24" s="299"/>
      <c r="DF24" s="299"/>
      <c r="DG24" s="299"/>
      <c r="DH24" s="299"/>
      <c r="DI24" s="299"/>
      <c r="DJ24" s="299"/>
      <c r="DK24" s="299"/>
      <c r="DL24" s="299"/>
      <c r="DM24" s="299"/>
      <c r="DN24" s="299"/>
      <c r="DO24" s="299"/>
      <c r="DP24" s="299"/>
      <c r="DQ24" s="299"/>
    </row>
    <row r="25" spans="2:122" s="298" customFormat="1" ht="24" customHeight="1" x14ac:dyDescent="0.35">
      <c r="B25" s="2259"/>
      <c r="C25" s="2260"/>
      <c r="D25" s="2486"/>
      <c r="E25" s="2487"/>
      <c r="F25" s="81"/>
      <c r="G25" s="462"/>
      <c r="H25" s="81"/>
      <c r="I25" s="464"/>
      <c r="J25" s="618"/>
      <c r="K25" s="728"/>
      <c r="L25" s="70"/>
      <c r="M25" s="463"/>
      <c r="N25" s="57"/>
      <c r="O25" s="81"/>
      <c r="P25" s="81"/>
      <c r="Q25" s="928">
        <f t="shared" si="0"/>
        <v>0</v>
      </c>
      <c r="R25" s="929">
        <v>0</v>
      </c>
      <c r="S25" s="930">
        <f t="shared" si="27"/>
        <v>0</v>
      </c>
      <c r="T25" s="931">
        <f t="shared" si="23"/>
        <v>0</v>
      </c>
      <c r="U25" s="935">
        <f t="shared" si="1"/>
        <v>0</v>
      </c>
      <c r="V25" s="2488">
        <f>SUM(AT25:BG25)*(1+M$32+Summary!P$64)</f>
        <v>0</v>
      </c>
      <c r="W25" s="2489"/>
      <c r="X25" s="299"/>
      <c r="Y25" s="299"/>
      <c r="AF25" s="299"/>
      <c r="AG25" s="299"/>
      <c r="AH25" s="299"/>
      <c r="AI25" s="299">
        <f t="shared" si="24"/>
        <v>0</v>
      </c>
      <c r="AJ25" s="299">
        <f t="shared" si="2"/>
        <v>0</v>
      </c>
      <c r="AK25" s="299">
        <f t="shared" si="3"/>
        <v>0</v>
      </c>
      <c r="AL25" s="299">
        <f t="shared" si="4"/>
        <v>0</v>
      </c>
      <c r="AM25" s="299">
        <f t="shared" si="5"/>
        <v>0</v>
      </c>
      <c r="AN25" s="299">
        <f t="shared" si="6"/>
        <v>0</v>
      </c>
      <c r="AO25" s="299">
        <f t="shared" si="7"/>
        <v>0</v>
      </c>
      <c r="AP25" s="299">
        <f t="shared" si="25"/>
        <v>0</v>
      </c>
      <c r="AQ25" s="299">
        <f t="shared" si="26"/>
        <v>0</v>
      </c>
      <c r="AR25" s="299">
        <f t="shared" si="8"/>
        <v>0</v>
      </c>
      <c r="AS25" s="299">
        <f t="shared" si="9"/>
        <v>0</v>
      </c>
      <c r="AT25" s="299">
        <f>(AJ25*Pricing!F$2+AK25*Pricing!G$2+AL25*Pricing!H$2+AM25*Pricing!I$2+AN25*Pricing!J$2+AO25*Pricing!K$2)*IF(U$31="N",(1+W$31),1)</f>
        <v>0</v>
      </c>
      <c r="AU25" s="299">
        <f t="shared" si="10"/>
        <v>0</v>
      </c>
      <c r="AV25" s="299">
        <f t="shared" si="11"/>
        <v>0</v>
      </c>
      <c r="AW25" s="299">
        <f t="shared" si="12"/>
        <v>0</v>
      </c>
      <c r="AX25" s="299"/>
      <c r="AY25" s="299">
        <f t="shared" si="13"/>
        <v>0</v>
      </c>
      <c r="AZ25" s="299">
        <f t="shared" si="14"/>
        <v>0</v>
      </c>
      <c r="BA25" s="299">
        <f t="shared" si="15"/>
        <v>0</v>
      </c>
      <c r="BB25" s="299">
        <f t="shared" si="16"/>
        <v>0</v>
      </c>
      <c r="BC25" s="299">
        <f t="shared" si="17"/>
        <v>0</v>
      </c>
      <c r="BD25" s="510">
        <f t="shared" si="18"/>
        <v>0</v>
      </c>
      <c r="BE25" s="299">
        <f t="shared" si="19"/>
        <v>0</v>
      </c>
      <c r="BF25" s="299">
        <f t="shared" si="20"/>
        <v>0</v>
      </c>
      <c r="BG25" s="299">
        <f t="shared" si="21"/>
        <v>0</v>
      </c>
      <c r="BH25" s="299"/>
      <c r="BI25" s="299"/>
      <c r="BJ25" s="299"/>
      <c r="BK25" s="299"/>
      <c r="BL25" s="299"/>
      <c r="BM25" s="299">
        <f t="shared" si="22"/>
        <v>0</v>
      </c>
      <c r="BN25" s="299"/>
      <c r="BO25" s="299"/>
      <c r="BP25" s="299"/>
      <c r="BQ25" s="299"/>
      <c r="BR25" s="299"/>
      <c r="BS25" s="299"/>
      <c r="BT25" s="299"/>
      <c r="BU25" s="299"/>
      <c r="BV25" s="299"/>
      <c r="BW25" s="299"/>
      <c r="BX25" s="299"/>
      <c r="BY25" s="299"/>
      <c r="BZ25" s="299"/>
      <c r="CA25" s="299"/>
      <c r="CB25" s="299"/>
      <c r="CC25" s="299"/>
      <c r="CD25" s="299"/>
      <c r="CE25" s="299"/>
      <c r="CF25" s="299"/>
      <c r="CG25" s="299"/>
      <c r="CH25" s="299"/>
      <c r="CI25" s="299"/>
      <c r="CJ25" s="299"/>
      <c r="CK25" s="299"/>
      <c r="CL25" s="299"/>
      <c r="CM25" s="299"/>
      <c r="CN25" s="299"/>
      <c r="CO25" s="299"/>
      <c r="CP25" s="299"/>
      <c r="CQ25" s="299"/>
      <c r="CR25" s="299"/>
      <c r="CS25" s="299"/>
      <c r="CT25" s="299"/>
      <c r="CU25" s="299"/>
      <c r="CV25" s="299"/>
      <c r="CW25" s="299"/>
      <c r="CX25" s="299"/>
      <c r="CY25" s="299"/>
      <c r="CZ25" s="299"/>
      <c r="DA25" s="299"/>
      <c r="DB25" s="299"/>
      <c r="DC25" s="299"/>
      <c r="DD25" s="299"/>
      <c r="DE25" s="299"/>
      <c r="DF25" s="299"/>
      <c r="DG25" s="299"/>
      <c r="DH25" s="299"/>
      <c r="DI25" s="299"/>
      <c r="DJ25" s="299"/>
      <c r="DK25" s="299"/>
      <c r="DL25" s="299"/>
      <c r="DM25" s="299"/>
      <c r="DN25" s="299"/>
      <c r="DO25" s="299"/>
      <c r="DP25" s="299"/>
      <c r="DQ25" s="299"/>
    </row>
    <row r="26" spans="2:122" s="298" customFormat="1" ht="24" customHeight="1" x14ac:dyDescent="0.35">
      <c r="B26" s="2490"/>
      <c r="C26" s="2260"/>
      <c r="D26" s="2486"/>
      <c r="E26" s="2487"/>
      <c r="F26" s="81"/>
      <c r="G26" s="462"/>
      <c r="H26" s="81"/>
      <c r="I26" s="464"/>
      <c r="J26" s="618"/>
      <c r="K26" s="728"/>
      <c r="L26" s="70"/>
      <c r="M26" s="463"/>
      <c r="N26" s="57"/>
      <c r="O26" s="81"/>
      <c r="P26" s="81"/>
      <c r="Q26" s="928">
        <f t="shared" si="0"/>
        <v>0</v>
      </c>
      <c r="R26" s="929">
        <v>0</v>
      </c>
      <c r="S26" s="930">
        <f t="shared" si="27"/>
        <v>0</v>
      </c>
      <c r="T26" s="931">
        <f t="shared" si="23"/>
        <v>0</v>
      </c>
      <c r="U26" s="935">
        <f t="shared" si="1"/>
        <v>0</v>
      </c>
      <c r="V26" s="2488">
        <f>SUM(AT26:BG26)*(1+M$32+Summary!P$64)</f>
        <v>0</v>
      </c>
      <c r="W26" s="2489"/>
      <c r="X26" s="299"/>
      <c r="Y26" s="299"/>
      <c r="AF26" s="299"/>
      <c r="AG26" s="299"/>
      <c r="AH26" s="299"/>
      <c r="AI26" s="299">
        <f t="shared" si="24"/>
        <v>0</v>
      </c>
      <c r="AJ26" s="299">
        <f t="shared" si="2"/>
        <v>0</v>
      </c>
      <c r="AK26" s="299">
        <f t="shared" si="3"/>
        <v>0</v>
      </c>
      <c r="AL26" s="299">
        <f t="shared" si="4"/>
        <v>0</v>
      </c>
      <c r="AM26" s="299">
        <f t="shared" si="5"/>
        <v>0</v>
      </c>
      <c r="AN26" s="299">
        <f t="shared" si="6"/>
        <v>0</v>
      </c>
      <c r="AO26" s="299">
        <f t="shared" si="7"/>
        <v>0</v>
      </c>
      <c r="AP26" s="299">
        <f t="shared" si="25"/>
        <v>0</v>
      </c>
      <c r="AQ26" s="299">
        <f t="shared" si="26"/>
        <v>0</v>
      </c>
      <c r="AR26" s="299">
        <f t="shared" si="8"/>
        <v>0</v>
      </c>
      <c r="AS26" s="299">
        <f t="shared" si="9"/>
        <v>0</v>
      </c>
      <c r="AT26" s="299">
        <f>(AJ26*Pricing!F$2+AK26*Pricing!G$2+AL26*Pricing!H$2+AM26*Pricing!I$2+AN26*Pricing!J$2+AO26*Pricing!K$2)*IF(U$31="N",(1+W$31),1)</f>
        <v>0</v>
      </c>
      <c r="AU26" s="299">
        <f t="shared" si="10"/>
        <v>0</v>
      </c>
      <c r="AV26" s="299">
        <f t="shared" si="11"/>
        <v>0</v>
      </c>
      <c r="AW26" s="299">
        <f t="shared" si="12"/>
        <v>0</v>
      </c>
      <c r="AX26" s="299"/>
      <c r="AY26" s="299">
        <f t="shared" si="13"/>
        <v>0</v>
      </c>
      <c r="AZ26" s="299">
        <f t="shared" si="14"/>
        <v>0</v>
      </c>
      <c r="BA26" s="299">
        <f t="shared" si="15"/>
        <v>0</v>
      </c>
      <c r="BB26" s="299">
        <f t="shared" si="16"/>
        <v>0</v>
      </c>
      <c r="BC26" s="299">
        <f t="shared" si="17"/>
        <v>0</v>
      </c>
      <c r="BD26" s="510">
        <f t="shared" si="18"/>
        <v>0</v>
      </c>
      <c r="BE26" s="299">
        <f t="shared" si="19"/>
        <v>0</v>
      </c>
      <c r="BF26" s="299">
        <f t="shared" si="20"/>
        <v>0</v>
      </c>
      <c r="BG26" s="299">
        <f t="shared" si="21"/>
        <v>0</v>
      </c>
      <c r="BH26" s="299"/>
      <c r="BI26" s="299"/>
      <c r="BJ26" s="299"/>
      <c r="BK26" s="299"/>
      <c r="BL26" s="299"/>
      <c r="BM26" s="299">
        <f t="shared" si="22"/>
        <v>0</v>
      </c>
      <c r="BN26" s="299"/>
      <c r="BO26" s="299"/>
      <c r="BP26" s="299"/>
      <c r="BQ26" s="299"/>
      <c r="BR26" s="299"/>
      <c r="BS26" s="299"/>
      <c r="BT26" s="299"/>
      <c r="BU26" s="299"/>
      <c r="BV26" s="299"/>
      <c r="BW26" s="299"/>
      <c r="BX26" s="299"/>
      <c r="BY26" s="299"/>
      <c r="BZ26" s="299"/>
      <c r="CA26" s="299"/>
      <c r="CB26" s="299"/>
      <c r="CC26" s="299"/>
      <c r="CD26" s="299"/>
      <c r="CE26" s="299"/>
      <c r="CF26" s="299"/>
      <c r="CG26" s="299"/>
      <c r="CH26" s="299"/>
      <c r="CI26" s="299"/>
      <c r="CJ26" s="299"/>
      <c r="CK26" s="299"/>
      <c r="CL26" s="299"/>
      <c r="CM26" s="299"/>
      <c r="CN26" s="299"/>
      <c r="CO26" s="299"/>
      <c r="CP26" s="299"/>
      <c r="CQ26" s="299"/>
      <c r="CR26" s="299"/>
      <c r="CS26" s="299"/>
      <c r="CT26" s="299"/>
      <c r="CU26" s="299"/>
      <c r="CV26" s="299"/>
      <c r="CW26" s="299"/>
      <c r="CX26" s="299"/>
      <c r="CY26" s="299"/>
      <c r="CZ26" s="299"/>
      <c r="DA26" s="299"/>
      <c r="DB26" s="299"/>
      <c r="DC26" s="299"/>
      <c r="DD26" s="299"/>
      <c r="DE26" s="299"/>
      <c r="DF26" s="299"/>
      <c r="DG26" s="299"/>
      <c r="DH26" s="299"/>
      <c r="DI26" s="299"/>
      <c r="DJ26" s="299"/>
      <c r="DK26" s="299"/>
      <c r="DL26" s="299"/>
      <c r="DM26" s="299"/>
      <c r="DN26" s="299"/>
      <c r="DO26" s="299"/>
      <c r="DP26" s="299"/>
      <c r="DQ26" s="299"/>
    </row>
    <row r="27" spans="2:122" s="298" customFormat="1" ht="24" customHeight="1" thickBot="1" x14ac:dyDescent="0.4">
      <c r="B27" s="2471"/>
      <c r="C27" s="2344"/>
      <c r="D27" s="2472"/>
      <c r="E27" s="2473"/>
      <c r="F27" s="465"/>
      <c r="G27" s="466"/>
      <c r="H27" s="465"/>
      <c r="I27" s="467"/>
      <c r="J27" s="1643"/>
      <c r="K27" s="904"/>
      <c r="L27" s="71"/>
      <c r="M27" s="468"/>
      <c r="N27" s="76"/>
      <c r="O27" s="465"/>
      <c r="P27" s="468"/>
      <c r="Q27" s="932">
        <f t="shared" si="0"/>
        <v>0</v>
      </c>
      <c r="R27" s="933">
        <v>0</v>
      </c>
      <c r="S27" s="934">
        <f t="shared" si="27"/>
        <v>0</v>
      </c>
      <c r="T27" s="1607">
        <f t="shared" si="23"/>
        <v>0</v>
      </c>
      <c r="U27" s="936">
        <f t="shared" si="1"/>
        <v>0</v>
      </c>
      <c r="V27" s="2474">
        <f>SUM(AT27:BG27)*(1+M$32+Summary!P$64)</f>
        <v>0</v>
      </c>
      <c r="W27" s="2475"/>
      <c r="X27" s="299"/>
      <c r="Y27" s="299"/>
      <c r="AF27" s="299"/>
      <c r="AG27" s="299"/>
      <c r="AH27" s="299"/>
      <c r="AI27" s="299">
        <f t="shared" si="24"/>
        <v>0</v>
      </c>
      <c r="AJ27" s="299">
        <f t="shared" si="2"/>
        <v>0</v>
      </c>
      <c r="AK27" s="299">
        <f t="shared" si="3"/>
        <v>0</v>
      </c>
      <c r="AL27" s="299">
        <f t="shared" si="4"/>
        <v>0</v>
      </c>
      <c r="AM27" s="299">
        <f t="shared" si="5"/>
        <v>0</v>
      </c>
      <c r="AN27" s="299">
        <f t="shared" si="6"/>
        <v>0</v>
      </c>
      <c r="AO27" s="299">
        <f t="shared" si="7"/>
        <v>0</v>
      </c>
      <c r="AP27" s="299">
        <f t="shared" si="25"/>
        <v>0</v>
      </c>
      <c r="AQ27" s="299">
        <f t="shared" si="26"/>
        <v>0</v>
      </c>
      <c r="AR27" s="299">
        <f t="shared" si="8"/>
        <v>0</v>
      </c>
      <c r="AS27" s="299">
        <f t="shared" si="9"/>
        <v>0</v>
      </c>
      <c r="AT27" s="299">
        <f>(AJ27*Pricing!F$2+AK27*Pricing!G$2+AL27*Pricing!H$2+AM27*Pricing!I$2+AN27*Pricing!J$2+AO27*Pricing!K$2)*IF(U$31="N",(1+W$31),1)</f>
        <v>0</v>
      </c>
      <c r="AU27" s="299">
        <f t="shared" si="10"/>
        <v>0</v>
      </c>
      <c r="AV27" s="299">
        <f t="shared" si="11"/>
        <v>0</v>
      </c>
      <c r="AW27" s="299">
        <f t="shared" si="12"/>
        <v>0</v>
      </c>
      <c r="AX27" s="299"/>
      <c r="AY27" s="299">
        <f t="shared" si="13"/>
        <v>0</v>
      </c>
      <c r="AZ27" s="299">
        <f t="shared" si="14"/>
        <v>0</v>
      </c>
      <c r="BA27" s="299">
        <f t="shared" si="15"/>
        <v>0</v>
      </c>
      <c r="BB27" s="299">
        <f t="shared" si="16"/>
        <v>0</v>
      </c>
      <c r="BC27" s="299">
        <f t="shared" si="17"/>
        <v>0</v>
      </c>
      <c r="BD27" s="510">
        <f t="shared" si="18"/>
        <v>0</v>
      </c>
      <c r="BE27" s="299">
        <f t="shared" si="19"/>
        <v>0</v>
      </c>
      <c r="BF27" s="299">
        <f t="shared" si="20"/>
        <v>0</v>
      </c>
      <c r="BG27" s="299">
        <f t="shared" si="21"/>
        <v>0</v>
      </c>
      <c r="BH27" s="299"/>
      <c r="BI27" s="299"/>
      <c r="BJ27" s="299"/>
      <c r="BK27" s="299"/>
      <c r="BL27" s="299"/>
      <c r="BM27" s="299">
        <f t="shared" si="22"/>
        <v>0</v>
      </c>
      <c r="BN27" s="299"/>
      <c r="BO27" s="299"/>
      <c r="BP27" s="299"/>
      <c r="BQ27" s="299"/>
      <c r="BR27" s="299"/>
      <c r="BS27" s="299"/>
      <c r="BT27" s="299"/>
      <c r="BU27" s="299"/>
      <c r="BV27" s="299"/>
      <c r="BW27" s="299"/>
      <c r="BX27" s="299"/>
      <c r="BY27" s="299"/>
      <c r="BZ27" s="299"/>
      <c r="CA27" s="299"/>
      <c r="CB27" s="299"/>
      <c r="CC27" s="299"/>
      <c r="CD27" s="299"/>
      <c r="CE27" s="299"/>
      <c r="CF27" s="299"/>
      <c r="CG27" s="299"/>
      <c r="CH27" s="299"/>
      <c r="CI27" s="299"/>
      <c r="CJ27" s="299"/>
      <c r="CK27" s="299"/>
      <c r="CL27" s="299"/>
      <c r="CM27" s="299"/>
      <c r="CN27" s="299"/>
      <c r="CO27" s="299"/>
      <c r="CP27" s="299"/>
      <c r="CQ27" s="299"/>
      <c r="CR27" s="299"/>
      <c r="CS27" s="299"/>
      <c r="CT27" s="299"/>
      <c r="CU27" s="299"/>
      <c r="CV27" s="299"/>
      <c r="CW27" s="299"/>
      <c r="CX27" s="299"/>
      <c r="CY27" s="299"/>
      <c r="CZ27" s="299"/>
      <c r="DA27" s="299"/>
      <c r="DB27" s="299"/>
      <c r="DC27" s="299"/>
      <c r="DD27" s="299"/>
      <c r="DE27" s="299"/>
      <c r="DF27" s="299"/>
      <c r="DG27" s="299"/>
      <c r="DH27" s="299"/>
      <c r="DI27" s="299"/>
      <c r="DJ27" s="299"/>
      <c r="DK27" s="299"/>
      <c r="DL27" s="299"/>
      <c r="DM27" s="299"/>
      <c r="DN27" s="299"/>
      <c r="DO27" s="299"/>
      <c r="DP27" s="299"/>
      <c r="DQ27" s="299"/>
    </row>
    <row r="28" spans="2:122" s="298" customFormat="1" ht="24" customHeight="1" thickBot="1" x14ac:dyDescent="0.4">
      <c r="B28" s="42"/>
      <c r="C28" s="42"/>
      <c r="D28" s="2476">
        <f>SUM(D11:E27)</f>
        <v>0</v>
      </c>
      <c r="E28" s="2477"/>
      <c r="F28" s="42" t="s">
        <v>98</v>
      </c>
      <c r="G28" s="42"/>
      <c r="H28" s="42"/>
      <c r="I28" s="42"/>
      <c r="J28" s="535">
        <f>SUM(J11:J27)</f>
        <v>0</v>
      </c>
      <c r="K28" s="42"/>
      <c r="L28" s="42"/>
      <c r="M28" s="57"/>
      <c r="N28" s="2478">
        <f>SUM(S11:S27)</f>
        <v>0</v>
      </c>
      <c r="O28" s="2479"/>
      <c r="P28" s="131" t="s">
        <v>520</v>
      </c>
      <c r="Q28" s="72"/>
      <c r="R28" s="82"/>
      <c r="S28" s="83">
        <f>SUM(T11:T27)</f>
        <v>0</v>
      </c>
      <c r="T28" s="84" t="s">
        <v>106</v>
      </c>
      <c r="U28" s="85"/>
      <c r="V28" s="46"/>
      <c r="W28" s="46"/>
      <c r="X28" s="299"/>
      <c r="Y28" s="299"/>
      <c r="AF28" s="299"/>
      <c r="AG28" s="299"/>
      <c r="AH28" s="299"/>
      <c r="AI28" s="299">
        <f>SUM(AI11:AI27)</f>
        <v>0</v>
      </c>
      <c r="AJ28" s="299">
        <f t="shared" ref="AJ28:AQ28" si="28">SUM(AJ11:AJ27)</f>
        <v>0</v>
      </c>
      <c r="AK28" s="299">
        <f t="shared" si="28"/>
        <v>0</v>
      </c>
      <c r="AL28" s="299">
        <f t="shared" si="28"/>
        <v>0</v>
      </c>
      <c r="AM28" s="299">
        <f t="shared" si="28"/>
        <v>0</v>
      </c>
      <c r="AN28" s="299">
        <f t="shared" si="28"/>
        <v>0</v>
      </c>
      <c r="AO28" s="299">
        <f t="shared" si="28"/>
        <v>0</v>
      </c>
      <c r="AP28" s="299">
        <f t="shared" si="28"/>
        <v>0</v>
      </c>
      <c r="AQ28" s="299">
        <f t="shared" si="28"/>
        <v>0</v>
      </c>
      <c r="AR28" s="299">
        <f>ROUNDUP(SUM(AR11:AR27),0)</f>
        <v>0</v>
      </c>
      <c r="AS28" s="299">
        <f>ROUNDUP(SUM(AS11:AS27),0)</f>
        <v>0</v>
      </c>
      <c r="AT28" s="299"/>
      <c r="AU28" s="299"/>
      <c r="AV28" s="299"/>
      <c r="AW28" s="299"/>
      <c r="AX28" s="299"/>
      <c r="AY28" s="299"/>
      <c r="AZ28" s="299"/>
      <c r="BA28" s="299"/>
      <c r="BB28" s="299"/>
      <c r="BC28" s="299"/>
      <c r="BD28" s="299"/>
      <c r="BE28" s="299"/>
      <c r="BF28" s="299"/>
      <c r="BG28" s="299"/>
      <c r="BH28" s="299"/>
      <c r="BI28" s="299"/>
      <c r="BJ28" s="299"/>
      <c r="BK28" s="299"/>
      <c r="BL28" s="299"/>
      <c r="BM28" s="299"/>
      <c r="BN28" s="299"/>
      <c r="BO28" s="299"/>
      <c r="BP28" s="299"/>
      <c r="BQ28" s="299"/>
      <c r="BR28" s="299"/>
      <c r="BS28" s="299"/>
      <c r="BT28" s="299"/>
      <c r="BU28" s="299"/>
      <c r="BV28" s="299"/>
      <c r="BW28" s="299"/>
      <c r="BX28" s="299"/>
      <c r="BY28" s="299"/>
      <c r="BZ28" s="299"/>
      <c r="CA28" s="299"/>
      <c r="CB28" s="299"/>
      <c r="CC28" s="299"/>
      <c r="CD28" s="299"/>
      <c r="CE28" s="299"/>
      <c r="CF28" s="299"/>
      <c r="CG28" s="299"/>
      <c r="CH28" s="299"/>
      <c r="CI28" s="299"/>
      <c r="CJ28" s="299"/>
      <c r="CK28" s="299"/>
      <c r="CL28" s="299"/>
      <c r="CM28" s="299"/>
      <c r="CN28" s="299"/>
      <c r="CO28" s="299"/>
      <c r="CP28" s="299"/>
      <c r="CQ28" s="299"/>
      <c r="CR28" s="299"/>
      <c r="CS28" s="299"/>
      <c r="CT28" s="299"/>
      <c r="CU28" s="299"/>
      <c r="CV28" s="299"/>
      <c r="CW28" s="299"/>
      <c r="CX28" s="299"/>
      <c r="CY28" s="299"/>
      <c r="CZ28" s="299"/>
      <c r="DA28" s="299"/>
      <c r="DB28" s="299"/>
      <c r="DC28" s="299"/>
      <c r="DD28" s="299"/>
      <c r="DE28" s="299"/>
      <c r="DF28" s="299"/>
      <c r="DG28" s="299"/>
      <c r="DH28" s="299"/>
      <c r="DI28" s="299"/>
      <c r="DJ28" s="299"/>
      <c r="DK28" s="299"/>
      <c r="DL28" s="299"/>
      <c r="DM28" s="299"/>
      <c r="DN28" s="299"/>
      <c r="DO28" s="299"/>
      <c r="DP28" s="299"/>
      <c r="DQ28" s="299"/>
    </row>
    <row r="29" spans="2:122" s="298" customFormat="1" ht="24" customHeight="1" thickBot="1" x14ac:dyDescent="0.4">
      <c r="B29" s="42" t="s">
        <v>1079</v>
      </c>
      <c r="C29" s="42"/>
      <c r="D29" s="2480">
        <v>6278</v>
      </c>
      <c r="E29" s="2481"/>
      <c r="F29" s="2482" t="e">
        <f>D29/D28</f>
        <v>#DIV/0!</v>
      </c>
      <c r="G29" s="2483"/>
      <c r="H29" s="2484"/>
      <c r="I29" s="2006"/>
      <c r="J29" s="42"/>
      <c r="K29" s="42"/>
      <c r="L29" s="42"/>
      <c r="M29" s="57"/>
      <c r="N29" s="57"/>
      <c r="O29" s="57"/>
      <c r="P29" s="57"/>
      <c r="Q29" s="42"/>
      <c r="R29" s="42"/>
      <c r="S29" s="42"/>
      <c r="T29" s="42"/>
      <c r="U29" s="2485">
        <f>SUM(AT29:BM30)</f>
        <v>0</v>
      </c>
      <c r="V29" s="2015"/>
      <c r="W29" s="46">
        <f>U32-U29</f>
        <v>0</v>
      </c>
      <c r="X29" s="299"/>
      <c r="Y29" s="299"/>
      <c r="AF29" s="299"/>
      <c r="AG29" s="299"/>
      <c r="AH29" s="299"/>
      <c r="AI29" s="299"/>
      <c r="AJ29" s="299"/>
      <c r="AK29" s="299"/>
      <c r="AL29" s="299"/>
      <c r="AM29" s="299"/>
      <c r="AN29" s="299"/>
      <c r="AO29" s="299"/>
      <c r="AP29" s="299"/>
      <c r="AQ29" s="299"/>
      <c r="AR29" s="299"/>
      <c r="AS29" s="299"/>
      <c r="AT29" s="299">
        <f>SUM(AT11:AT28)</f>
        <v>0</v>
      </c>
      <c r="AU29" s="299">
        <f t="shared" ref="AU29:BG29" si="29">SUM(AU11:AU28)</f>
        <v>0</v>
      </c>
      <c r="AV29" s="299">
        <f t="shared" si="29"/>
        <v>0</v>
      </c>
      <c r="AW29" s="299">
        <f>SUM(AW11:AW28)</f>
        <v>0</v>
      </c>
      <c r="AX29" s="299">
        <f t="shared" si="29"/>
        <v>0</v>
      </c>
      <c r="AY29" s="299">
        <f t="shared" si="29"/>
        <v>0</v>
      </c>
      <c r="AZ29" s="299">
        <f t="shared" si="29"/>
        <v>0</v>
      </c>
      <c r="BA29" s="299">
        <f t="shared" si="29"/>
        <v>0</v>
      </c>
      <c r="BB29" s="299">
        <f t="shared" si="29"/>
        <v>0</v>
      </c>
      <c r="BC29" s="299">
        <f t="shared" si="29"/>
        <v>0</v>
      </c>
      <c r="BD29" s="299">
        <f t="shared" si="29"/>
        <v>0</v>
      </c>
      <c r="BE29" s="299">
        <f t="shared" si="29"/>
        <v>0</v>
      </c>
      <c r="BF29" s="299">
        <f t="shared" si="29"/>
        <v>0</v>
      </c>
      <c r="BG29" s="299">
        <f t="shared" si="29"/>
        <v>0</v>
      </c>
      <c r="BH29" s="299"/>
      <c r="BI29" s="299"/>
      <c r="BJ29" s="299"/>
      <c r="BK29" s="299"/>
      <c r="BL29" s="299"/>
      <c r="BM29" s="299">
        <f>SUM(BM11:BM28)</f>
        <v>0</v>
      </c>
      <c r="BN29" s="299"/>
      <c r="BO29" s="299"/>
      <c r="BP29" s="299"/>
      <c r="BQ29" s="299"/>
      <c r="BR29" s="299"/>
      <c r="BS29" s="299"/>
      <c r="BT29" s="299"/>
      <c r="BU29" s="299"/>
      <c r="BV29" s="299"/>
      <c r="BW29" s="299"/>
      <c r="BX29" s="299"/>
      <c r="BY29" s="299"/>
      <c r="BZ29" s="299"/>
      <c r="CA29" s="299"/>
      <c r="CB29" s="299"/>
      <c r="CC29" s="299"/>
      <c r="CD29" s="299"/>
      <c r="CE29" s="299"/>
      <c r="CF29" s="299"/>
      <c r="CG29" s="299"/>
      <c r="CH29" s="299"/>
      <c r="CI29" s="299"/>
      <c r="CJ29" s="299"/>
      <c r="CK29" s="299"/>
      <c r="CL29" s="299"/>
      <c r="CM29" s="299"/>
      <c r="CN29" s="299"/>
      <c r="CO29" s="299"/>
      <c r="CP29" s="299"/>
      <c r="CQ29" s="299"/>
      <c r="CR29" s="299"/>
      <c r="CS29" s="299"/>
      <c r="CT29" s="299"/>
      <c r="CU29" s="299"/>
      <c r="CV29" s="299"/>
      <c r="CW29" s="299"/>
      <c r="CX29" s="299"/>
      <c r="CY29" s="299"/>
      <c r="CZ29" s="299"/>
      <c r="DA29" s="299"/>
      <c r="DB29" s="299"/>
      <c r="DC29" s="299"/>
      <c r="DD29" s="299"/>
      <c r="DE29" s="299"/>
      <c r="DF29" s="299"/>
      <c r="DG29" s="299"/>
      <c r="DH29" s="299"/>
      <c r="DI29" s="299"/>
      <c r="DJ29" s="299"/>
      <c r="DK29" s="299"/>
      <c r="DL29" s="299"/>
      <c r="DM29" s="299"/>
      <c r="DN29" s="299"/>
      <c r="DO29" s="299"/>
      <c r="DP29" s="299"/>
      <c r="DQ29" s="299"/>
    </row>
    <row r="30" spans="2:122" s="298" customFormat="1" ht="24" customHeight="1" thickBot="1" x14ac:dyDescent="0.4">
      <c r="B30" s="898"/>
      <c r="C30" s="899"/>
      <c r="D30" s="899"/>
      <c r="E30" s="2469">
        <f>SUM(V11:W20)</f>
        <v>0</v>
      </c>
      <c r="F30" s="2470"/>
      <c r="G30" s="899"/>
      <c r="H30" s="899"/>
      <c r="I30" s="899"/>
      <c r="J30" s="899"/>
      <c r="K30" s="899"/>
      <c r="L30" s="900"/>
      <c r="M30" s="899"/>
      <c r="N30" s="899"/>
      <c r="O30" s="899"/>
      <c r="P30" s="899"/>
      <c r="Q30" s="899"/>
      <c r="R30" s="899"/>
      <c r="S30" s="899"/>
      <c r="T30" s="899"/>
      <c r="U30" s="899"/>
      <c r="V30" s="899"/>
      <c r="W30" s="901"/>
      <c r="X30" s="299"/>
      <c r="Y30" s="299"/>
      <c r="AF30" s="299"/>
      <c r="AG30" s="299"/>
      <c r="AH30" s="299"/>
      <c r="AI30" s="299"/>
      <c r="AJ30" s="299"/>
      <c r="AK30" s="299"/>
      <c r="AL30" s="299"/>
      <c r="AM30" s="299"/>
      <c r="AN30" s="299"/>
      <c r="AO30" s="299"/>
      <c r="AP30" s="299"/>
      <c r="AQ30" s="299"/>
      <c r="AR30" s="299"/>
      <c r="AS30" s="299"/>
      <c r="AT30" s="299"/>
      <c r="AU30" s="299"/>
      <c r="AV30" s="299"/>
      <c r="AW30" s="299"/>
      <c r="AX30" s="299"/>
      <c r="AY30" s="299"/>
      <c r="AZ30" s="299"/>
      <c r="BA30" s="299"/>
      <c r="BB30" s="299"/>
      <c r="BC30" s="299"/>
      <c r="BD30" s="299"/>
      <c r="BE30" s="299"/>
      <c r="BF30" s="299"/>
      <c r="BG30" s="299"/>
      <c r="BH30" s="299"/>
      <c r="BI30" s="299"/>
      <c r="BJ30" s="299"/>
      <c r="BK30" s="299"/>
      <c r="BL30" s="299"/>
      <c r="BM30" s="299"/>
      <c r="BN30" s="299"/>
      <c r="BO30" s="299"/>
      <c r="BP30" s="299"/>
      <c r="BQ30" s="299"/>
      <c r="BR30" s="299"/>
      <c r="BS30" s="299"/>
      <c r="BT30" s="299"/>
      <c r="BU30" s="299"/>
      <c r="BV30" s="299"/>
      <c r="BW30" s="299"/>
      <c r="BX30" s="299"/>
      <c r="BY30" s="299"/>
      <c r="BZ30" s="299"/>
      <c r="CA30" s="299"/>
      <c r="CB30" s="299"/>
      <c r="CC30" s="299"/>
      <c r="CD30" s="299"/>
      <c r="CE30" s="299"/>
      <c r="CF30" s="299"/>
      <c r="CG30" s="299"/>
      <c r="CH30" s="299"/>
      <c r="CI30" s="299"/>
      <c r="CJ30" s="299"/>
      <c r="CK30" s="299"/>
      <c r="CL30" s="299"/>
      <c r="CM30" s="299"/>
      <c r="CN30" s="299"/>
      <c r="CO30" s="299"/>
      <c r="CP30" s="299"/>
      <c r="CQ30" s="299"/>
      <c r="CR30" s="299"/>
      <c r="CS30" s="299"/>
      <c r="CT30" s="299"/>
      <c r="CU30" s="299"/>
      <c r="CV30" s="299"/>
      <c r="CW30" s="299"/>
      <c r="CX30" s="299"/>
      <c r="CY30" s="299"/>
      <c r="CZ30" s="299"/>
      <c r="DA30" s="299"/>
      <c r="DB30" s="299"/>
      <c r="DC30" s="299"/>
      <c r="DD30" s="299"/>
      <c r="DE30" s="299"/>
      <c r="DF30" s="299"/>
      <c r="DG30" s="299"/>
      <c r="DH30" s="299"/>
      <c r="DI30" s="299"/>
      <c r="DJ30" s="299"/>
      <c r="DK30" s="299"/>
      <c r="DL30" s="299"/>
      <c r="DM30" s="299"/>
      <c r="DN30" s="299"/>
      <c r="DO30" s="299"/>
      <c r="DP30" s="299"/>
      <c r="DQ30" s="299"/>
    </row>
    <row r="31" spans="2:122" s="298" customFormat="1" ht="24" customHeight="1" x14ac:dyDescent="0.35">
      <c r="B31" s="1987" t="s">
        <v>185</v>
      </c>
      <c r="C31" s="2041"/>
      <c r="D31" s="1988"/>
      <c r="E31" s="1987" t="s">
        <v>140</v>
      </c>
      <c r="F31" s="1988"/>
      <c r="G31" s="1987" t="s">
        <v>178</v>
      </c>
      <c r="H31" s="2041"/>
      <c r="I31" s="1988"/>
      <c r="J31" s="1935" t="s">
        <v>184</v>
      </c>
      <c r="K31" s="1936"/>
      <c r="L31" s="1937"/>
      <c r="M31" s="2044" t="s">
        <v>179</v>
      </c>
      <c r="N31" s="2045"/>
      <c r="O31" s="132"/>
      <c r="P31" s="133"/>
      <c r="Q31" s="897"/>
      <c r="R31" s="43" t="s">
        <v>34</v>
      </c>
      <c r="S31" s="42"/>
      <c r="T31" s="42" t="s">
        <v>758</v>
      </c>
      <c r="U31" s="822" t="str">
        <f>Summary!P65</f>
        <v>n</v>
      </c>
      <c r="V31" s="73" t="s">
        <v>298</v>
      </c>
      <c r="W31" s="905">
        <f>Summary!R65</f>
        <v>8.2500000000000004E-2</v>
      </c>
      <c r="X31" s="299"/>
      <c r="Y31" s="299"/>
      <c r="AF31" s="299"/>
      <c r="AG31" s="299"/>
      <c r="AH31" s="299"/>
      <c r="AI31" s="299"/>
      <c r="AJ31" s="299"/>
      <c r="AK31" s="299"/>
      <c r="AL31" s="299"/>
      <c r="AM31" s="299"/>
      <c r="AN31" s="299"/>
      <c r="AO31" s="299"/>
      <c r="AP31" s="299"/>
      <c r="AQ31" s="299"/>
      <c r="AR31" s="299"/>
      <c r="AS31" s="299"/>
      <c r="AT31" s="299"/>
      <c r="AU31" s="299"/>
      <c r="AV31" s="299"/>
      <c r="AW31" s="299"/>
      <c r="AX31" s="299"/>
      <c r="AY31" s="299"/>
      <c r="AZ31" s="299"/>
      <c r="BA31" s="299"/>
      <c r="BB31" s="299"/>
      <c r="BC31" s="299"/>
      <c r="BD31" s="299"/>
      <c r="BE31" s="299"/>
      <c r="BF31" s="299"/>
      <c r="BG31" s="299"/>
      <c r="BH31" s="299"/>
      <c r="BI31" s="299"/>
      <c r="BJ31" s="299"/>
      <c r="BK31" s="299"/>
      <c r="BL31" s="299"/>
      <c r="BM31" s="299"/>
      <c r="BN31" s="299"/>
      <c r="BO31" s="299"/>
      <c r="BP31" s="299"/>
      <c r="BQ31" s="299"/>
      <c r="BR31" s="299"/>
      <c r="BS31" s="299"/>
      <c r="BT31" s="299"/>
      <c r="BU31" s="299"/>
      <c r="BV31" s="299"/>
      <c r="BW31" s="299"/>
      <c r="BX31" s="299"/>
      <c r="BY31" s="299"/>
      <c r="BZ31" s="299"/>
      <c r="CA31" s="299"/>
      <c r="CB31" s="299"/>
      <c r="CC31" s="299"/>
      <c r="CD31" s="299"/>
      <c r="CE31" s="299"/>
      <c r="CF31" s="299"/>
      <c r="CG31" s="299"/>
      <c r="CH31" s="299"/>
      <c r="CI31" s="299"/>
      <c r="CJ31" s="299"/>
      <c r="CK31" s="299"/>
      <c r="CL31" s="299"/>
      <c r="CM31" s="299"/>
      <c r="CN31" s="299"/>
      <c r="CO31" s="299"/>
      <c r="CP31" s="299"/>
      <c r="CQ31" s="299"/>
      <c r="CR31" s="299"/>
      <c r="CS31" s="299"/>
      <c r="CT31" s="299"/>
      <c r="CU31" s="299"/>
      <c r="CV31" s="299"/>
      <c r="CW31" s="299"/>
      <c r="CX31" s="299"/>
      <c r="CY31" s="299"/>
      <c r="CZ31" s="299"/>
      <c r="DA31" s="299"/>
      <c r="DB31" s="299"/>
      <c r="DC31" s="299"/>
      <c r="DD31" s="299"/>
      <c r="DE31" s="299"/>
      <c r="DF31" s="299"/>
      <c r="DG31" s="299"/>
      <c r="DH31" s="299"/>
      <c r="DI31" s="299"/>
      <c r="DJ31" s="299"/>
      <c r="DK31" s="299"/>
      <c r="DL31" s="299"/>
      <c r="DM31" s="299"/>
      <c r="DN31" s="299"/>
      <c r="DO31" s="299"/>
      <c r="DP31" s="299"/>
      <c r="DQ31" s="299"/>
      <c r="DR31" s="299"/>
    </row>
    <row r="32" spans="2:122" s="298" customFormat="1" ht="24" customHeight="1" thickBot="1" x14ac:dyDescent="0.4">
      <c r="B32" s="11" t="s">
        <v>180</v>
      </c>
      <c r="C32" s="1999">
        <f>IF(D28=0,0,E32/D28)</f>
        <v>0</v>
      </c>
      <c r="D32" s="2000"/>
      <c r="E32" s="2003">
        <f>U32*(1+M32+Summary!P64)</f>
        <v>0</v>
      </c>
      <c r="F32" s="2004"/>
      <c r="G32" s="15">
        <f>IF(H32=0,0,H32/E32)</f>
        <v>0</v>
      </c>
      <c r="H32" s="2042">
        <f>E32-U32</f>
        <v>0</v>
      </c>
      <c r="I32" s="2043"/>
      <c r="J32" s="2064">
        <f>IF(D28=0,0,U32/D28)</f>
        <v>0</v>
      </c>
      <c r="K32" s="2065"/>
      <c r="L32" s="2066"/>
      <c r="M32" s="2466">
        <f>Summary!P63</f>
        <v>0.18</v>
      </c>
      <c r="N32" s="2467"/>
      <c r="O32" s="2467"/>
      <c r="P32" s="2468"/>
      <c r="Q32" s="897"/>
      <c r="R32" s="86" t="s">
        <v>50</v>
      </c>
      <c r="S32" s="42"/>
      <c r="T32" s="42"/>
      <c r="U32" s="1932">
        <f>SUM(O40:P48)+SUM(O50:P54)+SUM(O57:P61)+SUM(O63:P68)+SUM(O70:P78)+W79+SUM(L50:M54)</f>
        <v>0</v>
      </c>
      <c r="V32" s="1932"/>
      <c r="W32" s="74"/>
      <c r="X32" s="299"/>
      <c r="Y32" s="299"/>
      <c r="AF32" s="299"/>
      <c r="AG32" s="299"/>
      <c r="AH32" s="299"/>
      <c r="AI32" s="299"/>
      <c r="AJ32" s="299"/>
      <c r="AK32" s="299"/>
      <c r="AL32" s="299"/>
      <c r="AM32" s="299"/>
      <c r="AN32" s="299"/>
      <c r="AO32" s="299"/>
      <c r="AP32" s="299"/>
      <c r="AQ32" s="299"/>
      <c r="AR32" s="299"/>
      <c r="AS32" s="299"/>
      <c r="AT32" s="299"/>
      <c r="AU32" s="299"/>
      <c r="AV32" s="299"/>
      <c r="AW32" s="299"/>
      <c r="AX32" s="299"/>
      <c r="AY32" s="299"/>
      <c r="AZ32" s="299"/>
      <c r="BA32" s="299"/>
      <c r="BB32" s="299"/>
      <c r="BC32" s="299"/>
      <c r="BD32" s="299"/>
      <c r="BE32" s="299"/>
      <c r="BF32" s="299"/>
      <c r="BG32" s="299"/>
      <c r="BH32" s="299"/>
      <c r="BI32" s="299"/>
      <c r="BJ32" s="299"/>
      <c r="BK32" s="299"/>
      <c r="BL32" s="299"/>
      <c r="BM32" s="299"/>
      <c r="BN32" s="299"/>
      <c r="BO32" s="299"/>
      <c r="BP32" s="299"/>
      <c r="BQ32" s="299"/>
      <c r="BR32" s="299"/>
      <c r="BS32" s="299"/>
      <c r="BT32" s="299"/>
      <c r="BU32" s="299"/>
      <c r="BV32" s="299"/>
      <c r="BW32" s="299"/>
      <c r="BX32" s="299"/>
      <c r="BY32" s="299"/>
      <c r="BZ32" s="299"/>
      <c r="CA32" s="299"/>
      <c r="CB32" s="299"/>
      <c r="CC32" s="299"/>
      <c r="CD32" s="299"/>
      <c r="CE32" s="299"/>
      <c r="CF32" s="299"/>
      <c r="CG32" s="299"/>
      <c r="CH32" s="299"/>
      <c r="CI32" s="299"/>
      <c r="CJ32" s="299"/>
      <c r="CK32" s="299"/>
      <c r="CL32" s="299"/>
      <c r="CM32" s="299"/>
      <c r="CN32" s="299"/>
      <c r="CO32" s="299"/>
      <c r="CP32" s="299"/>
      <c r="CQ32" s="299"/>
      <c r="CR32" s="299"/>
      <c r="CS32" s="299"/>
      <c r="CT32" s="299"/>
      <c r="CU32" s="299"/>
      <c r="CV32" s="299"/>
      <c r="CW32" s="299"/>
      <c r="CX32" s="299"/>
      <c r="CY32" s="299"/>
      <c r="CZ32" s="299"/>
      <c r="DA32" s="299"/>
      <c r="DB32" s="299"/>
      <c r="DC32" s="299"/>
      <c r="DD32" s="299"/>
      <c r="DE32" s="299"/>
      <c r="DF32" s="299"/>
      <c r="DG32" s="299"/>
      <c r="DH32" s="299"/>
      <c r="DI32" s="299"/>
      <c r="DJ32" s="299"/>
      <c r="DK32" s="299"/>
      <c r="DL32" s="299"/>
      <c r="DM32" s="299"/>
      <c r="DN32" s="299"/>
      <c r="DO32" s="299"/>
      <c r="DP32" s="299"/>
      <c r="DQ32" s="299"/>
      <c r="DR32" s="299"/>
    </row>
    <row r="33" spans="2:122" s="298" customFormat="1" ht="24" customHeight="1" thickBot="1" x14ac:dyDescent="0.4">
      <c r="B33" s="889"/>
      <c r="C33" s="890"/>
      <c r="D33" s="890"/>
      <c r="E33" s="890"/>
      <c r="F33" s="890"/>
      <c r="G33" s="890"/>
      <c r="H33" s="890"/>
      <c r="I33" s="891" t="s">
        <v>891</v>
      </c>
      <c r="J33" s="892"/>
      <c r="K33" s="2036"/>
      <c r="L33" s="2037"/>
      <c r="M33" s="893"/>
      <c r="N33" s="1899">
        <f>IF(K33&gt;0,(K33-E32)/(1+M32),0)</f>
        <v>0</v>
      </c>
      <c r="O33" s="1900"/>
      <c r="P33" s="890"/>
      <c r="Q33" s="894"/>
      <c r="R33" s="895"/>
      <c r="S33" s="890"/>
      <c r="T33" s="890"/>
      <c r="U33" s="2245">
        <f>AE119</f>
        <v>0</v>
      </c>
      <c r="V33" s="2245"/>
      <c r="W33" s="896"/>
      <c r="X33" s="299"/>
      <c r="Y33" s="299"/>
      <c r="AF33" s="299"/>
      <c r="AG33" s="299"/>
      <c r="AH33" s="299"/>
      <c r="AI33" s="299"/>
      <c r="AJ33" s="299"/>
      <c r="AK33" s="299"/>
      <c r="AL33" s="299"/>
      <c r="AM33" s="299"/>
      <c r="AN33" s="299"/>
      <c r="AO33" s="299"/>
      <c r="AP33" s="299"/>
      <c r="AQ33" s="299"/>
      <c r="AR33" s="299"/>
      <c r="AS33" s="299"/>
      <c r="AT33" s="299"/>
      <c r="AU33" s="299"/>
      <c r="AV33" s="299"/>
      <c r="AW33" s="299"/>
      <c r="AX33" s="299"/>
      <c r="AY33" s="299"/>
      <c r="AZ33" s="299"/>
      <c r="BA33" s="299"/>
      <c r="BB33" s="299"/>
      <c r="BC33" s="299"/>
      <c r="BD33" s="299"/>
      <c r="BE33" s="299"/>
      <c r="BF33" s="299"/>
      <c r="BG33" s="299"/>
      <c r="BH33" s="299"/>
      <c r="BI33" s="299"/>
      <c r="BJ33" s="299"/>
      <c r="BK33" s="299"/>
      <c r="BL33" s="299"/>
      <c r="BM33" s="299"/>
      <c r="BN33" s="299"/>
      <c r="BO33" s="299"/>
      <c r="BP33" s="299"/>
      <c r="BQ33" s="299"/>
      <c r="BR33" s="299"/>
      <c r="BS33" s="299"/>
      <c r="BT33" s="299"/>
      <c r="BU33" s="299"/>
      <c r="BV33" s="299"/>
      <c r="BW33" s="299"/>
      <c r="BX33" s="299"/>
      <c r="BY33" s="299"/>
      <c r="BZ33" s="299"/>
      <c r="CA33" s="299"/>
      <c r="CB33" s="299"/>
      <c r="CC33" s="299"/>
      <c r="CD33" s="299"/>
      <c r="CE33" s="299"/>
      <c r="CF33" s="299"/>
      <c r="CG33" s="299"/>
      <c r="CH33" s="299"/>
      <c r="CI33" s="299"/>
      <c r="CJ33" s="299"/>
      <c r="CK33" s="299"/>
      <c r="CL33" s="299"/>
      <c r="CM33" s="299"/>
      <c r="CN33" s="299"/>
      <c r="CO33" s="299"/>
      <c r="CP33" s="299"/>
      <c r="CQ33" s="299"/>
      <c r="CR33" s="299"/>
      <c r="CS33" s="299"/>
      <c r="CT33" s="299"/>
      <c r="CU33" s="299"/>
      <c r="CV33" s="299"/>
      <c r="CW33" s="299"/>
      <c r="CX33" s="299"/>
      <c r="CY33" s="299"/>
      <c r="CZ33" s="299"/>
      <c r="DA33" s="299"/>
      <c r="DB33" s="299"/>
      <c r="DC33" s="299"/>
      <c r="DD33" s="299"/>
      <c r="DE33" s="299"/>
      <c r="DF33" s="299"/>
      <c r="DG33" s="299"/>
      <c r="DH33" s="299"/>
      <c r="DI33" s="299"/>
      <c r="DJ33" s="299"/>
      <c r="DK33" s="299"/>
      <c r="DL33" s="299"/>
      <c r="DM33" s="299"/>
      <c r="DN33" s="299"/>
      <c r="DO33" s="299"/>
      <c r="DP33" s="299"/>
      <c r="DQ33" s="299"/>
      <c r="DR33" s="299"/>
    </row>
    <row r="34" spans="2:122" s="298" customFormat="1" ht="20.25" customHeight="1" x14ac:dyDescent="0.35">
      <c r="B34" s="42" t="s">
        <v>632</v>
      </c>
      <c r="C34" s="906" t="s">
        <v>633</v>
      </c>
      <c r="D34" s="770"/>
      <c r="E34" s="770"/>
      <c r="F34" s="907"/>
      <c r="G34" s="770"/>
      <c r="H34" s="770"/>
      <c r="I34" s="770"/>
      <c r="J34" s="770"/>
      <c r="K34" s="770"/>
      <c r="L34" s="770"/>
      <c r="M34" s="770"/>
      <c r="N34" s="2461"/>
      <c r="O34" s="2461"/>
      <c r="P34" s="770"/>
      <c r="T34" s="500" t="s">
        <v>42</v>
      </c>
      <c r="U34" s="501" t="s">
        <v>28</v>
      </c>
      <c r="V34" s="502" t="s">
        <v>320</v>
      </c>
      <c r="W34" s="503" t="s">
        <v>705</v>
      </c>
    </row>
    <row r="35" spans="2:122" s="298" customFormat="1" ht="19" customHeight="1" x14ac:dyDescent="0.35">
      <c r="C35" s="908"/>
      <c r="D35" s="770"/>
      <c r="E35" s="770"/>
      <c r="F35" s="909"/>
      <c r="G35" s="770"/>
      <c r="H35" s="770"/>
      <c r="I35" s="770"/>
      <c r="J35" s="2462"/>
      <c r="K35" s="2463"/>
      <c r="L35" s="770"/>
      <c r="M35" s="770"/>
      <c r="N35" s="770"/>
      <c r="O35" s="770"/>
      <c r="P35" s="770"/>
      <c r="T35" s="504">
        <v>1</v>
      </c>
      <c r="U35" s="498">
        <v>3</v>
      </c>
      <c r="V35" s="499">
        <v>1</v>
      </c>
      <c r="W35" s="507">
        <f>T35*(U35*U35*0.04180884375)*V35</f>
        <v>0.37627959374999997</v>
      </c>
    </row>
    <row r="36" spans="2:122" s="298" customFormat="1" ht="19" customHeight="1" x14ac:dyDescent="0.35">
      <c r="C36" s="908"/>
      <c r="D36" s="770"/>
      <c r="E36" s="770"/>
      <c r="F36" s="910"/>
      <c r="G36" s="770"/>
      <c r="H36" s="770"/>
      <c r="I36" s="770"/>
      <c r="J36" s="770"/>
      <c r="K36" s="770"/>
      <c r="L36" s="770"/>
      <c r="M36" s="770"/>
      <c r="N36" s="770"/>
      <c r="O36" s="770"/>
      <c r="P36" s="770"/>
      <c r="T36" s="504">
        <v>1</v>
      </c>
      <c r="U36" s="498">
        <v>4</v>
      </c>
      <c r="V36" s="499">
        <v>1</v>
      </c>
      <c r="W36" s="507">
        <f>T36*(U36*U36*0.04180884375)*V36</f>
        <v>0.66894149999999997</v>
      </c>
    </row>
    <row r="37" spans="2:122" s="298" customFormat="1" ht="19" customHeight="1" x14ac:dyDescent="0.35">
      <c r="C37" s="770"/>
      <c r="D37" s="770"/>
      <c r="E37" s="770"/>
      <c r="F37" s="770"/>
      <c r="G37" s="770"/>
      <c r="H37" s="770"/>
      <c r="I37" s="770"/>
      <c r="J37" s="770"/>
      <c r="K37" s="770"/>
      <c r="L37" s="770"/>
      <c r="M37" s="770"/>
      <c r="N37" s="770"/>
      <c r="O37" s="770"/>
      <c r="P37" s="770"/>
      <c r="T37" s="504">
        <v>1</v>
      </c>
      <c r="U37" s="498">
        <v>5</v>
      </c>
      <c r="V37" s="499">
        <v>1</v>
      </c>
      <c r="W37" s="507">
        <f>T37*(U37*U37*0.04180884375)*V37</f>
        <v>1.0452210937499999</v>
      </c>
    </row>
    <row r="38" spans="2:122" s="298" customFormat="1" ht="19" customHeight="1" thickBot="1" x14ac:dyDescent="0.4">
      <c r="C38" s="911"/>
      <c r="D38" s="770"/>
      <c r="E38" s="770"/>
      <c r="F38" s="770"/>
      <c r="G38" s="770"/>
      <c r="H38" s="911"/>
      <c r="I38" s="911"/>
      <c r="J38" s="770"/>
      <c r="K38" s="770"/>
      <c r="L38" s="770"/>
      <c r="M38" s="770"/>
      <c r="N38" s="912"/>
      <c r="O38" s="911"/>
      <c r="P38" s="770"/>
    </row>
    <row r="39" spans="2:122" ht="45" customHeight="1" thickBot="1" x14ac:dyDescent="0.4">
      <c r="B39" s="926" t="s">
        <v>226</v>
      </c>
      <c r="C39" s="2309" t="s">
        <v>167</v>
      </c>
      <c r="D39" s="2370"/>
      <c r="E39" s="2370"/>
      <c r="F39" s="2370"/>
      <c r="G39" s="2370"/>
      <c r="H39" s="2370"/>
      <c r="I39" s="2370"/>
      <c r="J39" s="2370"/>
      <c r="K39" s="2370"/>
      <c r="L39" s="2370"/>
      <c r="M39" s="2370"/>
      <c r="N39" s="2370"/>
      <c r="O39" s="2370"/>
      <c r="P39" s="2371"/>
      <c r="Q39" s="2464" t="s">
        <v>196</v>
      </c>
      <c r="R39" s="2465"/>
      <c r="S39" s="152" t="s">
        <v>52</v>
      </c>
      <c r="T39" s="143"/>
      <c r="U39" s="164" t="s">
        <v>7</v>
      </c>
      <c r="V39" s="143"/>
      <c r="W39" s="165"/>
    </row>
    <row r="40" spans="2:122" ht="19" customHeight="1" thickTop="1" thickBot="1" x14ac:dyDescent="0.4">
      <c r="B40" s="12">
        <v>2</v>
      </c>
      <c r="C40" s="42" t="str">
        <f>IF(B40=1,Pricing!F$1,IF(B40=2,Pricing!G$1,IF(B40=3,Pricing!H$1,IF(B40=4,Pricing!I$1,IF(B40=5,Pricing!J$1,IF(B40=6,Pricing!K$1,0))))))</f>
        <v>3500 Psi</v>
      </c>
      <c r="G40" s="954">
        <f>IF(B40=1,Pricing!F$2,IF(B40=2,Pricing!G$2,IF(B40=3,Pricing!H$2,IF(B40=4,Pricing!I$2,IF(B40=5,Pricing!J$2,IF(B40=6,Pricing!K$2,0))))))</f>
        <v>152</v>
      </c>
      <c r="H40" s="88" t="s">
        <v>168</v>
      </c>
      <c r="I40" s="2032" t="s">
        <v>323</v>
      </c>
      <c r="J40" s="2033"/>
      <c r="K40" s="2459">
        <v>0.08</v>
      </c>
      <c r="L40" s="2456">
        <f>IF(B40=1,AJ$28,IF(B40=2,AK$28,IF(B40=3,AL$28,IF(B40=4,AM$28,IF(B40=5,AN$28,IF(B40=6,AO$28))))))</f>
        <v>0</v>
      </c>
      <c r="M40" s="1874"/>
      <c r="N40" s="58" t="s">
        <v>102</v>
      </c>
      <c r="O40" s="2457">
        <f>L40*G40*(IF(U$31="N",1+W$31,1))</f>
        <v>0</v>
      </c>
      <c r="P40" s="2458"/>
      <c r="Q40" s="193" t="s">
        <v>203</v>
      </c>
      <c r="R40" s="106"/>
      <c r="S40" s="194">
        <f>S43</f>
        <v>0</v>
      </c>
      <c r="T40" s="106" t="s">
        <v>42</v>
      </c>
      <c r="U40" s="195">
        <f>Pricing!N3</f>
        <v>0.5625</v>
      </c>
      <c r="V40" s="401" t="s">
        <v>787</v>
      </c>
      <c r="W40" s="118">
        <f>IF(U$31="Y",S40*U40,S40*U40*(1+W$31))</f>
        <v>0</v>
      </c>
    </row>
    <row r="41" spans="2:122" ht="19" customHeight="1" thickTop="1" thickBot="1" x14ac:dyDescent="0.4">
      <c r="B41" s="13">
        <v>3</v>
      </c>
      <c r="C41" s="42" t="str">
        <f>IF(B41=1,Pricing!F$1,IF(B41=2,Pricing!G$1,IF(B41=3,Pricing!H$1,IF(B41=4,Pricing!I$1,IF(B41=5,Pricing!J$1,IF(B41=6,Pricing!K$1,0))))))</f>
        <v>4000 psi</v>
      </c>
      <c r="G41" s="954">
        <f>IF(B41=1,Pricing!F$2,IF(B41=2,Pricing!G$2,IF(B41=3,Pricing!H$2,IF(B41=4,Pricing!I$2,IF(B41=5,Pricing!J$2,IF(B41=6,Pricing!K$2,0))))))</f>
        <v>157</v>
      </c>
      <c r="H41" s="88" t="s">
        <v>168</v>
      </c>
      <c r="I41" s="2032"/>
      <c r="J41" s="2033"/>
      <c r="K41" s="2459"/>
      <c r="L41" s="2456">
        <f>IF(B41=1,AJ$28,IF(B41=2,AK$28,IF(B41=3,AL$28,IF(B41=4,AM$28,IF(B41=5,AN$28,IF(B41=6,AO$28))))))</f>
        <v>0</v>
      </c>
      <c r="M41" s="1874"/>
      <c r="N41" s="58" t="s">
        <v>102</v>
      </c>
      <c r="O41" s="2457">
        <f>L41*G41*(IF(U$31="N",1+W$31,1))</f>
        <v>0</v>
      </c>
      <c r="P41" s="2458"/>
      <c r="Q41" s="193" t="s">
        <v>204</v>
      </c>
      <c r="R41" s="106"/>
      <c r="S41" s="194">
        <f>S43</f>
        <v>0</v>
      </c>
      <c r="T41" s="106" t="s">
        <v>42</v>
      </c>
      <c r="U41" s="195">
        <f>Pricing!N4</f>
        <v>0.65625</v>
      </c>
      <c r="V41" s="401" t="s">
        <v>787</v>
      </c>
      <c r="W41" s="118">
        <f>IF(U$31="Y",S41*U41,S41*U41*(1+W$31))</f>
        <v>0</v>
      </c>
    </row>
    <row r="42" spans="2:122" ht="19" customHeight="1" thickTop="1" thickBot="1" x14ac:dyDescent="0.4">
      <c r="B42" s="14">
        <v>4</v>
      </c>
      <c r="C42" s="42" t="str">
        <f>IF(B42=1,Pricing!F$1,IF(B42=2,Pricing!G$1,IF(B42=3,Pricing!H$1,IF(B42=4,Pricing!I$1,IF(B42=5,Pricing!J$1,IF(B42=6,Pricing!K$1,0))))))</f>
        <v>4500 psi</v>
      </c>
      <c r="G42" s="954">
        <f>IF(B42=1,Pricing!F$2,IF(B42=2,Pricing!G$2,IF(B42=3,Pricing!H$2,IF(B42=4,Pricing!I$2,IF(B42=5,Pricing!J$2,IF(B42=6,Pricing!K$2,0))))))</f>
        <v>162</v>
      </c>
      <c r="H42" s="90" t="s">
        <v>168</v>
      </c>
      <c r="I42" s="2034"/>
      <c r="J42" s="2035"/>
      <c r="K42" s="2460"/>
      <c r="L42" s="2456">
        <f>IF(B42=1,AJ$28,IF(B42=2,AK$28,IF(B42=3,AL$28,IF(B42=4,AM$28,IF(B42=5,AN$28,IF(B42=6,AO$28))))))</f>
        <v>0</v>
      </c>
      <c r="M42" s="1874"/>
      <c r="N42" s="91" t="s">
        <v>102</v>
      </c>
      <c r="O42" s="2457">
        <f>L42*G42*(IF(U$31="N",1+W$31,1))</f>
        <v>0</v>
      </c>
      <c r="P42" s="2458"/>
      <c r="Q42" s="193" t="s">
        <v>206</v>
      </c>
      <c r="R42" s="106"/>
      <c r="S42" s="194">
        <v>0</v>
      </c>
      <c r="T42" s="106" t="s">
        <v>42</v>
      </c>
      <c r="U42" s="195">
        <f>Pricing!N5</f>
        <v>1</v>
      </c>
      <c r="V42" s="401" t="s">
        <v>787</v>
      </c>
      <c r="W42" s="118">
        <f>IF(U$31="Y",S42*U42,S42*U42*(1+W$31))</f>
        <v>0</v>
      </c>
    </row>
    <row r="43" spans="2:122" ht="19" customHeight="1" thickTop="1" x14ac:dyDescent="0.35">
      <c r="B43" s="43"/>
      <c r="C43" s="92" t="s">
        <v>104</v>
      </c>
      <c r="G43" s="955">
        <f>Pricing!D23</f>
        <v>0.55000000000000004</v>
      </c>
      <c r="H43" s="88" t="s">
        <v>88</v>
      </c>
      <c r="I43" s="2246" t="s">
        <v>202</v>
      </c>
      <c r="J43" s="2247"/>
      <c r="K43" s="913">
        <v>0.1</v>
      </c>
      <c r="L43" s="2454">
        <f>SUM(S11:S27)</f>
        <v>0</v>
      </c>
      <c r="M43" s="2455"/>
      <c r="N43" s="42" t="s">
        <v>32</v>
      </c>
      <c r="O43" s="2450">
        <f>G43*L43*(IF(U31="N",1+W31,1))</f>
        <v>0</v>
      </c>
      <c r="P43" s="2451"/>
      <c r="Q43" s="193" t="s">
        <v>205</v>
      </c>
      <c r="R43" s="106"/>
      <c r="S43" s="194">
        <f>SUM(J11:J27)*0.5</f>
        <v>0</v>
      </c>
      <c r="T43" s="106" t="s">
        <v>42</v>
      </c>
      <c r="U43" s="195">
        <f>Pricing!N6</f>
        <v>1.25</v>
      </c>
      <c r="V43" s="401" t="s">
        <v>787</v>
      </c>
      <c r="W43" s="118">
        <f>IF(U$31="Y",S43*U43,S43*U43*(1+W$31))</f>
        <v>0</v>
      </c>
    </row>
    <row r="44" spans="2:122" ht="19" customHeight="1" x14ac:dyDescent="0.35">
      <c r="B44" s="43"/>
      <c r="C44" s="92" t="s">
        <v>86</v>
      </c>
      <c r="G44" s="955">
        <f>Pricing!D27</f>
        <v>0.4</v>
      </c>
      <c r="H44" s="88" t="s">
        <v>69</v>
      </c>
      <c r="I44" s="2008" t="s">
        <v>202</v>
      </c>
      <c r="J44" s="2009"/>
      <c r="K44" s="914">
        <v>0.05</v>
      </c>
      <c r="L44" s="2456">
        <v>0</v>
      </c>
      <c r="M44" s="1874"/>
      <c r="N44" s="42" t="s">
        <v>95</v>
      </c>
      <c r="O44" s="2457">
        <f>L44*G44*(IF(U31="N",1+W31,1))*(K44+1)</f>
        <v>0</v>
      </c>
      <c r="P44" s="2458"/>
      <c r="Q44" s="193" t="s">
        <v>375</v>
      </c>
      <c r="R44" s="106"/>
      <c r="S44" s="194">
        <f>ROUNDUP(SUM(J11:J27)*0.05/16,0)</f>
        <v>0</v>
      </c>
      <c r="T44" s="106" t="s">
        <v>791</v>
      </c>
      <c r="U44" s="195">
        <f>Pricing!N8</f>
        <v>19</v>
      </c>
      <c r="V44" s="106" t="s">
        <v>378</v>
      </c>
      <c r="W44" s="118">
        <f>U44*S44</f>
        <v>0</v>
      </c>
    </row>
    <row r="45" spans="2:122" ht="19" customHeight="1" thickBot="1" x14ac:dyDescent="0.4">
      <c r="B45" s="43"/>
      <c r="C45" s="93"/>
      <c r="D45" s="75"/>
      <c r="E45" s="75"/>
      <c r="F45" s="75"/>
      <c r="G45" s="954">
        <v>0.35</v>
      </c>
      <c r="H45" s="90" t="s">
        <v>69</v>
      </c>
      <c r="I45" s="75" t="s">
        <v>199</v>
      </c>
      <c r="J45" s="2440">
        <v>0</v>
      </c>
      <c r="K45" s="2440"/>
      <c r="L45" s="2441">
        <v>0</v>
      </c>
      <c r="M45" s="2441"/>
      <c r="N45" s="75" t="s">
        <v>95</v>
      </c>
      <c r="O45" s="2442"/>
      <c r="P45" s="2443"/>
      <c r="Q45" s="193" t="s">
        <v>207</v>
      </c>
      <c r="R45" s="106"/>
      <c r="S45" s="194">
        <f>BW27*0.35</f>
        <v>0</v>
      </c>
      <c r="T45" s="106" t="s">
        <v>791</v>
      </c>
      <c r="U45" s="195">
        <f>Pricing!N7</f>
        <v>50</v>
      </c>
      <c r="V45" s="401" t="s">
        <v>290</v>
      </c>
      <c r="W45" s="118">
        <f t="shared" ref="W45:W50" si="30">IF(U$31="Y",S45*U45,S45*U45*(1+W$31))</f>
        <v>0</v>
      </c>
    </row>
    <row r="46" spans="2:122" ht="19" customHeight="1" thickTop="1" x14ac:dyDescent="0.35">
      <c r="B46" s="94"/>
      <c r="C46" s="58" t="s">
        <v>103</v>
      </c>
      <c r="G46" s="956">
        <f>Pricing!D18</f>
        <v>25</v>
      </c>
      <c r="H46" s="88" t="s">
        <v>169</v>
      </c>
      <c r="I46" s="2444" t="s">
        <v>202</v>
      </c>
      <c r="J46" s="2445"/>
      <c r="K46" s="2448">
        <v>0.05</v>
      </c>
      <c r="L46" s="1874">
        <f>SUM(Q11:Q27)</f>
        <v>0</v>
      </c>
      <c r="M46" s="1874"/>
      <c r="N46" s="42" t="s">
        <v>102</v>
      </c>
      <c r="O46" s="2450">
        <f>L46*G46*(IF(U31="N",(1+W31),1))</f>
        <v>0</v>
      </c>
      <c r="P46" s="2451"/>
      <c r="Q46" s="193" t="s">
        <v>757</v>
      </c>
      <c r="R46" s="106"/>
      <c r="S46" s="194">
        <f>ROUND(S43/25,0)</f>
        <v>0</v>
      </c>
      <c r="T46" s="106" t="s">
        <v>790</v>
      </c>
      <c r="U46" s="195">
        <f>Pricing!N14</f>
        <v>18</v>
      </c>
      <c r="V46" s="401" t="s">
        <v>291</v>
      </c>
      <c r="W46" s="118">
        <f t="shared" si="30"/>
        <v>0</v>
      </c>
    </row>
    <row r="47" spans="2:122" ht="19" customHeight="1" thickBot="1" x14ac:dyDescent="0.4">
      <c r="B47" s="43"/>
      <c r="C47" s="134" t="s">
        <v>362</v>
      </c>
      <c r="D47" s="75"/>
      <c r="E47" s="95"/>
      <c r="F47" s="75"/>
      <c r="G47" s="957">
        <v>15</v>
      </c>
      <c r="H47" s="90" t="s">
        <v>124</v>
      </c>
      <c r="I47" s="2446"/>
      <c r="J47" s="2447"/>
      <c r="K47" s="2449"/>
      <c r="L47" s="2441">
        <v>0</v>
      </c>
      <c r="M47" s="2441"/>
      <c r="N47" s="75" t="s">
        <v>102</v>
      </c>
      <c r="O47" s="2452">
        <f>L47*G47*(IF(U31="N",(1+W31),1))</f>
        <v>0</v>
      </c>
      <c r="P47" s="2453"/>
      <c r="Q47" s="193" t="s">
        <v>0</v>
      </c>
      <c r="R47" s="106"/>
      <c r="S47" s="529">
        <f>ROUNDUP(SUM(J11:J27)*1.25/1500,0)</f>
        <v>0</v>
      </c>
      <c r="T47" s="106" t="s">
        <v>626</v>
      </c>
      <c r="U47" s="195">
        <f>Pricing!N15</f>
        <v>42</v>
      </c>
      <c r="V47" s="401" t="s">
        <v>292</v>
      </c>
      <c r="W47" s="118">
        <f t="shared" si="30"/>
        <v>0</v>
      </c>
    </row>
    <row r="48" spans="2:122" ht="19" customHeight="1" thickTop="1" thickBot="1" x14ac:dyDescent="0.4">
      <c r="B48" s="47"/>
      <c r="C48" s="47" t="s">
        <v>70</v>
      </c>
      <c r="D48" s="49"/>
      <c r="E48" s="49"/>
      <c r="F48" s="49"/>
      <c r="G48" s="958">
        <v>0.65</v>
      </c>
      <c r="H48" s="96" t="s">
        <v>193</v>
      </c>
      <c r="I48" s="2360" t="s">
        <v>195</v>
      </c>
      <c r="J48" s="2361"/>
      <c r="K48" s="915">
        <v>0</v>
      </c>
      <c r="L48" s="2427">
        <f>SUM(J11:J27)</f>
        <v>0</v>
      </c>
      <c r="M48" s="2428"/>
      <c r="N48" s="49" t="s">
        <v>42</v>
      </c>
      <c r="O48" s="2429">
        <f>G48*K48*L48</f>
        <v>0</v>
      </c>
      <c r="P48" s="2430"/>
      <c r="Q48" s="193" t="s">
        <v>2</v>
      </c>
      <c r="R48" s="106"/>
      <c r="S48" s="194">
        <f>ROUNDUP(SUM(J11:J27)*1.25/3000,0)</f>
        <v>0</v>
      </c>
      <c r="T48" s="106" t="s">
        <v>626</v>
      </c>
      <c r="U48" s="195">
        <f>Pricing!N16</f>
        <v>42</v>
      </c>
      <c r="V48" s="401" t="s">
        <v>292</v>
      </c>
      <c r="W48" s="118">
        <f t="shared" si="30"/>
        <v>0</v>
      </c>
    </row>
    <row r="49" spans="2:31" ht="19" customHeight="1" thickBot="1" x14ac:dyDescent="0.4">
      <c r="B49" s="835" t="s">
        <v>221</v>
      </c>
      <c r="C49" s="834"/>
      <c r="D49" s="834" t="s">
        <v>299</v>
      </c>
      <c r="E49" s="834"/>
      <c r="F49" s="834"/>
      <c r="G49" s="834"/>
      <c r="H49" s="834"/>
      <c r="I49" s="834"/>
      <c r="J49" s="834"/>
      <c r="K49" s="834"/>
      <c r="L49" s="2306" t="s">
        <v>45</v>
      </c>
      <c r="M49" s="2306"/>
      <c r="N49" s="2306" t="s">
        <v>300</v>
      </c>
      <c r="O49" s="2306"/>
      <c r="P49" s="2307"/>
      <c r="Q49" s="193" t="s">
        <v>1</v>
      </c>
      <c r="R49" s="106"/>
      <c r="S49" s="194">
        <f>S48</f>
        <v>0</v>
      </c>
      <c r="T49" s="106" t="s">
        <v>626</v>
      </c>
      <c r="U49" s="195">
        <f>Pricing!N17</f>
        <v>42</v>
      </c>
      <c r="V49" s="401" t="s">
        <v>292</v>
      </c>
      <c r="W49" s="118">
        <f t="shared" si="30"/>
        <v>0</v>
      </c>
    </row>
    <row r="50" spans="2:31" ht="19" customHeight="1" x14ac:dyDescent="0.35">
      <c r="B50" s="43" t="s">
        <v>329</v>
      </c>
      <c r="C50" s="57"/>
      <c r="D50" s="97" t="s">
        <v>235</v>
      </c>
      <c r="E50" s="2418">
        <v>0.2</v>
      </c>
      <c r="F50" s="2419"/>
      <c r="G50" s="88" t="s">
        <v>191</v>
      </c>
      <c r="H50" s="2431">
        <f>SUM(E50:F52)</f>
        <v>0.85</v>
      </c>
      <c r="I50" s="2432">
        <f>D28</f>
        <v>0</v>
      </c>
      <c r="J50" s="2433"/>
      <c r="K50" s="42" t="s">
        <v>95</v>
      </c>
      <c r="L50" s="1886">
        <f>IF(D50="N",E50*I50,0)</f>
        <v>0</v>
      </c>
      <c r="M50" s="1886"/>
      <c r="N50" s="7"/>
      <c r="O50" s="2438">
        <f>IF(D50="y",I$50*E50,0)</f>
        <v>0</v>
      </c>
      <c r="P50" s="2439"/>
      <c r="Q50" s="193" t="s">
        <v>210</v>
      </c>
      <c r="R50" s="106"/>
      <c r="S50" s="194">
        <v>0</v>
      </c>
      <c r="T50" s="106" t="s">
        <v>626</v>
      </c>
      <c r="U50" s="195">
        <f>Pricing!N33</f>
        <v>25.5</v>
      </c>
      <c r="V50" s="401" t="s">
        <v>292</v>
      </c>
      <c r="W50" s="118">
        <f t="shared" si="30"/>
        <v>0</v>
      </c>
    </row>
    <row r="51" spans="2:31" ht="19" customHeight="1" x14ac:dyDescent="0.35">
      <c r="B51" s="92" t="s">
        <v>162</v>
      </c>
      <c r="C51" s="57"/>
      <c r="D51" s="98" t="s">
        <v>200</v>
      </c>
      <c r="E51" s="2418">
        <v>0.5</v>
      </c>
      <c r="F51" s="2419"/>
      <c r="G51" s="88" t="s">
        <v>191</v>
      </c>
      <c r="H51" s="2431"/>
      <c r="I51" s="2434"/>
      <c r="J51" s="2435"/>
      <c r="K51" s="42" t="s">
        <v>95</v>
      </c>
      <c r="L51" s="1886">
        <f>IF(D51="N",E51*I50,0)</f>
        <v>0</v>
      </c>
      <c r="M51" s="1886"/>
      <c r="N51" s="7"/>
      <c r="O51" s="2420">
        <f>IF(D51="y",I$50*E51,0)</f>
        <v>0</v>
      </c>
      <c r="P51" s="2421"/>
      <c r="Q51" s="193" t="s">
        <v>236</v>
      </c>
      <c r="R51" s="106"/>
      <c r="S51" s="194">
        <v>0</v>
      </c>
      <c r="T51" s="106" t="s">
        <v>42</v>
      </c>
      <c r="U51" s="195">
        <f>Pricing!N18</f>
        <v>0.78</v>
      </c>
      <c r="V51" s="106" t="s">
        <v>787</v>
      </c>
      <c r="W51" s="118">
        <f>IF(U$31="Y",S51*U51,S51*U51*(1+W$31))</f>
        <v>0</v>
      </c>
    </row>
    <row r="52" spans="2:31" ht="19" customHeight="1" x14ac:dyDescent="0.35">
      <c r="B52" s="92" t="s">
        <v>84</v>
      </c>
      <c r="C52" s="57"/>
      <c r="D52" s="98" t="s">
        <v>200</v>
      </c>
      <c r="E52" s="2418">
        <v>0.15</v>
      </c>
      <c r="F52" s="2419"/>
      <c r="G52" s="88" t="s">
        <v>191</v>
      </c>
      <c r="H52" s="2431"/>
      <c r="I52" s="2436"/>
      <c r="J52" s="2437"/>
      <c r="K52" s="42" t="s">
        <v>95</v>
      </c>
      <c r="L52" s="1886">
        <f>IF(D52="N",E52*I50,0)</f>
        <v>0</v>
      </c>
      <c r="M52" s="1886"/>
      <c r="N52" s="7"/>
      <c r="O52" s="2420">
        <f>IF(D52="y",I$50*E52,0)</f>
        <v>0</v>
      </c>
      <c r="P52" s="2421"/>
      <c r="Q52" s="193" t="s">
        <v>119</v>
      </c>
      <c r="R52" s="106"/>
      <c r="S52" s="194">
        <v>0</v>
      </c>
      <c r="T52" s="106" t="s">
        <v>42</v>
      </c>
      <c r="U52" s="195">
        <f>Pricing!N19</f>
        <v>0.16</v>
      </c>
      <c r="V52" s="106" t="s">
        <v>787</v>
      </c>
      <c r="W52" s="118">
        <f>IF(U$31="Y",S52*U52,S52*U52*(1+W$31))</f>
        <v>0</v>
      </c>
    </row>
    <row r="53" spans="2:31" ht="19" customHeight="1" x14ac:dyDescent="0.35">
      <c r="B53" s="92" t="s">
        <v>33</v>
      </c>
      <c r="C53" s="57"/>
      <c r="D53" s="98" t="s">
        <v>200</v>
      </c>
      <c r="E53" s="2418">
        <v>0</v>
      </c>
      <c r="F53" s="2419"/>
      <c r="G53" s="88" t="s">
        <v>89</v>
      </c>
      <c r="I53" s="1874">
        <f>SUM(S11:S27)/2000</f>
        <v>0</v>
      </c>
      <c r="J53" s="1874"/>
      <c r="K53" s="42" t="s">
        <v>183</v>
      </c>
      <c r="L53" s="1886">
        <f>IF(D53="N",E53*I53,0)</f>
        <v>0</v>
      </c>
      <c r="M53" s="1886"/>
      <c r="N53" s="7"/>
      <c r="O53" s="2420">
        <f>IF(D53="y",I53*E53,0)</f>
        <v>0</v>
      </c>
      <c r="P53" s="2421"/>
      <c r="Q53" s="193" t="s">
        <v>363</v>
      </c>
      <c r="R53" s="106"/>
      <c r="S53" s="194">
        <f>G70</f>
        <v>0</v>
      </c>
      <c r="T53" s="106" t="s">
        <v>42</v>
      </c>
      <c r="U53" s="195">
        <f>Pricing!N11</f>
        <v>1.25</v>
      </c>
      <c r="V53" s="106" t="s">
        <v>787</v>
      </c>
      <c r="W53" s="118">
        <f>IF(U$31="Y",S53*U53,S53*U53*(1+W$31))</f>
        <v>0</v>
      </c>
    </row>
    <row r="54" spans="2:31" ht="19" customHeight="1" x14ac:dyDescent="0.35">
      <c r="B54" s="99" t="s">
        <v>558</v>
      </c>
      <c r="C54" s="79"/>
      <c r="D54" s="98" t="s">
        <v>200</v>
      </c>
      <c r="E54" s="2422">
        <v>2</v>
      </c>
      <c r="F54" s="2423"/>
      <c r="G54" s="137" t="s">
        <v>42</v>
      </c>
      <c r="H54" s="602"/>
      <c r="I54" s="2424">
        <f>J28</f>
        <v>0</v>
      </c>
      <c r="J54" s="2424"/>
      <c r="K54" s="52" t="s">
        <v>42</v>
      </c>
      <c r="L54" s="2118">
        <f>IF(D54="n",E54*I54,0)</f>
        <v>0</v>
      </c>
      <c r="M54" s="2118"/>
      <c r="N54" s="7"/>
      <c r="O54" s="2425">
        <f>IF(D54="y",I54*E54,0)</f>
        <v>0</v>
      </c>
      <c r="P54" s="2426"/>
      <c r="Q54" s="193" t="s">
        <v>367</v>
      </c>
      <c r="R54" s="106"/>
      <c r="S54" s="194">
        <v>0</v>
      </c>
      <c r="T54" s="106" t="s">
        <v>42</v>
      </c>
      <c r="U54" s="195">
        <f>Pricing!N12</f>
        <v>0.9</v>
      </c>
      <c r="V54" s="106" t="s">
        <v>787</v>
      </c>
      <c r="W54" s="118">
        <f>U54*S54</f>
        <v>0</v>
      </c>
    </row>
    <row r="55" spans="2:31" ht="19" customHeight="1" thickBot="1" x14ac:dyDescent="0.4">
      <c r="B55" s="6" t="s">
        <v>223</v>
      </c>
      <c r="C55" s="4"/>
      <c r="D55" s="5"/>
      <c r="E55" s="2414">
        <f>IF(I50=0,0,(O55+L55)/I50)</f>
        <v>0</v>
      </c>
      <c r="F55" s="2415"/>
      <c r="G55" s="76"/>
      <c r="H55" s="49"/>
      <c r="I55" s="2017" t="s">
        <v>50</v>
      </c>
      <c r="J55" s="2017"/>
      <c r="K55" s="2017"/>
      <c r="L55" s="2124">
        <f>SUM(L50:M54)</f>
        <v>0</v>
      </c>
      <c r="M55" s="2124"/>
      <c r="N55" s="7"/>
      <c r="O55" s="2416">
        <f>SUM(O50:P54)</f>
        <v>0</v>
      </c>
      <c r="P55" s="2417"/>
      <c r="Q55" s="193" t="s">
        <v>770</v>
      </c>
      <c r="R55" s="106"/>
      <c r="S55" s="194">
        <f>S54+S53</f>
        <v>0</v>
      </c>
      <c r="T55" s="106" t="s">
        <v>42</v>
      </c>
      <c r="U55" s="195">
        <f>Pricing!N9</f>
        <v>0.15</v>
      </c>
      <c r="V55" s="106" t="s">
        <v>787</v>
      </c>
      <c r="W55" s="118">
        <f>U55*S55</f>
        <v>0</v>
      </c>
    </row>
    <row r="56" spans="2:31" ht="19" customHeight="1" thickBot="1" x14ac:dyDescent="0.4">
      <c r="B56" s="2217" t="s">
        <v>374</v>
      </c>
      <c r="C56" s="1917"/>
      <c r="D56" s="1917"/>
      <c r="E56" s="1917"/>
      <c r="F56" s="1917"/>
      <c r="G56" s="1917"/>
      <c r="H56" s="1917"/>
      <c r="I56" s="1917"/>
      <c r="J56" s="1917"/>
      <c r="K56" s="1917"/>
      <c r="L56" s="1917"/>
      <c r="M56" s="1917"/>
      <c r="N56" s="1917"/>
      <c r="O56" s="1917"/>
      <c r="P56" s="1918"/>
      <c r="Q56" s="368"/>
      <c r="R56" s="368"/>
      <c r="S56" s="524"/>
      <c r="T56" s="368"/>
      <c r="U56" s="528">
        <v>0</v>
      </c>
      <c r="V56" s="106"/>
      <c r="W56" s="118">
        <f>S56*U56</f>
        <v>0</v>
      </c>
    </row>
    <row r="57" spans="2:31" ht="19" customHeight="1" x14ac:dyDescent="0.35">
      <c r="B57" s="100" t="s">
        <v>1164</v>
      </c>
      <c r="C57" s="48"/>
      <c r="D57" s="101">
        <f>D28/25000</f>
        <v>0</v>
      </c>
      <c r="E57" s="916">
        <f>D57*5</f>
        <v>0</v>
      </c>
      <c r="F57" s="48" t="s">
        <v>187</v>
      </c>
      <c r="G57" s="959">
        <v>295</v>
      </c>
      <c r="H57" s="102" t="s">
        <v>68</v>
      </c>
      <c r="I57" s="48"/>
      <c r="J57" s="48"/>
      <c r="K57" s="48"/>
      <c r="L57" s="48"/>
      <c r="M57" s="2525">
        <f>IF(E32=0,0,(SUM(O57:P61))/E32)</f>
        <v>0</v>
      </c>
      <c r="N57" s="2526"/>
      <c r="O57" s="2528">
        <f>E57*G57</f>
        <v>0</v>
      </c>
      <c r="P57" s="2413"/>
      <c r="Q57" s="193" t="s">
        <v>755</v>
      </c>
      <c r="R57" s="106"/>
      <c r="S57" s="194">
        <v>0</v>
      </c>
      <c r="T57" s="106" t="s">
        <v>335</v>
      </c>
      <c r="U57" s="195">
        <v>200</v>
      </c>
      <c r="V57" s="106" t="s">
        <v>606</v>
      </c>
      <c r="W57" s="118">
        <f>S57*U57</f>
        <v>0</v>
      </c>
    </row>
    <row r="58" spans="2:31" ht="19" customHeight="1" x14ac:dyDescent="0.35">
      <c r="B58" s="92" t="s">
        <v>1162</v>
      </c>
      <c r="E58" s="917">
        <f>E57*0.5</f>
        <v>0</v>
      </c>
      <c r="F58" s="103" t="s">
        <v>187</v>
      </c>
      <c r="G58" s="960">
        <v>390</v>
      </c>
      <c r="H58" s="104" t="s">
        <v>68</v>
      </c>
      <c r="M58" s="2410">
        <f>SUM(O57:P61)</f>
        <v>0</v>
      </c>
      <c r="N58" s="2411"/>
      <c r="O58" s="2527">
        <f>E58*G58</f>
        <v>0</v>
      </c>
      <c r="P58" s="2389"/>
      <c r="Q58" s="193"/>
      <c r="R58" s="106"/>
      <c r="S58" s="194"/>
      <c r="T58" s="106"/>
      <c r="U58" s="195"/>
      <c r="V58" s="106"/>
      <c r="W58" s="118"/>
      <c r="Z58" s="299" t="s">
        <v>237</v>
      </c>
      <c r="AA58" s="299"/>
      <c r="AB58" s="299"/>
      <c r="AC58" s="299"/>
      <c r="AD58" s="299"/>
      <c r="AE58" s="299"/>
    </row>
    <row r="59" spans="2:31" ht="19" customHeight="1" x14ac:dyDescent="0.35">
      <c r="B59" s="92" t="s">
        <v>1165</v>
      </c>
      <c r="E59" s="1817"/>
      <c r="F59" s="103" t="s">
        <v>187</v>
      </c>
      <c r="G59" s="960">
        <v>390</v>
      </c>
      <c r="H59" s="88"/>
      <c r="M59" s="1818"/>
      <c r="N59" s="1818"/>
      <c r="O59" s="2388">
        <f t="shared" ref="O59:O60" si="31">E59*G59</f>
        <v>0</v>
      </c>
      <c r="P59" s="2389"/>
      <c r="Q59" s="193"/>
      <c r="R59" s="106"/>
      <c r="S59" s="194"/>
      <c r="T59" s="106"/>
      <c r="U59" s="195"/>
      <c r="V59" s="106"/>
      <c r="W59" s="118"/>
      <c r="Z59" s="299"/>
      <c r="AA59" s="299"/>
      <c r="AB59" s="299"/>
      <c r="AC59" s="299"/>
      <c r="AD59" s="299"/>
      <c r="AE59" s="299"/>
    </row>
    <row r="60" spans="2:31" ht="19" customHeight="1" x14ac:dyDescent="0.35">
      <c r="B60" s="92" t="s">
        <v>1171</v>
      </c>
      <c r="E60" s="1817">
        <f>E57*0.5</f>
        <v>0</v>
      </c>
      <c r="F60" s="103" t="s">
        <v>187</v>
      </c>
      <c r="G60" s="960">
        <v>200</v>
      </c>
      <c r="H60" s="88"/>
      <c r="M60" s="1818"/>
      <c r="N60" s="1818"/>
      <c r="O60" s="2388">
        <f t="shared" si="31"/>
        <v>0</v>
      </c>
      <c r="P60" s="2389"/>
      <c r="Q60" s="193"/>
      <c r="R60" s="106"/>
      <c r="S60" s="194"/>
      <c r="T60" s="106"/>
      <c r="U60" s="195"/>
      <c r="V60" s="106"/>
      <c r="W60" s="118"/>
      <c r="Z60" s="299"/>
      <c r="AA60" s="299"/>
      <c r="AB60" s="299"/>
      <c r="AC60" s="299"/>
      <c r="AD60" s="299"/>
      <c r="AE60" s="299"/>
    </row>
    <row r="61" spans="2:31" ht="19" customHeight="1" thickBot="1" x14ac:dyDescent="0.4">
      <c r="B61" s="105" t="s">
        <v>188</v>
      </c>
      <c r="C61" s="49"/>
      <c r="D61" s="49"/>
      <c r="E61" s="918">
        <f>IF(E57=0,E58,E57)</f>
        <v>0</v>
      </c>
      <c r="F61" s="49" t="s">
        <v>187</v>
      </c>
      <c r="G61" s="961">
        <v>100</v>
      </c>
      <c r="H61" s="96" t="s">
        <v>68</v>
      </c>
      <c r="I61" s="49"/>
      <c r="J61" s="49"/>
      <c r="K61" s="49"/>
      <c r="L61" s="49"/>
      <c r="M61" s="49"/>
      <c r="N61" s="49"/>
      <c r="O61" s="2402">
        <f>E61*G61</f>
        <v>0</v>
      </c>
      <c r="P61" s="2403"/>
      <c r="Q61" s="193"/>
      <c r="R61" s="106"/>
      <c r="S61" s="194"/>
      <c r="T61" s="106"/>
      <c r="U61" s="195"/>
      <c r="V61" s="106"/>
      <c r="W61" s="118"/>
      <c r="Z61" s="299" t="s">
        <v>126</v>
      </c>
      <c r="AA61" s="299">
        <v>0</v>
      </c>
      <c r="AB61" s="299"/>
      <c r="AC61" s="299"/>
      <c r="AD61" s="299"/>
      <c r="AE61" s="299"/>
    </row>
    <row r="62" spans="2:31" ht="19" customHeight="1" thickBot="1" x14ac:dyDescent="0.4">
      <c r="B62" s="2395" t="s">
        <v>44</v>
      </c>
      <c r="C62" s="2236"/>
      <c r="D62" s="2236"/>
      <c r="E62" s="2236"/>
      <c r="F62" s="2236"/>
      <c r="G62" s="2236"/>
      <c r="H62" s="2236"/>
      <c r="I62" s="2236"/>
      <c r="J62" s="2236"/>
      <c r="K62" s="2236"/>
      <c r="L62" s="2236"/>
      <c r="M62" s="2236"/>
      <c r="N62" s="2236"/>
      <c r="O62" s="2236"/>
      <c r="P62" s="2396"/>
      <c r="Q62" s="193"/>
      <c r="R62" s="106"/>
      <c r="S62" s="194"/>
      <c r="T62" s="402"/>
      <c r="U62" s="195"/>
      <c r="V62" s="106"/>
      <c r="W62" s="118"/>
      <c r="Z62" s="299" t="s">
        <v>238</v>
      </c>
      <c r="AA62" s="299">
        <v>0</v>
      </c>
      <c r="AB62" s="299"/>
      <c r="AC62" s="299"/>
      <c r="AD62" s="299"/>
      <c r="AE62" s="299"/>
    </row>
    <row r="63" spans="2:31" ht="19" customHeight="1" x14ac:dyDescent="0.35">
      <c r="B63" s="2297" t="s">
        <v>732</v>
      </c>
      <c r="C63" s="2298"/>
      <c r="D63" s="2337"/>
      <c r="E63" s="916">
        <v>0</v>
      </c>
      <c r="F63" s="48" t="s">
        <v>107</v>
      </c>
      <c r="G63" s="959">
        <v>250</v>
      </c>
      <c r="H63" s="116" t="s">
        <v>68</v>
      </c>
      <c r="I63" s="48"/>
      <c r="J63" s="48"/>
      <c r="K63" s="48"/>
      <c r="L63" s="48"/>
      <c r="M63" s="48"/>
      <c r="N63" s="48"/>
      <c r="O63" s="2412">
        <f>(IF(AND(E63&gt;0,E63&lt;4),E63*G63,0)+IF(AND(E63&gt;3,E63&lt;8),G63*3,0)+IF(AND(E63&gt;7,E63&lt;21),E63/7*G63*3,0)+IF(AND(E63&gt;20,E63&lt;30),G63*9,0)+IF(E63&gt;29,E63/30*G63*9,0))*(1+W$31+J$65)</f>
        <v>0</v>
      </c>
      <c r="P63" s="2413"/>
      <c r="Q63" s="193"/>
      <c r="R63" s="106"/>
      <c r="S63" s="194"/>
      <c r="T63" s="106"/>
      <c r="U63" s="195"/>
      <c r="V63" s="401"/>
      <c r="W63" s="118"/>
      <c r="Z63" s="299" t="s">
        <v>283</v>
      </c>
      <c r="AA63" s="299">
        <v>0</v>
      </c>
      <c r="AB63" s="299"/>
      <c r="AC63" s="299"/>
      <c r="AD63" s="299"/>
      <c r="AE63" s="299"/>
    </row>
    <row r="64" spans="2:31" ht="19" customHeight="1" thickBot="1" x14ac:dyDescent="0.4">
      <c r="B64" s="2259" t="s">
        <v>1163</v>
      </c>
      <c r="C64" s="1972"/>
      <c r="D64" s="2260"/>
      <c r="E64" s="919">
        <f>IF(E$61&gt;0,IF(E$61&lt;=3,E$61,7),0)+IF(E$61&gt;5,IF(E$61&lt;=10,7,0),0)+IF(E$61&gt;10,IF(E$61&lt;=15,14,0),0)+IF(E$61&gt;15,IF(E$61&lt;=20,23,0),0)+IF(E$61&gt;20,IF(E$61&lt;=40,53,0),0)+IF(E$61&gt;40,IF(E$61&lt;=60,83,0),0)+IF(E$61&gt;60,IF(E$61&lt;=80,113,0),0)+IF(E$61&gt;80,IF(E$61&lt;=100,143,0),0)+IF(E$61&gt;100,IF(E$61&lt;=120,173,0),0)+IF(E$61&gt;120,IF(E$61&lt;=140,203,0),0)+IF(E$61&gt;140,IF(E$61&lt;=160,233,0),0)</f>
        <v>0</v>
      </c>
      <c r="F64" s="42" t="s">
        <v>107</v>
      </c>
      <c r="G64" s="960">
        <f>Pricing!D33</f>
        <v>350</v>
      </c>
      <c r="H64" s="88" t="s">
        <v>68</v>
      </c>
      <c r="J64" s="2083" t="s">
        <v>469</v>
      </c>
      <c r="K64" s="2084"/>
      <c r="M64" s="2404">
        <f>IF(E32=0,0,(SUM(O63:P68))/E32)</f>
        <v>0</v>
      </c>
      <c r="N64" s="2405"/>
      <c r="O64" s="2388">
        <f>(IF(AND(E64&gt;0,E64&lt;4),E64*G64,0)+IF(AND(E64&gt;3,E64&lt;8),G64*3,0)+IF(AND(E64&gt;7,E64&lt;21),E64/7*G64*3,0)+IF(AND(E64&gt;20,E64&lt;30),G64*9,0)+IF(E64&gt;29,E64/30*G64*9,0))*(1+W$31+J$65)</f>
        <v>0</v>
      </c>
      <c r="P64" s="2389"/>
      <c r="Q64" s="193"/>
      <c r="R64" s="106"/>
      <c r="S64" s="194"/>
      <c r="T64" s="106"/>
      <c r="U64" s="195"/>
      <c r="V64" s="106"/>
      <c r="W64" s="118"/>
      <c r="Z64" s="299" t="s">
        <v>239</v>
      </c>
      <c r="AA64" s="299" t="s">
        <v>240</v>
      </c>
      <c r="AB64" s="299"/>
      <c r="AC64" s="299"/>
      <c r="AD64" s="299"/>
      <c r="AE64" s="299" t="s">
        <v>92</v>
      </c>
    </row>
    <row r="65" spans="2:31" ht="19" customHeight="1" thickTop="1" thickBot="1" x14ac:dyDescent="0.4">
      <c r="B65" s="2259" t="s">
        <v>559</v>
      </c>
      <c r="C65" s="1972"/>
      <c r="D65" s="2260"/>
      <c r="E65" s="919">
        <v>0</v>
      </c>
      <c r="F65" s="42" t="s">
        <v>107</v>
      </c>
      <c r="G65" s="960">
        <v>150</v>
      </c>
      <c r="H65" s="88" t="s">
        <v>68</v>
      </c>
      <c r="J65" s="2406">
        <v>0.5</v>
      </c>
      <c r="K65" s="2407"/>
      <c r="M65" s="2410">
        <f>SUM(O63:P68)</f>
        <v>0</v>
      </c>
      <c r="N65" s="2411"/>
      <c r="O65" s="2388">
        <f>(IF(AND(E65&gt;0,E65&lt;4),E65*G65,0)+IF(AND(E65&gt;3,E65&lt;8),G65*3,0)+IF(AND(E65&gt;7,E65&lt;21),E65/7*G65*3,0)+IF(AND(E65&gt;20,E65&lt;30),G65*9,0)+IF(E65&gt;29,E65/30*G65*9,0))*(1+W$31+J$65)</f>
        <v>0</v>
      </c>
      <c r="P65" s="2389"/>
      <c r="Q65" s="949" t="s">
        <v>892</v>
      </c>
      <c r="R65" s="950"/>
      <c r="S65" s="949"/>
      <c r="T65" s="951"/>
      <c r="U65" s="2243"/>
      <c r="V65" s="2244"/>
      <c r="W65" s="952">
        <f>U65</f>
        <v>0</v>
      </c>
      <c r="Z65" s="299"/>
      <c r="AA65" s="299"/>
      <c r="AB65" s="299"/>
      <c r="AC65" s="299"/>
      <c r="AD65" s="299"/>
      <c r="AE65" s="299"/>
    </row>
    <row r="66" spans="2:31" ht="19" customHeight="1" thickTop="1" x14ac:dyDescent="0.35">
      <c r="B66" s="2259" t="s">
        <v>160</v>
      </c>
      <c r="C66" s="1972"/>
      <c r="D66" s="2260"/>
      <c r="E66" s="919">
        <f>IF(E$61&gt;0,IF(E$61&lt;=3,E$61,7),0)+IF(E$61&gt;5,IF(E$61&lt;=10,7,0),0)+IF(E$61&gt;10,IF(E$61&lt;=15,14,0),0)+IF(E$61&gt;15,IF(E$61&lt;=20,23,0),0)+IF(E$61&gt;20,IF(E$61&lt;=40,53,0),0)+IF(E$61&gt;40,IF(E$61&lt;=60,83,0),0)+IF(E$61&gt;60,IF(E$61&lt;=80,113,0),0)+IF(E$61&gt;80,IF(E$61&lt;=100,143,0),0)</f>
        <v>0</v>
      </c>
      <c r="F66" s="42" t="s">
        <v>107</v>
      </c>
      <c r="G66" s="960">
        <f>Pricing!D37</f>
        <v>65</v>
      </c>
      <c r="H66" s="88" t="s">
        <v>68</v>
      </c>
      <c r="J66" s="2408"/>
      <c r="K66" s="2409"/>
      <c r="O66" s="2388">
        <f>(IF(AND(E66&gt;0,E66&lt;4),E66*G66,0)+IF(AND(E66&gt;3,E66&lt;8),G66*3,0)+IF(AND(E66&gt;7,E66&lt;21),E66/7*G66*3,0)+IF(AND(E66&gt;20,E66&lt;30),G66*9,0)+IF(E66&gt;29,E66/30*G66*9,0))*(1+W$31+J$65)</f>
        <v>0</v>
      </c>
      <c r="P66" s="2389"/>
      <c r="Q66" s="193" t="s">
        <v>772</v>
      </c>
      <c r="R66" s="106"/>
      <c r="S66" s="194">
        <f>ROUNDUP(D28/15000,0)</f>
        <v>0</v>
      </c>
      <c r="T66" s="106" t="s">
        <v>288</v>
      </c>
      <c r="U66" s="195">
        <f>Pricing!N37</f>
        <v>35</v>
      </c>
      <c r="V66" s="401" t="s">
        <v>293</v>
      </c>
      <c r="W66" s="111">
        <f>S66*U66*(1+W$31)</f>
        <v>0</v>
      </c>
      <c r="Z66" s="299">
        <v>0</v>
      </c>
      <c r="AA66" s="299" t="s">
        <v>241</v>
      </c>
      <c r="AB66" s="299"/>
      <c r="AC66" s="299"/>
      <c r="AD66" s="299"/>
      <c r="AE66" s="299"/>
    </row>
    <row r="67" spans="2:31" ht="19" customHeight="1" x14ac:dyDescent="0.35">
      <c r="B67" s="2259" t="s">
        <v>723</v>
      </c>
      <c r="C67" s="1972"/>
      <c r="D67" s="2260"/>
      <c r="E67" s="919">
        <f>E66</f>
        <v>0</v>
      </c>
      <c r="F67" s="42" t="s">
        <v>107</v>
      </c>
      <c r="G67" s="960">
        <v>15</v>
      </c>
      <c r="H67" s="88" t="s">
        <v>68</v>
      </c>
      <c r="O67" s="2388">
        <f>(IF(AND(E67&gt;0,E67&lt;4),E67*G67,0)+IF(AND(E67&gt;3,E67&lt;8),G67*3,0)+IF(AND(E67&gt;7,E67&lt;21),E67/7*G67*3,0)+IF(AND(E67&gt;20,E67&lt;30),G67*9,0)+IF(E67&gt;29,E67/30*G67*9,0))*(1+W$31+J$65)</f>
        <v>0</v>
      </c>
      <c r="P67" s="2389"/>
      <c r="Q67" s="193" t="s">
        <v>361</v>
      </c>
      <c r="R67" s="106"/>
      <c r="S67" s="194">
        <f>I50/15000</f>
        <v>0</v>
      </c>
      <c r="T67" s="106" t="s">
        <v>781</v>
      </c>
      <c r="U67" s="195">
        <f>Pricing!N34</f>
        <v>4</v>
      </c>
      <c r="V67" s="106" t="s">
        <v>294</v>
      </c>
      <c r="W67" s="118">
        <f>S67*U67*(1+W$31)</f>
        <v>0</v>
      </c>
      <c r="Z67" s="299">
        <v>1</v>
      </c>
      <c r="AA67" s="299" t="s">
        <v>242</v>
      </c>
      <c r="AB67" s="299"/>
      <c r="AC67" s="299"/>
      <c r="AD67" s="299"/>
      <c r="AE67" s="299"/>
    </row>
    <row r="68" spans="2:31" ht="19" customHeight="1" thickBot="1" x14ac:dyDescent="0.4">
      <c r="B68" s="2318" t="s">
        <v>383</v>
      </c>
      <c r="C68" s="2308"/>
      <c r="D68" s="2344"/>
      <c r="E68" s="918">
        <v>0</v>
      </c>
      <c r="F68" s="49" t="s">
        <v>780</v>
      </c>
      <c r="G68" s="961">
        <v>3000</v>
      </c>
      <c r="H68" s="96" t="s">
        <v>388</v>
      </c>
      <c r="I68" s="49"/>
      <c r="J68" s="49"/>
      <c r="K68" s="49"/>
      <c r="L68" s="49"/>
      <c r="M68" s="117"/>
      <c r="N68" s="49"/>
      <c r="O68" s="2402">
        <f>(IF(AND(E68&gt;0,E68&lt;4),E68*G68,0)+IF(AND(E68&gt;3,E68&lt;8),G68*3,0)+IF(AND(E68&gt;7,E68&lt;21),E68/7*G68*3,0)+IF(AND(E68&gt;20,E68&lt;30),G68*9,0)+IF(E68&gt;29,E68/30*G68*9,0))</f>
        <v>0</v>
      </c>
      <c r="P68" s="2403"/>
      <c r="Q68" s="193" t="s">
        <v>285</v>
      </c>
      <c r="R68" s="106"/>
      <c r="S68" s="194">
        <f>L43</f>
        <v>0</v>
      </c>
      <c r="T68" s="106" t="s">
        <v>32</v>
      </c>
      <c r="U68" s="195">
        <v>0.02</v>
      </c>
      <c r="V68" s="401" t="s">
        <v>88</v>
      </c>
      <c r="W68" s="118">
        <f>S68*U68*(1+W$31)</f>
        <v>0</v>
      </c>
      <c r="Z68" s="299">
        <v>2</v>
      </c>
      <c r="AA68" s="299" t="s">
        <v>243</v>
      </c>
      <c r="AB68" s="299"/>
      <c r="AC68" s="299"/>
      <c r="AD68" s="299"/>
      <c r="AE68" s="343">
        <f>SUM(W40:W64)+O48</f>
        <v>0</v>
      </c>
    </row>
    <row r="69" spans="2:31" ht="19" customHeight="1" thickBot="1" x14ac:dyDescent="0.4">
      <c r="B69" s="2395" t="s">
        <v>174</v>
      </c>
      <c r="C69" s="2236"/>
      <c r="D69" s="2236"/>
      <c r="E69" s="2236"/>
      <c r="F69" s="2236"/>
      <c r="G69" s="2236"/>
      <c r="H69" s="2236"/>
      <c r="I69" s="2236"/>
      <c r="J69" s="2236"/>
      <c r="K69" s="2236"/>
      <c r="L69" s="2236"/>
      <c r="M69" s="2236"/>
      <c r="N69" s="2236"/>
      <c r="O69" s="2236"/>
      <c r="P69" s="2396"/>
      <c r="Q69" s="193" t="s">
        <v>557</v>
      </c>
      <c r="R69" s="106"/>
      <c r="S69" s="194">
        <v>0</v>
      </c>
      <c r="T69" s="106" t="s">
        <v>42</v>
      </c>
      <c r="U69" s="195">
        <v>5.25</v>
      </c>
      <c r="V69" s="106" t="s">
        <v>787</v>
      </c>
      <c r="W69" s="118">
        <f>S69*U69*(1+W$31)</f>
        <v>0</v>
      </c>
      <c r="Z69" s="299">
        <v>3</v>
      </c>
      <c r="AA69" s="299" t="s">
        <v>244</v>
      </c>
      <c r="AB69" s="299"/>
      <c r="AC69" s="299"/>
      <c r="AD69" s="299"/>
      <c r="AE69" s="299">
        <f>O46</f>
        <v>0</v>
      </c>
    </row>
    <row r="70" spans="2:31" ht="19" customHeight="1" x14ac:dyDescent="0.35">
      <c r="B70" s="2297" t="s">
        <v>366</v>
      </c>
      <c r="C70" s="2298"/>
      <c r="D70" s="2337"/>
      <c r="E70" s="920">
        <v>1.25</v>
      </c>
      <c r="F70" s="115" t="s">
        <v>118</v>
      </c>
      <c r="G70" s="2397">
        <f>ROUNDUP(D28/N70*K70,0)</f>
        <v>0</v>
      </c>
      <c r="H70" s="2397"/>
      <c r="I70" s="116" t="s">
        <v>42</v>
      </c>
      <c r="J70" s="509" t="s">
        <v>709</v>
      </c>
      <c r="K70" s="813">
        <v>1</v>
      </c>
      <c r="L70" s="2398" t="s">
        <v>382</v>
      </c>
      <c r="M70" s="2398"/>
      <c r="N70" s="813">
        <v>90</v>
      </c>
      <c r="O70" s="2399">
        <f t="shared" ref="O70:O75" si="32">E70*G70</f>
        <v>0</v>
      </c>
      <c r="P70" s="2400"/>
      <c r="Q70" s="193"/>
      <c r="R70" s="106"/>
      <c r="S70" s="106"/>
      <c r="T70" s="106"/>
      <c r="U70" s="195"/>
      <c r="V70" s="106"/>
      <c r="W70" s="118"/>
      <c r="Z70" s="299">
        <v>4</v>
      </c>
      <c r="AA70" s="299" t="s">
        <v>245</v>
      </c>
      <c r="AB70" s="299"/>
      <c r="AC70" s="299"/>
      <c r="AD70" s="299"/>
      <c r="AE70" s="299">
        <f>O47</f>
        <v>0</v>
      </c>
    </row>
    <row r="71" spans="2:31" ht="19" customHeight="1" thickBot="1" x14ac:dyDescent="0.4">
      <c r="B71" s="2259" t="s">
        <v>365</v>
      </c>
      <c r="C71" s="1972"/>
      <c r="D71" s="2260"/>
      <c r="E71" s="921">
        <v>0.5</v>
      </c>
      <c r="F71" s="88" t="s">
        <v>118</v>
      </c>
      <c r="G71" s="2390">
        <f>ROUNDUP(D28/N71*2-G70,0)</f>
        <v>0</v>
      </c>
      <c r="H71" s="2390"/>
      <c r="I71" s="88" t="s">
        <v>42</v>
      </c>
      <c r="L71" s="2092" t="s">
        <v>382</v>
      </c>
      <c r="M71" s="2093"/>
      <c r="N71" s="2401">
        <v>15</v>
      </c>
      <c r="O71" s="2377">
        <f t="shared" si="32"/>
        <v>0</v>
      </c>
      <c r="P71" s="2378"/>
      <c r="Q71" s="198"/>
      <c r="R71" s="199"/>
      <c r="S71" s="199"/>
      <c r="T71" s="199"/>
      <c r="U71" s="201"/>
      <c r="V71" s="199"/>
      <c r="W71" s="119"/>
      <c r="Z71" s="299">
        <v>5</v>
      </c>
      <c r="AA71" s="299" t="s">
        <v>246</v>
      </c>
      <c r="AB71" s="299"/>
      <c r="AC71" s="299"/>
      <c r="AD71" s="299"/>
      <c r="AE71" s="299">
        <f>O43+O44+W78</f>
        <v>0</v>
      </c>
    </row>
    <row r="72" spans="2:31" ht="19" customHeight="1" thickTop="1" x14ac:dyDescent="0.35">
      <c r="B72" s="2259" t="s">
        <v>767</v>
      </c>
      <c r="C72" s="1972"/>
      <c r="D72" s="2260"/>
      <c r="E72" s="922">
        <v>0.5</v>
      </c>
      <c r="F72" s="108" t="s">
        <v>118</v>
      </c>
      <c r="G72" s="2390">
        <f>G71</f>
        <v>0</v>
      </c>
      <c r="H72" s="2390"/>
      <c r="I72" s="42" t="s">
        <v>42</v>
      </c>
      <c r="L72" s="2092"/>
      <c r="M72" s="2093"/>
      <c r="N72" s="2401"/>
      <c r="O72" s="2377">
        <f>E72*G72</f>
        <v>0</v>
      </c>
      <c r="P72" s="2378"/>
      <c r="Q72" s="193"/>
      <c r="R72" s="106"/>
      <c r="S72" s="106"/>
      <c r="T72" s="106"/>
      <c r="U72" s="195"/>
      <c r="V72" s="106"/>
      <c r="W72" s="118"/>
      <c r="Z72" s="299">
        <v>6</v>
      </c>
      <c r="AA72" s="299" t="s">
        <v>248</v>
      </c>
      <c r="AB72" s="299"/>
      <c r="AC72" s="299"/>
      <c r="AD72" s="299"/>
      <c r="AE72" s="299">
        <f>SUM(W66:W71)</f>
        <v>0</v>
      </c>
    </row>
    <row r="73" spans="2:31" ht="19" customHeight="1" x14ac:dyDescent="0.35">
      <c r="B73" s="92" t="s">
        <v>746</v>
      </c>
      <c r="C73" s="58"/>
      <c r="D73" s="58"/>
      <c r="E73" s="922">
        <f>Pricing!D41</f>
        <v>16</v>
      </c>
      <c r="F73" s="88" t="s">
        <v>169</v>
      </c>
      <c r="G73" s="2391">
        <f>AP28</f>
        <v>0</v>
      </c>
      <c r="H73" s="2392"/>
      <c r="I73" s="42" t="s">
        <v>31</v>
      </c>
      <c r="M73" s="73" t="s">
        <v>1169</v>
      </c>
      <c r="N73" s="1815" t="s">
        <v>198</v>
      </c>
      <c r="O73" s="2377">
        <f>IF(N73="y",G73*E73,0)</f>
        <v>0</v>
      </c>
      <c r="P73" s="2378"/>
      <c r="Q73" s="193"/>
      <c r="R73" s="106"/>
      <c r="S73" s="106"/>
      <c r="T73" s="106"/>
      <c r="U73" s="195"/>
      <c r="V73" s="106"/>
      <c r="W73" s="118"/>
      <c r="Z73" s="299">
        <v>7</v>
      </c>
      <c r="AA73" s="299" t="s">
        <v>247</v>
      </c>
      <c r="AB73" s="299"/>
      <c r="AC73" s="299"/>
      <c r="AD73" s="299"/>
      <c r="AE73" s="299"/>
    </row>
    <row r="74" spans="2:31" ht="19" customHeight="1" x14ac:dyDescent="0.35">
      <c r="B74" s="2259" t="s">
        <v>566</v>
      </c>
      <c r="C74" s="1972"/>
      <c r="D74" s="1972"/>
      <c r="E74" s="922">
        <v>3.5</v>
      </c>
      <c r="F74" s="88" t="s">
        <v>191</v>
      </c>
      <c r="G74" s="2393">
        <v>0</v>
      </c>
      <c r="H74" s="2394"/>
      <c r="I74" s="42" t="s">
        <v>95</v>
      </c>
      <c r="O74" s="2377">
        <f>E74*G74</f>
        <v>0</v>
      </c>
      <c r="P74" s="2378"/>
      <c r="Q74" s="193" t="s">
        <v>211</v>
      </c>
      <c r="R74" s="106"/>
      <c r="S74" s="194">
        <f>ROUNDUP(I50/350/55,0)</f>
        <v>0</v>
      </c>
      <c r="T74" s="106" t="s">
        <v>754</v>
      </c>
      <c r="U74" s="195">
        <f>Pricing!N42</f>
        <v>540</v>
      </c>
      <c r="V74" s="401" t="s">
        <v>295</v>
      </c>
      <c r="W74" s="118">
        <f>U74*S74</f>
        <v>0</v>
      </c>
      <c r="Z74" s="299">
        <v>8</v>
      </c>
      <c r="AA74" s="299" t="s">
        <v>249</v>
      </c>
      <c r="AB74" s="299"/>
      <c r="AC74" s="299"/>
      <c r="AD74" s="299"/>
      <c r="AE74" s="299">
        <f>SUM(O40:P42)</f>
        <v>0</v>
      </c>
    </row>
    <row r="75" spans="2:31" ht="19" customHeight="1" thickBot="1" x14ac:dyDescent="0.4">
      <c r="B75" s="92" t="s">
        <v>373</v>
      </c>
      <c r="C75" s="57"/>
      <c r="D75" s="57"/>
      <c r="E75" s="921">
        <v>10</v>
      </c>
      <c r="F75" s="110" t="s">
        <v>118</v>
      </c>
      <c r="G75" s="2385">
        <f>SUM(I11:I27)</f>
        <v>0</v>
      </c>
      <c r="H75" s="2386"/>
      <c r="I75" s="2387" t="s">
        <v>42</v>
      </c>
      <c r="J75" s="1972"/>
      <c r="N75" s="46"/>
      <c r="O75" s="2388">
        <f t="shared" si="32"/>
        <v>0</v>
      </c>
      <c r="P75" s="2389"/>
      <c r="Q75" s="198" t="s">
        <v>212</v>
      </c>
      <c r="R75" s="199"/>
      <c r="S75" s="200">
        <f>BM64</f>
        <v>0</v>
      </c>
      <c r="T75" s="199" t="s">
        <v>754</v>
      </c>
      <c r="U75" s="201">
        <f>Pricing!N43</f>
        <v>542</v>
      </c>
      <c r="V75" s="426" t="s">
        <v>295</v>
      </c>
      <c r="W75" s="119">
        <f>U75*S75</f>
        <v>0</v>
      </c>
      <c r="Z75" s="299">
        <v>9</v>
      </c>
      <c r="AA75" s="299" t="s">
        <v>234</v>
      </c>
      <c r="AB75" s="299"/>
      <c r="AC75" s="299"/>
      <c r="AD75" s="299"/>
      <c r="AE75" s="299"/>
    </row>
    <row r="76" spans="2:31" ht="18" customHeight="1" thickTop="1" x14ac:dyDescent="0.35">
      <c r="B76" s="2259" t="s">
        <v>1045</v>
      </c>
      <c r="C76" s="1972"/>
      <c r="D76" s="1972"/>
      <c r="E76" s="923"/>
      <c r="F76" s="88" t="s">
        <v>191</v>
      </c>
      <c r="G76" s="2385">
        <f>BM29</f>
        <v>0</v>
      </c>
      <c r="H76" s="2386"/>
      <c r="I76" s="42" t="s">
        <v>95</v>
      </c>
      <c r="O76" s="2377">
        <f>IF(E76=0,0,E76*G76)</f>
        <v>0</v>
      </c>
      <c r="P76" s="2378"/>
      <c r="Q76" s="43"/>
      <c r="W76" s="111"/>
      <c r="Z76" s="299">
        <v>10</v>
      </c>
      <c r="AA76" s="299" t="s">
        <v>250</v>
      </c>
      <c r="AB76" s="299"/>
      <c r="AC76" s="299"/>
      <c r="AD76" s="299"/>
      <c r="AE76" s="299">
        <f>SUM(W72:W75)</f>
        <v>0</v>
      </c>
    </row>
    <row r="77" spans="2:31" ht="24.75" customHeight="1" x14ac:dyDescent="0.35">
      <c r="B77" s="2259" t="s">
        <v>186</v>
      </c>
      <c r="C77" s="1972"/>
      <c r="D77" s="1972"/>
      <c r="E77" s="917">
        <v>0</v>
      </c>
      <c r="F77" s="469" t="s">
        <v>97</v>
      </c>
      <c r="G77" s="2376">
        <v>250</v>
      </c>
      <c r="H77" s="2376"/>
      <c r="I77" s="88" t="s">
        <v>68</v>
      </c>
      <c r="O77" s="2377">
        <f>E77*G77</f>
        <v>0</v>
      </c>
      <c r="P77" s="2378"/>
      <c r="Q77" s="2314" t="s">
        <v>216</v>
      </c>
      <c r="R77" s="2315"/>
      <c r="S77" s="770">
        <v>18</v>
      </c>
      <c r="T77" s="42" t="s">
        <v>217</v>
      </c>
      <c r="W77" s="534"/>
      <c r="Z77" s="299">
        <v>11</v>
      </c>
      <c r="AA77" s="299" t="s">
        <v>251</v>
      </c>
      <c r="AB77" s="299"/>
      <c r="AC77" s="299"/>
      <c r="AD77" s="299"/>
      <c r="AE77" s="299"/>
    </row>
    <row r="78" spans="2:31" ht="20.25" customHeight="1" thickBot="1" x14ac:dyDescent="0.4">
      <c r="B78" s="2379" t="s">
        <v>752</v>
      </c>
      <c r="C78" s="2380"/>
      <c r="D78" s="2380"/>
      <c r="E78" s="924">
        <v>0</v>
      </c>
      <c r="F78" s="49"/>
      <c r="G78" s="2381">
        <v>1000</v>
      </c>
      <c r="H78" s="2382"/>
      <c r="I78" s="49" t="s">
        <v>737</v>
      </c>
      <c r="J78" s="49"/>
      <c r="K78" s="49"/>
      <c r="L78" s="49"/>
      <c r="M78" s="49"/>
      <c r="N78" s="49"/>
      <c r="O78" s="2383">
        <f>E78*G78</f>
        <v>0</v>
      </c>
      <c r="P78" s="2384"/>
      <c r="Q78" s="47" t="s">
        <v>730</v>
      </c>
      <c r="R78" s="49"/>
      <c r="S78" s="49">
        <f>ROUNDUP((S51+S53+S54)*12/S77,0)</f>
        <v>0</v>
      </c>
      <c r="T78" s="49" t="s">
        <v>215</v>
      </c>
      <c r="U78" s="2313">
        <f>Pricing!D24</f>
        <v>2</v>
      </c>
      <c r="V78" s="2313"/>
      <c r="W78" s="22">
        <f>U78*S78</f>
        <v>0</v>
      </c>
      <c r="Z78" s="299">
        <v>12</v>
      </c>
      <c r="AA78" s="299" t="s">
        <v>252</v>
      </c>
      <c r="AB78" s="299"/>
      <c r="AC78" s="299"/>
      <c r="AD78" s="299"/>
      <c r="AE78" s="299"/>
    </row>
    <row r="79" spans="2:31" ht="20.25" customHeight="1" thickBot="1" x14ac:dyDescent="0.4">
      <c r="B79" s="47"/>
      <c r="C79" s="49"/>
      <c r="D79" s="49"/>
      <c r="E79" s="49"/>
      <c r="F79" s="49"/>
      <c r="G79" s="49"/>
      <c r="H79" s="96"/>
      <c r="I79" s="76"/>
      <c r="J79" s="76"/>
      <c r="K79" s="135"/>
      <c r="L79" s="136"/>
      <c r="M79" s="136"/>
      <c r="N79" s="49"/>
      <c r="O79" s="21"/>
      <c r="P79" s="254"/>
      <c r="W79" s="953">
        <f>SUM(W40:W78)</f>
        <v>0</v>
      </c>
      <c r="Z79" s="299">
        <v>15</v>
      </c>
      <c r="AA79" s="299" t="s">
        <v>253</v>
      </c>
      <c r="AB79" s="299"/>
      <c r="AC79" s="299"/>
      <c r="AD79" s="299"/>
      <c r="AE79" s="299"/>
    </row>
    <row r="80" spans="2:31" ht="43.5" customHeight="1" thickBot="1" x14ac:dyDescent="0.4">
      <c r="B80" s="898"/>
      <c r="C80" s="899"/>
      <c r="D80" s="899"/>
      <c r="E80" s="899"/>
      <c r="F80" s="899"/>
      <c r="G80" s="899"/>
      <c r="H80" s="899"/>
      <c r="I80" s="899"/>
      <c r="J80" s="899"/>
      <c r="K80" s="899"/>
      <c r="L80" s="900"/>
      <c r="M80" s="899"/>
      <c r="N80" s="899"/>
      <c r="O80" s="899"/>
      <c r="P80" s="899"/>
      <c r="Q80" s="899"/>
      <c r="R80" s="899"/>
      <c r="S80" s="899"/>
      <c r="T80" s="899"/>
      <c r="U80" s="899"/>
      <c r="V80" s="899"/>
      <c r="W80" s="901"/>
      <c r="Z80" s="299">
        <v>16</v>
      </c>
      <c r="AA80" s="299" t="s">
        <v>845</v>
      </c>
      <c r="AB80" s="299"/>
      <c r="AC80" s="299"/>
      <c r="AD80" s="299"/>
      <c r="AE80" s="299"/>
    </row>
    <row r="81" spans="2:31" ht="26.25" customHeight="1" x14ac:dyDescent="0.35">
      <c r="B81" s="1987" t="s">
        <v>185</v>
      </c>
      <c r="C81" s="2041"/>
      <c r="D81" s="1988"/>
      <c r="E81" s="1987" t="s">
        <v>140</v>
      </c>
      <c r="F81" s="1988"/>
      <c r="G81" s="1987" t="s">
        <v>178</v>
      </c>
      <c r="H81" s="2041"/>
      <c r="I81" s="1988"/>
      <c r="J81" s="61" t="s">
        <v>184</v>
      </c>
      <c r="K81" s="62"/>
      <c r="L81" s="60"/>
      <c r="M81" s="2044" t="s">
        <v>179</v>
      </c>
      <c r="N81" s="2045"/>
      <c r="O81" s="132"/>
      <c r="P81" s="133"/>
      <c r="Q81" s="897"/>
      <c r="R81" s="43" t="s">
        <v>34</v>
      </c>
      <c r="T81" s="42" t="s">
        <v>758</v>
      </c>
      <c r="U81" s="728" t="str">
        <f>U31</f>
        <v>n</v>
      </c>
      <c r="V81" s="73" t="s">
        <v>298</v>
      </c>
      <c r="W81" s="925">
        <f>W31</f>
        <v>8.2500000000000004E-2</v>
      </c>
      <c r="Z81" s="299">
        <v>17</v>
      </c>
      <c r="AA81" s="299" t="s">
        <v>842</v>
      </c>
      <c r="AB81" s="299"/>
      <c r="AC81" s="299"/>
      <c r="AD81" s="299"/>
      <c r="AE81" s="299"/>
    </row>
    <row r="82" spans="2:31" ht="16" thickBot="1" x14ac:dyDescent="0.4">
      <c r="B82" s="11" t="s">
        <v>180</v>
      </c>
      <c r="C82" s="1999">
        <f>C32</f>
        <v>0</v>
      </c>
      <c r="D82" s="2000"/>
      <c r="E82" s="2003">
        <f>E32</f>
        <v>0</v>
      </c>
      <c r="F82" s="2004"/>
      <c r="G82" s="15">
        <f>G32</f>
        <v>0</v>
      </c>
      <c r="H82" s="2042">
        <f>H32</f>
        <v>0</v>
      </c>
      <c r="I82" s="2043"/>
      <c r="J82" s="2064">
        <f>J32</f>
        <v>0</v>
      </c>
      <c r="K82" s="2065"/>
      <c r="L82" s="2066"/>
      <c r="M82" s="725">
        <f>M32</f>
        <v>0.18</v>
      </c>
      <c r="N82" s="726"/>
      <c r="O82" s="726"/>
      <c r="P82" s="727"/>
      <c r="Q82" s="902"/>
      <c r="R82" s="86" t="s">
        <v>50</v>
      </c>
      <c r="U82" s="1932">
        <f>U32</f>
        <v>0</v>
      </c>
      <c r="V82" s="1932"/>
      <c r="W82" s="74"/>
      <c r="Z82" s="299">
        <v>18</v>
      </c>
      <c r="AA82" s="299" t="s">
        <v>843</v>
      </c>
      <c r="AB82" s="299"/>
      <c r="AC82" s="299"/>
      <c r="AD82" s="299"/>
      <c r="AE82" s="299"/>
    </row>
    <row r="83" spans="2:31" ht="16" thickBot="1" x14ac:dyDescent="0.4">
      <c r="B83" s="889"/>
      <c r="C83" s="890"/>
      <c r="D83" s="890"/>
      <c r="E83" s="890"/>
      <c r="F83" s="890"/>
      <c r="G83" s="890"/>
      <c r="H83" s="890"/>
      <c r="I83" s="890"/>
      <c r="J83" s="890"/>
      <c r="K83" s="890"/>
      <c r="L83" s="890"/>
      <c r="M83" s="890"/>
      <c r="N83" s="890"/>
      <c r="O83" s="890"/>
      <c r="P83" s="890"/>
      <c r="Q83" s="890"/>
      <c r="R83" s="890"/>
      <c r="S83" s="890"/>
      <c r="T83" s="890"/>
      <c r="U83" s="890"/>
      <c r="V83" s="890"/>
      <c r="W83" s="896"/>
      <c r="Z83" s="299">
        <v>20</v>
      </c>
      <c r="AA83" s="299" t="s">
        <v>93</v>
      </c>
      <c r="AB83" s="299"/>
      <c r="AC83" s="299"/>
      <c r="AD83" s="299"/>
      <c r="AE83" s="299">
        <f>SUM(O57:P58)</f>
        <v>0</v>
      </c>
    </row>
    <row r="84" spans="2:31" x14ac:dyDescent="0.35">
      <c r="C84" s="69"/>
      <c r="H84" s="69"/>
      <c r="I84" s="69"/>
      <c r="J84" s="114"/>
      <c r="K84" s="69"/>
      <c r="L84" s="69"/>
      <c r="M84" s="69"/>
      <c r="N84" s="113"/>
      <c r="O84" s="69"/>
      <c r="Z84" s="299">
        <v>21</v>
      </c>
      <c r="AA84" s="299" t="s">
        <v>254</v>
      </c>
      <c r="AB84" s="299"/>
      <c r="AC84" s="299"/>
      <c r="AD84" s="299"/>
      <c r="AE84" s="299">
        <f>SUM(O61:P61)</f>
        <v>0</v>
      </c>
    </row>
    <row r="85" spans="2:31" hidden="1" x14ac:dyDescent="0.35">
      <c r="C85" s="69"/>
      <c r="H85" s="69"/>
      <c r="I85" s="69"/>
      <c r="J85" s="114"/>
      <c r="K85" s="69"/>
      <c r="L85" s="69"/>
      <c r="M85" s="69"/>
      <c r="N85" s="113"/>
      <c r="O85" s="69"/>
      <c r="Z85" s="299">
        <v>22</v>
      </c>
      <c r="AA85" s="299" t="s">
        <v>255</v>
      </c>
      <c r="AB85" s="299"/>
      <c r="AC85" s="299"/>
      <c r="AD85" s="299"/>
      <c r="AE85" s="511">
        <f>SUM(L50:M54)</f>
        <v>0</v>
      </c>
    </row>
    <row r="86" spans="2:31" hidden="1" x14ac:dyDescent="0.35">
      <c r="C86" s="69"/>
      <c r="H86" s="69"/>
      <c r="I86" s="69"/>
      <c r="J86" s="114"/>
      <c r="K86" s="69"/>
      <c r="L86" s="69"/>
      <c r="M86" s="69"/>
      <c r="N86" s="113"/>
      <c r="O86" s="69"/>
      <c r="Z86" s="299">
        <v>23</v>
      </c>
      <c r="AA86" s="299" t="s">
        <v>256</v>
      </c>
      <c r="AB86" s="299"/>
      <c r="AC86" s="299"/>
      <c r="AD86" s="299"/>
      <c r="AE86" s="299">
        <f>O77</f>
        <v>0</v>
      </c>
    </row>
    <row r="87" spans="2:31" hidden="1" x14ac:dyDescent="0.35">
      <c r="Z87" s="299">
        <v>24</v>
      </c>
      <c r="AA87" s="299" t="s">
        <v>257</v>
      </c>
      <c r="AB87" s="299"/>
      <c r="AC87" s="299"/>
      <c r="AD87" s="299"/>
      <c r="AE87" s="299"/>
    </row>
    <row r="88" spans="2:31" hidden="1" x14ac:dyDescent="0.35">
      <c r="Z88" s="299">
        <v>25</v>
      </c>
      <c r="AA88" s="299" t="s">
        <v>258</v>
      </c>
      <c r="AB88" s="299"/>
      <c r="AC88" s="299"/>
      <c r="AD88" s="299"/>
      <c r="AE88" s="299"/>
    </row>
    <row r="89" spans="2:31" hidden="1" x14ac:dyDescent="0.35">
      <c r="Z89" s="299">
        <v>30</v>
      </c>
      <c r="AA89" s="299" t="s">
        <v>259</v>
      </c>
      <c r="AB89" s="299"/>
      <c r="AC89" s="299"/>
      <c r="AD89" s="299"/>
      <c r="AE89" s="343">
        <f>O73</f>
        <v>0</v>
      </c>
    </row>
    <row r="90" spans="2:31" hidden="1" x14ac:dyDescent="0.35">
      <c r="Z90" s="299">
        <v>31</v>
      </c>
      <c r="AA90" s="299" t="s">
        <v>744</v>
      </c>
      <c r="AB90" s="299"/>
      <c r="AC90" s="299"/>
      <c r="AD90" s="299"/>
      <c r="AE90" s="343">
        <f>O78</f>
        <v>0</v>
      </c>
    </row>
    <row r="91" spans="2:31" hidden="1" x14ac:dyDescent="0.35">
      <c r="Z91" s="299">
        <v>32</v>
      </c>
      <c r="AA91" s="299" t="s">
        <v>260</v>
      </c>
      <c r="AB91" s="299"/>
      <c r="AC91" s="299"/>
      <c r="AD91" s="299"/>
      <c r="AE91" s="299"/>
    </row>
    <row r="92" spans="2:31" hidden="1" x14ac:dyDescent="0.35">
      <c r="Z92" s="299">
        <v>33</v>
      </c>
      <c r="AA92" s="299" t="s">
        <v>261</v>
      </c>
      <c r="AB92" s="299"/>
      <c r="AC92" s="299"/>
      <c r="AD92" s="299"/>
      <c r="AE92" s="299">
        <f>O74</f>
        <v>0</v>
      </c>
    </row>
    <row r="93" spans="2:31" hidden="1" x14ac:dyDescent="0.35">
      <c r="Z93" s="299">
        <v>34</v>
      </c>
      <c r="AA93" s="299" t="s">
        <v>262</v>
      </c>
      <c r="AB93" s="299"/>
      <c r="AC93" s="299"/>
      <c r="AD93" s="299"/>
      <c r="AE93" s="299">
        <f>O70+O71+O72+O75</f>
        <v>0</v>
      </c>
    </row>
    <row r="94" spans="2:31" hidden="1" x14ac:dyDescent="0.35">
      <c r="Z94" s="299">
        <v>35</v>
      </c>
      <c r="AA94" s="299" t="s">
        <v>263</v>
      </c>
      <c r="AB94" s="299"/>
      <c r="AC94" s="299"/>
      <c r="AD94" s="299"/>
      <c r="AE94" s="299"/>
    </row>
    <row r="95" spans="2:31" hidden="1" x14ac:dyDescent="0.35">
      <c r="Z95" s="299">
        <v>36</v>
      </c>
      <c r="AA95" s="299" t="s">
        <v>745</v>
      </c>
      <c r="AB95" s="299"/>
      <c r="AC95" s="299"/>
      <c r="AD95" s="299"/>
      <c r="AE95" s="299"/>
    </row>
    <row r="96" spans="2:31" hidden="1" x14ac:dyDescent="0.35">
      <c r="Z96" s="299">
        <v>39</v>
      </c>
      <c r="AA96" s="299" t="s">
        <v>264</v>
      </c>
      <c r="AB96" s="299"/>
      <c r="AC96" s="299"/>
      <c r="AD96" s="299"/>
      <c r="AE96" s="299"/>
    </row>
    <row r="97" spans="26:31" hidden="1" x14ac:dyDescent="0.35">
      <c r="Z97" s="299">
        <v>40</v>
      </c>
      <c r="AA97" s="299" t="s">
        <v>222</v>
      </c>
      <c r="AB97" s="299"/>
      <c r="AC97" s="299"/>
      <c r="AD97" s="299"/>
      <c r="AE97" s="299"/>
    </row>
    <row r="98" spans="26:31" hidden="1" x14ac:dyDescent="0.35">
      <c r="Z98" s="299">
        <v>41</v>
      </c>
      <c r="AA98" s="299" t="s">
        <v>265</v>
      </c>
      <c r="AB98" s="299"/>
      <c r="AC98" s="299"/>
      <c r="AD98" s="299"/>
      <c r="AE98" s="299"/>
    </row>
    <row r="99" spans="26:31" hidden="1" x14ac:dyDescent="0.35">
      <c r="Z99" s="299">
        <v>42</v>
      </c>
      <c r="AA99" s="299" t="s">
        <v>266</v>
      </c>
      <c r="AB99" s="299"/>
      <c r="AC99" s="299"/>
      <c r="AD99" s="299"/>
      <c r="AE99" s="299"/>
    </row>
    <row r="100" spans="26:31" hidden="1" x14ac:dyDescent="0.35">
      <c r="Z100" s="299">
        <v>44</v>
      </c>
      <c r="AA100" s="299" t="s">
        <v>267</v>
      </c>
      <c r="AB100" s="299"/>
      <c r="AC100" s="299"/>
      <c r="AD100" s="299"/>
      <c r="AE100" s="299"/>
    </row>
    <row r="101" spans="26:31" hidden="1" x14ac:dyDescent="0.35">
      <c r="Z101">
        <v>45</v>
      </c>
      <c r="AA101" t="s">
        <v>268</v>
      </c>
    </row>
    <row r="102" spans="26:31" hidden="1" x14ac:dyDescent="0.35">
      <c r="Z102">
        <v>46</v>
      </c>
      <c r="AA102" t="s">
        <v>269</v>
      </c>
    </row>
    <row r="103" spans="26:31" hidden="1" x14ac:dyDescent="0.35">
      <c r="Z103">
        <v>47</v>
      </c>
      <c r="AA103" t="s">
        <v>270</v>
      </c>
    </row>
    <row r="104" spans="26:31" hidden="1" x14ac:dyDescent="0.35">
      <c r="Z104">
        <v>48</v>
      </c>
      <c r="AA104" t="s">
        <v>271</v>
      </c>
      <c r="AE104" s="382">
        <f>SUM(O50:P54)-O53</f>
        <v>0</v>
      </c>
    </row>
    <row r="105" spans="26:31" hidden="1" x14ac:dyDescent="0.35">
      <c r="Z105">
        <v>49</v>
      </c>
      <c r="AA105" t="s">
        <v>272</v>
      </c>
    </row>
    <row r="106" spans="26:31" hidden="1" x14ac:dyDescent="0.35">
      <c r="Z106">
        <v>50</v>
      </c>
      <c r="AA106" t="s">
        <v>711</v>
      </c>
    </row>
    <row r="107" spans="26:31" hidden="1" x14ac:dyDescent="0.35">
      <c r="Z107">
        <v>51</v>
      </c>
      <c r="AA107" t="s">
        <v>712</v>
      </c>
    </row>
    <row r="108" spans="26:31" hidden="1" x14ac:dyDescent="0.35">
      <c r="Z108">
        <v>52</v>
      </c>
      <c r="AA108" t="s">
        <v>273</v>
      </c>
    </row>
    <row r="109" spans="26:31" hidden="1" x14ac:dyDescent="0.35">
      <c r="Z109">
        <v>53</v>
      </c>
      <c r="AA109" t="s">
        <v>274</v>
      </c>
    </row>
    <row r="110" spans="26:31" hidden="1" x14ac:dyDescent="0.35">
      <c r="Z110">
        <v>54</v>
      </c>
      <c r="AA110" t="s">
        <v>275</v>
      </c>
    </row>
    <row r="111" spans="26:31" hidden="1" x14ac:dyDescent="0.35">
      <c r="Z111">
        <v>55</v>
      </c>
      <c r="AA111" t="s">
        <v>276</v>
      </c>
    </row>
    <row r="112" spans="26:31" hidden="1" x14ac:dyDescent="0.35">
      <c r="Z112">
        <v>56</v>
      </c>
      <c r="AA112" t="s">
        <v>277</v>
      </c>
    </row>
    <row r="113" spans="26:31" hidden="1" x14ac:dyDescent="0.35">
      <c r="Z113">
        <v>57</v>
      </c>
      <c r="AA113" t="s">
        <v>278</v>
      </c>
    </row>
    <row r="114" spans="26:31" hidden="1" x14ac:dyDescent="0.35">
      <c r="Z114">
        <v>58</v>
      </c>
      <c r="AA114" t="s">
        <v>279</v>
      </c>
      <c r="AE114">
        <f>O76</f>
        <v>0</v>
      </c>
    </row>
    <row r="115" spans="26:31" hidden="1" x14ac:dyDescent="0.35">
      <c r="Z115">
        <v>59</v>
      </c>
      <c r="AA115" t="s">
        <v>280</v>
      </c>
      <c r="AE115">
        <f>O53</f>
        <v>0</v>
      </c>
    </row>
    <row r="116" spans="26:31" hidden="1" x14ac:dyDescent="0.35">
      <c r="Z116">
        <v>60</v>
      </c>
      <c r="AA116" t="s">
        <v>281</v>
      </c>
      <c r="AE116">
        <f>SUM(O63:P68)</f>
        <v>0</v>
      </c>
    </row>
    <row r="117" spans="26:31" hidden="1" x14ac:dyDescent="0.35">
      <c r="Z117">
        <v>65</v>
      </c>
      <c r="AA117" t="s">
        <v>282</v>
      </c>
      <c r="AE117">
        <v>0</v>
      </c>
    </row>
    <row r="118" spans="26:31" hidden="1" x14ac:dyDescent="0.35">
      <c r="Z118">
        <v>99</v>
      </c>
      <c r="AA118" t="s">
        <v>893</v>
      </c>
      <c r="AE118" s="261">
        <f>W65</f>
        <v>0</v>
      </c>
    </row>
    <row r="119" spans="26:31" hidden="1" x14ac:dyDescent="0.35">
      <c r="AE119">
        <f>SUM(AE66:AE118)</f>
        <v>0</v>
      </c>
    </row>
    <row r="65523" x14ac:dyDescent="0.35"/>
    <row r="65537" x14ac:dyDescent="0.35"/>
    <row r="65538" x14ac:dyDescent="0.35"/>
    <row r="65539" ht="21" hidden="1" customHeight="1" x14ac:dyDescent="0.35"/>
  </sheetData>
  <mergeCells count="234">
    <mergeCell ref="O59:P59"/>
    <mergeCell ref="O60:P60"/>
    <mergeCell ref="B68:D68"/>
    <mergeCell ref="O68:P68"/>
    <mergeCell ref="B69:P69"/>
    <mergeCell ref="O63:P63"/>
    <mergeCell ref="O57:P57"/>
    <mergeCell ref="O55:P55"/>
    <mergeCell ref="L55:M55"/>
    <mergeCell ref="O50:P50"/>
    <mergeCell ref="O51:P51"/>
    <mergeCell ref="O52:P52"/>
    <mergeCell ref="O53:P53"/>
    <mergeCell ref="B67:D67"/>
    <mergeCell ref="B63:D63"/>
    <mergeCell ref="E52:F52"/>
    <mergeCell ref="L52:M52"/>
    <mergeCell ref="B56:P56"/>
    <mergeCell ref="O67:P67"/>
    <mergeCell ref="B66:D66"/>
    <mergeCell ref="O66:P66"/>
    <mergeCell ref="J65:K66"/>
    <mergeCell ref="M65:N65"/>
    <mergeCell ref="B65:D65"/>
    <mergeCell ref="O65:P65"/>
    <mergeCell ref="M64:N64"/>
    <mergeCell ref="M57:N57"/>
    <mergeCell ref="O58:P58"/>
    <mergeCell ref="M58:N58"/>
    <mergeCell ref="B62:P62"/>
    <mergeCell ref="B64:D64"/>
    <mergeCell ref="O64:P64"/>
    <mergeCell ref="E55:F55"/>
    <mergeCell ref="U33:V33"/>
    <mergeCell ref="L40:M40"/>
    <mergeCell ref="E51:F51"/>
    <mergeCell ref="O54:P54"/>
    <mergeCell ref="I44:J44"/>
    <mergeCell ref="O44:P44"/>
    <mergeCell ref="L45:M45"/>
    <mergeCell ref="J45:K45"/>
    <mergeCell ref="L47:M47"/>
    <mergeCell ref="O47:P47"/>
    <mergeCell ref="Q39:R39"/>
    <mergeCell ref="O48:P48"/>
    <mergeCell ref="N34:O34"/>
    <mergeCell ref="J35:K35"/>
    <mergeCell ref="I46:J47"/>
    <mergeCell ref="K46:K47"/>
    <mergeCell ref="O46:P46"/>
    <mergeCell ref="L49:M49"/>
    <mergeCell ref="N49:P49"/>
    <mergeCell ref="O40:P40"/>
    <mergeCell ref="L46:M46"/>
    <mergeCell ref="L53:M53"/>
    <mergeCell ref="H50:H52"/>
    <mergeCell ref="L50:M50"/>
    <mergeCell ref="O45:P45"/>
    <mergeCell ref="O43:P43"/>
    <mergeCell ref="L43:M43"/>
    <mergeCell ref="I48:J48"/>
    <mergeCell ref="L48:M48"/>
    <mergeCell ref="O41:P41"/>
    <mergeCell ref="L44:M44"/>
    <mergeCell ref="I43:J43"/>
    <mergeCell ref="H29:I29"/>
    <mergeCell ref="D27:E27"/>
    <mergeCell ref="E31:F31"/>
    <mergeCell ref="F29:G29"/>
    <mergeCell ref="E30:F30"/>
    <mergeCell ref="G31:I31"/>
    <mergeCell ref="J31:L31"/>
    <mergeCell ref="E32:F32"/>
    <mergeCell ref="H32:I32"/>
    <mergeCell ref="C32:D32"/>
    <mergeCell ref="D29:E29"/>
    <mergeCell ref="V12:W12"/>
    <mergeCell ref="Q9:Q10"/>
    <mergeCell ref="V13:W13"/>
    <mergeCell ref="V14:W14"/>
    <mergeCell ref="V9:W10"/>
    <mergeCell ref="R9:R10"/>
    <mergeCell ref="V27:W27"/>
    <mergeCell ref="C39:P39"/>
    <mergeCell ref="V15:W15"/>
    <mergeCell ref="V16:W16"/>
    <mergeCell ref="V17:W17"/>
    <mergeCell ref="V18:W18"/>
    <mergeCell ref="J32:L32"/>
    <mergeCell ref="M32:P32"/>
    <mergeCell ref="V23:W23"/>
    <mergeCell ref="B17:C17"/>
    <mergeCell ref="B18:C18"/>
    <mergeCell ref="D19:E19"/>
    <mergeCell ref="B27:C27"/>
    <mergeCell ref="D28:E28"/>
    <mergeCell ref="B31:D31"/>
    <mergeCell ref="B19:C19"/>
    <mergeCell ref="B21:C21"/>
    <mergeCell ref="B22:C22"/>
    <mergeCell ref="U32:V32"/>
    <mergeCell ref="V19:W19"/>
    <mergeCell ref="U29:V29"/>
    <mergeCell ref="V20:W20"/>
    <mergeCell ref="V21:W21"/>
    <mergeCell ref="V22:W22"/>
    <mergeCell ref="V24:W24"/>
    <mergeCell ref="V25:W25"/>
    <mergeCell ref="V26:W26"/>
    <mergeCell ref="V11:W11"/>
    <mergeCell ref="P9:P10"/>
    <mergeCell ref="S9:S10"/>
    <mergeCell ref="T9:T10"/>
    <mergeCell ref="U9:U10"/>
    <mergeCell ref="O4:P4"/>
    <mergeCell ref="Q4:R4"/>
    <mergeCell ref="N9:O9"/>
    <mergeCell ref="Q6:R6"/>
    <mergeCell ref="Q5:R5"/>
    <mergeCell ref="D7:E7"/>
    <mergeCell ref="J7:N7"/>
    <mergeCell ref="O7:P7"/>
    <mergeCell ref="Q7:R7"/>
    <mergeCell ref="J6:N6"/>
    <mergeCell ref="O6:P6"/>
    <mergeCell ref="O5:P5"/>
    <mergeCell ref="O3:P3"/>
    <mergeCell ref="Q3:R3"/>
    <mergeCell ref="B11:C11"/>
    <mergeCell ref="D13:E13"/>
    <mergeCell ref="D14:E14"/>
    <mergeCell ref="D8:E8"/>
    <mergeCell ref="G8:I8"/>
    <mergeCell ref="J8:N8"/>
    <mergeCell ref="K9:K10"/>
    <mergeCell ref="G9:G10"/>
    <mergeCell ref="I9:I10"/>
    <mergeCell ref="L9:L10"/>
    <mergeCell ref="F9:F10"/>
    <mergeCell ref="B13:C13"/>
    <mergeCell ref="B14:C14"/>
    <mergeCell ref="D12:E12"/>
    <mergeCell ref="B9:C10"/>
    <mergeCell ref="D9:E10"/>
    <mergeCell ref="D11:E11"/>
    <mergeCell ref="H9:H10"/>
    <mergeCell ref="B12:C12"/>
    <mergeCell ref="M9:M10"/>
    <mergeCell ref="J9:J10"/>
    <mergeCell ref="D26:E26"/>
    <mergeCell ref="O42:P42"/>
    <mergeCell ref="B25:C25"/>
    <mergeCell ref="B20:C20"/>
    <mergeCell ref="D25:E25"/>
    <mergeCell ref="K40:K42"/>
    <mergeCell ref="B23:C23"/>
    <mergeCell ref="B24:C24"/>
    <mergeCell ref="D15:E15"/>
    <mergeCell ref="D18:E18"/>
    <mergeCell ref="D16:E16"/>
    <mergeCell ref="D23:E23"/>
    <mergeCell ref="D24:E24"/>
    <mergeCell ref="B15:C15"/>
    <mergeCell ref="B16:C16"/>
    <mergeCell ref="D17:E17"/>
    <mergeCell ref="D20:E20"/>
    <mergeCell ref="D21:E21"/>
    <mergeCell ref="D22:E22"/>
    <mergeCell ref="B26:C26"/>
    <mergeCell ref="L42:M42"/>
    <mergeCell ref="I40:J42"/>
    <mergeCell ref="M31:N31"/>
    <mergeCell ref="L41:M41"/>
    <mergeCell ref="E53:F53"/>
    <mergeCell ref="I53:J53"/>
    <mergeCell ref="E54:F54"/>
    <mergeCell ref="I54:J54"/>
    <mergeCell ref="I55:K55"/>
    <mergeCell ref="L51:M51"/>
    <mergeCell ref="E50:F50"/>
    <mergeCell ref="I50:J52"/>
    <mergeCell ref="L54:M54"/>
    <mergeCell ref="G78:H78"/>
    <mergeCell ref="G74:H74"/>
    <mergeCell ref="G76:H76"/>
    <mergeCell ref="O76:P76"/>
    <mergeCell ref="B77:D77"/>
    <mergeCell ref="B78:D78"/>
    <mergeCell ref="G77:H77"/>
    <mergeCell ref="G75:H75"/>
    <mergeCell ref="I75:J75"/>
    <mergeCell ref="O73:P73"/>
    <mergeCell ref="O71:P71"/>
    <mergeCell ref="B71:D71"/>
    <mergeCell ref="Q77:R77"/>
    <mergeCell ref="B74:D74"/>
    <mergeCell ref="O74:P74"/>
    <mergeCell ref="G71:H71"/>
    <mergeCell ref="B70:D70"/>
    <mergeCell ref="G70:H70"/>
    <mergeCell ref="L71:M72"/>
    <mergeCell ref="O77:P77"/>
    <mergeCell ref="B76:D76"/>
    <mergeCell ref="G72:H72"/>
    <mergeCell ref="B72:D72"/>
    <mergeCell ref="N71:N72"/>
    <mergeCell ref="O72:P72"/>
    <mergeCell ref="G73:H73"/>
    <mergeCell ref="O70:P70"/>
    <mergeCell ref="L70:M70"/>
    <mergeCell ref="C82:D82"/>
    <mergeCell ref="E82:F82"/>
    <mergeCell ref="H82:I82"/>
    <mergeCell ref="B81:D81"/>
    <mergeCell ref="E81:F81"/>
    <mergeCell ref="G81:I81"/>
    <mergeCell ref="V2:W2"/>
    <mergeCell ref="U82:V82"/>
    <mergeCell ref="J82:L82"/>
    <mergeCell ref="U78:V78"/>
    <mergeCell ref="O61:P61"/>
    <mergeCell ref="O75:P75"/>
    <mergeCell ref="N28:O28"/>
    <mergeCell ref="M81:N81"/>
    <mergeCell ref="O78:P78"/>
    <mergeCell ref="J64:K64"/>
    <mergeCell ref="U65:V65"/>
    <mergeCell ref="K33:L33"/>
    <mergeCell ref="N33:O33"/>
    <mergeCell ref="B3:E3"/>
    <mergeCell ref="B4:E4"/>
    <mergeCell ref="B5:E5"/>
    <mergeCell ref="J5:N5"/>
    <mergeCell ref="J4:N4"/>
  </mergeCells>
  <printOptions gridLines="1"/>
  <pageMargins left="1.33" right="0.46" top="0.26" bottom="0.19" header="0.1" footer="0.17"/>
  <pageSetup paperSize="5" scale="60" orientation="landscape" horizontalDpi="4294967293" r:id="rId1"/>
  <headerFooter alignWithMargins="0">
    <oddHeader>&amp;L&amp;"Arial,Bold"&amp;16               &amp;A&amp;C&amp;"Arial,Bold"&amp;16&amp;F&amp;R&amp;16&amp;D</oddHeader>
  </headerFooter>
  <rowBreaks count="1" manualBreakCount="1">
    <brk id="33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1:BO125"/>
  <sheetViews>
    <sheetView zoomScale="70" zoomScaleNormal="70" workbookViewId="0">
      <selection activeCell="E21" sqref="E21"/>
    </sheetView>
  </sheetViews>
  <sheetFormatPr defaultColWidth="1.54296875" defaultRowHeight="15.5" zeroHeight="1" x14ac:dyDescent="0.35"/>
  <cols>
    <col min="1" max="1" width="2.453125" customWidth="1"/>
    <col min="2" max="2" width="9.54296875" style="42" customWidth="1"/>
    <col min="3" max="3" width="10.453125" style="42" customWidth="1"/>
    <col min="4" max="4" width="7" style="42" customWidth="1"/>
    <col min="5" max="5" width="10.81640625" style="42" customWidth="1"/>
    <col min="6" max="6" width="13.81640625" style="42" customWidth="1"/>
    <col min="7" max="7" width="13" style="42" customWidth="1"/>
    <col min="8" max="18" width="9.7265625" style="42" customWidth="1"/>
    <col min="19" max="19" width="14" style="42" customWidth="1"/>
    <col min="20" max="20" width="10.7265625" style="42" customWidth="1"/>
    <col min="21" max="21" width="9.453125" style="42" customWidth="1"/>
    <col min="22" max="22" width="12.453125" style="42" customWidth="1"/>
    <col min="23" max="23" width="12.1796875" style="42" customWidth="1"/>
    <col min="24" max="24" width="15.1796875" style="42" customWidth="1"/>
    <col min="25" max="25" width="18.54296875" bestFit="1" customWidth="1"/>
    <col min="26" max="26" width="16.453125" bestFit="1" customWidth="1"/>
    <col min="27" max="27" width="10.54296875" bestFit="1" customWidth="1"/>
    <col min="28" max="28" width="24.08984375" customWidth="1"/>
    <col min="32" max="32" width="8.7265625" bestFit="1" customWidth="1"/>
    <col min="35" max="35" width="6.81640625" bestFit="1" customWidth="1"/>
    <col min="36" max="36" width="19.1796875" bestFit="1" customWidth="1"/>
    <col min="37" max="37" width="8.7265625" bestFit="1" customWidth="1"/>
    <col min="38" max="38" width="7.08984375" bestFit="1" customWidth="1"/>
    <col min="39" max="39" width="6.81640625" bestFit="1" customWidth="1"/>
    <col min="40" max="40" width="7.08984375" bestFit="1" customWidth="1"/>
    <col min="41" max="41" width="8.7265625" bestFit="1" customWidth="1"/>
    <col min="42" max="42" width="16.36328125" bestFit="1" customWidth="1"/>
    <col min="43" max="44" width="7.08984375" bestFit="1" customWidth="1"/>
    <col min="45" max="45" width="6.81640625" bestFit="1" customWidth="1"/>
    <col min="46" max="46" width="7.08984375" bestFit="1" customWidth="1"/>
    <col min="47" max="47" width="21.36328125" bestFit="1" customWidth="1"/>
    <col min="48" max="48" width="25.08984375" bestFit="1" customWidth="1"/>
    <col min="49" max="49" width="13.6328125" bestFit="1" customWidth="1"/>
    <col min="50" max="50" width="13.36328125" bestFit="1" customWidth="1"/>
    <col min="51" max="51" width="9.08984375" bestFit="1" customWidth="1"/>
    <col min="52" max="52" width="14.7265625" bestFit="1" customWidth="1"/>
    <col min="53" max="54" width="2.26953125" bestFit="1" customWidth="1"/>
    <col min="55" max="55" width="8.7265625" bestFit="1" customWidth="1"/>
    <col min="56" max="56" width="17.453125" bestFit="1" customWidth="1"/>
    <col min="57" max="57" width="15.6328125" bestFit="1" customWidth="1"/>
    <col min="58" max="58" width="15" bestFit="1" customWidth="1"/>
    <col min="59" max="59" width="13.90625" bestFit="1" customWidth="1"/>
    <col min="60" max="60" width="18.36328125" bestFit="1" customWidth="1"/>
    <col min="61" max="61" width="22.36328125" bestFit="1" customWidth="1"/>
    <col min="62" max="62" width="8.7265625" bestFit="1" customWidth="1"/>
    <col min="63" max="63" width="14.54296875" bestFit="1" customWidth="1"/>
    <col min="64" max="64" width="8.7265625" bestFit="1" customWidth="1"/>
    <col min="65" max="65" width="13.6328125" bestFit="1" customWidth="1"/>
    <col min="66" max="66" width="11.54296875" bestFit="1" customWidth="1"/>
    <col min="67" max="67" width="10.08984375" bestFit="1" customWidth="1"/>
    <col min="16384" max="16384" width="31.453125" customWidth="1"/>
  </cols>
  <sheetData>
    <row r="1" spans="2:67" ht="16" thickBot="1" x14ac:dyDescent="0.4"/>
    <row r="2" spans="2:67" s="299" customFormat="1" ht="15.75" customHeight="1" thickBot="1" x14ac:dyDescent="0.4">
      <c r="B2" s="883" t="s">
        <v>303</v>
      </c>
      <c r="C2" s="879"/>
      <c r="D2" s="879"/>
      <c r="E2" s="879"/>
      <c r="F2" s="309"/>
      <c r="G2" s="309"/>
      <c r="H2" s="877"/>
      <c r="I2" s="878" t="s">
        <v>131</v>
      </c>
      <c r="J2" s="879"/>
      <c r="K2" s="880" t="s">
        <v>96</v>
      </c>
      <c r="L2" s="879"/>
      <c r="M2" s="879"/>
      <c r="N2" s="879"/>
      <c r="O2" s="880" t="s">
        <v>125</v>
      </c>
      <c r="P2" s="880"/>
      <c r="Q2" s="880" t="s">
        <v>306</v>
      </c>
      <c r="R2" s="884"/>
      <c r="S2" s="309"/>
      <c r="T2" s="48"/>
      <c r="U2" s="2535" t="s">
        <v>305</v>
      </c>
      <c r="V2" s="2535"/>
      <c r="W2" s="2536">
        <v>37456</v>
      </c>
      <c r="X2" s="2537"/>
      <c r="AF2" s="299">
        <f>SUM(AF71:AF125)</f>
        <v>0</v>
      </c>
    </row>
    <row r="3" spans="2:67" s="299" customFormat="1" ht="26.25" customHeight="1" x14ac:dyDescent="0.35">
      <c r="B3" s="2590">
        <f>Summary!C2</f>
        <v>0</v>
      </c>
      <c r="C3" s="2591"/>
      <c r="D3" s="2591"/>
      <c r="E3" s="2592"/>
      <c r="F3" s="298"/>
      <c r="G3" s="298"/>
      <c r="H3" s="801"/>
      <c r="I3" s="881" t="s">
        <v>132</v>
      </c>
      <c r="J3" s="2529">
        <f>Summary!K3</f>
        <v>0</v>
      </c>
      <c r="K3" s="2530"/>
      <c r="L3" s="2530"/>
      <c r="M3" s="2530"/>
      <c r="N3" s="2531"/>
      <c r="O3" s="2538">
        <f>Summary!O3</f>
        <v>0</v>
      </c>
      <c r="P3" s="2539"/>
      <c r="Q3" s="885">
        <f>Summary!P3</f>
        <v>0</v>
      </c>
      <c r="R3" s="886"/>
      <c r="S3" s="298"/>
      <c r="T3" s="298"/>
      <c r="U3" s="1183" t="s">
        <v>304</v>
      </c>
      <c r="V3" s="1180"/>
      <c r="W3" s="1184" t="str">
        <f>Information!C8</f>
        <v>Chad McKinney</v>
      </c>
      <c r="X3" s="1185"/>
    </row>
    <row r="4" spans="2:67" s="299" customFormat="1" ht="18" customHeight="1" x14ac:dyDescent="0.35">
      <c r="B4" s="2593">
        <f>Summary!C3</f>
        <v>0</v>
      </c>
      <c r="C4" s="2594"/>
      <c r="D4" s="2594"/>
      <c r="E4" s="2595"/>
      <c r="F4" s="298"/>
      <c r="G4" s="298"/>
      <c r="H4" s="801"/>
      <c r="I4" s="881" t="s">
        <v>133</v>
      </c>
      <c r="J4" s="2599">
        <f>Summary!K4</f>
        <v>0</v>
      </c>
      <c r="K4" s="2600"/>
      <c r="L4" s="2600"/>
      <c r="M4" s="2600"/>
      <c r="N4" s="2601"/>
      <c r="O4" s="2540">
        <f>Summary!O4</f>
        <v>0</v>
      </c>
      <c r="P4" s="2541"/>
      <c r="Q4" s="887">
        <f>Summary!P4</f>
        <v>0</v>
      </c>
      <c r="R4" s="888"/>
      <c r="S4" s="298"/>
      <c r="T4" s="298"/>
      <c r="U4" s="1186"/>
      <c r="V4" s="1187"/>
      <c r="W4" s="1187"/>
      <c r="X4" s="1188"/>
    </row>
    <row r="5" spans="2:67" s="299" customFormat="1" ht="18" customHeight="1" thickBot="1" x14ac:dyDescent="0.4">
      <c r="B5" s="2596">
        <f>Summary!C4</f>
        <v>0</v>
      </c>
      <c r="C5" s="2597"/>
      <c r="D5" s="2597"/>
      <c r="E5" s="2598"/>
      <c r="F5" s="298"/>
      <c r="G5" s="298"/>
      <c r="H5" s="801"/>
      <c r="I5" s="881" t="s">
        <v>134</v>
      </c>
      <c r="J5" s="2599">
        <f>Summary!K5</f>
        <v>0</v>
      </c>
      <c r="K5" s="2600"/>
      <c r="L5" s="2600"/>
      <c r="M5" s="2600"/>
      <c r="N5" s="2601"/>
      <c r="O5" s="2540">
        <f>Summary!O5</f>
        <v>0</v>
      </c>
      <c r="P5" s="2541"/>
      <c r="Q5" s="887">
        <f>Summary!P5</f>
        <v>0</v>
      </c>
      <c r="R5" s="888"/>
      <c r="S5" s="298"/>
      <c r="T5" s="298"/>
      <c r="U5" s="1186" t="str">
        <f>Information!H5</f>
        <v>Approved by Chad:</v>
      </c>
      <c r="V5" s="1187"/>
      <c r="W5" s="1189"/>
      <c r="X5" s="1190"/>
    </row>
    <row r="6" spans="2:67" s="299" customFormat="1" ht="18" customHeight="1" thickBot="1" x14ac:dyDescent="0.4">
      <c r="B6" s="92" t="s">
        <v>115</v>
      </c>
      <c r="C6" s="298"/>
      <c r="D6" s="57" t="s">
        <v>125</v>
      </c>
      <c r="E6" s="42"/>
      <c r="F6" s="298"/>
      <c r="G6" s="298"/>
      <c r="H6" s="837"/>
      <c r="I6" s="882" t="s">
        <v>135</v>
      </c>
      <c r="J6" s="2228">
        <f>Summary!K6</f>
        <v>0</v>
      </c>
      <c r="K6" s="2229"/>
      <c r="L6" s="2229"/>
      <c r="M6" s="2229"/>
      <c r="N6" s="2229"/>
      <c r="O6" s="2519">
        <f>Summary!O6</f>
        <v>0</v>
      </c>
      <c r="P6" s="2519"/>
      <c r="Q6" s="1970">
        <f>Summary!P6</f>
        <v>0</v>
      </c>
      <c r="R6" s="1971"/>
      <c r="S6" s="298"/>
      <c r="T6" s="298"/>
      <c r="U6" s="1186"/>
      <c r="V6" s="1187"/>
      <c r="W6" s="1187"/>
      <c r="X6" s="1188"/>
    </row>
    <row r="7" spans="2:67" s="299" customFormat="1" ht="18" customHeight="1" thickBot="1" x14ac:dyDescent="0.4">
      <c r="B7" s="816">
        <v>0</v>
      </c>
      <c r="C7" s="298"/>
      <c r="D7" s="1969">
        <v>0</v>
      </c>
      <c r="E7" s="1969"/>
      <c r="F7" s="298"/>
      <c r="G7" s="298"/>
      <c r="S7" s="298"/>
      <c r="T7" s="298"/>
      <c r="U7" s="1191" t="str">
        <f>Information!H6</f>
        <v>Approved by Edward:</v>
      </c>
      <c r="V7" s="1181"/>
      <c r="W7" s="1181"/>
      <c r="X7" s="1182"/>
    </row>
    <row r="8" spans="2:67" s="299" customFormat="1" ht="18" customHeight="1" thickBot="1" x14ac:dyDescent="0.4">
      <c r="B8" s="817">
        <v>0</v>
      </c>
      <c r="C8" s="298"/>
      <c r="D8" s="2519">
        <v>0</v>
      </c>
      <c r="E8" s="2519"/>
      <c r="F8" s="298"/>
      <c r="G8" s="1962" t="s">
        <v>308</v>
      </c>
      <c r="H8" s="1962"/>
      <c r="I8" s="1962"/>
      <c r="J8" s="2308" t="str">
        <f>Pricing!A2</f>
        <v>Martin Marrieta</v>
      </c>
      <c r="K8" s="2308"/>
      <c r="L8" s="2308"/>
      <c r="M8" s="2308"/>
      <c r="N8" s="2308"/>
      <c r="O8" s="306"/>
      <c r="P8" s="306"/>
      <c r="Q8" s="306"/>
      <c r="R8" s="306"/>
      <c r="S8" s="306"/>
      <c r="T8" s="298"/>
      <c r="U8" s="298"/>
      <c r="V8" s="298"/>
      <c r="W8" s="298"/>
      <c r="X8" s="310"/>
    </row>
    <row r="9" spans="2:67" s="299" customFormat="1" ht="25.5" customHeight="1" thickBot="1" x14ac:dyDescent="0.4">
      <c r="B9" s="792"/>
      <c r="C9" s="793"/>
      <c r="D9" s="876"/>
      <c r="E9" s="2554" t="s">
        <v>35</v>
      </c>
      <c r="F9" s="2534" t="s">
        <v>534</v>
      </c>
      <c r="G9" s="2550"/>
      <c r="H9" s="2551"/>
      <c r="I9" s="2549" t="s">
        <v>536</v>
      </c>
      <c r="J9" s="2550"/>
      <c r="K9" s="2551"/>
      <c r="L9" s="2549" t="s">
        <v>535</v>
      </c>
      <c r="M9" s="2550"/>
      <c r="N9" s="2550"/>
      <c r="O9" s="2533" t="s">
        <v>574</v>
      </c>
      <c r="P9" s="2534"/>
      <c r="Q9" s="2534"/>
      <c r="R9" s="819" t="s">
        <v>116</v>
      </c>
      <c r="S9" s="820">
        <v>3</v>
      </c>
      <c r="T9" s="2534" t="s">
        <v>333</v>
      </c>
      <c r="U9" s="2534"/>
      <c r="V9" s="2548"/>
      <c r="W9" s="1912" t="s">
        <v>296</v>
      </c>
      <c r="X9" s="1919" t="s">
        <v>64</v>
      </c>
      <c r="Y9" s="1912" t="s">
        <v>1142</v>
      </c>
      <c r="Z9" s="1919" t="s">
        <v>1143</v>
      </c>
      <c r="AA9" s="1912" t="s">
        <v>1144</v>
      </c>
      <c r="AB9" s="1919" t="s">
        <v>1145</v>
      </c>
      <c r="AJ9" s="299" t="s">
        <v>548</v>
      </c>
      <c r="AP9" s="299" t="s">
        <v>547</v>
      </c>
    </row>
    <row r="10" spans="2:67" s="299" customFormat="1" ht="33" customHeight="1" thickBot="1" x14ac:dyDescent="0.4">
      <c r="B10" s="2552" t="s">
        <v>1161</v>
      </c>
      <c r="C10" s="2553"/>
      <c r="D10" s="774"/>
      <c r="E10" s="2555"/>
      <c r="F10" s="772" t="s">
        <v>61</v>
      </c>
      <c r="G10" s="783" t="s">
        <v>544</v>
      </c>
      <c r="H10" s="771" t="s">
        <v>63</v>
      </c>
      <c r="I10" s="783" t="s">
        <v>29</v>
      </c>
      <c r="J10" s="783" t="s">
        <v>28</v>
      </c>
      <c r="K10" s="772" t="s">
        <v>540</v>
      </c>
      <c r="L10" s="783" t="s">
        <v>29</v>
      </c>
      <c r="M10" s="784" t="s">
        <v>28</v>
      </c>
      <c r="N10" s="783" t="s">
        <v>539</v>
      </c>
      <c r="O10" s="821" t="s">
        <v>537</v>
      </c>
      <c r="P10" s="784" t="s">
        <v>538</v>
      </c>
      <c r="Q10" s="784" t="s">
        <v>29</v>
      </c>
      <c r="R10" s="784" t="s">
        <v>28</v>
      </c>
      <c r="S10" s="785" t="s">
        <v>539</v>
      </c>
      <c r="T10" s="773" t="s">
        <v>52</v>
      </c>
      <c r="U10" s="784" t="s">
        <v>506</v>
      </c>
      <c r="V10" s="772" t="s">
        <v>501</v>
      </c>
      <c r="W10" s="2532"/>
      <c r="X10" s="2542"/>
      <c r="Y10" s="2532"/>
      <c r="Z10" s="2542"/>
      <c r="AA10" s="2532"/>
      <c r="AB10" s="2542"/>
      <c r="AI10" s="299" t="s">
        <v>227</v>
      </c>
      <c r="AJ10" s="299" t="s">
        <v>228</v>
      </c>
      <c r="AK10" s="299" t="s">
        <v>229</v>
      </c>
      <c r="AL10" s="299" t="s">
        <v>230</v>
      </c>
      <c r="AM10" s="299" t="s">
        <v>231</v>
      </c>
      <c r="AN10" s="299" t="s">
        <v>232</v>
      </c>
      <c r="AO10" s="299" t="s">
        <v>227</v>
      </c>
      <c r="AP10" s="299" t="s">
        <v>228</v>
      </c>
      <c r="AQ10" s="299" t="s">
        <v>229</v>
      </c>
      <c r="AR10" s="299" t="s">
        <v>230</v>
      </c>
      <c r="AS10" s="299" t="s">
        <v>231</v>
      </c>
      <c r="AT10" s="299" t="s">
        <v>232</v>
      </c>
      <c r="AU10" s="299" t="s">
        <v>550</v>
      </c>
      <c r="AV10" s="299" t="s">
        <v>549</v>
      </c>
      <c r="AW10" s="299" t="s">
        <v>82</v>
      </c>
      <c r="AX10" s="299" t="s">
        <v>330</v>
      </c>
      <c r="AY10" s="299" t="s">
        <v>331</v>
      </c>
      <c r="AZ10" s="299" t="s">
        <v>542</v>
      </c>
      <c r="BC10" s="299" t="s">
        <v>10</v>
      </c>
      <c r="BD10" s="299" t="s">
        <v>337</v>
      </c>
      <c r="BE10" s="299" t="s">
        <v>338</v>
      </c>
      <c r="BF10" s="299" t="s">
        <v>543</v>
      </c>
      <c r="BG10" s="299" t="s">
        <v>340</v>
      </c>
      <c r="BH10" s="299" t="s">
        <v>341</v>
      </c>
      <c r="BI10" s="299" t="s">
        <v>342</v>
      </c>
      <c r="BK10" s="299" t="s">
        <v>546</v>
      </c>
      <c r="BM10" s="299" t="s">
        <v>551</v>
      </c>
      <c r="BN10" s="299" t="s">
        <v>545</v>
      </c>
      <c r="BO10" s="299" t="s">
        <v>552</v>
      </c>
    </row>
    <row r="11" spans="2:67" s="299" customFormat="1" ht="18" customHeight="1" thickTop="1" x14ac:dyDescent="0.35">
      <c r="B11" s="2547"/>
      <c r="C11" s="1980"/>
      <c r="D11" s="1773"/>
      <c r="E11" s="456">
        <v>1</v>
      </c>
      <c r="F11" s="872"/>
      <c r="G11" s="176">
        <v>12</v>
      </c>
      <c r="H11" s="126"/>
      <c r="I11" s="125"/>
      <c r="J11" s="176"/>
      <c r="K11" s="126"/>
      <c r="L11" s="125"/>
      <c r="M11" s="176"/>
      <c r="N11" s="176"/>
      <c r="O11" s="234"/>
      <c r="P11" s="176"/>
      <c r="Q11" s="176"/>
      <c r="R11" s="184"/>
      <c r="S11" s="185"/>
      <c r="T11" s="874">
        <v>0</v>
      </c>
      <c r="U11" s="106"/>
      <c r="V11" s="427"/>
      <c r="W11" s="863">
        <f t="shared" ref="W11:W42" si="0">((F11*J11/16*J11/16*10.680159*K11)*IF(I11=0,0,(H11/I11))+(H11/12*M11/16*M11/16*10.680159*N11)*IF(L11=0,0,(F11*12/L11))+(F11*IF(Q11=0,0,O11/Q11)*R11/16*R11/16*10.680159*S11)+(IF(Q11=0,0,F11/Q11*O11)*R11/16*R11/16*10.680159*S11)+((U11+V11)/12+4)*IF(I11=0,0,(H11/I11))*J11/16*J11/16*10.680159)*(1+K$60)</f>
        <v>0</v>
      </c>
      <c r="X11" s="864">
        <f t="shared" ref="X11:X42" si="1">((F11*G11/12*H11/324)+ROUNDUP(T11*U11*V11*H11/46656,0)+(O11*P11*F11/3888))*(1+K$57)</f>
        <v>0</v>
      </c>
      <c r="Y11" s="1795" t="e">
        <f>Z11/AY11</f>
        <v>#DIV/0!</v>
      </c>
      <c r="Z11" s="1796" t="e">
        <f>BN11*(1+M$47+Summary!P$60)</f>
        <v>#DIV/0!</v>
      </c>
      <c r="AA11" s="1795" t="e">
        <f>AB11/(AZ11*(P11/12))</f>
        <v>#DIV/0!</v>
      </c>
      <c r="AB11" s="1796">
        <f>(BL11+BK11)*(1+M$47+Summary!P$60)</f>
        <v>0</v>
      </c>
      <c r="AI11" s="299">
        <f t="shared" ref="AI11:AI42" si="2">IF($S$9=1,$O11*$P11*$F11/3888*(1+$K$57),0)</f>
        <v>0</v>
      </c>
      <c r="AJ11" s="299">
        <f t="shared" ref="AJ11:AJ42" si="3">IF($S$9=2,$O11*$P11*$F11/3888*(1+$K$57),0)</f>
        <v>0</v>
      </c>
      <c r="AK11" s="299">
        <f t="shared" ref="AK11:AK42" si="4">IF($S$9=3,$O11*$P11*$F11/3888*(1+$K$57),0)</f>
        <v>0</v>
      </c>
      <c r="AL11" s="299">
        <f t="shared" ref="AL11:AL42" si="5">IF($S$9=4,$O11*$P11*$F11/3888*(1+$K$57),0)</f>
        <v>0</v>
      </c>
      <c r="AM11" s="299">
        <f t="shared" ref="AM11:AM42" si="6">IF($S$9=5,$O11*$P11*$F11/3888*(1+$K$57),0)</f>
        <v>0</v>
      </c>
      <c r="AN11" s="299">
        <f t="shared" ref="AN11:AN42" si="7">IF($S$9=6,$O11*$P11*$F11/3888*(1+$K$57),0)</f>
        <v>0</v>
      </c>
      <c r="AO11" s="299">
        <f>IF($E11=1,$X11-SUM($AI11:$AN11),0)</f>
        <v>0</v>
      </c>
      <c r="AP11" s="299">
        <f>IF($E11=2,X11-SUM($AI11:$AN11),0)</f>
        <v>0</v>
      </c>
      <c r="AQ11" s="299">
        <f>IF($E11=3,X11-SUM($AI11:$AN11),0)</f>
        <v>0</v>
      </c>
      <c r="AR11" s="299">
        <f>IF($E11=4,X11-SUM($AI11:$AN11),0)</f>
        <v>0</v>
      </c>
      <c r="AS11" s="299">
        <f>IF($E11=5,X11-SUM($AI11:$AN11),0)</f>
        <v>0</v>
      </c>
      <c r="AT11" s="299">
        <f>IF($E11=6,X11-SUM($AI11:$AN11),0)</f>
        <v>0</v>
      </c>
      <c r="AU11" s="299">
        <f>SUM(AI11:AN11)</f>
        <v>0</v>
      </c>
      <c r="AV11" s="299">
        <f>SUM(AO11:AT11)</f>
        <v>0</v>
      </c>
      <c r="AW11" s="299">
        <f>W11</f>
        <v>0</v>
      </c>
      <c r="AX11" s="299">
        <f>F11*H11/12*2+(V11*V11*H11/1728*T11)</f>
        <v>0</v>
      </c>
      <c r="AY11" s="299">
        <f>AX11/2</f>
        <v>0</v>
      </c>
      <c r="AZ11" s="299">
        <f>O11*F11/12</f>
        <v>0</v>
      </c>
      <c r="BC11" s="299">
        <f>W11*G$60*IF(U$46="N",(1+W$46),1)</f>
        <v>0</v>
      </c>
      <c r="BD11" s="299">
        <f>(AO11*Pricing!F$2+AP11*Pricing!G$2+AQ11*Pricing!H$2+AR11*Pricing!I$2+AS11*Pricing!J$2+AT11*Pricing!K$2+AI11*Pricing!F$2+AJ11*Pricing!G$2+AK11*Pricing!H$2+AL11*Pricing!I$2+AM11*Pricing!J$2+AN11*Pricing!K$2)*IF(U$46="N",(1+W$46),1)</f>
        <v>0</v>
      </c>
      <c r="BE11" s="511">
        <f t="shared" ref="BE11:BE42" si="8">AY11*(H$71+E$74)</f>
        <v>0</v>
      </c>
      <c r="BF11" s="299">
        <f t="shared" ref="BF11:BF42" si="9">AZ11*E$70</f>
        <v>0</v>
      </c>
      <c r="BG11" s="299">
        <f t="shared" ref="BG11:BG42" si="10">W11/2000*E$75</f>
        <v>0</v>
      </c>
      <c r="BH11" s="511" t="e">
        <f>I$76/E$43*F11*E$76</f>
        <v>#DIV/0!</v>
      </c>
      <c r="BI11" s="299">
        <f t="shared" ref="BI11:BI42" si="11">IF(SUM(AY$43:AZ$43)=0,0,(SUM(O$79:P$83)+SUM(O$85:P$90)+SUM(O$92:P$97)+X$97)/SUM(AY$43:AZ$43)*(AY11+AZ11))</f>
        <v>0</v>
      </c>
      <c r="BK11" s="299">
        <f>IF(SUM(AY$43:AZ$43)=0,0,(BI$43-X$62-O$68-X$58-(M$80*0.15))/SUM(AY$43:AZ$43)*AZ11+BF11)</f>
        <v>0</v>
      </c>
      <c r="BL11" s="511">
        <f>(AI11*Pricing!F$2+AJ11*Pricing!G$2+AK11*Pricing!H$2+AL11*Pricing!I$2+AM11*Pricing!J$2+AN11*Pricing!K$2)*IF(U$46="N",(1+W$46),1)</f>
        <v>0</v>
      </c>
      <c r="BM11" s="299">
        <f>IF(AZ11=0,0,(BK11+BL11)/AZ11)</f>
        <v>0</v>
      </c>
      <c r="BN11" s="511" t="e">
        <f>SUM(BC11:BI11)-BK11-BL11</f>
        <v>#DIV/0!</v>
      </c>
      <c r="BO11" s="299">
        <f>IF(AX11=0,0,BN11/AY11)</f>
        <v>0</v>
      </c>
    </row>
    <row r="12" spans="2:67" s="299" customFormat="1" ht="18" customHeight="1" x14ac:dyDescent="0.35">
      <c r="B12" s="2547"/>
      <c r="C12" s="1980"/>
      <c r="D12" s="139"/>
      <c r="E12" s="456">
        <v>1</v>
      </c>
      <c r="F12" s="872"/>
      <c r="G12" s="176">
        <v>12</v>
      </c>
      <c r="H12" s="1775"/>
      <c r="I12" s="125"/>
      <c r="J12" s="176"/>
      <c r="K12" s="126"/>
      <c r="L12" s="125"/>
      <c r="M12" s="176"/>
      <c r="N12" s="176"/>
      <c r="O12" s="234"/>
      <c r="P12" s="176"/>
      <c r="Q12" s="176"/>
      <c r="R12" s="184"/>
      <c r="S12" s="185"/>
      <c r="T12" s="874"/>
      <c r="U12" s="106"/>
      <c r="V12" s="140"/>
      <c r="W12" s="863">
        <f t="shared" si="0"/>
        <v>0</v>
      </c>
      <c r="X12" s="864">
        <f t="shared" si="1"/>
        <v>0</v>
      </c>
      <c r="Y12" s="1795" t="e">
        <f t="shared" ref="Y12:Y42" si="12">Z12/AY12</f>
        <v>#DIV/0!</v>
      </c>
      <c r="Z12" s="1796" t="e">
        <f>BN12*(1+M$47+Summary!P$58)</f>
        <v>#DIV/0!</v>
      </c>
      <c r="AA12" s="1795" t="e">
        <f t="shared" ref="AA12:AA42" si="13">AB12/(AZ12*(P12/12))</f>
        <v>#DIV/0!</v>
      </c>
      <c r="AB12" s="1796">
        <f>(BL12+BK12)*(1+M$47+Summary!P$58)</f>
        <v>0</v>
      </c>
      <c r="AI12" s="299">
        <f t="shared" si="2"/>
        <v>0</v>
      </c>
      <c r="AJ12" s="299">
        <f t="shared" si="3"/>
        <v>0</v>
      </c>
      <c r="AK12" s="299">
        <f t="shared" si="4"/>
        <v>0</v>
      </c>
      <c r="AL12" s="299">
        <f t="shared" si="5"/>
        <v>0</v>
      </c>
      <c r="AM12" s="299">
        <f t="shared" si="6"/>
        <v>0</v>
      </c>
      <c r="AN12" s="299">
        <f t="shared" si="7"/>
        <v>0</v>
      </c>
      <c r="AO12" s="299">
        <f t="shared" ref="AO12:AO42" si="14">IF($E12=1,$X12-SUM($AI12:$AN12),0)</f>
        <v>0</v>
      </c>
      <c r="AP12" s="299">
        <f t="shared" ref="AP12:AP42" si="15">IF($E12=2,X12-SUM($AI12:$AN12),0)</f>
        <v>0</v>
      </c>
      <c r="AQ12" s="299">
        <f t="shared" ref="AQ12:AQ42" si="16">IF($E12=3,X12-SUM($AI12:$AN12),0)</f>
        <v>0</v>
      </c>
      <c r="AR12" s="299">
        <f t="shared" ref="AR12:AR42" si="17">IF($E12=4,X12-SUM($AI12:$AN12),0)</f>
        <v>0</v>
      </c>
      <c r="AS12" s="299">
        <f t="shared" ref="AS12:AS42" si="18">IF($E12=5,X12-SUM($AI12:$AN12),0)</f>
        <v>0</v>
      </c>
      <c r="AT12" s="299">
        <f t="shared" ref="AT12:AT42" si="19">IF($E12=6,X12-SUM($AI12:$AN12),0)</f>
        <v>0</v>
      </c>
      <c r="AU12" s="299">
        <f t="shared" ref="AU12:AU42" si="20">SUM(AI12:AN12)</f>
        <v>0</v>
      </c>
      <c r="AV12" s="299">
        <f t="shared" ref="AV12:AV42" si="21">SUM(AO12:AT12)</f>
        <v>0</v>
      </c>
      <c r="AW12" s="299">
        <f t="shared" ref="AW12:AW42" si="22">W12</f>
        <v>0</v>
      </c>
      <c r="AX12" s="299">
        <f t="shared" ref="AX12:AX42" si="23">F12*H12/12*2+(V12*V12*H12/1728*T12)</f>
        <v>0</v>
      </c>
      <c r="AY12" s="299">
        <f t="shared" ref="AY12:AY42" si="24">AX12/2</f>
        <v>0</v>
      </c>
      <c r="AZ12" s="299">
        <f t="shared" ref="AZ12:AZ42" si="25">O12*F12/12</f>
        <v>0</v>
      </c>
      <c r="BC12" s="299">
        <f t="shared" ref="BC12:BC42" si="26">W12*G$60*IF(U$46="N",(1+W$46),1)</f>
        <v>0</v>
      </c>
      <c r="BD12" s="299">
        <f>(AO12*Pricing!F$2+AP12*Pricing!G$2+AQ12*Pricing!H$2+AR12*Pricing!I$2+AS12*Pricing!J$2+AT12*Pricing!K$2+AI12*Pricing!F$2+AJ12*Pricing!G$2+AK12*Pricing!H$2+AL12*Pricing!I$2+AM12*Pricing!J$2+AN12*Pricing!K$2)*IF(U$46="N",(1+W$46),1)</f>
        <v>0</v>
      </c>
      <c r="BE12" s="299">
        <f t="shared" si="8"/>
        <v>0</v>
      </c>
      <c r="BF12" s="299">
        <f t="shared" si="9"/>
        <v>0</v>
      </c>
      <c r="BG12" s="299">
        <f t="shared" si="10"/>
        <v>0</v>
      </c>
      <c r="BH12" s="511" t="e">
        <f t="shared" ref="BH12:BH42" si="27">I$76/E$43*F12*E$76</f>
        <v>#DIV/0!</v>
      </c>
      <c r="BI12" s="299">
        <f t="shared" si="11"/>
        <v>0</v>
      </c>
      <c r="BK12" s="299">
        <f t="shared" ref="BK12:BK42" si="28">IF(SUM(AY$43:AZ$43)=0,0,(BI$43-X$62-O$68-X$58-(M$80*0.15))/SUM(AY$43:AZ$43)*AZ12+BF12)</f>
        <v>0</v>
      </c>
      <c r="BL12" s="299">
        <f>(AI12*Pricing!F$2+AJ12*Pricing!G$2+AK12*Pricing!H$2+AL12*Pricing!I$2+AM12*Pricing!J$2+AN12*Pricing!K$2)*IF(U$46="N",(1+W$46),1)</f>
        <v>0</v>
      </c>
      <c r="BM12" s="299">
        <f t="shared" ref="BM12:BM42" si="29">IF(AZ12=0,0,(BK12+BL12)/AZ12)</f>
        <v>0</v>
      </c>
      <c r="BN12" s="299" t="e">
        <f t="shared" ref="BN12:BN42" si="30">SUM(BC12:BI12)-BK12-BL12</f>
        <v>#DIV/0!</v>
      </c>
      <c r="BO12" s="299">
        <f t="shared" ref="BO12:BO42" si="31">IF(AX12=0,0,BN12/AY12)</f>
        <v>0</v>
      </c>
    </row>
    <row r="13" spans="2:67" s="299" customFormat="1" ht="18" customHeight="1" x14ac:dyDescent="0.35">
      <c r="B13" s="2547"/>
      <c r="C13" s="1980"/>
      <c r="D13" s="139"/>
      <c r="E13" s="456">
        <v>1</v>
      </c>
      <c r="F13" s="872"/>
      <c r="G13" s="176">
        <v>12</v>
      </c>
      <c r="H13" s="1775"/>
      <c r="I13" s="125"/>
      <c r="J13" s="176"/>
      <c r="K13" s="126"/>
      <c r="L13" s="125"/>
      <c r="M13" s="176"/>
      <c r="N13" s="176"/>
      <c r="O13" s="234"/>
      <c r="P13" s="176"/>
      <c r="Q13" s="176"/>
      <c r="R13" s="184"/>
      <c r="S13" s="185"/>
      <c r="T13" s="874"/>
      <c r="U13" s="106"/>
      <c r="V13" s="140"/>
      <c r="W13" s="863">
        <f t="shared" si="0"/>
        <v>0</v>
      </c>
      <c r="X13" s="864">
        <f t="shared" si="1"/>
        <v>0</v>
      </c>
      <c r="Y13" s="1795" t="e">
        <f t="shared" si="12"/>
        <v>#DIV/0!</v>
      </c>
      <c r="Z13" s="1796" t="e">
        <f>BN13*(1+M$47+Summary!P$58)</f>
        <v>#DIV/0!</v>
      </c>
      <c r="AA13" s="1795" t="e">
        <f t="shared" si="13"/>
        <v>#DIV/0!</v>
      </c>
      <c r="AB13" s="1796">
        <f>(BL13+BK13)*(1+M$47+Summary!P$58)</f>
        <v>0</v>
      </c>
      <c r="AI13" s="299">
        <f t="shared" si="2"/>
        <v>0</v>
      </c>
      <c r="AJ13" s="299">
        <f t="shared" si="3"/>
        <v>0</v>
      </c>
      <c r="AK13" s="299">
        <f t="shared" si="4"/>
        <v>0</v>
      </c>
      <c r="AL13" s="299">
        <f t="shared" si="5"/>
        <v>0</v>
      </c>
      <c r="AM13" s="299">
        <f t="shared" si="6"/>
        <v>0</v>
      </c>
      <c r="AN13" s="299">
        <f t="shared" si="7"/>
        <v>0</v>
      </c>
      <c r="AO13" s="299">
        <f t="shared" si="14"/>
        <v>0</v>
      </c>
      <c r="AP13" s="299">
        <f t="shared" si="15"/>
        <v>0</v>
      </c>
      <c r="AQ13" s="299">
        <f t="shared" si="16"/>
        <v>0</v>
      </c>
      <c r="AR13" s="299">
        <f t="shared" si="17"/>
        <v>0</v>
      </c>
      <c r="AS13" s="299">
        <f t="shared" si="18"/>
        <v>0</v>
      </c>
      <c r="AT13" s="299">
        <f t="shared" si="19"/>
        <v>0</v>
      </c>
      <c r="AU13" s="299">
        <f t="shared" si="20"/>
        <v>0</v>
      </c>
      <c r="AV13" s="299">
        <f t="shared" si="21"/>
        <v>0</v>
      </c>
      <c r="AW13" s="299">
        <f t="shared" si="22"/>
        <v>0</v>
      </c>
      <c r="AX13" s="299">
        <f t="shared" si="23"/>
        <v>0</v>
      </c>
      <c r="AY13" s="299">
        <f t="shared" si="24"/>
        <v>0</v>
      </c>
      <c r="AZ13" s="299">
        <f t="shared" si="25"/>
        <v>0</v>
      </c>
      <c r="BC13" s="299">
        <f t="shared" si="26"/>
        <v>0</v>
      </c>
      <c r="BD13" s="299">
        <f>(AO13*Pricing!F$2+AP13*Pricing!G$2+AQ13*Pricing!H$2+AR13*Pricing!I$2+AS13*Pricing!J$2+AT13*Pricing!K$2+AI13*Pricing!F$2+AJ13*Pricing!G$2+AK13*Pricing!H$2+AL13*Pricing!I$2+AM13*Pricing!J$2+AN13*Pricing!K$2)*IF(U$46="N",(1+W$46),1)</f>
        <v>0</v>
      </c>
      <c r="BE13" s="299">
        <f t="shared" si="8"/>
        <v>0</v>
      </c>
      <c r="BF13" s="299">
        <f t="shared" si="9"/>
        <v>0</v>
      </c>
      <c r="BG13" s="299">
        <f t="shared" si="10"/>
        <v>0</v>
      </c>
      <c r="BH13" s="511" t="e">
        <f t="shared" si="27"/>
        <v>#DIV/0!</v>
      </c>
      <c r="BI13" s="299">
        <f t="shared" si="11"/>
        <v>0</v>
      </c>
      <c r="BK13" s="299">
        <f t="shared" si="28"/>
        <v>0</v>
      </c>
      <c r="BL13" s="299">
        <f>(AI13*Pricing!F$2+AJ13*Pricing!G$2+AK13*Pricing!H$2+AL13*Pricing!I$2+AM13*Pricing!J$2+AN13*Pricing!K$2)*IF(U$46="N",(1+W$46),1)</f>
        <v>0</v>
      </c>
      <c r="BM13" s="299">
        <f t="shared" si="29"/>
        <v>0</v>
      </c>
      <c r="BN13" s="299" t="e">
        <f t="shared" si="30"/>
        <v>#DIV/0!</v>
      </c>
      <c r="BO13" s="299">
        <f t="shared" si="31"/>
        <v>0</v>
      </c>
    </row>
    <row r="14" spans="2:67" s="299" customFormat="1" ht="18" customHeight="1" x14ac:dyDescent="0.35">
      <c r="B14" s="2547"/>
      <c r="C14" s="1980"/>
      <c r="D14" s="139"/>
      <c r="E14" s="456">
        <v>1</v>
      </c>
      <c r="F14" s="872"/>
      <c r="G14" s="176">
        <v>12</v>
      </c>
      <c r="H14" s="1775"/>
      <c r="I14" s="125"/>
      <c r="J14" s="176"/>
      <c r="K14" s="126"/>
      <c r="L14" s="125"/>
      <c r="M14" s="176"/>
      <c r="N14" s="176"/>
      <c r="O14" s="234"/>
      <c r="P14" s="176"/>
      <c r="Q14" s="176"/>
      <c r="R14" s="184"/>
      <c r="S14" s="185"/>
      <c r="T14" s="874"/>
      <c r="U14" s="106"/>
      <c r="V14" s="140"/>
      <c r="W14" s="863">
        <f t="shared" si="0"/>
        <v>0</v>
      </c>
      <c r="X14" s="864">
        <f t="shared" si="1"/>
        <v>0</v>
      </c>
      <c r="Y14" s="1795" t="e">
        <f t="shared" si="12"/>
        <v>#DIV/0!</v>
      </c>
      <c r="Z14" s="1796" t="e">
        <f>BN14*(1+M$47+Summary!P$58)</f>
        <v>#DIV/0!</v>
      </c>
      <c r="AA14" s="1795" t="e">
        <f t="shared" si="13"/>
        <v>#DIV/0!</v>
      </c>
      <c r="AB14" s="1796">
        <f>(BL14+BK14)*(1+M$47+Summary!P$58)</f>
        <v>0</v>
      </c>
      <c r="AI14" s="299">
        <f t="shared" si="2"/>
        <v>0</v>
      </c>
      <c r="AJ14" s="299">
        <f t="shared" si="3"/>
        <v>0</v>
      </c>
      <c r="AK14" s="299">
        <f t="shared" si="4"/>
        <v>0</v>
      </c>
      <c r="AL14" s="299">
        <f t="shared" si="5"/>
        <v>0</v>
      </c>
      <c r="AM14" s="299">
        <f t="shared" si="6"/>
        <v>0</v>
      </c>
      <c r="AN14" s="299">
        <f t="shared" si="7"/>
        <v>0</v>
      </c>
      <c r="AO14" s="299">
        <f t="shared" si="14"/>
        <v>0</v>
      </c>
      <c r="AP14" s="299">
        <f t="shared" si="15"/>
        <v>0</v>
      </c>
      <c r="AQ14" s="299">
        <f t="shared" si="16"/>
        <v>0</v>
      </c>
      <c r="AR14" s="299">
        <f t="shared" si="17"/>
        <v>0</v>
      </c>
      <c r="AS14" s="299">
        <f t="shared" si="18"/>
        <v>0</v>
      </c>
      <c r="AT14" s="299">
        <f t="shared" si="19"/>
        <v>0</v>
      </c>
      <c r="AU14" s="299">
        <f t="shared" si="20"/>
        <v>0</v>
      </c>
      <c r="AV14" s="299">
        <f t="shared" si="21"/>
        <v>0</v>
      </c>
      <c r="AW14" s="299">
        <f t="shared" si="22"/>
        <v>0</v>
      </c>
      <c r="AX14" s="299">
        <f t="shared" si="23"/>
        <v>0</v>
      </c>
      <c r="AY14" s="299">
        <f t="shared" si="24"/>
        <v>0</v>
      </c>
      <c r="AZ14" s="299">
        <f t="shared" si="25"/>
        <v>0</v>
      </c>
      <c r="BC14" s="299">
        <f t="shared" si="26"/>
        <v>0</v>
      </c>
      <c r="BD14" s="299">
        <f>(AO14*Pricing!F$2+AP14*Pricing!G$2+AQ14*Pricing!H$2+AR14*Pricing!I$2+AS14*Pricing!J$2+AT14*Pricing!K$2+AI14*Pricing!F$2+AJ14*Pricing!G$2+AK14*Pricing!H$2+AL14*Pricing!I$2+AM14*Pricing!J$2+AN14*Pricing!K$2)*IF(U$46="N",(1+W$46),1)</f>
        <v>0</v>
      </c>
      <c r="BE14" s="299">
        <f t="shared" si="8"/>
        <v>0</v>
      </c>
      <c r="BF14" s="299">
        <f t="shared" si="9"/>
        <v>0</v>
      </c>
      <c r="BG14" s="299">
        <f t="shared" si="10"/>
        <v>0</v>
      </c>
      <c r="BH14" s="511" t="e">
        <f t="shared" si="27"/>
        <v>#DIV/0!</v>
      </c>
      <c r="BI14" s="299">
        <f t="shared" si="11"/>
        <v>0</v>
      </c>
      <c r="BK14" s="299">
        <f t="shared" si="28"/>
        <v>0</v>
      </c>
      <c r="BL14" s="299">
        <f>(AI14*Pricing!F$2+AJ14*Pricing!G$2+AK14*Pricing!H$2+AL14*Pricing!I$2+AM14*Pricing!J$2+AN14*Pricing!K$2)*IF(U$46="N",(1+W$46),1)</f>
        <v>0</v>
      </c>
      <c r="BM14" s="299">
        <f t="shared" si="29"/>
        <v>0</v>
      </c>
      <c r="BN14" s="299" t="e">
        <f t="shared" si="30"/>
        <v>#DIV/0!</v>
      </c>
      <c r="BO14" s="299">
        <f t="shared" si="31"/>
        <v>0</v>
      </c>
    </row>
    <row r="15" spans="2:67" s="299" customFormat="1" ht="18" customHeight="1" x14ac:dyDescent="0.35">
      <c r="B15" s="2547"/>
      <c r="C15" s="1980"/>
      <c r="D15" s="139"/>
      <c r="E15" s="456">
        <v>1</v>
      </c>
      <c r="F15" s="872"/>
      <c r="G15" s="176">
        <v>12</v>
      </c>
      <c r="H15" s="1775"/>
      <c r="I15" s="125"/>
      <c r="J15" s="176"/>
      <c r="K15" s="126"/>
      <c r="L15" s="125"/>
      <c r="M15" s="176"/>
      <c r="N15" s="176"/>
      <c r="O15" s="234"/>
      <c r="P15" s="176"/>
      <c r="Q15" s="176"/>
      <c r="R15" s="184"/>
      <c r="S15" s="185"/>
      <c r="T15" s="874"/>
      <c r="U15" s="106"/>
      <c r="V15" s="140"/>
      <c r="W15" s="863">
        <f t="shared" si="0"/>
        <v>0</v>
      </c>
      <c r="X15" s="864">
        <f t="shared" si="1"/>
        <v>0</v>
      </c>
      <c r="Y15" s="1795" t="e">
        <f t="shared" si="12"/>
        <v>#DIV/0!</v>
      </c>
      <c r="Z15" s="1796" t="e">
        <f>BN15*(1+M$47+Summary!P$58)</f>
        <v>#DIV/0!</v>
      </c>
      <c r="AA15" s="1795" t="e">
        <f t="shared" si="13"/>
        <v>#DIV/0!</v>
      </c>
      <c r="AB15" s="1796">
        <f>(BL15+BK15)*(1+M$47+Summary!P$58)</f>
        <v>0</v>
      </c>
      <c r="AI15" s="299">
        <f t="shared" si="2"/>
        <v>0</v>
      </c>
      <c r="AJ15" s="299">
        <f t="shared" si="3"/>
        <v>0</v>
      </c>
      <c r="AK15" s="299">
        <f t="shared" si="4"/>
        <v>0</v>
      </c>
      <c r="AL15" s="299">
        <f t="shared" si="5"/>
        <v>0</v>
      </c>
      <c r="AM15" s="299">
        <f t="shared" si="6"/>
        <v>0</v>
      </c>
      <c r="AN15" s="299">
        <f t="shared" si="7"/>
        <v>0</v>
      </c>
      <c r="AO15" s="299">
        <f t="shared" si="14"/>
        <v>0</v>
      </c>
      <c r="AP15" s="299">
        <f t="shared" si="15"/>
        <v>0</v>
      </c>
      <c r="AQ15" s="299">
        <f t="shared" si="16"/>
        <v>0</v>
      </c>
      <c r="AR15" s="299">
        <f t="shared" si="17"/>
        <v>0</v>
      </c>
      <c r="AS15" s="299">
        <f t="shared" si="18"/>
        <v>0</v>
      </c>
      <c r="AT15" s="299">
        <f t="shared" si="19"/>
        <v>0</v>
      </c>
      <c r="AU15" s="299">
        <f t="shared" si="20"/>
        <v>0</v>
      </c>
      <c r="AV15" s="299">
        <f t="shared" si="21"/>
        <v>0</v>
      </c>
      <c r="AW15" s="299">
        <f t="shared" si="22"/>
        <v>0</v>
      </c>
      <c r="AX15" s="299">
        <f t="shared" si="23"/>
        <v>0</v>
      </c>
      <c r="AY15" s="299">
        <f t="shared" si="24"/>
        <v>0</v>
      </c>
      <c r="AZ15" s="299">
        <f t="shared" si="25"/>
        <v>0</v>
      </c>
      <c r="BC15" s="299">
        <f t="shared" si="26"/>
        <v>0</v>
      </c>
      <c r="BD15" s="299">
        <f>(AO15*Pricing!F$2+AP15*Pricing!G$2+AQ15*Pricing!H$2+AR15*Pricing!I$2+AS15*Pricing!J$2+AT15*Pricing!K$2+AI15*Pricing!F$2+AJ15*Pricing!G$2+AK15*Pricing!H$2+AL15*Pricing!I$2+AM15*Pricing!J$2+AN15*Pricing!K$2)*IF(U$46="N",(1+W$46),1)</f>
        <v>0</v>
      </c>
      <c r="BE15" s="299">
        <f t="shared" si="8"/>
        <v>0</v>
      </c>
      <c r="BF15" s="299">
        <f t="shared" si="9"/>
        <v>0</v>
      </c>
      <c r="BG15" s="299">
        <f t="shared" si="10"/>
        <v>0</v>
      </c>
      <c r="BH15" s="511" t="e">
        <f t="shared" si="27"/>
        <v>#DIV/0!</v>
      </c>
      <c r="BI15" s="299">
        <f t="shared" si="11"/>
        <v>0</v>
      </c>
      <c r="BK15" s="299">
        <f t="shared" si="28"/>
        <v>0</v>
      </c>
      <c r="BL15" s="299">
        <f>(AI15*Pricing!F$2+AJ15*Pricing!G$2+AK15*Pricing!H$2+AL15*Pricing!I$2+AM15*Pricing!J$2+AN15*Pricing!K$2)*IF(U$46="N",(1+W$46),1)</f>
        <v>0</v>
      </c>
      <c r="BM15" s="299">
        <f t="shared" si="29"/>
        <v>0</v>
      </c>
      <c r="BN15" s="299" t="e">
        <f t="shared" si="30"/>
        <v>#DIV/0!</v>
      </c>
      <c r="BO15" s="299">
        <f t="shared" si="31"/>
        <v>0</v>
      </c>
    </row>
    <row r="16" spans="2:67" s="299" customFormat="1" ht="18" customHeight="1" x14ac:dyDescent="0.35">
      <c r="B16" s="1979"/>
      <c r="C16" s="1980"/>
      <c r="D16" s="139"/>
      <c r="E16" s="456">
        <v>1</v>
      </c>
      <c r="F16" s="872"/>
      <c r="G16" s="176">
        <v>12</v>
      </c>
      <c r="H16" s="1775"/>
      <c r="I16" s="125"/>
      <c r="J16" s="176"/>
      <c r="K16" s="126"/>
      <c r="L16" s="125"/>
      <c r="M16" s="176"/>
      <c r="N16" s="176"/>
      <c r="O16" s="234"/>
      <c r="P16" s="176"/>
      <c r="Q16" s="176"/>
      <c r="R16" s="184"/>
      <c r="S16" s="185"/>
      <c r="T16" s="874"/>
      <c r="U16" s="106"/>
      <c r="V16" s="140"/>
      <c r="W16" s="863">
        <f t="shared" si="0"/>
        <v>0</v>
      </c>
      <c r="X16" s="864">
        <f t="shared" si="1"/>
        <v>0</v>
      </c>
      <c r="Y16" s="1795" t="e">
        <f t="shared" si="12"/>
        <v>#DIV/0!</v>
      </c>
      <c r="Z16" s="1796" t="e">
        <f>BN16*(1+M$47+Summary!P$58)</f>
        <v>#DIV/0!</v>
      </c>
      <c r="AA16" s="1795" t="e">
        <f t="shared" si="13"/>
        <v>#DIV/0!</v>
      </c>
      <c r="AB16" s="1796">
        <f>(BL16+BK16)*(1+M$47+Summary!P$58)</f>
        <v>0</v>
      </c>
      <c r="AI16" s="299">
        <f t="shared" si="2"/>
        <v>0</v>
      </c>
      <c r="AJ16" s="299">
        <f t="shared" si="3"/>
        <v>0</v>
      </c>
      <c r="AK16" s="299">
        <f t="shared" si="4"/>
        <v>0</v>
      </c>
      <c r="AL16" s="299">
        <f t="shared" si="5"/>
        <v>0</v>
      </c>
      <c r="AM16" s="299">
        <f t="shared" si="6"/>
        <v>0</v>
      </c>
      <c r="AN16" s="299">
        <f t="shared" si="7"/>
        <v>0</v>
      </c>
      <c r="AO16" s="299">
        <f t="shared" si="14"/>
        <v>0</v>
      </c>
      <c r="AP16" s="299">
        <f t="shared" si="15"/>
        <v>0</v>
      </c>
      <c r="AQ16" s="299">
        <f t="shared" si="16"/>
        <v>0</v>
      </c>
      <c r="AR16" s="299">
        <f t="shared" si="17"/>
        <v>0</v>
      </c>
      <c r="AS16" s="299">
        <f t="shared" si="18"/>
        <v>0</v>
      </c>
      <c r="AT16" s="299">
        <f t="shared" si="19"/>
        <v>0</v>
      </c>
      <c r="AU16" s="299">
        <f t="shared" si="20"/>
        <v>0</v>
      </c>
      <c r="AV16" s="299">
        <f t="shared" si="21"/>
        <v>0</v>
      </c>
      <c r="AW16" s="299">
        <f t="shared" si="22"/>
        <v>0</v>
      </c>
      <c r="AX16" s="299">
        <f t="shared" si="23"/>
        <v>0</v>
      </c>
      <c r="AY16" s="299">
        <f t="shared" si="24"/>
        <v>0</v>
      </c>
      <c r="AZ16" s="299">
        <f t="shared" si="25"/>
        <v>0</v>
      </c>
      <c r="BC16" s="299">
        <f t="shared" si="26"/>
        <v>0</v>
      </c>
      <c r="BD16" s="299">
        <f>(AO16*Pricing!F$2+AP16*Pricing!G$2+AQ16*Pricing!H$2+AR16*Pricing!I$2+AS16*Pricing!J$2+AT16*Pricing!K$2+AI16*Pricing!F$2+AJ16*Pricing!G$2+AK16*Pricing!H$2+AL16*Pricing!I$2+AM16*Pricing!J$2+AN16*Pricing!K$2)*IF(U$46="N",(1+W$46),1)</f>
        <v>0</v>
      </c>
      <c r="BE16" s="299">
        <f t="shared" si="8"/>
        <v>0</v>
      </c>
      <c r="BF16" s="299">
        <f t="shared" si="9"/>
        <v>0</v>
      </c>
      <c r="BG16" s="299">
        <f t="shared" si="10"/>
        <v>0</v>
      </c>
      <c r="BH16" s="511" t="e">
        <f t="shared" si="27"/>
        <v>#DIV/0!</v>
      </c>
      <c r="BI16" s="299">
        <f t="shared" si="11"/>
        <v>0</v>
      </c>
      <c r="BK16" s="299">
        <f t="shared" si="28"/>
        <v>0</v>
      </c>
      <c r="BL16" s="299">
        <f>(AI16*Pricing!F$2+AJ16*Pricing!G$2+AK16*Pricing!H$2+AL16*Pricing!I$2+AM16*Pricing!J$2+AN16*Pricing!K$2)*IF(U$46="N",(1+W$46),1)</f>
        <v>0</v>
      </c>
      <c r="BM16" s="299">
        <f t="shared" si="29"/>
        <v>0</v>
      </c>
      <c r="BN16" s="299" t="e">
        <f t="shared" si="30"/>
        <v>#DIV/0!</v>
      </c>
      <c r="BO16" s="299">
        <f t="shared" si="31"/>
        <v>0</v>
      </c>
    </row>
    <row r="17" spans="2:67" s="299" customFormat="1" ht="18" customHeight="1" x14ac:dyDescent="0.35">
      <c r="B17" s="2547"/>
      <c r="C17" s="1980"/>
      <c r="D17" s="139"/>
      <c r="E17" s="456">
        <v>1</v>
      </c>
      <c r="F17" s="872"/>
      <c r="G17" s="176">
        <v>12</v>
      </c>
      <c r="H17" s="1775"/>
      <c r="I17" s="125"/>
      <c r="J17" s="176"/>
      <c r="K17" s="126"/>
      <c r="L17" s="125"/>
      <c r="M17" s="176"/>
      <c r="N17" s="176"/>
      <c r="O17" s="234"/>
      <c r="P17" s="176"/>
      <c r="Q17" s="176"/>
      <c r="R17" s="184"/>
      <c r="S17" s="185"/>
      <c r="T17" s="874"/>
      <c r="U17" s="106"/>
      <c r="V17" s="140"/>
      <c r="W17" s="863">
        <f t="shared" si="0"/>
        <v>0</v>
      </c>
      <c r="X17" s="864">
        <f t="shared" si="1"/>
        <v>0</v>
      </c>
      <c r="Y17" s="1795" t="e">
        <f t="shared" si="12"/>
        <v>#DIV/0!</v>
      </c>
      <c r="Z17" s="1796" t="e">
        <f>BN17*(1+M$47+Summary!P$58)</f>
        <v>#DIV/0!</v>
      </c>
      <c r="AA17" s="1795" t="e">
        <f t="shared" si="13"/>
        <v>#DIV/0!</v>
      </c>
      <c r="AB17" s="1796">
        <f>(BL17+BK17)*(1+M$47+Summary!P$58)</f>
        <v>0</v>
      </c>
      <c r="AI17" s="299">
        <f t="shared" si="2"/>
        <v>0</v>
      </c>
      <c r="AJ17" s="299">
        <f t="shared" si="3"/>
        <v>0</v>
      </c>
      <c r="AK17" s="299">
        <f t="shared" si="4"/>
        <v>0</v>
      </c>
      <c r="AL17" s="299">
        <f t="shared" si="5"/>
        <v>0</v>
      </c>
      <c r="AM17" s="299">
        <f t="shared" si="6"/>
        <v>0</v>
      </c>
      <c r="AN17" s="299">
        <f t="shared" si="7"/>
        <v>0</v>
      </c>
      <c r="AO17" s="299">
        <f t="shared" si="14"/>
        <v>0</v>
      </c>
      <c r="AP17" s="299">
        <f t="shared" si="15"/>
        <v>0</v>
      </c>
      <c r="AQ17" s="299">
        <f t="shared" si="16"/>
        <v>0</v>
      </c>
      <c r="AR17" s="299">
        <f t="shared" si="17"/>
        <v>0</v>
      </c>
      <c r="AS17" s="299">
        <f t="shared" si="18"/>
        <v>0</v>
      </c>
      <c r="AT17" s="299">
        <f t="shared" si="19"/>
        <v>0</v>
      </c>
      <c r="AU17" s="299">
        <f t="shared" si="20"/>
        <v>0</v>
      </c>
      <c r="AV17" s="299">
        <f t="shared" si="21"/>
        <v>0</v>
      </c>
      <c r="AW17" s="299">
        <f t="shared" si="22"/>
        <v>0</v>
      </c>
      <c r="AX17" s="299">
        <f t="shared" si="23"/>
        <v>0</v>
      </c>
      <c r="AY17" s="299">
        <f t="shared" si="24"/>
        <v>0</v>
      </c>
      <c r="AZ17" s="299">
        <f t="shared" si="25"/>
        <v>0</v>
      </c>
      <c r="BC17" s="299">
        <f t="shared" si="26"/>
        <v>0</v>
      </c>
      <c r="BD17" s="299">
        <f>(AO17*Pricing!F$2+AP17*Pricing!G$2+AQ17*Pricing!H$2+AR17*Pricing!I$2+AS17*Pricing!J$2+AT17*Pricing!K$2+AI17*Pricing!F$2+AJ17*Pricing!G$2+AK17*Pricing!H$2+AL17*Pricing!I$2+AM17*Pricing!J$2+AN17*Pricing!K$2)*IF(U$46="N",(1+W$46),1)</f>
        <v>0</v>
      </c>
      <c r="BE17" s="299">
        <f t="shared" si="8"/>
        <v>0</v>
      </c>
      <c r="BF17" s="299">
        <f t="shared" si="9"/>
        <v>0</v>
      </c>
      <c r="BG17" s="299">
        <f t="shared" si="10"/>
        <v>0</v>
      </c>
      <c r="BH17" s="511" t="e">
        <f t="shared" si="27"/>
        <v>#DIV/0!</v>
      </c>
      <c r="BI17" s="299">
        <f t="shared" si="11"/>
        <v>0</v>
      </c>
      <c r="BK17" s="299">
        <f t="shared" si="28"/>
        <v>0</v>
      </c>
      <c r="BL17" s="299">
        <f>(AI17*Pricing!F$2+AJ17*Pricing!G$2+AK17*Pricing!H$2+AL17*Pricing!I$2+AM17*Pricing!J$2+AN17*Pricing!K$2)*IF(U$46="N",(1+W$46),1)</f>
        <v>0</v>
      </c>
      <c r="BM17" s="299">
        <f t="shared" si="29"/>
        <v>0</v>
      </c>
      <c r="BN17" s="299" t="e">
        <f t="shared" si="30"/>
        <v>#DIV/0!</v>
      </c>
      <c r="BO17" s="299">
        <f t="shared" si="31"/>
        <v>0</v>
      </c>
    </row>
    <row r="18" spans="2:67" s="299" customFormat="1" ht="18" customHeight="1" x14ac:dyDescent="0.35">
      <c r="B18" s="2547"/>
      <c r="C18" s="1980"/>
      <c r="D18" s="139"/>
      <c r="E18" s="456">
        <v>1</v>
      </c>
      <c r="F18" s="872"/>
      <c r="G18" s="176">
        <v>12</v>
      </c>
      <c r="H18" s="1775"/>
      <c r="I18" s="125"/>
      <c r="J18" s="176"/>
      <c r="K18" s="126"/>
      <c r="L18" s="125"/>
      <c r="M18" s="176"/>
      <c r="N18" s="176"/>
      <c r="O18" s="234"/>
      <c r="P18" s="176"/>
      <c r="Q18" s="176"/>
      <c r="R18" s="184"/>
      <c r="S18" s="185"/>
      <c r="T18" s="874"/>
      <c r="U18" s="106"/>
      <c r="V18" s="140"/>
      <c r="W18" s="863">
        <f t="shared" si="0"/>
        <v>0</v>
      </c>
      <c r="X18" s="864">
        <f t="shared" si="1"/>
        <v>0</v>
      </c>
      <c r="Y18" s="1795" t="e">
        <f t="shared" si="12"/>
        <v>#DIV/0!</v>
      </c>
      <c r="Z18" s="1796" t="e">
        <f>BN18*(1+M$47+Summary!P$58)</f>
        <v>#DIV/0!</v>
      </c>
      <c r="AA18" s="1795" t="e">
        <f t="shared" si="13"/>
        <v>#DIV/0!</v>
      </c>
      <c r="AB18" s="1796">
        <f>(BL18+BK18)*(1+M$47+Summary!P$58)</f>
        <v>0</v>
      </c>
      <c r="AI18" s="299">
        <f t="shared" si="2"/>
        <v>0</v>
      </c>
      <c r="AJ18" s="299">
        <f t="shared" si="3"/>
        <v>0</v>
      </c>
      <c r="AK18" s="299">
        <f t="shared" si="4"/>
        <v>0</v>
      </c>
      <c r="AL18" s="299">
        <f t="shared" si="5"/>
        <v>0</v>
      </c>
      <c r="AM18" s="299">
        <f t="shared" si="6"/>
        <v>0</v>
      </c>
      <c r="AN18" s="299">
        <f t="shared" si="7"/>
        <v>0</v>
      </c>
      <c r="AO18" s="299">
        <f t="shared" si="14"/>
        <v>0</v>
      </c>
      <c r="AP18" s="299">
        <f t="shared" si="15"/>
        <v>0</v>
      </c>
      <c r="AQ18" s="299">
        <f t="shared" si="16"/>
        <v>0</v>
      </c>
      <c r="AR18" s="299">
        <f t="shared" si="17"/>
        <v>0</v>
      </c>
      <c r="AS18" s="299">
        <f t="shared" si="18"/>
        <v>0</v>
      </c>
      <c r="AT18" s="299">
        <f t="shared" si="19"/>
        <v>0</v>
      </c>
      <c r="AU18" s="299">
        <f t="shared" si="20"/>
        <v>0</v>
      </c>
      <c r="AV18" s="299">
        <f t="shared" si="21"/>
        <v>0</v>
      </c>
      <c r="AW18" s="299">
        <f t="shared" si="22"/>
        <v>0</v>
      </c>
      <c r="AX18" s="299">
        <f t="shared" si="23"/>
        <v>0</v>
      </c>
      <c r="AY18" s="299">
        <f t="shared" si="24"/>
        <v>0</v>
      </c>
      <c r="AZ18" s="299">
        <f t="shared" si="25"/>
        <v>0</v>
      </c>
      <c r="BC18" s="299">
        <f t="shared" si="26"/>
        <v>0</v>
      </c>
      <c r="BD18" s="299">
        <f>(AO18*Pricing!F$2+AP18*Pricing!G$2+AQ18*Pricing!H$2+AR18*Pricing!I$2+AS18*Pricing!J$2+AT18*Pricing!K$2+AI18*Pricing!F$2+AJ18*Pricing!G$2+AK18*Pricing!H$2+AL18*Pricing!I$2+AM18*Pricing!J$2+AN18*Pricing!K$2)*IF(U$46="N",(1+W$46),1)</f>
        <v>0</v>
      </c>
      <c r="BE18" s="299">
        <f t="shared" si="8"/>
        <v>0</v>
      </c>
      <c r="BF18" s="299">
        <f t="shared" si="9"/>
        <v>0</v>
      </c>
      <c r="BG18" s="299">
        <f t="shared" si="10"/>
        <v>0</v>
      </c>
      <c r="BH18" s="511" t="e">
        <f t="shared" si="27"/>
        <v>#DIV/0!</v>
      </c>
      <c r="BI18" s="299">
        <f t="shared" si="11"/>
        <v>0</v>
      </c>
      <c r="BK18" s="299">
        <f t="shared" si="28"/>
        <v>0</v>
      </c>
      <c r="BL18" s="299">
        <f>(AI18*Pricing!F$2+AJ18*Pricing!G$2+AK18*Pricing!H$2+AL18*Pricing!I$2+AM18*Pricing!J$2+AN18*Pricing!K$2)*IF(U$46="N",(1+W$46),1)</f>
        <v>0</v>
      </c>
      <c r="BM18" s="299">
        <f t="shared" si="29"/>
        <v>0</v>
      </c>
      <c r="BN18" s="299" t="e">
        <f t="shared" si="30"/>
        <v>#DIV/0!</v>
      </c>
      <c r="BO18" s="299">
        <f t="shared" si="31"/>
        <v>0</v>
      </c>
    </row>
    <row r="19" spans="2:67" s="299" customFormat="1" ht="18" customHeight="1" x14ac:dyDescent="0.35">
      <c r="B19" s="2547"/>
      <c r="C19" s="1980"/>
      <c r="D19" s="139"/>
      <c r="E19" s="456">
        <v>1</v>
      </c>
      <c r="F19" s="872"/>
      <c r="G19" s="176">
        <v>12</v>
      </c>
      <c r="H19" s="1775"/>
      <c r="I19" s="125"/>
      <c r="J19" s="176"/>
      <c r="K19" s="126"/>
      <c r="L19" s="125"/>
      <c r="M19" s="176"/>
      <c r="N19" s="176"/>
      <c r="O19" s="234"/>
      <c r="P19" s="176"/>
      <c r="Q19" s="176"/>
      <c r="R19" s="184"/>
      <c r="S19" s="185"/>
      <c r="T19" s="874"/>
      <c r="U19" s="106"/>
      <c r="V19" s="140"/>
      <c r="W19" s="863">
        <f t="shared" si="0"/>
        <v>0</v>
      </c>
      <c r="X19" s="864">
        <f t="shared" si="1"/>
        <v>0</v>
      </c>
      <c r="Y19" s="1795" t="e">
        <f t="shared" si="12"/>
        <v>#DIV/0!</v>
      </c>
      <c r="Z19" s="1796" t="e">
        <f>BN19*(1+M$47+Summary!P$58)</f>
        <v>#DIV/0!</v>
      </c>
      <c r="AA19" s="1795" t="e">
        <f t="shared" si="13"/>
        <v>#DIV/0!</v>
      </c>
      <c r="AB19" s="1796">
        <f>(BL19+BK19)*(1+M$47+Summary!P$58)</f>
        <v>0</v>
      </c>
      <c r="AI19" s="299">
        <f t="shared" si="2"/>
        <v>0</v>
      </c>
      <c r="AJ19" s="299">
        <f t="shared" si="3"/>
        <v>0</v>
      </c>
      <c r="AK19" s="299">
        <f t="shared" si="4"/>
        <v>0</v>
      </c>
      <c r="AL19" s="299">
        <f t="shared" si="5"/>
        <v>0</v>
      </c>
      <c r="AM19" s="299">
        <f t="shared" si="6"/>
        <v>0</v>
      </c>
      <c r="AN19" s="299">
        <f t="shared" si="7"/>
        <v>0</v>
      </c>
      <c r="AO19" s="299">
        <f t="shared" si="14"/>
        <v>0</v>
      </c>
      <c r="AP19" s="299">
        <f t="shared" si="15"/>
        <v>0</v>
      </c>
      <c r="AQ19" s="299">
        <f t="shared" si="16"/>
        <v>0</v>
      </c>
      <c r="AR19" s="299">
        <f t="shared" si="17"/>
        <v>0</v>
      </c>
      <c r="AS19" s="299">
        <f t="shared" si="18"/>
        <v>0</v>
      </c>
      <c r="AT19" s="299">
        <f t="shared" si="19"/>
        <v>0</v>
      </c>
      <c r="AU19" s="299">
        <f t="shared" si="20"/>
        <v>0</v>
      </c>
      <c r="AV19" s="299">
        <f t="shared" si="21"/>
        <v>0</v>
      </c>
      <c r="AW19" s="299">
        <f t="shared" si="22"/>
        <v>0</v>
      </c>
      <c r="AX19" s="299">
        <f t="shared" si="23"/>
        <v>0</v>
      </c>
      <c r="AY19" s="299">
        <f t="shared" si="24"/>
        <v>0</v>
      </c>
      <c r="AZ19" s="299">
        <f t="shared" si="25"/>
        <v>0</v>
      </c>
      <c r="BC19" s="299">
        <f t="shared" si="26"/>
        <v>0</v>
      </c>
      <c r="BD19" s="299">
        <f>(AO19*Pricing!F$2+AP19*Pricing!G$2+AQ19*Pricing!H$2+AR19*Pricing!I$2+AS19*Pricing!J$2+AT19*Pricing!K$2+AI19*Pricing!F$2+AJ19*Pricing!G$2+AK19*Pricing!H$2+AL19*Pricing!I$2+AM19*Pricing!J$2+AN19*Pricing!K$2)*IF(U$46="N",(1+W$46),1)</f>
        <v>0</v>
      </c>
      <c r="BE19" s="299">
        <f t="shared" si="8"/>
        <v>0</v>
      </c>
      <c r="BF19" s="299">
        <f t="shared" si="9"/>
        <v>0</v>
      </c>
      <c r="BG19" s="299">
        <f t="shared" si="10"/>
        <v>0</v>
      </c>
      <c r="BH19" s="511" t="e">
        <f t="shared" si="27"/>
        <v>#DIV/0!</v>
      </c>
      <c r="BI19" s="299">
        <f t="shared" si="11"/>
        <v>0</v>
      </c>
      <c r="BK19" s="299">
        <f t="shared" si="28"/>
        <v>0</v>
      </c>
      <c r="BL19" s="299">
        <f>(AI19*Pricing!F$2+AJ19*Pricing!G$2+AK19*Pricing!H$2+AL19*Pricing!I$2+AM19*Pricing!J$2+AN19*Pricing!K$2)*IF(U$46="N",(1+W$46),1)</f>
        <v>0</v>
      </c>
      <c r="BM19" s="299">
        <f t="shared" si="29"/>
        <v>0</v>
      </c>
      <c r="BN19" s="299" t="e">
        <f t="shared" si="30"/>
        <v>#DIV/0!</v>
      </c>
      <c r="BO19" s="299">
        <f t="shared" si="31"/>
        <v>0</v>
      </c>
    </row>
    <row r="20" spans="2:67" s="299" customFormat="1" ht="18" customHeight="1" x14ac:dyDescent="0.35">
      <c r="B20" s="2556"/>
      <c r="C20" s="1980"/>
      <c r="D20" s="139"/>
      <c r="E20" s="456">
        <v>1</v>
      </c>
      <c r="F20" s="872"/>
      <c r="G20" s="176">
        <v>12</v>
      </c>
      <c r="H20" s="1775"/>
      <c r="I20" s="125"/>
      <c r="J20" s="176"/>
      <c r="K20" s="126"/>
      <c r="L20" s="125"/>
      <c r="M20" s="176"/>
      <c r="N20" s="176"/>
      <c r="O20" s="234"/>
      <c r="P20" s="176"/>
      <c r="Q20" s="176"/>
      <c r="R20" s="184"/>
      <c r="S20" s="185"/>
      <c r="T20" s="874"/>
      <c r="U20" s="106"/>
      <c r="V20" s="140"/>
      <c r="W20" s="863">
        <f t="shared" si="0"/>
        <v>0</v>
      </c>
      <c r="X20" s="864">
        <f t="shared" si="1"/>
        <v>0</v>
      </c>
      <c r="Y20" s="1795" t="e">
        <f t="shared" si="12"/>
        <v>#DIV/0!</v>
      </c>
      <c r="Z20" s="1796" t="e">
        <f>BN20*(1+M$47+Summary!P$58)</f>
        <v>#DIV/0!</v>
      </c>
      <c r="AA20" s="1795" t="e">
        <f t="shared" si="13"/>
        <v>#DIV/0!</v>
      </c>
      <c r="AB20" s="1796">
        <f>(BL20+BK20)*(1+M$47+Summary!P$58)</f>
        <v>0</v>
      </c>
      <c r="AI20" s="299">
        <f t="shared" si="2"/>
        <v>0</v>
      </c>
      <c r="AJ20" s="299">
        <f t="shared" si="3"/>
        <v>0</v>
      </c>
      <c r="AK20" s="299">
        <f t="shared" si="4"/>
        <v>0</v>
      </c>
      <c r="AL20" s="299">
        <f t="shared" si="5"/>
        <v>0</v>
      </c>
      <c r="AM20" s="299">
        <f t="shared" si="6"/>
        <v>0</v>
      </c>
      <c r="AN20" s="299">
        <f t="shared" si="7"/>
        <v>0</v>
      </c>
      <c r="AO20" s="299">
        <f t="shared" si="14"/>
        <v>0</v>
      </c>
      <c r="AP20" s="299">
        <f t="shared" si="15"/>
        <v>0</v>
      </c>
      <c r="AQ20" s="299">
        <f t="shared" si="16"/>
        <v>0</v>
      </c>
      <c r="AR20" s="299">
        <f t="shared" si="17"/>
        <v>0</v>
      </c>
      <c r="AS20" s="299">
        <f t="shared" si="18"/>
        <v>0</v>
      </c>
      <c r="AT20" s="299">
        <f t="shared" si="19"/>
        <v>0</v>
      </c>
      <c r="AU20" s="299">
        <f t="shared" si="20"/>
        <v>0</v>
      </c>
      <c r="AV20" s="299">
        <f t="shared" si="21"/>
        <v>0</v>
      </c>
      <c r="AW20" s="299">
        <f t="shared" si="22"/>
        <v>0</v>
      </c>
      <c r="AX20" s="299">
        <f t="shared" si="23"/>
        <v>0</v>
      </c>
      <c r="AY20" s="299">
        <f t="shared" si="24"/>
        <v>0</v>
      </c>
      <c r="AZ20" s="299">
        <f t="shared" si="25"/>
        <v>0</v>
      </c>
      <c r="BC20" s="299">
        <f t="shared" si="26"/>
        <v>0</v>
      </c>
      <c r="BD20" s="299">
        <f>(AO20*Pricing!F$2+AP20*Pricing!G$2+AQ20*Pricing!H$2+AR20*Pricing!I$2+AS20*Pricing!J$2+AT20*Pricing!K$2+AI20*Pricing!F$2+AJ20*Pricing!G$2+AK20*Pricing!H$2+AL20*Pricing!I$2+AM20*Pricing!J$2+AN20*Pricing!K$2)*IF(U$46="N",(1+W$46),1)</f>
        <v>0</v>
      </c>
      <c r="BE20" s="299">
        <f t="shared" si="8"/>
        <v>0</v>
      </c>
      <c r="BF20" s="299">
        <f t="shared" si="9"/>
        <v>0</v>
      </c>
      <c r="BG20" s="299">
        <f t="shared" si="10"/>
        <v>0</v>
      </c>
      <c r="BH20" s="511" t="e">
        <f t="shared" si="27"/>
        <v>#DIV/0!</v>
      </c>
      <c r="BI20" s="299">
        <f t="shared" si="11"/>
        <v>0</v>
      </c>
      <c r="BK20" s="299">
        <f t="shared" si="28"/>
        <v>0</v>
      </c>
      <c r="BL20" s="299">
        <f>(AI20*Pricing!F$2+AJ20*Pricing!G$2+AK20*Pricing!H$2+AL20*Pricing!I$2+AM20*Pricing!J$2+AN20*Pricing!K$2)*IF(U$46="N",(1+W$46),1)</f>
        <v>0</v>
      </c>
      <c r="BM20" s="299">
        <f t="shared" si="29"/>
        <v>0</v>
      </c>
      <c r="BN20" s="299" t="e">
        <f t="shared" si="30"/>
        <v>#DIV/0!</v>
      </c>
      <c r="BO20" s="299">
        <f t="shared" si="31"/>
        <v>0</v>
      </c>
    </row>
    <row r="21" spans="2:67" s="299" customFormat="1" ht="18" customHeight="1" x14ac:dyDescent="0.35">
      <c r="B21" s="2547"/>
      <c r="C21" s="1980"/>
      <c r="D21" s="139"/>
      <c r="E21" s="456">
        <v>1</v>
      </c>
      <c r="F21" s="872"/>
      <c r="G21" s="176">
        <v>12</v>
      </c>
      <c r="H21" s="1775"/>
      <c r="I21" s="125"/>
      <c r="J21" s="176"/>
      <c r="K21" s="126"/>
      <c r="L21" s="125"/>
      <c r="M21" s="176"/>
      <c r="N21" s="176"/>
      <c r="O21" s="234"/>
      <c r="P21" s="176"/>
      <c r="Q21" s="176"/>
      <c r="R21" s="184"/>
      <c r="S21" s="185"/>
      <c r="T21" s="874"/>
      <c r="U21" s="106"/>
      <c r="V21" s="140"/>
      <c r="W21" s="863">
        <f t="shared" si="0"/>
        <v>0</v>
      </c>
      <c r="X21" s="864">
        <f t="shared" si="1"/>
        <v>0</v>
      </c>
      <c r="Y21" s="1795" t="e">
        <f t="shared" si="12"/>
        <v>#DIV/0!</v>
      </c>
      <c r="Z21" s="1796" t="e">
        <f>BN21*(1+M$47+Summary!P$58)</f>
        <v>#DIV/0!</v>
      </c>
      <c r="AA21" s="1795" t="e">
        <f t="shared" si="13"/>
        <v>#DIV/0!</v>
      </c>
      <c r="AB21" s="1796">
        <f>(BL21+BK21)*(1+M$47+Summary!P$58)</f>
        <v>0</v>
      </c>
      <c r="AI21" s="299">
        <f t="shared" si="2"/>
        <v>0</v>
      </c>
      <c r="AJ21" s="299">
        <f t="shared" si="3"/>
        <v>0</v>
      </c>
      <c r="AK21" s="299">
        <f t="shared" si="4"/>
        <v>0</v>
      </c>
      <c r="AL21" s="299">
        <f t="shared" si="5"/>
        <v>0</v>
      </c>
      <c r="AM21" s="299">
        <f t="shared" si="6"/>
        <v>0</v>
      </c>
      <c r="AN21" s="299">
        <f t="shared" si="7"/>
        <v>0</v>
      </c>
      <c r="AO21" s="299">
        <f t="shared" si="14"/>
        <v>0</v>
      </c>
      <c r="AP21" s="299">
        <f t="shared" si="15"/>
        <v>0</v>
      </c>
      <c r="AQ21" s="299">
        <f t="shared" si="16"/>
        <v>0</v>
      </c>
      <c r="AR21" s="299">
        <f t="shared" si="17"/>
        <v>0</v>
      </c>
      <c r="AS21" s="299">
        <f t="shared" si="18"/>
        <v>0</v>
      </c>
      <c r="AT21" s="299">
        <f t="shared" si="19"/>
        <v>0</v>
      </c>
      <c r="AU21" s="299">
        <f t="shared" si="20"/>
        <v>0</v>
      </c>
      <c r="AV21" s="299">
        <f t="shared" si="21"/>
        <v>0</v>
      </c>
      <c r="AW21" s="299">
        <f t="shared" si="22"/>
        <v>0</v>
      </c>
      <c r="AX21" s="299">
        <f t="shared" si="23"/>
        <v>0</v>
      </c>
      <c r="AY21" s="299">
        <f t="shared" si="24"/>
        <v>0</v>
      </c>
      <c r="AZ21" s="299">
        <f t="shared" si="25"/>
        <v>0</v>
      </c>
      <c r="BC21" s="299">
        <f t="shared" si="26"/>
        <v>0</v>
      </c>
      <c r="BD21" s="299">
        <f>(AO21*Pricing!F$2+AP21*Pricing!G$2+AQ21*Pricing!H$2+AR21*Pricing!I$2+AS21*Pricing!J$2+AT21*Pricing!K$2+AI21*Pricing!F$2+AJ21*Pricing!G$2+AK21*Pricing!H$2+AL21*Pricing!I$2+AM21*Pricing!J$2+AN21*Pricing!K$2)*IF(U$46="N",(1+W$46),1)</f>
        <v>0</v>
      </c>
      <c r="BE21" s="299">
        <f t="shared" si="8"/>
        <v>0</v>
      </c>
      <c r="BF21" s="299">
        <f t="shared" si="9"/>
        <v>0</v>
      </c>
      <c r="BG21" s="299">
        <f t="shared" si="10"/>
        <v>0</v>
      </c>
      <c r="BH21" s="511" t="e">
        <f t="shared" si="27"/>
        <v>#DIV/0!</v>
      </c>
      <c r="BI21" s="299">
        <f t="shared" si="11"/>
        <v>0</v>
      </c>
      <c r="BK21" s="299">
        <f t="shared" si="28"/>
        <v>0</v>
      </c>
      <c r="BL21" s="299">
        <f>(AI21*Pricing!F$2+AJ21*Pricing!G$2+AK21*Pricing!H$2+AL21*Pricing!I$2+AM21*Pricing!J$2+AN21*Pricing!K$2)*IF(U$46="N",(1+W$46),1)</f>
        <v>0</v>
      </c>
      <c r="BM21" s="299">
        <f t="shared" si="29"/>
        <v>0</v>
      </c>
      <c r="BN21" s="299" t="e">
        <f t="shared" si="30"/>
        <v>#DIV/0!</v>
      </c>
      <c r="BO21" s="299">
        <f t="shared" si="31"/>
        <v>0</v>
      </c>
    </row>
    <row r="22" spans="2:67" s="299" customFormat="1" ht="18" customHeight="1" x14ac:dyDescent="0.35">
      <c r="B22" s="1979"/>
      <c r="C22" s="1980"/>
      <c r="D22" s="139"/>
      <c r="E22" s="456">
        <v>1</v>
      </c>
      <c r="F22" s="872"/>
      <c r="G22" s="176">
        <v>12</v>
      </c>
      <c r="H22" s="1775"/>
      <c r="I22" s="125"/>
      <c r="J22" s="176"/>
      <c r="K22" s="126"/>
      <c r="L22" s="125"/>
      <c r="M22" s="176"/>
      <c r="N22" s="176"/>
      <c r="O22" s="234"/>
      <c r="P22" s="176"/>
      <c r="Q22" s="176"/>
      <c r="R22" s="184"/>
      <c r="S22" s="185"/>
      <c r="T22" s="874"/>
      <c r="U22" s="106"/>
      <c r="V22" s="140"/>
      <c r="W22" s="863">
        <f t="shared" si="0"/>
        <v>0</v>
      </c>
      <c r="X22" s="865">
        <f t="shared" si="1"/>
        <v>0</v>
      </c>
      <c r="Y22" s="1795" t="e">
        <f t="shared" si="12"/>
        <v>#DIV/0!</v>
      </c>
      <c r="Z22" s="1796" t="e">
        <f>BN22*(1+M$47+Summary!P$58)</f>
        <v>#DIV/0!</v>
      </c>
      <c r="AA22" s="1795" t="e">
        <f t="shared" si="13"/>
        <v>#DIV/0!</v>
      </c>
      <c r="AB22" s="1796">
        <f>(BL22+BK22)*(1+M$47+Summary!P$58)</f>
        <v>0</v>
      </c>
      <c r="AI22" s="299">
        <f t="shared" si="2"/>
        <v>0</v>
      </c>
      <c r="AJ22" s="299">
        <f t="shared" si="3"/>
        <v>0</v>
      </c>
      <c r="AK22" s="299">
        <f t="shared" si="4"/>
        <v>0</v>
      </c>
      <c r="AL22" s="299">
        <f t="shared" si="5"/>
        <v>0</v>
      </c>
      <c r="AM22" s="299">
        <f t="shared" si="6"/>
        <v>0</v>
      </c>
      <c r="AN22" s="299">
        <f t="shared" si="7"/>
        <v>0</v>
      </c>
      <c r="AO22" s="299">
        <f t="shared" si="14"/>
        <v>0</v>
      </c>
      <c r="AP22" s="299">
        <f t="shared" si="15"/>
        <v>0</v>
      </c>
      <c r="AQ22" s="299">
        <f t="shared" si="16"/>
        <v>0</v>
      </c>
      <c r="AR22" s="299">
        <f t="shared" si="17"/>
        <v>0</v>
      </c>
      <c r="AS22" s="299">
        <f t="shared" si="18"/>
        <v>0</v>
      </c>
      <c r="AT22" s="299">
        <f t="shared" si="19"/>
        <v>0</v>
      </c>
      <c r="AU22" s="299">
        <f t="shared" si="20"/>
        <v>0</v>
      </c>
      <c r="AV22" s="299">
        <f t="shared" si="21"/>
        <v>0</v>
      </c>
      <c r="AW22" s="299">
        <f t="shared" si="22"/>
        <v>0</v>
      </c>
      <c r="AX22" s="299">
        <f t="shared" si="23"/>
        <v>0</v>
      </c>
      <c r="AY22" s="299">
        <f t="shared" si="24"/>
        <v>0</v>
      </c>
      <c r="AZ22" s="299">
        <f t="shared" si="25"/>
        <v>0</v>
      </c>
      <c r="BC22" s="299">
        <f t="shared" si="26"/>
        <v>0</v>
      </c>
      <c r="BD22" s="299">
        <f>(AO22*Pricing!F$2+AP22*Pricing!G$2+AQ22*Pricing!H$2+AR22*Pricing!I$2+AS22*Pricing!J$2+AT22*Pricing!K$2+AI22*Pricing!F$2+AJ22*Pricing!G$2+AK22*Pricing!H$2+AL22*Pricing!I$2+AM22*Pricing!J$2+AN22*Pricing!K$2)*IF(U$46="N",(1+W$46),1)</f>
        <v>0</v>
      </c>
      <c r="BE22" s="299">
        <f t="shared" si="8"/>
        <v>0</v>
      </c>
      <c r="BF22" s="299">
        <f t="shared" si="9"/>
        <v>0</v>
      </c>
      <c r="BG22" s="299">
        <f t="shared" si="10"/>
        <v>0</v>
      </c>
      <c r="BH22" s="511" t="e">
        <f t="shared" si="27"/>
        <v>#DIV/0!</v>
      </c>
      <c r="BI22" s="299">
        <f t="shared" si="11"/>
        <v>0</v>
      </c>
      <c r="BK22" s="299">
        <f t="shared" si="28"/>
        <v>0</v>
      </c>
      <c r="BL22" s="299">
        <f>(AI22*Pricing!F$2+AJ22*Pricing!G$2+AK22*Pricing!H$2+AL22*Pricing!I$2+AM22*Pricing!J$2+AN22*Pricing!K$2)*IF(U$46="N",(1+W$46),1)</f>
        <v>0</v>
      </c>
      <c r="BM22" s="299">
        <f t="shared" si="29"/>
        <v>0</v>
      </c>
      <c r="BN22" s="299" t="e">
        <f t="shared" si="30"/>
        <v>#DIV/0!</v>
      </c>
      <c r="BO22" s="299">
        <f t="shared" si="31"/>
        <v>0</v>
      </c>
    </row>
    <row r="23" spans="2:67" s="299" customFormat="1" ht="18" customHeight="1" x14ac:dyDescent="0.35">
      <c r="B23" s="2556"/>
      <c r="C23" s="1980"/>
      <c r="D23" s="139"/>
      <c r="E23" s="456">
        <v>1</v>
      </c>
      <c r="F23" s="872"/>
      <c r="G23" s="176">
        <v>12</v>
      </c>
      <c r="H23" s="1775"/>
      <c r="I23" s="125"/>
      <c r="J23" s="380"/>
      <c r="K23" s="126"/>
      <c r="L23" s="125"/>
      <c r="M23" s="176"/>
      <c r="N23" s="176"/>
      <c r="O23" s="234"/>
      <c r="P23" s="176"/>
      <c r="Q23" s="176"/>
      <c r="R23" s="184"/>
      <c r="S23" s="185"/>
      <c r="T23" s="874"/>
      <c r="U23" s="106"/>
      <c r="V23" s="140"/>
      <c r="W23" s="863">
        <f t="shared" si="0"/>
        <v>0</v>
      </c>
      <c r="X23" s="865">
        <f t="shared" si="1"/>
        <v>0</v>
      </c>
      <c r="Y23" s="1795" t="e">
        <f t="shared" si="12"/>
        <v>#DIV/0!</v>
      </c>
      <c r="Z23" s="1796" t="e">
        <f>BN23*(1+M$47+Summary!P$58)</f>
        <v>#DIV/0!</v>
      </c>
      <c r="AA23" s="1795" t="e">
        <f t="shared" si="13"/>
        <v>#DIV/0!</v>
      </c>
      <c r="AB23" s="1796">
        <f>(BL23+BK23)*(1+M$47+Summary!P$58)</f>
        <v>0</v>
      </c>
      <c r="AI23" s="299">
        <f t="shared" si="2"/>
        <v>0</v>
      </c>
      <c r="AJ23" s="299">
        <f t="shared" si="3"/>
        <v>0</v>
      </c>
      <c r="AK23" s="299">
        <f t="shared" si="4"/>
        <v>0</v>
      </c>
      <c r="AL23" s="299">
        <f t="shared" si="5"/>
        <v>0</v>
      </c>
      <c r="AM23" s="299">
        <f t="shared" si="6"/>
        <v>0</v>
      </c>
      <c r="AN23" s="299">
        <f t="shared" si="7"/>
        <v>0</v>
      </c>
      <c r="AO23" s="299">
        <f t="shared" si="14"/>
        <v>0</v>
      </c>
      <c r="AP23" s="299">
        <f t="shared" si="15"/>
        <v>0</v>
      </c>
      <c r="AQ23" s="299">
        <f t="shared" si="16"/>
        <v>0</v>
      </c>
      <c r="AR23" s="299">
        <f t="shared" si="17"/>
        <v>0</v>
      </c>
      <c r="AS23" s="299">
        <f t="shared" si="18"/>
        <v>0</v>
      </c>
      <c r="AT23" s="299">
        <f t="shared" si="19"/>
        <v>0</v>
      </c>
      <c r="AU23" s="299">
        <f t="shared" si="20"/>
        <v>0</v>
      </c>
      <c r="AV23" s="299">
        <f t="shared" si="21"/>
        <v>0</v>
      </c>
      <c r="AW23" s="299">
        <f t="shared" si="22"/>
        <v>0</v>
      </c>
      <c r="AX23" s="299">
        <f t="shared" si="23"/>
        <v>0</v>
      </c>
      <c r="AY23" s="299">
        <f t="shared" si="24"/>
        <v>0</v>
      </c>
      <c r="AZ23" s="299">
        <f t="shared" si="25"/>
        <v>0</v>
      </c>
      <c r="BC23" s="299">
        <f t="shared" si="26"/>
        <v>0</v>
      </c>
      <c r="BD23" s="299">
        <f>(AO23*Pricing!F$2+AP23*Pricing!G$2+AQ23*Pricing!H$2+AR23*Pricing!I$2+AS23*Pricing!J$2+AT23*Pricing!K$2+AI23*Pricing!F$2+AJ23*Pricing!G$2+AK23*Pricing!H$2+AL23*Pricing!I$2+AM23*Pricing!J$2+AN23*Pricing!K$2)*IF(U$46="N",(1+W$46),1)</f>
        <v>0</v>
      </c>
      <c r="BE23" s="299">
        <f t="shared" si="8"/>
        <v>0</v>
      </c>
      <c r="BF23" s="299">
        <f t="shared" si="9"/>
        <v>0</v>
      </c>
      <c r="BG23" s="299">
        <f t="shared" si="10"/>
        <v>0</v>
      </c>
      <c r="BH23" s="511" t="e">
        <f t="shared" si="27"/>
        <v>#DIV/0!</v>
      </c>
      <c r="BI23" s="299">
        <f t="shared" si="11"/>
        <v>0</v>
      </c>
      <c r="BK23" s="299">
        <f t="shared" si="28"/>
        <v>0</v>
      </c>
      <c r="BL23" s="299">
        <f>(AI23*Pricing!F$2+AJ23*Pricing!G$2+AK23*Pricing!H$2+AL23*Pricing!I$2+AM23*Pricing!J$2+AN23*Pricing!K$2)*IF(U$46="N",(1+W$46),1)</f>
        <v>0</v>
      </c>
      <c r="BM23" s="299">
        <f t="shared" si="29"/>
        <v>0</v>
      </c>
      <c r="BN23" s="299" t="e">
        <f t="shared" si="30"/>
        <v>#DIV/0!</v>
      </c>
      <c r="BO23" s="299">
        <f t="shared" si="31"/>
        <v>0</v>
      </c>
    </row>
    <row r="24" spans="2:67" s="299" customFormat="1" ht="18" customHeight="1" x14ac:dyDescent="0.35">
      <c r="B24" s="1979"/>
      <c r="C24" s="1980"/>
      <c r="D24" s="139"/>
      <c r="E24" s="456">
        <v>1</v>
      </c>
      <c r="F24" s="872"/>
      <c r="G24" s="176">
        <v>12</v>
      </c>
      <c r="H24" s="1775"/>
      <c r="I24" s="125"/>
      <c r="J24" s="176"/>
      <c r="K24" s="126"/>
      <c r="L24" s="125"/>
      <c r="M24" s="176"/>
      <c r="N24" s="176"/>
      <c r="O24" s="234"/>
      <c r="P24" s="176"/>
      <c r="Q24" s="176"/>
      <c r="R24" s="184"/>
      <c r="S24" s="185"/>
      <c r="T24" s="874"/>
      <c r="U24" s="106"/>
      <c r="V24" s="140"/>
      <c r="W24" s="863">
        <f t="shared" si="0"/>
        <v>0</v>
      </c>
      <c r="X24" s="865">
        <f t="shared" si="1"/>
        <v>0</v>
      </c>
      <c r="Y24" s="1795" t="e">
        <f t="shared" si="12"/>
        <v>#DIV/0!</v>
      </c>
      <c r="Z24" s="1796" t="e">
        <f>BN24*(1+M$47+Summary!P$58)</f>
        <v>#DIV/0!</v>
      </c>
      <c r="AA24" s="1795" t="e">
        <f t="shared" si="13"/>
        <v>#DIV/0!</v>
      </c>
      <c r="AB24" s="1796">
        <f>(BL24+BK24)*(1+M$47+Summary!P$58)</f>
        <v>0</v>
      </c>
      <c r="AI24" s="299">
        <f t="shared" si="2"/>
        <v>0</v>
      </c>
      <c r="AJ24" s="299">
        <f t="shared" si="3"/>
        <v>0</v>
      </c>
      <c r="AK24" s="299">
        <f t="shared" si="4"/>
        <v>0</v>
      </c>
      <c r="AL24" s="299">
        <f t="shared" si="5"/>
        <v>0</v>
      </c>
      <c r="AM24" s="299">
        <f t="shared" si="6"/>
        <v>0</v>
      </c>
      <c r="AN24" s="299">
        <f t="shared" si="7"/>
        <v>0</v>
      </c>
      <c r="AO24" s="299">
        <f t="shared" si="14"/>
        <v>0</v>
      </c>
      <c r="AP24" s="299">
        <f t="shared" si="15"/>
        <v>0</v>
      </c>
      <c r="AQ24" s="299">
        <f t="shared" si="16"/>
        <v>0</v>
      </c>
      <c r="AR24" s="299">
        <f t="shared" si="17"/>
        <v>0</v>
      </c>
      <c r="AS24" s="299">
        <f t="shared" si="18"/>
        <v>0</v>
      </c>
      <c r="AT24" s="299">
        <f t="shared" si="19"/>
        <v>0</v>
      </c>
      <c r="AU24" s="299">
        <f t="shared" si="20"/>
        <v>0</v>
      </c>
      <c r="AV24" s="299">
        <f t="shared" si="21"/>
        <v>0</v>
      </c>
      <c r="AW24" s="299">
        <f t="shared" si="22"/>
        <v>0</v>
      </c>
      <c r="AX24" s="299">
        <f t="shared" si="23"/>
        <v>0</v>
      </c>
      <c r="AY24" s="299">
        <f t="shared" si="24"/>
        <v>0</v>
      </c>
      <c r="AZ24" s="299">
        <f t="shared" si="25"/>
        <v>0</v>
      </c>
      <c r="BC24" s="299">
        <f t="shared" si="26"/>
        <v>0</v>
      </c>
      <c r="BD24" s="299">
        <f>(AO24*Pricing!F$2+AP24*Pricing!G$2+AQ24*Pricing!H$2+AR24*Pricing!I$2+AS24*Pricing!J$2+AT24*Pricing!K$2+AI24*Pricing!F$2+AJ24*Pricing!G$2+AK24*Pricing!H$2+AL24*Pricing!I$2+AM24*Pricing!J$2+AN24*Pricing!K$2)*IF(U$46="N",(1+W$46),1)</f>
        <v>0</v>
      </c>
      <c r="BE24" s="299">
        <f t="shared" si="8"/>
        <v>0</v>
      </c>
      <c r="BF24" s="299">
        <f t="shared" si="9"/>
        <v>0</v>
      </c>
      <c r="BG24" s="299">
        <f t="shared" si="10"/>
        <v>0</v>
      </c>
      <c r="BH24" s="511" t="e">
        <f t="shared" si="27"/>
        <v>#DIV/0!</v>
      </c>
      <c r="BI24" s="299">
        <f t="shared" si="11"/>
        <v>0</v>
      </c>
      <c r="BK24" s="299">
        <f t="shared" si="28"/>
        <v>0</v>
      </c>
      <c r="BL24" s="299">
        <f>(AI24*Pricing!F$2+AJ24*Pricing!G$2+AK24*Pricing!H$2+AL24*Pricing!I$2+AM24*Pricing!J$2+AN24*Pricing!K$2)*IF(U$46="N",(1+W$46),1)</f>
        <v>0</v>
      </c>
      <c r="BM24" s="299">
        <f t="shared" si="29"/>
        <v>0</v>
      </c>
      <c r="BN24" s="299" t="e">
        <f t="shared" si="30"/>
        <v>#DIV/0!</v>
      </c>
      <c r="BO24" s="299">
        <f t="shared" si="31"/>
        <v>0</v>
      </c>
    </row>
    <row r="25" spans="2:67" s="299" customFormat="1" ht="18" customHeight="1" x14ac:dyDescent="0.35">
      <c r="B25" s="1979"/>
      <c r="C25" s="1980"/>
      <c r="D25" s="139"/>
      <c r="E25" s="456">
        <v>1</v>
      </c>
      <c r="F25" s="872"/>
      <c r="G25" s="176">
        <v>12</v>
      </c>
      <c r="H25" s="1775"/>
      <c r="I25" s="125"/>
      <c r="J25" s="176"/>
      <c r="K25" s="126"/>
      <c r="L25" s="125"/>
      <c r="M25" s="176"/>
      <c r="N25" s="176"/>
      <c r="O25" s="234"/>
      <c r="P25" s="176"/>
      <c r="Q25" s="176"/>
      <c r="R25" s="184"/>
      <c r="S25" s="185"/>
      <c r="T25" s="874"/>
      <c r="U25" s="106"/>
      <c r="V25" s="140"/>
      <c r="W25" s="863">
        <f t="shared" si="0"/>
        <v>0</v>
      </c>
      <c r="X25" s="865">
        <f t="shared" si="1"/>
        <v>0</v>
      </c>
      <c r="Y25" s="1795" t="e">
        <f t="shared" si="12"/>
        <v>#DIV/0!</v>
      </c>
      <c r="Z25" s="1796" t="e">
        <f>BN25*(1+M$47+Summary!P$58)</f>
        <v>#DIV/0!</v>
      </c>
      <c r="AA25" s="1795" t="e">
        <f t="shared" si="13"/>
        <v>#DIV/0!</v>
      </c>
      <c r="AB25" s="1796">
        <f>(BL25+BK25)*(1+M$47+Summary!P$58)</f>
        <v>0</v>
      </c>
      <c r="AI25" s="299">
        <f t="shared" si="2"/>
        <v>0</v>
      </c>
      <c r="AJ25" s="299">
        <f t="shared" si="3"/>
        <v>0</v>
      </c>
      <c r="AK25" s="299">
        <f t="shared" si="4"/>
        <v>0</v>
      </c>
      <c r="AL25" s="299">
        <f t="shared" si="5"/>
        <v>0</v>
      </c>
      <c r="AM25" s="299">
        <f t="shared" si="6"/>
        <v>0</v>
      </c>
      <c r="AN25" s="299">
        <f t="shared" si="7"/>
        <v>0</v>
      </c>
      <c r="AO25" s="299">
        <f t="shared" si="14"/>
        <v>0</v>
      </c>
      <c r="AP25" s="299">
        <f t="shared" si="15"/>
        <v>0</v>
      </c>
      <c r="AQ25" s="299">
        <f t="shared" si="16"/>
        <v>0</v>
      </c>
      <c r="AR25" s="299">
        <f t="shared" si="17"/>
        <v>0</v>
      </c>
      <c r="AS25" s="299">
        <f t="shared" si="18"/>
        <v>0</v>
      </c>
      <c r="AT25" s="299">
        <f t="shared" si="19"/>
        <v>0</v>
      </c>
      <c r="AU25" s="299">
        <f t="shared" si="20"/>
        <v>0</v>
      </c>
      <c r="AV25" s="299">
        <f t="shared" si="21"/>
        <v>0</v>
      </c>
      <c r="AW25" s="299">
        <f t="shared" si="22"/>
        <v>0</v>
      </c>
      <c r="AX25" s="299">
        <f t="shared" si="23"/>
        <v>0</v>
      </c>
      <c r="AY25" s="299">
        <f t="shared" si="24"/>
        <v>0</v>
      </c>
      <c r="AZ25" s="299">
        <f t="shared" si="25"/>
        <v>0</v>
      </c>
      <c r="BC25" s="299">
        <f t="shared" si="26"/>
        <v>0</v>
      </c>
      <c r="BD25" s="299">
        <f>(AO25*Pricing!F$2+AP25*Pricing!G$2+AQ25*Pricing!H$2+AR25*Pricing!I$2+AS25*Pricing!J$2+AT25*Pricing!K$2+AI25*Pricing!F$2+AJ25*Pricing!G$2+AK25*Pricing!H$2+AL25*Pricing!I$2+AM25*Pricing!J$2+AN25*Pricing!K$2)*IF(U$46="N",(1+W$46),1)</f>
        <v>0</v>
      </c>
      <c r="BE25" s="299">
        <f t="shared" si="8"/>
        <v>0</v>
      </c>
      <c r="BF25" s="299">
        <f t="shared" si="9"/>
        <v>0</v>
      </c>
      <c r="BG25" s="299">
        <f t="shared" si="10"/>
        <v>0</v>
      </c>
      <c r="BH25" s="511" t="e">
        <f t="shared" si="27"/>
        <v>#DIV/0!</v>
      </c>
      <c r="BI25" s="299">
        <f t="shared" si="11"/>
        <v>0</v>
      </c>
      <c r="BK25" s="299">
        <f t="shared" si="28"/>
        <v>0</v>
      </c>
      <c r="BL25" s="299">
        <f>(AI25*Pricing!F$2+AJ25*Pricing!G$2+AK25*Pricing!H$2+AL25*Pricing!I$2+AM25*Pricing!J$2+AN25*Pricing!K$2)*IF(U$46="N",(1+W$46),1)</f>
        <v>0</v>
      </c>
      <c r="BM25" s="299">
        <f t="shared" si="29"/>
        <v>0</v>
      </c>
      <c r="BN25" s="299" t="e">
        <f t="shared" si="30"/>
        <v>#DIV/0!</v>
      </c>
      <c r="BO25" s="299">
        <f t="shared" si="31"/>
        <v>0</v>
      </c>
    </row>
    <row r="26" spans="2:67" s="299" customFormat="1" ht="18" customHeight="1" x14ac:dyDescent="0.35">
      <c r="B26" s="1979"/>
      <c r="C26" s="1980"/>
      <c r="D26" s="139"/>
      <c r="E26" s="456">
        <v>1</v>
      </c>
      <c r="F26" s="872"/>
      <c r="G26" s="176">
        <v>12</v>
      </c>
      <c r="H26" s="1775"/>
      <c r="I26" s="125"/>
      <c r="J26" s="176"/>
      <c r="K26" s="126"/>
      <c r="L26" s="125"/>
      <c r="M26" s="176"/>
      <c r="N26" s="176"/>
      <c r="O26" s="234"/>
      <c r="P26" s="176"/>
      <c r="Q26" s="176"/>
      <c r="R26" s="176"/>
      <c r="S26" s="185"/>
      <c r="T26" s="874"/>
      <c r="U26" s="106"/>
      <c r="V26" s="140"/>
      <c r="W26" s="863">
        <f t="shared" si="0"/>
        <v>0</v>
      </c>
      <c r="X26" s="865">
        <f t="shared" si="1"/>
        <v>0</v>
      </c>
      <c r="Y26" s="1795" t="e">
        <f t="shared" si="12"/>
        <v>#DIV/0!</v>
      </c>
      <c r="Z26" s="1796" t="e">
        <f>BN26*(1+M$47+Summary!P$58)</f>
        <v>#DIV/0!</v>
      </c>
      <c r="AA26" s="1795" t="e">
        <f t="shared" si="13"/>
        <v>#DIV/0!</v>
      </c>
      <c r="AB26" s="1796">
        <f>(BL26+BK26)*(1+M$47+Summary!P$58)</f>
        <v>0</v>
      </c>
      <c r="AI26" s="299">
        <f t="shared" si="2"/>
        <v>0</v>
      </c>
      <c r="AJ26" s="299">
        <f t="shared" si="3"/>
        <v>0</v>
      </c>
      <c r="AK26" s="299">
        <f t="shared" si="4"/>
        <v>0</v>
      </c>
      <c r="AL26" s="299">
        <f t="shared" si="5"/>
        <v>0</v>
      </c>
      <c r="AM26" s="299">
        <f t="shared" si="6"/>
        <v>0</v>
      </c>
      <c r="AN26" s="299">
        <f t="shared" si="7"/>
        <v>0</v>
      </c>
      <c r="AO26" s="299">
        <f t="shared" si="14"/>
        <v>0</v>
      </c>
      <c r="AP26" s="299">
        <f t="shared" si="15"/>
        <v>0</v>
      </c>
      <c r="AQ26" s="299">
        <f t="shared" si="16"/>
        <v>0</v>
      </c>
      <c r="AR26" s="299">
        <f t="shared" si="17"/>
        <v>0</v>
      </c>
      <c r="AS26" s="299">
        <f t="shared" si="18"/>
        <v>0</v>
      </c>
      <c r="AT26" s="299">
        <f t="shared" si="19"/>
        <v>0</v>
      </c>
      <c r="AU26" s="299">
        <f t="shared" si="20"/>
        <v>0</v>
      </c>
      <c r="AV26" s="299">
        <f t="shared" si="21"/>
        <v>0</v>
      </c>
      <c r="AW26" s="299">
        <f t="shared" si="22"/>
        <v>0</v>
      </c>
      <c r="AX26" s="299">
        <f t="shared" si="23"/>
        <v>0</v>
      </c>
      <c r="AY26" s="299">
        <f t="shared" si="24"/>
        <v>0</v>
      </c>
      <c r="AZ26" s="299">
        <f t="shared" si="25"/>
        <v>0</v>
      </c>
      <c r="BC26" s="299">
        <f t="shared" si="26"/>
        <v>0</v>
      </c>
      <c r="BD26" s="299">
        <f>(AO26*Pricing!F$2+AP26*Pricing!G$2+AQ26*Pricing!H$2+AR26*Pricing!I$2+AS26*Pricing!J$2+AT26*Pricing!K$2+AI26*Pricing!F$2+AJ26*Pricing!G$2+AK26*Pricing!H$2+AL26*Pricing!I$2+AM26*Pricing!J$2+AN26*Pricing!K$2)*IF(U$46="N",(1+W$46),1)</f>
        <v>0</v>
      </c>
      <c r="BE26" s="299">
        <f t="shared" si="8"/>
        <v>0</v>
      </c>
      <c r="BF26" s="299">
        <f t="shared" si="9"/>
        <v>0</v>
      </c>
      <c r="BG26" s="299">
        <f t="shared" si="10"/>
        <v>0</v>
      </c>
      <c r="BH26" s="511" t="e">
        <f t="shared" si="27"/>
        <v>#DIV/0!</v>
      </c>
      <c r="BI26" s="299">
        <f t="shared" si="11"/>
        <v>0</v>
      </c>
      <c r="BK26" s="299">
        <f t="shared" si="28"/>
        <v>0</v>
      </c>
      <c r="BL26" s="299">
        <f>(AI26*Pricing!F$2+AJ26*Pricing!G$2+AK26*Pricing!H$2+AL26*Pricing!I$2+AM26*Pricing!J$2+AN26*Pricing!K$2)*IF(U$46="N",(1+W$46),1)</f>
        <v>0</v>
      </c>
      <c r="BM26" s="299">
        <f t="shared" si="29"/>
        <v>0</v>
      </c>
      <c r="BN26" s="299" t="e">
        <f t="shared" si="30"/>
        <v>#DIV/0!</v>
      </c>
      <c r="BO26" s="299">
        <f t="shared" si="31"/>
        <v>0</v>
      </c>
    </row>
    <row r="27" spans="2:67" s="299" customFormat="1" ht="18" customHeight="1" x14ac:dyDescent="0.35">
      <c r="B27" s="1979"/>
      <c r="C27" s="1980"/>
      <c r="D27" s="139"/>
      <c r="E27" s="456">
        <v>1</v>
      </c>
      <c r="F27" s="872"/>
      <c r="G27" s="176">
        <v>12</v>
      </c>
      <c r="H27" s="1775"/>
      <c r="I27" s="125"/>
      <c r="J27" s="176"/>
      <c r="K27" s="126"/>
      <c r="L27" s="125"/>
      <c r="M27" s="176"/>
      <c r="N27" s="176"/>
      <c r="O27" s="234"/>
      <c r="P27" s="176"/>
      <c r="Q27" s="176"/>
      <c r="R27" s="176"/>
      <c r="S27" s="185"/>
      <c r="T27" s="874"/>
      <c r="U27" s="106"/>
      <c r="V27" s="140"/>
      <c r="W27" s="863">
        <f>((F27*J27/16*J27/16*10.680159*K27)*IF(I27=0,0,(H28/I27))+(H28/12*M27/16*M27/16*10.680159*N27)*IF(L27=0,0,(F27*12/L27))+(F27*IF(Q27=0,0,O27/Q27)*R27/16*R27/16*10.680159*S27)+(IF(Q27=0,0,F27/Q27*O27)*R27/16*R27/16*10.680159*S27)+((U27+V27)/12+4)*IF(I27=0,0,(H28/I27))*J27/16*J27/16*10.680159)*(1+K$60)</f>
        <v>0</v>
      </c>
      <c r="X27" s="865">
        <f>((F27*G27/12*H28/324)+ROUNDUP(T27*U27*V27*H28/46656,0)+(O27*P27*F27/3888))*(1+K$57)</f>
        <v>0</v>
      </c>
      <c r="Y27" s="1795" t="e">
        <f t="shared" si="12"/>
        <v>#DIV/0!</v>
      </c>
      <c r="Z27" s="1796" t="e">
        <f>BN27*(1+M$47+Summary!P$58)</f>
        <v>#DIV/0!</v>
      </c>
      <c r="AA27" s="1795" t="e">
        <f t="shared" si="13"/>
        <v>#DIV/0!</v>
      </c>
      <c r="AB27" s="1796">
        <f>(BL27+BK27)*(1+M$47+Summary!P$58)</f>
        <v>0</v>
      </c>
      <c r="AI27" s="299">
        <f t="shared" si="2"/>
        <v>0</v>
      </c>
      <c r="AJ27" s="299">
        <f t="shared" si="3"/>
        <v>0</v>
      </c>
      <c r="AK27" s="299">
        <f t="shared" si="4"/>
        <v>0</v>
      </c>
      <c r="AL27" s="299">
        <f t="shared" si="5"/>
        <v>0</v>
      </c>
      <c r="AM27" s="299">
        <f t="shared" si="6"/>
        <v>0</v>
      </c>
      <c r="AN27" s="299">
        <f t="shared" si="7"/>
        <v>0</v>
      </c>
      <c r="AO27" s="299">
        <f t="shared" si="14"/>
        <v>0</v>
      </c>
      <c r="AP27" s="299">
        <f t="shared" ref="AP27:AP32" si="32">IF($E27=2,X27-SUM($AI27:$AN27),0)</f>
        <v>0</v>
      </c>
      <c r="AQ27" s="299">
        <f t="shared" ref="AQ27:AQ32" si="33">IF($E27=3,X27-SUM($AI27:$AN27),0)</f>
        <v>0</v>
      </c>
      <c r="AR27" s="299">
        <f t="shared" ref="AR27:AR32" si="34">IF($E27=4,X27-SUM($AI27:$AN27),0)</f>
        <v>0</v>
      </c>
      <c r="AS27" s="299">
        <f t="shared" ref="AS27:AS32" si="35">IF($E27=5,X27-SUM($AI27:$AN27),0)</f>
        <v>0</v>
      </c>
      <c r="AT27" s="299">
        <f t="shared" ref="AT27:AT32" si="36">IF($E27=6,X27-SUM($AI27:$AN27),0)</f>
        <v>0</v>
      </c>
      <c r="AU27" s="299">
        <f t="shared" ref="AU27:AU32" si="37">SUM(AI27:AN27)</f>
        <v>0</v>
      </c>
      <c r="AV27" s="299">
        <f t="shared" ref="AV27:AV32" si="38">SUM(AO27:AT27)</f>
        <v>0</v>
      </c>
      <c r="AW27" s="299">
        <f t="shared" ref="AW27:AW32" si="39">W27</f>
        <v>0</v>
      </c>
      <c r="AX27" s="299">
        <f>F27*H28/12*2+(V27*V27*H28/1728*T27)</f>
        <v>0</v>
      </c>
      <c r="AY27" s="299">
        <f t="shared" ref="AY27:AY32" si="40">AX27/2</f>
        <v>0</v>
      </c>
      <c r="AZ27" s="299">
        <f t="shared" ref="AZ27:AZ32" si="41">O27*F27/12</f>
        <v>0</v>
      </c>
      <c r="BC27" s="299">
        <f t="shared" si="26"/>
        <v>0</v>
      </c>
      <c r="BD27" s="299">
        <f>(AO27*Pricing!F$2+AP27*Pricing!G$2+AQ27*Pricing!H$2+AR27*Pricing!I$2+AS27*Pricing!J$2+AT27*Pricing!K$2+AI27*Pricing!F$2+AJ27*Pricing!G$2+AK27*Pricing!H$2+AL27*Pricing!I$2+AM27*Pricing!J$2+AN27*Pricing!K$2)*IF(U$46="N",(1+W$46),1)</f>
        <v>0</v>
      </c>
      <c r="BE27" s="299">
        <f t="shared" si="8"/>
        <v>0</v>
      </c>
      <c r="BF27" s="299">
        <f t="shared" si="9"/>
        <v>0</v>
      </c>
      <c r="BG27" s="299">
        <f t="shared" si="10"/>
        <v>0</v>
      </c>
      <c r="BH27" s="511" t="e">
        <f t="shared" si="27"/>
        <v>#DIV/0!</v>
      </c>
      <c r="BI27" s="299">
        <f t="shared" si="11"/>
        <v>0</v>
      </c>
      <c r="BK27" s="299">
        <f t="shared" si="28"/>
        <v>0</v>
      </c>
      <c r="BL27" s="299">
        <f>(AI27*Pricing!F$2+AJ27*Pricing!G$2+AK27*Pricing!H$2+AL27*Pricing!I$2+AM27*Pricing!J$2+AN27*Pricing!K$2)*IF(U$46="N",(1+W$46),1)</f>
        <v>0</v>
      </c>
      <c r="BM27" s="299">
        <f t="shared" ref="BM27:BM32" si="42">IF(AZ27=0,0,(BK27+BL27)/AZ27)</f>
        <v>0</v>
      </c>
      <c r="BN27" s="299" t="e">
        <f t="shared" ref="BN27:BN32" si="43">SUM(BC27:BI27)-BK27-BL27</f>
        <v>#DIV/0!</v>
      </c>
      <c r="BO27" s="299">
        <f t="shared" ref="BO27:BO32" si="44">IF(AX27=0,0,BN27/AY27)</f>
        <v>0</v>
      </c>
    </row>
    <row r="28" spans="2:67" s="299" customFormat="1" ht="18" customHeight="1" x14ac:dyDescent="0.35">
      <c r="B28" s="1979"/>
      <c r="C28" s="1980"/>
      <c r="D28" s="139"/>
      <c r="E28" s="456">
        <v>1</v>
      </c>
      <c r="F28" s="872"/>
      <c r="G28" s="176">
        <v>12</v>
      </c>
      <c r="H28" s="1775"/>
      <c r="I28" s="125"/>
      <c r="J28" s="176"/>
      <c r="K28" s="126"/>
      <c r="L28" s="125"/>
      <c r="M28" s="176"/>
      <c r="N28" s="176"/>
      <c r="O28" s="234"/>
      <c r="P28" s="176"/>
      <c r="Q28" s="176"/>
      <c r="R28" s="176"/>
      <c r="S28" s="185"/>
      <c r="T28" s="874"/>
      <c r="U28" s="106"/>
      <c r="V28" s="140"/>
      <c r="W28" s="863">
        <f t="shared" ref="W28:W29" si="45">((F28*J28/16*J28/16*10.680159*K28)*IF(I28=0,0,(H29/I28))+(H29/12*M28/16*M28/16*10.680159*N28)*IF(L28=0,0,(F28*12/L28))+(F28*IF(Q28=0,0,O28/Q28)*R28/16*R28/16*10.680159*S28)+(IF(Q28=0,0,F28/Q28*O28)*R28/16*R28/16*10.680159*S28)+((U28+V28)/12+4)*IF(I28=0,0,(H29/I28))*J28/16*J28/16*10.680159)*(1+K$60)</f>
        <v>0</v>
      </c>
      <c r="X28" s="865">
        <f t="shared" ref="X28:X29" si="46">((F28*G28/12*H29/324)+ROUNDUP(T28*U28*V28*H29/46656,0)+(O28*P28*F28/3888))*(1+K$57)</f>
        <v>0</v>
      </c>
      <c r="Y28" s="1795" t="e">
        <f t="shared" ref="Y28:Y30" si="47">Z28/AY28</f>
        <v>#DIV/0!</v>
      </c>
      <c r="Z28" s="1796" t="e">
        <f>BN28*(1+M$47+Summary!P$58)</f>
        <v>#DIV/0!</v>
      </c>
      <c r="AA28" s="1795" t="e">
        <f t="shared" si="13"/>
        <v>#DIV/0!</v>
      </c>
      <c r="AB28" s="1796">
        <f>(BL28+BK28)*(1+M$47+Summary!P$58)</f>
        <v>0</v>
      </c>
      <c r="AI28" s="299">
        <f t="shared" si="2"/>
        <v>0</v>
      </c>
      <c r="AJ28" s="299">
        <f t="shared" si="3"/>
        <v>0</v>
      </c>
      <c r="AK28" s="299">
        <f t="shared" si="4"/>
        <v>0</v>
      </c>
      <c r="AL28" s="299">
        <f t="shared" si="5"/>
        <v>0</v>
      </c>
      <c r="AM28" s="299">
        <f t="shared" si="6"/>
        <v>0</v>
      </c>
      <c r="AN28" s="299">
        <f t="shared" si="7"/>
        <v>0</v>
      </c>
      <c r="AO28" s="299">
        <f t="shared" si="14"/>
        <v>0</v>
      </c>
      <c r="AP28" s="299">
        <f t="shared" si="32"/>
        <v>0</v>
      </c>
      <c r="AQ28" s="299">
        <f t="shared" si="33"/>
        <v>0</v>
      </c>
      <c r="AR28" s="299">
        <f t="shared" si="34"/>
        <v>0</v>
      </c>
      <c r="AS28" s="299">
        <f t="shared" si="35"/>
        <v>0</v>
      </c>
      <c r="AT28" s="299">
        <f t="shared" si="36"/>
        <v>0</v>
      </c>
      <c r="AU28" s="299">
        <f t="shared" si="37"/>
        <v>0</v>
      </c>
      <c r="AV28" s="299">
        <f t="shared" si="38"/>
        <v>0</v>
      </c>
      <c r="AW28" s="299">
        <f t="shared" si="39"/>
        <v>0</v>
      </c>
      <c r="AX28" s="299">
        <f t="shared" ref="AX28:AX29" si="48">F28*H29/12*2+(V28*V28*H29/1728*T28)</f>
        <v>0</v>
      </c>
      <c r="AY28" s="299">
        <f t="shared" ref="AY28:AY29" si="49">AX28/2</f>
        <v>0</v>
      </c>
      <c r="AZ28" s="299">
        <f t="shared" ref="AZ28:AZ29" si="50">O28*F28/12</f>
        <v>0</v>
      </c>
      <c r="BC28" s="299">
        <f t="shared" si="26"/>
        <v>0</v>
      </c>
      <c r="BD28" s="299">
        <f>(AO28*Pricing!F$2+AP28*Pricing!G$2+AQ28*Pricing!H$2+AR28*Pricing!I$2+AS28*Pricing!J$2+AT28*Pricing!K$2+AI28*Pricing!F$2+AJ28*Pricing!G$2+AK28*Pricing!H$2+AL28*Pricing!I$2+AM28*Pricing!J$2+AN28*Pricing!K$2)*IF(U$46="N",(1+W$46),1)</f>
        <v>0</v>
      </c>
      <c r="BE28" s="299">
        <f t="shared" ref="BE28:BE29" si="51">AY28*(H$71+E$74)</f>
        <v>0</v>
      </c>
      <c r="BF28" s="299">
        <f t="shared" si="9"/>
        <v>0</v>
      </c>
      <c r="BG28" s="299">
        <f t="shared" si="10"/>
        <v>0</v>
      </c>
      <c r="BH28" s="511" t="e">
        <f t="shared" si="27"/>
        <v>#DIV/0!</v>
      </c>
      <c r="BI28" s="299">
        <f t="shared" si="11"/>
        <v>0</v>
      </c>
      <c r="BK28" s="299">
        <f t="shared" si="28"/>
        <v>0</v>
      </c>
      <c r="BL28" s="299">
        <f>(AI28*Pricing!F$2+AJ28*Pricing!G$2+AK28*Pricing!H$2+AL28*Pricing!I$2+AM28*Pricing!J$2+AN28*Pricing!K$2)*IF(U$46="N",(1+W$46),1)</f>
        <v>0</v>
      </c>
      <c r="BM28" s="299">
        <f t="shared" si="42"/>
        <v>0</v>
      </c>
      <c r="BN28" s="299" t="e">
        <f t="shared" si="43"/>
        <v>#DIV/0!</v>
      </c>
      <c r="BO28" s="299">
        <f t="shared" si="44"/>
        <v>0</v>
      </c>
    </row>
    <row r="29" spans="2:67" s="299" customFormat="1" ht="18" customHeight="1" x14ac:dyDescent="0.35">
      <c r="B29" s="1979"/>
      <c r="C29" s="1980"/>
      <c r="D29" s="139"/>
      <c r="E29" s="456">
        <v>1</v>
      </c>
      <c r="F29" s="872"/>
      <c r="G29" s="176">
        <v>12</v>
      </c>
      <c r="H29" s="1775"/>
      <c r="I29" s="125"/>
      <c r="J29" s="176"/>
      <c r="K29" s="126"/>
      <c r="L29" s="125"/>
      <c r="M29" s="176"/>
      <c r="N29" s="176"/>
      <c r="O29" s="234"/>
      <c r="P29" s="176"/>
      <c r="Q29" s="176"/>
      <c r="R29" s="176"/>
      <c r="S29" s="185"/>
      <c r="T29" s="874"/>
      <c r="U29" s="106"/>
      <c r="V29" s="140"/>
      <c r="W29" s="863">
        <f t="shared" si="45"/>
        <v>0</v>
      </c>
      <c r="X29" s="865">
        <f t="shared" si="46"/>
        <v>0</v>
      </c>
      <c r="Y29" s="1795" t="e">
        <f t="shared" si="47"/>
        <v>#DIV/0!</v>
      </c>
      <c r="Z29" s="1796" t="e">
        <f>BN29*(1+M$47+Summary!P$58)</f>
        <v>#DIV/0!</v>
      </c>
      <c r="AA29" s="1795" t="e">
        <f t="shared" si="13"/>
        <v>#DIV/0!</v>
      </c>
      <c r="AB29" s="1796">
        <f>(BL29+BK29)*(1+M$47+Summary!P$58)</f>
        <v>0</v>
      </c>
      <c r="AI29" s="299">
        <f t="shared" si="2"/>
        <v>0</v>
      </c>
      <c r="AJ29" s="299">
        <f t="shared" si="3"/>
        <v>0</v>
      </c>
      <c r="AK29" s="299">
        <f t="shared" si="4"/>
        <v>0</v>
      </c>
      <c r="AL29" s="299">
        <f t="shared" si="5"/>
        <v>0</v>
      </c>
      <c r="AM29" s="299">
        <f t="shared" si="6"/>
        <v>0</v>
      </c>
      <c r="AN29" s="299">
        <f t="shared" si="7"/>
        <v>0</v>
      </c>
      <c r="AO29" s="299">
        <f t="shared" si="14"/>
        <v>0</v>
      </c>
      <c r="AP29" s="299">
        <f t="shared" si="32"/>
        <v>0</v>
      </c>
      <c r="AQ29" s="299">
        <f t="shared" si="33"/>
        <v>0</v>
      </c>
      <c r="AR29" s="299">
        <f t="shared" si="34"/>
        <v>0</v>
      </c>
      <c r="AS29" s="299">
        <f t="shared" si="35"/>
        <v>0</v>
      </c>
      <c r="AT29" s="299">
        <f t="shared" si="36"/>
        <v>0</v>
      </c>
      <c r="AU29" s="299">
        <f t="shared" si="37"/>
        <v>0</v>
      </c>
      <c r="AV29" s="299">
        <f t="shared" si="38"/>
        <v>0</v>
      </c>
      <c r="AW29" s="299">
        <f t="shared" si="39"/>
        <v>0</v>
      </c>
      <c r="AX29" s="299">
        <f t="shared" si="48"/>
        <v>0</v>
      </c>
      <c r="AY29" s="299">
        <f t="shared" si="49"/>
        <v>0</v>
      </c>
      <c r="AZ29" s="299">
        <f t="shared" si="50"/>
        <v>0</v>
      </c>
      <c r="BC29" s="299">
        <f t="shared" si="26"/>
        <v>0</v>
      </c>
      <c r="BD29" s="299">
        <f>(AO29*Pricing!F$2+AP29*Pricing!G$2+AQ29*Pricing!H$2+AR29*Pricing!I$2+AS29*Pricing!J$2+AT29*Pricing!K$2+AI29*Pricing!F$2+AJ29*Pricing!G$2+AK29*Pricing!H$2+AL29*Pricing!I$2+AM29*Pricing!J$2+AN29*Pricing!K$2)*IF(U$46="N",(1+W$46),1)</f>
        <v>0</v>
      </c>
      <c r="BE29" s="299">
        <f t="shared" si="51"/>
        <v>0</v>
      </c>
      <c r="BF29" s="299">
        <f t="shared" si="9"/>
        <v>0</v>
      </c>
      <c r="BG29" s="299">
        <f t="shared" si="10"/>
        <v>0</v>
      </c>
      <c r="BH29" s="511" t="e">
        <f t="shared" si="27"/>
        <v>#DIV/0!</v>
      </c>
      <c r="BI29" s="299">
        <f t="shared" si="11"/>
        <v>0</v>
      </c>
      <c r="BK29" s="299">
        <f t="shared" si="28"/>
        <v>0</v>
      </c>
      <c r="BL29" s="299">
        <f>(AI29*Pricing!F$2+AJ29*Pricing!G$2+AK29*Pricing!H$2+AL29*Pricing!I$2+AM29*Pricing!J$2+AN29*Pricing!K$2)*IF(U$46="N",(1+W$46),1)</f>
        <v>0</v>
      </c>
      <c r="BM29" s="299">
        <f t="shared" si="42"/>
        <v>0</v>
      </c>
      <c r="BN29" s="299" t="e">
        <f t="shared" si="43"/>
        <v>#DIV/0!</v>
      </c>
      <c r="BO29" s="299">
        <f t="shared" si="44"/>
        <v>0</v>
      </c>
    </row>
    <row r="30" spans="2:67" s="299" customFormat="1" ht="18" customHeight="1" x14ac:dyDescent="0.35">
      <c r="B30" s="1979"/>
      <c r="C30" s="1980"/>
      <c r="D30" s="139"/>
      <c r="E30" s="456">
        <v>1</v>
      </c>
      <c r="F30" s="872"/>
      <c r="G30" s="176">
        <v>12</v>
      </c>
      <c r="H30" s="1775"/>
      <c r="I30" s="125"/>
      <c r="J30" s="176"/>
      <c r="K30" s="126"/>
      <c r="L30" s="125"/>
      <c r="M30" s="176"/>
      <c r="N30" s="176"/>
      <c r="O30" s="234"/>
      <c r="P30" s="176"/>
      <c r="Q30" s="176"/>
      <c r="R30" s="176"/>
      <c r="S30" s="185"/>
      <c r="T30" s="874"/>
      <c r="U30" s="106"/>
      <c r="V30" s="140"/>
      <c r="W30" s="863">
        <f t="shared" si="0"/>
        <v>0</v>
      </c>
      <c r="X30" s="865">
        <f t="shared" si="1"/>
        <v>0</v>
      </c>
      <c r="Y30" s="1795" t="e">
        <f t="shared" si="47"/>
        <v>#DIV/0!</v>
      </c>
      <c r="Z30" s="1796" t="e">
        <f>BN30*(1+M$47+Summary!P$58)</f>
        <v>#DIV/0!</v>
      </c>
      <c r="AA30" s="1795" t="e">
        <f t="shared" si="13"/>
        <v>#DIV/0!</v>
      </c>
      <c r="AB30" s="1796">
        <f>(BL30+BK30)*(1+M$47+Summary!P$58)</f>
        <v>0</v>
      </c>
      <c r="AI30" s="299">
        <f t="shared" si="2"/>
        <v>0</v>
      </c>
      <c r="AJ30" s="299">
        <f t="shared" si="3"/>
        <v>0</v>
      </c>
      <c r="AK30" s="299">
        <f t="shared" si="4"/>
        <v>0</v>
      </c>
      <c r="AL30" s="299">
        <f t="shared" si="5"/>
        <v>0</v>
      </c>
      <c r="AM30" s="299">
        <f t="shared" si="6"/>
        <v>0</v>
      </c>
      <c r="AN30" s="299">
        <f t="shared" si="7"/>
        <v>0</v>
      </c>
      <c r="AO30" s="299">
        <f t="shared" si="14"/>
        <v>0</v>
      </c>
      <c r="AP30" s="299">
        <f t="shared" si="32"/>
        <v>0</v>
      </c>
      <c r="AQ30" s="299">
        <f t="shared" si="33"/>
        <v>0</v>
      </c>
      <c r="AR30" s="299">
        <f t="shared" si="34"/>
        <v>0</v>
      </c>
      <c r="AS30" s="299">
        <f t="shared" si="35"/>
        <v>0</v>
      </c>
      <c r="AT30" s="299">
        <f t="shared" si="36"/>
        <v>0</v>
      </c>
      <c r="AU30" s="299">
        <f t="shared" si="37"/>
        <v>0</v>
      </c>
      <c r="AV30" s="299">
        <f t="shared" si="38"/>
        <v>0</v>
      </c>
      <c r="AW30" s="299">
        <f t="shared" si="39"/>
        <v>0</v>
      </c>
      <c r="AX30" s="299">
        <f t="shared" ref="AX30:AX32" si="52">F30*H30/12*2+(V30*V30*H30/1728*T30)</f>
        <v>0</v>
      </c>
      <c r="AY30" s="299">
        <f t="shared" si="40"/>
        <v>0</v>
      </c>
      <c r="AZ30" s="299">
        <f t="shared" si="41"/>
        <v>0</v>
      </c>
      <c r="BC30" s="299">
        <f t="shared" si="26"/>
        <v>0</v>
      </c>
      <c r="BD30" s="299">
        <f>(AO30*Pricing!F$2+AP30*Pricing!G$2+AQ30*Pricing!H$2+AR30*Pricing!I$2+AS30*Pricing!J$2+AT30*Pricing!K$2+AI30*Pricing!F$2+AJ30*Pricing!G$2+AK30*Pricing!H$2+AL30*Pricing!I$2+AM30*Pricing!J$2+AN30*Pricing!K$2)*IF(U$46="N",(1+W$46),1)</f>
        <v>0</v>
      </c>
      <c r="BE30" s="299">
        <f t="shared" si="8"/>
        <v>0</v>
      </c>
      <c r="BF30" s="299">
        <f t="shared" si="9"/>
        <v>0</v>
      </c>
      <c r="BG30" s="299">
        <f t="shared" si="10"/>
        <v>0</v>
      </c>
      <c r="BH30" s="511" t="e">
        <f t="shared" si="27"/>
        <v>#DIV/0!</v>
      </c>
      <c r="BI30" s="299">
        <f t="shared" si="11"/>
        <v>0</v>
      </c>
      <c r="BK30" s="299">
        <f t="shared" si="28"/>
        <v>0</v>
      </c>
      <c r="BL30" s="299">
        <f>(AI30*Pricing!F$2+AJ30*Pricing!G$2+AK30*Pricing!H$2+AL30*Pricing!I$2+AM30*Pricing!J$2+AN30*Pricing!K$2)*IF(U$46="N",(1+W$46),1)</f>
        <v>0</v>
      </c>
      <c r="BM30" s="299">
        <f t="shared" si="42"/>
        <v>0</v>
      </c>
      <c r="BN30" s="299" t="e">
        <f t="shared" si="43"/>
        <v>#DIV/0!</v>
      </c>
      <c r="BO30" s="299">
        <f t="shared" si="44"/>
        <v>0</v>
      </c>
    </row>
    <row r="31" spans="2:67" s="299" customFormat="1" ht="18" customHeight="1" x14ac:dyDescent="0.35">
      <c r="B31" s="1979"/>
      <c r="C31" s="1980"/>
      <c r="D31" s="139"/>
      <c r="E31" s="456">
        <v>1</v>
      </c>
      <c r="F31" s="872"/>
      <c r="G31" s="176">
        <v>12</v>
      </c>
      <c r="H31" s="1775"/>
      <c r="I31" s="125"/>
      <c r="J31" s="176"/>
      <c r="K31" s="126"/>
      <c r="L31" s="125"/>
      <c r="M31" s="176"/>
      <c r="N31" s="176"/>
      <c r="O31" s="234"/>
      <c r="P31" s="176"/>
      <c r="Q31" s="176"/>
      <c r="R31" s="176"/>
      <c r="S31" s="185"/>
      <c r="T31" s="874"/>
      <c r="U31" s="106"/>
      <c r="V31" s="140"/>
      <c r="W31" s="863">
        <f t="shared" si="0"/>
        <v>0</v>
      </c>
      <c r="X31" s="865">
        <f t="shared" si="1"/>
        <v>0</v>
      </c>
      <c r="Y31" s="1795" t="e">
        <f t="shared" si="12"/>
        <v>#DIV/0!</v>
      </c>
      <c r="Z31" s="1796" t="e">
        <f>BN31*(1+M$47+Summary!P$58)</f>
        <v>#DIV/0!</v>
      </c>
      <c r="AA31" s="1795" t="e">
        <f t="shared" si="13"/>
        <v>#DIV/0!</v>
      </c>
      <c r="AB31" s="1796">
        <f>(BL31+BK31)*(1+M$47+Summary!P$58)</f>
        <v>0</v>
      </c>
      <c r="AI31" s="299">
        <f t="shared" si="2"/>
        <v>0</v>
      </c>
      <c r="AJ31" s="299">
        <f t="shared" si="3"/>
        <v>0</v>
      </c>
      <c r="AK31" s="299">
        <f t="shared" si="4"/>
        <v>0</v>
      </c>
      <c r="AL31" s="299">
        <f t="shared" si="5"/>
        <v>0</v>
      </c>
      <c r="AM31" s="299">
        <f t="shared" si="6"/>
        <v>0</v>
      </c>
      <c r="AN31" s="299">
        <f t="shared" si="7"/>
        <v>0</v>
      </c>
      <c r="AO31" s="299">
        <f t="shared" si="14"/>
        <v>0</v>
      </c>
      <c r="AP31" s="299">
        <f t="shared" si="32"/>
        <v>0</v>
      </c>
      <c r="AQ31" s="299">
        <f t="shared" si="33"/>
        <v>0</v>
      </c>
      <c r="AR31" s="299">
        <f t="shared" si="34"/>
        <v>0</v>
      </c>
      <c r="AS31" s="299">
        <f t="shared" si="35"/>
        <v>0</v>
      </c>
      <c r="AT31" s="299">
        <f t="shared" si="36"/>
        <v>0</v>
      </c>
      <c r="AU31" s="299">
        <f t="shared" si="37"/>
        <v>0</v>
      </c>
      <c r="AV31" s="299">
        <f t="shared" si="38"/>
        <v>0</v>
      </c>
      <c r="AW31" s="299">
        <f t="shared" si="39"/>
        <v>0</v>
      </c>
      <c r="AX31" s="299">
        <f t="shared" si="52"/>
        <v>0</v>
      </c>
      <c r="AY31" s="299">
        <f t="shared" si="40"/>
        <v>0</v>
      </c>
      <c r="AZ31" s="299">
        <f t="shared" si="41"/>
        <v>0</v>
      </c>
      <c r="BC31" s="299">
        <f t="shared" si="26"/>
        <v>0</v>
      </c>
      <c r="BD31" s="299">
        <f>(AO31*Pricing!F$2+AP31*Pricing!G$2+AQ31*Pricing!H$2+AR31*Pricing!I$2+AS31*Pricing!J$2+AT31*Pricing!K$2+AI31*Pricing!F$2+AJ31*Pricing!G$2+AK31*Pricing!H$2+AL31*Pricing!I$2+AM31*Pricing!J$2+AN31*Pricing!K$2)*IF(U$46="N",(1+W$46),1)</f>
        <v>0</v>
      </c>
      <c r="BE31" s="299">
        <f t="shared" si="8"/>
        <v>0</v>
      </c>
      <c r="BF31" s="299">
        <f t="shared" si="9"/>
        <v>0</v>
      </c>
      <c r="BG31" s="299">
        <f t="shared" si="10"/>
        <v>0</v>
      </c>
      <c r="BH31" s="511" t="e">
        <f t="shared" si="27"/>
        <v>#DIV/0!</v>
      </c>
      <c r="BI31" s="299">
        <f t="shared" si="11"/>
        <v>0</v>
      </c>
      <c r="BK31" s="299">
        <f t="shared" si="28"/>
        <v>0</v>
      </c>
      <c r="BL31" s="299">
        <f>(AI31*Pricing!F$2+AJ31*Pricing!G$2+AK31*Pricing!H$2+AL31*Pricing!I$2+AM31*Pricing!J$2+AN31*Pricing!K$2)*IF(U$46="N",(1+W$46),1)</f>
        <v>0</v>
      </c>
      <c r="BM31" s="299">
        <f t="shared" si="42"/>
        <v>0</v>
      </c>
      <c r="BN31" s="299" t="e">
        <f t="shared" si="43"/>
        <v>#DIV/0!</v>
      </c>
      <c r="BO31" s="299">
        <f t="shared" si="44"/>
        <v>0</v>
      </c>
    </row>
    <row r="32" spans="2:67" s="299" customFormat="1" ht="18" customHeight="1" x14ac:dyDescent="0.35">
      <c r="B32" s="1979"/>
      <c r="C32" s="1980"/>
      <c r="D32" s="139"/>
      <c r="E32" s="456">
        <v>1</v>
      </c>
      <c r="F32" s="872"/>
      <c r="G32" s="176">
        <v>12</v>
      </c>
      <c r="H32" s="1775"/>
      <c r="I32" s="125"/>
      <c r="J32" s="176"/>
      <c r="K32" s="126"/>
      <c r="L32" s="125"/>
      <c r="M32" s="176"/>
      <c r="N32" s="176"/>
      <c r="O32" s="234"/>
      <c r="P32" s="176"/>
      <c r="Q32" s="176"/>
      <c r="R32" s="176"/>
      <c r="S32" s="185"/>
      <c r="T32" s="874"/>
      <c r="U32" s="106"/>
      <c r="V32" s="140"/>
      <c r="W32" s="863">
        <f t="shared" si="0"/>
        <v>0</v>
      </c>
      <c r="X32" s="865">
        <f t="shared" si="1"/>
        <v>0</v>
      </c>
      <c r="Y32" s="1795" t="e">
        <f t="shared" si="12"/>
        <v>#DIV/0!</v>
      </c>
      <c r="Z32" s="1796" t="e">
        <f>BN32*(1+M$47+Summary!P$58)</f>
        <v>#DIV/0!</v>
      </c>
      <c r="AA32" s="1795" t="e">
        <f t="shared" si="13"/>
        <v>#DIV/0!</v>
      </c>
      <c r="AB32" s="1796">
        <f>(BL32+BK32)*(1+M$47+Summary!P$58)</f>
        <v>0</v>
      </c>
      <c r="AI32" s="299">
        <f t="shared" si="2"/>
        <v>0</v>
      </c>
      <c r="AJ32" s="299">
        <f t="shared" si="3"/>
        <v>0</v>
      </c>
      <c r="AK32" s="299">
        <f t="shared" si="4"/>
        <v>0</v>
      </c>
      <c r="AL32" s="299">
        <f t="shared" si="5"/>
        <v>0</v>
      </c>
      <c r="AM32" s="299">
        <f t="shared" si="6"/>
        <v>0</v>
      </c>
      <c r="AN32" s="299">
        <f t="shared" si="7"/>
        <v>0</v>
      </c>
      <c r="AO32" s="299">
        <f t="shared" si="14"/>
        <v>0</v>
      </c>
      <c r="AP32" s="299">
        <f t="shared" si="32"/>
        <v>0</v>
      </c>
      <c r="AQ32" s="299">
        <f t="shared" si="33"/>
        <v>0</v>
      </c>
      <c r="AR32" s="299">
        <f t="shared" si="34"/>
        <v>0</v>
      </c>
      <c r="AS32" s="299">
        <f t="shared" si="35"/>
        <v>0</v>
      </c>
      <c r="AT32" s="299">
        <f t="shared" si="36"/>
        <v>0</v>
      </c>
      <c r="AU32" s="299">
        <f t="shared" si="37"/>
        <v>0</v>
      </c>
      <c r="AV32" s="299">
        <f t="shared" si="38"/>
        <v>0</v>
      </c>
      <c r="AW32" s="299">
        <f t="shared" si="39"/>
        <v>0</v>
      </c>
      <c r="AX32" s="299">
        <f t="shared" si="52"/>
        <v>0</v>
      </c>
      <c r="AY32" s="299">
        <f t="shared" si="40"/>
        <v>0</v>
      </c>
      <c r="AZ32" s="299">
        <f t="shared" si="41"/>
        <v>0</v>
      </c>
      <c r="BC32" s="299">
        <f t="shared" si="26"/>
        <v>0</v>
      </c>
      <c r="BD32" s="299">
        <f>(AO32*Pricing!F$2+AP32*Pricing!G$2+AQ32*Pricing!H$2+AR32*Pricing!I$2+AS32*Pricing!J$2+AT32*Pricing!K$2+AI32*Pricing!F$2+AJ32*Pricing!G$2+AK32*Pricing!H$2+AL32*Pricing!I$2+AM32*Pricing!J$2+AN32*Pricing!K$2)*IF(U$46="N",(1+W$46),1)</f>
        <v>0</v>
      </c>
      <c r="BE32" s="299">
        <f t="shared" si="8"/>
        <v>0</v>
      </c>
      <c r="BF32" s="299">
        <f t="shared" si="9"/>
        <v>0</v>
      </c>
      <c r="BG32" s="299">
        <f t="shared" si="10"/>
        <v>0</v>
      </c>
      <c r="BH32" s="511" t="e">
        <f t="shared" si="27"/>
        <v>#DIV/0!</v>
      </c>
      <c r="BI32" s="299">
        <f t="shared" si="11"/>
        <v>0</v>
      </c>
      <c r="BK32" s="299">
        <f t="shared" si="28"/>
        <v>0</v>
      </c>
      <c r="BL32" s="299">
        <f>(AI32*Pricing!F$2+AJ32*Pricing!G$2+AK32*Pricing!H$2+AL32*Pricing!I$2+AM32*Pricing!J$2+AN32*Pricing!K$2)*IF(U$46="N",(1+W$46),1)</f>
        <v>0</v>
      </c>
      <c r="BM32" s="299">
        <f t="shared" si="42"/>
        <v>0</v>
      </c>
      <c r="BN32" s="299" t="e">
        <f t="shared" si="43"/>
        <v>#DIV/0!</v>
      </c>
      <c r="BO32" s="299">
        <f t="shared" si="44"/>
        <v>0</v>
      </c>
    </row>
    <row r="33" spans="2:67" s="299" customFormat="1" ht="18" customHeight="1" x14ac:dyDescent="0.35">
      <c r="B33" s="1979"/>
      <c r="C33" s="1980"/>
      <c r="D33" s="139"/>
      <c r="E33" s="456">
        <v>1</v>
      </c>
      <c r="F33" s="872"/>
      <c r="G33" s="176">
        <v>12</v>
      </c>
      <c r="H33" s="1775"/>
      <c r="I33" s="125"/>
      <c r="J33" s="176"/>
      <c r="K33" s="126"/>
      <c r="L33" s="125"/>
      <c r="M33" s="176"/>
      <c r="N33" s="176"/>
      <c r="O33" s="234"/>
      <c r="P33" s="176"/>
      <c r="Q33" s="176"/>
      <c r="R33" s="176"/>
      <c r="S33" s="185"/>
      <c r="T33" s="874"/>
      <c r="U33" s="106"/>
      <c r="V33" s="140"/>
      <c r="W33" s="863">
        <f t="shared" si="0"/>
        <v>0</v>
      </c>
      <c r="X33" s="865">
        <f t="shared" si="1"/>
        <v>0</v>
      </c>
      <c r="Y33" s="1795" t="e">
        <f t="shared" si="12"/>
        <v>#DIV/0!</v>
      </c>
      <c r="Z33" s="1796" t="e">
        <f>BN33*(1+M$47+Summary!P$58)</f>
        <v>#DIV/0!</v>
      </c>
      <c r="AA33" s="1795" t="e">
        <f t="shared" si="13"/>
        <v>#DIV/0!</v>
      </c>
      <c r="AB33" s="1796">
        <f>(BL33+BK33)*(1+M$47+Summary!P$58)</f>
        <v>0</v>
      </c>
      <c r="AI33" s="299">
        <f t="shared" si="2"/>
        <v>0</v>
      </c>
      <c r="AJ33" s="299">
        <f t="shared" si="3"/>
        <v>0</v>
      </c>
      <c r="AK33" s="299">
        <f t="shared" si="4"/>
        <v>0</v>
      </c>
      <c r="AL33" s="299">
        <f t="shared" si="5"/>
        <v>0</v>
      </c>
      <c r="AM33" s="299">
        <f t="shared" si="6"/>
        <v>0</v>
      </c>
      <c r="AN33" s="299">
        <f t="shared" si="7"/>
        <v>0</v>
      </c>
      <c r="AO33" s="299">
        <f t="shared" si="14"/>
        <v>0</v>
      </c>
      <c r="AP33" s="299">
        <f t="shared" si="15"/>
        <v>0</v>
      </c>
      <c r="AQ33" s="299">
        <f t="shared" si="16"/>
        <v>0</v>
      </c>
      <c r="AR33" s="299">
        <f t="shared" si="17"/>
        <v>0</v>
      </c>
      <c r="AS33" s="299">
        <f t="shared" si="18"/>
        <v>0</v>
      </c>
      <c r="AT33" s="299">
        <f t="shared" si="19"/>
        <v>0</v>
      </c>
      <c r="AU33" s="299">
        <f t="shared" si="20"/>
        <v>0</v>
      </c>
      <c r="AV33" s="299">
        <f t="shared" si="21"/>
        <v>0</v>
      </c>
      <c r="AW33" s="299">
        <f t="shared" si="22"/>
        <v>0</v>
      </c>
      <c r="AX33" s="299">
        <f t="shared" si="23"/>
        <v>0</v>
      </c>
      <c r="AY33" s="299">
        <f t="shared" si="24"/>
        <v>0</v>
      </c>
      <c r="AZ33" s="299">
        <f t="shared" si="25"/>
        <v>0</v>
      </c>
      <c r="BC33" s="299">
        <f t="shared" si="26"/>
        <v>0</v>
      </c>
      <c r="BD33" s="299">
        <f>(AO33*Pricing!F$2+AP33*Pricing!G$2+AQ33*Pricing!H$2+AR33*Pricing!I$2+AS33*Pricing!J$2+AT33*Pricing!K$2+AI33*Pricing!F$2+AJ33*Pricing!G$2+AK33*Pricing!H$2+AL33*Pricing!I$2+AM33*Pricing!J$2+AN33*Pricing!K$2)*IF(U$46="N",(1+W$46),1)</f>
        <v>0</v>
      </c>
      <c r="BE33" s="299">
        <f t="shared" si="8"/>
        <v>0</v>
      </c>
      <c r="BF33" s="299">
        <f t="shared" si="9"/>
        <v>0</v>
      </c>
      <c r="BG33" s="299">
        <f t="shared" si="10"/>
        <v>0</v>
      </c>
      <c r="BH33" s="511" t="e">
        <f t="shared" si="27"/>
        <v>#DIV/0!</v>
      </c>
      <c r="BI33" s="299">
        <f t="shared" si="11"/>
        <v>0</v>
      </c>
      <c r="BK33" s="299">
        <f t="shared" si="28"/>
        <v>0</v>
      </c>
      <c r="BL33" s="299">
        <f>(AI33*Pricing!F$2+AJ33*Pricing!G$2+AK33*Pricing!H$2+AL33*Pricing!I$2+AM33*Pricing!J$2+AN33*Pricing!K$2)*IF(U$46="N",(1+W$46),1)</f>
        <v>0</v>
      </c>
      <c r="BM33" s="299">
        <f t="shared" si="29"/>
        <v>0</v>
      </c>
      <c r="BN33" s="299" t="e">
        <f t="shared" si="30"/>
        <v>#DIV/0!</v>
      </c>
      <c r="BO33" s="299">
        <f t="shared" si="31"/>
        <v>0</v>
      </c>
    </row>
    <row r="34" spans="2:67" s="299" customFormat="1" ht="18" customHeight="1" x14ac:dyDescent="0.35">
      <c r="B34" s="1979"/>
      <c r="C34" s="1980"/>
      <c r="D34" s="139"/>
      <c r="E34" s="456">
        <v>1</v>
      </c>
      <c r="F34" s="872"/>
      <c r="G34" s="176">
        <v>12</v>
      </c>
      <c r="H34" s="1775"/>
      <c r="I34" s="125"/>
      <c r="J34" s="176"/>
      <c r="K34" s="126"/>
      <c r="L34" s="125"/>
      <c r="M34" s="176"/>
      <c r="N34" s="176"/>
      <c r="O34" s="234"/>
      <c r="P34" s="176"/>
      <c r="Q34" s="176"/>
      <c r="R34" s="176"/>
      <c r="S34" s="185"/>
      <c r="T34" s="874"/>
      <c r="U34" s="106"/>
      <c r="V34" s="140"/>
      <c r="W34" s="863">
        <f t="shared" si="0"/>
        <v>0</v>
      </c>
      <c r="X34" s="865">
        <f t="shared" si="1"/>
        <v>0</v>
      </c>
      <c r="Y34" s="1795" t="e">
        <f t="shared" si="12"/>
        <v>#DIV/0!</v>
      </c>
      <c r="Z34" s="1796" t="e">
        <f>BN34*(1+M$47+Summary!P$58)</f>
        <v>#DIV/0!</v>
      </c>
      <c r="AA34" s="1795" t="e">
        <f t="shared" si="13"/>
        <v>#DIV/0!</v>
      </c>
      <c r="AB34" s="1796">
        <f>(BL34+BK34)*(1+M$47+Summary!P$58)</f>
        <v>0</v>
      </c>
      <c r="AI34" s="299">
        <f t="shared" si="2"/>
        <v>0</v>
      </c>
      <c r="AJ34" s="299">
        <f t="shared" si="3"/>
        <v>0</v>
      </c>
      <c r="AK34" s="299">
        <f t="shared" si="4"/>
        <v>0</v>
      </c>
      <c r="AL34" s="299">
        <f t="shared" si="5"/>
        <v>0</v>
      </c>
      <c r="AM34" s="299">
        <f t="shared" si="6"/>
        <v>0</v>
      </c>
      <c r="AN34" s="299">
        <f t="shared" si="7"/>
        <v>0</v>
      </c>
      <c r="AO34" s="299">
        <f t="shared" si="14"/>
        <v>0</v>
      </c>
      <c r="AP34" s="299">
        <f t="shared" si="15"/>
        <v>0</v>
      </c>
      <c r="AQ34" s="299">
        <f t="shared" si="16"/>
        <v>0</v>
      </c>
      <c r="AR34" s="299">
        <f t="shared" si="17"/>
        <v>0</v>
      </c>
      <c r="AS34" s="299">
        <f t="shared" si="18"/>
        <v>0</v>
      </c>
      <c r="AT34" s="299">
        <f t="shared" si="19"/>
        <v>0</v>
      </c>
      <c r="AU34" s="299">
        <f t="shared" si="20"/>
        <v>0</v>
      </c>
      <c r="AV34" s="299">
        <f t="shared" si="21"/>
        <v>0</v>
      </c>
      <c r="AW34" s="299">
        <f t="shared" si="22"/>
        <v>0</v>
      </c>
      <c r="AX34" s="299">
        <f t="shared" si="23"/>
        <v>0</v>
      </c>
      <c r="AY34" s="299">
        <f t="shared" si="24"/>
        <v>0</v>
      </c>
      <c r="AZ34" s="299">
        <f t="shared" si="25"/>
        <v>0</v>
      </c>
      <c r="BC34" s="299">
        <f t="shared" si="26"/>
        <v>0</v>
      </c>
      <c r="BD34" s="299">
        <f>(AO34*Pricing!F$2+AP34*Pricing!G$2+AQ34*Pricing!H$2+AR34*Pricing!I$2+AS34*Pricing!J$2+AT34*Pricing!K$2+AI34*Pricing!F$2+AJ34*Pricing!G$2+AK34*Pricing!H$2+AL34*Pricing!I$2+AM34*Pricing!J$2+AN34*Pricing!K$2)*IF(U$46="N",(1+W$46),1)</f>
        <v>0</v>
      </c>
      <c r="BE34" s="299">
        <f t="shared" si="8"/>
        <v>0</v>
      </c>
      <c r="BF34" s="299">
        <f t="shared" si="9"/>
        <v>0</v>
      </c>
      <c r="BG34" s="299">
        <f t="shared" si="10"/>
        <v>0</v>
      </c>
      <c r="BH34" s="511" t="e">
        <f t="shared" si="27"/>
        <v>#DIV/0!</v>
      </c>
      <c r="BI34" s="299">
        <f t="shared" si="11"/>
        <v>0</v>
      </c>
      <c r="BK34" s="299">
        <f t="shared" si="28"/>
        <v>0</v>
      </c>
      <c r="BL34" s="299">
        <f>(AI34*Pricing!F$2+AJ34*Pricing!G$2+AK34*Pricing!H$2+AL34*Pricing!I$2+AM34*Pricing!J$2+AN34*Pricing!K$2)*IF(U$46="N",(1+W$46),1)</f>
        <v>0</v>
      </c>
      <c r="BM34" s="299">
        <f t="shared" si="29"/>
        <v>0</v>
      </c>
      <c r="BN34" s="299" t="e">
        <f t="shared" si="30"/>
        <v>#DIV/0!</v>
      </c>
      <c r="BO34" s="299">
        <f t="shared" si="31"/>
        <v>0</v>
      </c>
    </row>
    <row r="35" spans="2:67" s="299" customFormat="1" ht="18" customHeight="1" x14ac:dyDescent="0.35">
      <c r="B35" s="1979"/>
      <c r="C35" s="1980"/>
      <c r="D35" s="139"/>
      <c r="E35" s="456">
        <v>1</v>
      </c>
      <c r="F35" s="872"/>
      <c r="G35" s="176">
        <v>12</v>
      </c>
      <c r="H35" s="1775"/>
      <c r="I35" s="125"/>
      <c r="J35" s="176"/>
      <c r="K35" s="126"/>
      <c r="L35" s="125"/>
      <c r="M35" s="176"/>
      <c r="N35" s="176"/>
      <c r="O35" s="234"/>
      <c r="P35" s="176"/>
      <c r="Q35" s="176"/>
      <c r="R35" s="176"/>
      <c r="S35" s="185"/>
      <c r="T35" s="874"/>
      <c r="U35" s="106"/>
      <c r="V35" s="140"/>
      <c r="W35" s="863">
        <f t="shared" si="0"/>
        <v>0</v>
      </c>
      <c r="X35" s="865">
        <f t="shared" si="1"/>
        <v>0</v>
      </c>
      <c r="Y35" s="1795" t="e">
        <f t="shared" si="12"/>
        <v>#DIV/0!</v>
      </c>
      <c r="Z35" s="1796" t="e">
        <f>BN35*(1+M$47+Summary!P$58)</f>
        <v>#DIV/0!</v>
      </c>
      <c r="AA35" s="1795" t="e">
        <f t="shared" si="13"/>
        <v>#DIV/0!</v>
      </c>
      <c r="AB35" s="1796">
        <f>(BL35+BK35)*(1+M$47+Summary!P$58)</f>
        <v>0</v>
      </c>
      <c r="AI35" s="299">
        <f t="shared" si="2"/>
        <v>0</v>
      </c>
      <c r="AJ35" s="299">
        <f t="shared" si="3"/>
        <v>0</v>
      </c>
      <c r="AK35" s="299">
        <f t="shared" si="4"/>
        <v>0</v>
      </c>
      <c r="AL35" s="299">
        <f t="shared" si="5"/>
        <v>0</v>
      </c>
      <c r="AM35" s="299">
        <f t="shared" si="6"/>
        <v>0</v>
      </c>
      <c r="AN35" s="299">
        <f t="shared" si="7"/>
        <v>0</v>
      </c>
      <c r="AO35" s="299">
        <f t="shared" si="14"/>
        <v>0</v>
      </c>
      <c r="AP35" s="299">
        <f t="shared" si="15"/>
        <v>0</v>
      </c>
      <c r="AQ35" s="299">
        <f t="shared" si="16"/>
        <v>0</v>
      </c>
      <c r="AR35" s="299">
        <f t="shared" si="17"/>
        <v>0</v>
      </c>
      <c r="AS35" s="299">
        <f t="shared" si="18"/>
        <v>0</v>
      </c>
      <c r="AT35" s="299">
        <f t="shared" si="19"/>
        <v>0</v>
      </c>
      <c r="AU35" s="299">
        <f t="shared" si="20"/>
        <v>0</v>
      </c>
      <c r="AV35" s="299">
        <f t="shared" si="21"/>
        <v>0</v>
      </c>
      <c r="AW35" s="299">
        <f t="shared" si="22"/>
        <v>0</v>
      </c>
      <c r="AX35" s="299">
        <f t="shared" si="23"/>
        <v>0</v>
      </c>
      <c r="AY35" s="299">
        <f t="shared" si="24"/>
        <v>0</v>
      </c>
      <c r="AZ35" s="299">
        <f t="shared" si="25"/>
        <v>0</v>
      </c>
      <c r="BC35" s="299">
        <f t="shared" si="26"/>
        <v>0</v>
      </c>
      <c r="BD35" s="299">
        <f>(AO35*Pricing!F$2+AP35*Pricing!G$2+AQ35*Pricing!H$2+AR35*Pricing!I$2+AS35*Pricing!J$2+AT35*Pricing!K$2+AI35*Pricing!F$2+AJ35*Pricing!G$2+AK35*Pricing!H$2+AL35*Pricing!I$2+AM35*Pricing!J$2+AN35*Pricing!K$2)*IF(U$46="N",(1+W$46),1)</f>
        <v>0</v>
      </c>
      <c r="BE35" s="299">
        <f t="shared" si="8"/>
        <v>0</v>
      </c>
      <c r="BF35" s="299">
        <f t="shared" si="9"/>
        <v>0</v>
      </c>
      <c r="BG35" s="299">
        <f t="shared" si="10"/>
        <v>0</v>
      </c>
      <c r="BH35" s="511" t="e">
        <f t="shared" si="27"/>
        <v>#DIV/0!</v>
      </c>
      <c r="BI35" s="299">
        <f t="shared" si="11"/>
        <v>0</v>
      </c>
      <c r="BK35" s="299">
        <f t="shared" si="28"/>
        <v>0</v>
      </c>
      <c r="BL35" s="299">
        <f>(AI35*Pricing!F$2+AJ35*Pricing!G$2+AK35*Pricing!H$2+AL35*Pricing!I$2+AM35*Pricing!J$2+AN35*Pricing!K$2)*IF(U$46="N",(1+W$46),1)</f>
        <v>0</v>
      </c>
      <c r="BM35" s="299">
        <f t="shared" si="29"/>
        <v>0</v>
      </c>
      <c r="BN35" s="299" t="e">
        <f t="shared" si="30"/>
        <v>#DIV/0!</v>
      </c>
      <c r="BO35" s="299">
        <f t="shared" si="31"/>
        <v>0</v>
      </c>
    </row>
    <row r="36" spans="2:67" s="299" customFormat="1" ht="18" customHeight="1" x14ac:dyDescent="0.35">
      <c r="B36" s="1979"/>
      <c r="C36" s="1980"/>
      <c r="D36" s="139"/>
      <c r="E36" s="456"/>
      <c r="F36" s="872"/>
      <c r="G36" s="176"/>
      <c r="H36" s="126"/>
      <c r="I36" s="125"/>
      <c r="J36" s="176"/>
      <c r="K36" s="126"/>
      <c r="L36" s="125"/>
      <c r="M36" s="176"/>
      <c r="N36" s="176"/>
      <c r="O36" s="234"/>
      <c r="P36" s="176"/>
      <c r="Q36" s="176"/>
      <c r="R36" s="176"/>
      <c r="S36" s="185"/>
      <c r="T36" s="874"/>
      <c r="U36" s="106"/>
      <c r="V36" s="140"/>
      <c r="W36" s="863">
        <f t="shared" si="0"/>
        <v>0</v>
      </c>
      <c r="X36" s="865">
        <f t="shared" si="1"/>
        <v>0</v>
      </c>
      <c r="Y36" s="1795" t="e">
        <f t="shared" si="12"/>
        <v>#DIV/0!</v>
      </c>
      <c r="Z36" s="1796" t="e">
        <f>BN36*(1+M$47+Summary!P$58)</f>
        <v>#DIV/0!</v>
      </c>
      <c r="AA36" s="1795" t="e">
        <f t="shared" si="13"/>
        <v>#DIV/0!</v>
      </c>
      <c r="AB36" s="1796">
        <f>(BL36+BK36)*(1+M$47+Summary!P$58)</f>
        <v>0</v>
      </c>
      <c r="AI36" s="299">
        <f t="shared" si="2"/>
        <v>0</v>
      </c>
      <c r="AJ36" s="299">
        <f t="shared" si="3"/>
        <v>0</v>
      </c>
      <c r="AK36" s="299">
        <f t="shared" si="4"/>
        <v>0</v>
      </c>
      <c r="AL36" s="299">
        <f t="shared" si="5"/>
        <v>0</v>
      </c>
      <c r="AM36" s="299">
        <f t="shared" si="6"/>
        <v>0</v>
      </c>
      <c r="AN36" s="299">
        <f t="shared" si="7"/>
        <v>0</v>
      </c>
      <c r="AO36" s="299">
        <f t="shared" si="14"/>
        <v>0</v>
      </c>
      <c r="AP36" s="299">
        <f t="shared" si="15"/>
        <v>0</v>
      </c>
      <c r="AQ36" s="299">
        <f t="shared" si="16"/>
        <v>0</v>
      </c>
      <c r="AR36" s="299">
        <f t="shared" si="17"/>
        <v>0</v>
      </c>
      <c r="AS36" s="299">
        <f t="shared" si="18"/>
        <v>0</v>
      </c>
      <c r="AT36" s="299">
        <f t="shared" si="19"/>
        <v>0</v>
      </c>
      <c r="AU36" s="299">
        <f t="shared" si="20"/>
        <v>0</v>
      </c>
      <c r="AV36" s="299">
        <f t="shared" si="21"/>
        <v>0</v>
      </c>
      <c r="AW36" s="299">
        <f t="shared" si="22"/>
        <v>0</v>
      </c>
      <c r="AX36" s="299">
        <f t="shared" si="23"/>
        <v>0</v>
      </c>
      <c r="AY36" s="299">
        <f t="shared" si="24"/>
        <v>0</v>
      </c>
      <c r="AZ36" s="299">
        <f t="shared" si="25"/>
        <v>0</v>
      </c>
      <c r="BC36" s="299">
        <f t="shared" si="26"/>
        <v>0</v>
      </c>
      <c r="BD36" s="299">
        <f>(AO36*Pricing!F$2+AP36*Pricing!G$2+AQ36*Pricing!H$2+AR36*Pricing!I$2+AS36*Pricing!J$2+AT36*Pricing!K$2+AI36*Pricing!F$2+AJ36*Pricing!G$2+AK36*Pricing!H$2+AL36*Pricing!I$2+AM36*Pricing!J$2+AN36*Pricing!K$2)*IF(U$46="N",(1+W$46),1)</f>
        <v>0</v>
      </c>
      <c r="BE36" s="299">
        <f t="shared" si="8"/>
        <v>0</v>
      </c>
      <c r="BF36" s="299">
        <f t="shared" si="9"/>
        <v>0</v>
      </c>
      <c r="BG36" s="299">
        <f t="shared" si="10"/>
        <v>0</v>
      </c>
      <c r="BH36" s="511" t="e">
        <f t="shared" si="27"/>
        <v>#DIV/0!</v>
      </c>
      <c r="BI36" s="299">
        <f t="shared" si="11"/>
        <v>0</v>
      </c>
      <c r="BK36" s="299">
        <f t="shared" si="28"/>
        <v>0</v>
      </c>
      <c r="BL36" s="299">
        <f>(AI36*Pricing!F$2+AJ36*Pricing!G$2+AK36*Pricing!H$2+AL36*Pricing!I$2+AM36*Pricing!J$2+AN36*Pricing!K$2)*IF(U$46="N",(1+W$46),1)</f>
        <v>0</v>
      </c>
      <c r="BM36" s="299">
        <f t="shared" si="29"/>
        <v>0</v>
      </c>
      <c r="BN36" s="299" t="e">
        <f t="shared" si="30"/>
        <v>#DIV/0!</v>
      </c>
      <c r="BO36" s="299">
        <f t="shared" si="31"/>
        <v>0</v>
      </c>
    </row>
    <row r="37" spans="2:67" s="299" customFormat="1" ht="18" customHeight="1" x14ac:dyDescent="0.35">
      <c r="B37" s="1979"/>
      <c r="C37" s="1980"/>
      <c r="D37" s="139"/>
      <c r="E37" s="456"/>
      <c r="F37" s="872"/>
      <c r="G37" s="176"/>
      <c r="H37" s="126"/>
      <c r="I37" s="125"/>
      <c r="J37" s="176"/>
      <c r="K37" s="126"/>
      <c r="L37" s="125"/>
      <c r="M37" s="176"/>
      <c r="N37" s="176"/>
      <c r="O37" s="234"/>
      <c r="P37" s="176"/>
      <c r="Q37" s="176"/>
      <c r="R37" s="176"/>
      <c r="S37" s="185"/>
      <c r="T37" s="874"/>
      <c r="U37" s="106"/>
      <c r="V37" s="140"/>
      <c r="W37" s="863">
        <f t="shared" si="0"/>
        <v>0</v>
      </c>
      <c r="X37" s="865">
        <f t="shared" si="1"/>
        <v>0</v>
      </c>
      <c r="Y37" s="1795" t="e">
        <f t="shared" si="12"/>
        <v>#DIV/0!</v>
      </c>
      <c r="Z37" s="1796" t="e">
        <f>BN37*(1+M$47+Summary!P$58)</f>
        <v>#DIV/0!</v>
      </c>
      <c r="AA37" s="1795" t="e">
        <f t="shared" si="13"/>
        <v>#DIV/0!</v>
      </c>
      <c r="AB37" s="1796">
        <f>(BL37+BK37)*(1+M$47+Summary!P$58)</f>
        <v>0</v>
      </c>
      <c r="AI37" s="299">
        <f t="shared" si="2"/>
        <v>0</v>
      </c>
      <c r="AJ37" s="299">
        <f t="shared" si="3"/>
        <v>0</v>
      </c>
      <c r="AK37" s="299">
        <f t="shared" si="4"/>
        <v>0</v>
      </c>
      <c r="AL37" s="299">
        <f t="shared" si="5"/>
        <v>0</v>
      </c>
      <c r="AM37" s="299">
        <f t="shared" si="6"/>
        <v>0</v>
      </c>
      <c r="AN37" s="299">
        <f t="shared" si="7"/>
        <v>0</v>
      </c>
      <c r="AO37" s="299">
        <f t="shared" si="14"/>
        <v>0</v>
      </c>
      <c r="AP37" s="299">
        <f t="shared" si="15"/>
        <v>0</v>
      </c>
      <c r="AQ37" s="299">
        <f t="shared" si="16"/>
        <v>0</v>
      </c>
      <c r="AR37" s="299">
        <f t="shared" si="17"/>
        <v>0</v>
      </c>
      <c r="AS37" s="299">
        <f t="shared" si="18"/>
        <v>0</v>
      </c>
      <c r="AT37" s="299">
        <f t="shared" si="19"/>
        <v>0</v>
      </c>
      <c r="AU37" s="299">
        <f t="shared" si="20"/>
        <v>0</v>
      </c>
      <c r="AV37" s="299">
        <f t="shared" si="21"/>
        <v>0</v>
      </c>
      <c r="AW37" s="299">
        <f t="shared" si="22"/>
        <v>0</v>
      </c>
      <c r="AX37" s="299">
        <f t="shared" si="23"/>
        <v>0</v>
      </c>
      <c r="AY37" s="299">
        <f t="shared" si="24"/>
        <v>0</v>
      </c>
      <c r="AZ37" s="299">
        <f t="shared" si="25"/>
        <v>0</v>
      </c>
      <c r="BC37" s="299">
        <f t="shared" si="26"/>
        <v>0</v>
      </c>
      <c r="BD37" s="299">
        <f>(AO37*Pricing!F$2+AP37*Pricing!G$2+AQ37*Pricing!H$2+AR37*Pricing!I$2+AS37*Pricing!J$2+AT37*Pricing!K$2+AI37*Pricing!F$2+AJ37*Pricing!G$2+AK37*Pricing!H$2+AL37*Pricing!I$2+AM37*Pricing!J$2+AN37*Pricing!K$2)*IF(U$46="N",(1+W$46),1)</f>
        <v>0</v>
      </c>
      <c r="BE37" s="299">
        <f t="shared" si="8"/>
        <v>0</v>
      </c>
      <c r="BF37" s="299">
        <f t="shared" si="9"/>
        <v>0</v>
      </c>
      <c r="BG37" s="299">
        <f t="shared" si="10"/>
        <v>0</v>
      </c>
      <c r="BH37" s="511" t="e">
        <f t="shared" si="27"/>
        <v>#DIV/0!</v>
      </c>
      <c r="BI37" s="299">
        <f t="shared" si="11"/>
        <v>0</v>
      </c>
      <c r="BK37" s="299">
        <f t="shared" si="28"/>
        <v>0</v>
      </c>
      <c r="BL37" s="299">
        <f>(AI37*Pricing!F$2+AJ37*Pricing!G$2+AK37*Pricing!H$2+AL37*Pricing!I$2+AM37*Pricing!J$2+AN37*Pricing!K$2)*IF(U$46="N",(1+W$46),1)</f>
        <v>0</v>
      </c>
      <c r="BM37" s="299">
        <f t="shared" si="29"/>
        <v>0</v>
      </c>
      <c r="BN37" s="299" t="e">
        <f t="shared" si="30"/>
        <v>#DIV/0!</v>
      </c>
      <c r="BO37" s="299">
        <f t="shared" si="31"/>
        <v>0</v>
      </c>
    </row>
    <row r="38" spans="2:67" s="299" customFormat="1" ht="18" customHeight="1" x14ac:dyDescent="0.35">
      <c r="B38" s="1979"/>
      <c r="C38" s="1980"/>
      <c r="D38" s="139"/>
      <c r="E38" s="456"/>
      <c r="F38" s="872"/>
      <c r="G38" s="176"/>
      <c r="H38" s="126"/>
      <c r="I38" s="125"/>
      <c r="J38" s="176"/>
      <c r="K38" s="126"/>
      <c r="L38" s="125"/>
      <c r="M38" s="176"/>
      <c r="N38" s="176"/>
      <c r="O38" s="234"/>
      <c r="P38" s="176"/>
      <c r="Q38" s="176"/>
      <c r="R38" s="176"/>
      <c r="S38" s="185"/>
      <c r="T38" s="874"/>
      <c r="U38" s="106"/>
      <c r="V38" s="140"/>
      <c r="W38" s="863">
        <f t="shared" si="0"/>
        <v>0</v>
      </c>
      <c r="X38" s="865">
        <f t="shared" si="1"/>
        <v>0</v>
      </c>
      <c r="Y38" s="1795" t="e">
        <f t="shared" si="12"/>
        <v>#DIV/0!</v>
      </c>
      <c r="Z38" s="1796" t="e">
        <f>BN38*(1+M$47+Summary!P$58)</f>
        <v>#DIV/0!</v>
      </c>
      <c r="AA38" s="1795" t="e">
        <f t="shared" si="13"/>
        <v>#DIV/0!</v>
      </c>
      <c r="AB38" s="1796">
        <f>(BL38+BK38)*(1+M$47+Summary!P$58)</f>
        <v>0</v>
      </c>
      <c r="AI38" s="299">
        <f t="shared" si="2"/>
        <v>0</v>
      </c>
      <c r="AJ38" s="299">
        <f t="shared" si="3"/>
        <v>0</v>
      </c>
      <c r="AK38" s="299">
        <f t="shared" si="4"/>
        <v>0</v>
      </c>
      <c r="AL38" s="299">
        <f t="shared" si="5"/>
        <v>0</v>
      </c>
      <c r="AM38" s="299">
        <f t="shared" si="6"/>
        <v>0</v>
      </c>
      <c r="AN38" s="299">
        <f t="shared" si="7"/>
        <v>0</v>
      </c>
      <c r="AO38" s="299">
        <f t="shared" si="14"/>
        <v>0</v>
      </c>
      <c r="AP38" s="299">
        <f t="shared" si="15"/>
        <v>0</v>
      </c>
      <c r="AQ38" s="299">
        <f t="shared" si="16"/>
        <v>0</v>
      </c>
      <c r="AR38" s="299">
        <f t="shared" si="17"/>
        <v>0</v>
      </c>
      <c r="AS38" s="299">
        <f t="shared" si="18"/>
        <v>0</v>
      </c>
      <c r="AT38" s="299">
        <f t="shared" si="19"/>
        <v>0</v>
      </c>
      <c r="AU38" s="299">
        <f t="shared" si="20"/>
        <v>0</v>
      </c>
      <c r="AV38" s="299">
        <f t="shared" si="21"/>
        <v>0</v>
      </c>
      <c r="AW38" s="299">
        <f t="shared" si="22"/>
        <v>0</v>
      </c>
      <c r="AX38" s="299">
        <f t="shared" si="23"/>
        <v>0</v>
      </c>
      <c r="AY38" s="299">
        <f t="shared" si="24"/>
        <v>0</v>
      </c>
      <c r="AZ38" s="299">
        <f t="shared" si="25"/>
        <v>0</v>
      </c>
      <c r="BC38" s="299">
        <f t="shared" si="26"/>
        <v>0</v>
      </c>
      <c r="BD38" s="299">
        <f>(AO38*Pricing!F$2+AP38*Pricing!G$2+AQ38*Pricing!H$2+AR38*Pricing!I$2+AS38*Pricing!J$2+AT38*Pricing!K$2+AI38*Pricing!F$2+AJ38*Pricing!G$2+AK38*Pricing!H$2+AL38*Pricing!I$2+AM38*Pricing!J$2+AN38*Pricing!K$2)*IF(U$46="N",(1+W$46),1)</f>
        <v>0</v>
      </c>
      <c r="BE38" s="299">
        <f t="shared" si="8"/>
        <v>0</v>
      </c>
      <c r="BF38" s="299">
        <f t="shared" si="9"/>
        <v>0</v>
      </c>
      <c r="BG38" s="299">
        <f t="shared" si="10"/>
        <v>0</v>
      </c>
      <c r="BH38" s="511" t="e">
        <f t="shared" si="27"/>
        <v>#DIV/0!</v>
      </c>
      <c r="BI38" s="299">
        <f t="shared" si="11"/>
        <v>0</v>
      </c>
      <c r="BK38" s="299">
        <f t="shared" si="28"/>
        <v>0</v>
      </c>
      <c r="BL38" s="299">
        <f>(AI38*Pricing!F$2+AJ38*Pricing!G$2+AK38*Pricing!H$2+AL38*Pricing!I$2+AM38*Pricing!J$2+AN38*Pricing!K$2)*IF(U$46="N",(1+W$46),1)</f>
        <v>0</v>
      </c>
      <c r="BM38" s="299">
        <f t="shared" si="29"/>
        <v>0</v>
      </c>
      <c r="BN38" s="299" t="e">
        <f t="shared" si="30"/>
        <v>#DIV/0!</v>
      </c>
      <c r="BO38" s="299">
        <f t="shared" si="31"/>
        <v>0</v>
      </c>
    </row>
    <row r="39" spans="2:67" s="299" customFormat="1" ht="18" customHeight="1" x14ac:dyDescent="0.35">
      <c r="B39" s="1979"/>
      <c r="C39" s="1980"/>
      <c r="D39" s="139"/>
      <c r="E39" s="456"/>
      <c r="F39" s="872"/>
      <c r="G39" s="176"/>
      <c r="H39" s="126"/>
      <c r="I39" s="125"/>
      <c r="J39" s="176"/>
      <c r="K39" s="126"/>
      <c r="L39" s="125"/>
      <c r="M39" s="176"/>
      <c r="N39" s="176"/>
      <c r="O39" s="234"/>
      <c r="P39" s="176"/>
      <c r="Q39" s="176"/>
      <c r="R39" s="176"/>
      <c r="S39" s="185"/>
      <c r="T39" s="874"/>
      <c r="U39" s="106"/>
      <c r="V39" s="140"/>
      <c r="W39" s="863">
        <f t="shared" si="0"/>
        <v>0</v>
      </c>
      <c r="X39" s="865">
        <f t="shared" si="1"/>
        <v>0</v>
      </c>
      <c r="Y39" s="1795" t="e">
        <f t="shared" si="12"/>
        <v>#DIV/0!</v>
      </c>
      <c r="Z39" s="1796" t="e">
        <f>BN39*(1+M$47+Summary!P$58)</f>
        <v>#DIV/0!</v>
      </c>
      <c r="AA39" s="1795" t="e">
        <f t="shared" si="13"/>
        <v>#DIV/0!</v>
      </c>
      <c r="AB39" s="1796">
        <f>(BL39+BK39)*(1+M$47+Summary!P$58)</f>
        <v>0</v>
      </c>
      <c r="AI39" s="299">
        <f t="shared" si="2"/>
        <v>0</v>
      </c>
      <c r="AJ39" s="299">
        <f t="shared" si="3"/>
        <v>0</v>
      </c>
      <c r="AK39" s="299">
        <f t="shared" si="4"/>
        <v>0</v>
      </c>
      <c r="AL39" s="299">
        <f t="shared" si="5"/>
        <v>0</v>
      </c>
      <c r="AM39" s="299">
        <f t="shared" si="6"/>
        <v>0</v>
      </c>
      <c r="AN39" s="299">
        <f t="shared" si="7"/>
        <v>0</v>
      </c>
      <c r="AO39" s="299">
        <f t="shared" si="14"/>
        <v>0</v>
      </c>
      <c r="AP39" s="299">
        <f t="shared" si="15"/>
        <v>0</v>
      </c>
      <c r="AQ39" s="299">
        <f t="shared" si="16"/>
        <v>0</v>
      </c>
      <c r="AR39" s="299">
        <f t="shared" si="17"/>
        <v>0</v>
      </c>
      <c r="AS39" s="299">
        <f t="shared" si="18"/>
        <v>0</v>
      </c>
      <c r="AT39" s="299">
        <f t="shared" si="19"/>
        <v>0</v>
      </c>
      <c r="AU39" s="299">
        <f t="shared" si="20"/>
        <v>0</v>
      </c>
      <c r="AV39" s="299">
        <f t="shared" si="21"/>
        <v>0</v>
      </c>
      <c r="AW39" s="299">
        <f t="shared" si="22"/>
        <v>0</v>
      </c>
      <c r="AX39" s="299">
        <f t="shared" si="23"/>
        <v>0</v>
      </c>
      <c r="AY39" s="299">
        <f t="shared" si="24"/>
        <v>0</v>
      </c>
      <c r="AZ39" s="299">
        <f t="shared" si="25"/>
        <v>0</v>
      </c>
      <c r="BC39" s="299">
        <f t="shared" si="26"/>
        <v>0</v>
      </c>
      <c r="BD39" s="299">
        <f>(AO39*Pricing!F$2+AP39*Pricing!G$2+AQ39*Pricing!H$2+AR39*Pricing!I$2+AS39*Pricing!J$2+AT39*Pricing!K$2+AI39*Pricing!F$2+AJ39*Pricing!G$2+AK39*Pricing!H$2+AL39*Pricing!I$2+AM39*Pricing!J$2+AN39*Pricing!K$2)*IF(U$46="N",(1+W$46),1)</f>
        <v>0</v>
      </c>
      <c r="BE39" s="299">
        <f t="shared" si="8"/>
        <v>0</v>
      </c>
      <c r="BF39" s="299">
        <f t="shared" si="9"/>
        <v>0</v>
      </c>
      <c r="BG39" s="299">
        <f t="shared" si="10"/>
        <v>0</v>
      </c>
      <c r="BH39" s="511" t="e">
        <f t="shared" si="27"/>
        <v>#DIV/0!</v>
      </c>
      <c r="BI39" s="299">
        <f t="shared" si="11"/>
        <v>0</v>
      </c>
      <c r="BK39" s="299">
        <f t="shared" si="28"/>
        <v>0</v>
      </c>
      <c r="BL39" s="299">
        <f>(AI39*Pricing!F$2+AJ39*Pricing!G$2+AK39*Pricing!H$2+AL39*Pricing!I$2+AM39*Pricing!J$2+AN39*Pricing!K$2)*IF(U$46="N",(1+W$46),1)</f>
        <v>0</v>
      </c>
      <c r="BM39" s="299">
        <f t="shared" si="29"/>
        <v>0</v>
      </c>
      <c r="BN39" s="299" t="e">
        <f t="shared" si="30"/>
        <v>#DIV/0!</v>
      </c>
      <c r="BO39" s="299">
        <f t="shared" si="31"/>
        <v>0</v>
      </c>
    </row>
    <row r="40" spans="2:67" s="299" customFormat="1" ht="18" customHeight="1" x14ac:dyDescent="0.35">
      <c r="B40" s="2606"/>
      <c r="C40" s="1980"/>
      <c r="D40" s="139"/>
      <c r="E40" s="456"/>
      <c r="F40" s="872"/>
      <c r="G40" s="176"/>
      <c r="H40" s="126"/>
      <c r="I40" s="125"/>
      <c r="J40" s="176"/>
      <c r="K40" s="126"/>
      <c r="L40" s="125"/>
      <c r="M40" s="176"/>
      <c r="N40" s="176"/>
      <c r="O40" s="234"/>
      <c r="P40" s="176"/>
      <c r="Q40" s="176"/>
      <c r="R40" s="176"/>
      <c r="S40" s="185"/>
      <c r="T40" s="874"/>
      <c r="U40" s="106"/>
      <c r="V40" s="140"/>
      <c r="W40" s="863">
        <f t="shared" si="0"/>
        <v>0</v>
      </c>
      <c r="X40" s="865">
        <f t="shared" si="1"/>
        <v>0</v>
      </c>
      <c r="Y40" s="1795" t="e">
        <f t="shared" si="12"/>
        <v>#DIV/0!</v>
      </c>
      <c r="Z40" s="1796" t="e">
        <f>BN40*(1+M$47+Summary!P$58)</f>
        <v>#DIV/0!</v>
      </c>
      <c r="AA40" s="1795" t="e">
        <f t="shared" si="13"/>
        <v>#DIV/0!</v>
      </c>
      <c r="AB40" s="1796">
        <f>(BL40+BK40)*(1+M$47+Summary!P$58)</f>
        <v>0</v>
      </c>
      <c r="AI40" s="299">
        <f t="shared" si="2"/>
        <v>0</v>
      </c>
      <c r="AJ40" s="299">
        <f t="shared" si="3"/>
        <v>0</v>
      </c>
      <c r="AK40" s="299">
        <f t="shared" si="4"/>
        <v>0</v>
      </c>
      <c r="AL40" s="299">
        <f t="shared" si="5"/>
        <v>0</v>
      </c>
      <c r="AM40" s="299">
        <f t="shared" si="6"/>
        <v>0</v>
      </c>
      <c r="AN40" s="299">
        <f t="shared" si="7"/>
        <v>0</v>
      </c>
      <c r="AO40" s="299">
        <f t="shared" si="14"/>
        <v>0</v>
      </c>
      <c r="AP40" s="299">
        <f t="shared" si="15"/>
        <v>0</v>
      </c>
      <c r="AQ40" s="299">
        <f t="shared" si="16"/>
        <v>0</v>
      </c>
      <c r="AR40" s="299">
        <f t="shared" si="17"/>
        <v>0</v>
      </c>
      <c r="AS40" s="299">
        <f t="shared" si="18"/>
        <v>0</v>
      </c>
      <c r="AT40" s="299">
        <f t="shared" si="19"/>
        <v>0</v>
      </c>
      <c r="AU40" s="299">
        <f t="shared" si="20"/>
        <v>0</v>
      </c>
      <c r="AV40" s="299">
        <f t="shared" si="21"/>
        <v>0</v>
      </c>
      <c r="AW40" s="299">
        <f t="shared" si="22"/>
        <v>0</v>
      </c>
      <c r="AX40" s="299">
        <f t="shared" si="23"/>
        <v>0</v>
      </c>
      <c r="AY40" s="299">
        <f t="shared" si="24"/>
        <v>0</v>
      </c>
      <c r="AZ40" s="299">
        <f t="shared" si="25"/>
        <v>0</v>
      </c>
      <c r="BC40" s="299">
        <f t="shared" si="26"/>
        <v>0</v>
      </c>
      <c r="BD40" s="299">
        <f>(AO40*Pricing!F$2+AP40*Pricing!G$2+AQ40*Pricing!H$2+AR40*Pricing!I$2+AS40*Pricing!J$2+AT40*Pricing!K$2+AI40*Pricing!F$2+AJ40*Pricing!G$2+AK40*Pricing!H$2+AL40*Pricing!I$2+AM40*Pricing!J$2+AN40*Pricing!K$2)*IF(U$46="N",(1+W$46),1)</f>
        <v>0</v>
      </c>
      <c r="BE40" s="299">
        <f t="shared" si="8"/>
        <v>0</v>
      </c>
      <c r="BF40" s="299">
        <f t="shared" si="9"/>
        <v>0</v>
      </c>
      <c r="BG40" s="299">
        <f t="shared" si="10"/>
        <v>0</v>
      </c>
      <c r="BH40" s="511" t="e">
        <f t="shared" si="27"/>
        <v>#DIV/0!</v>
      </c>
      <c r="BI40" s="299">
        <f t="shared" si="11"/>
        <v>0</v>
      </c>
      <c r="BK40" s="299">
        <f t="shared" si="28"/>
        <v>0</v>
      </c>
      <c r="BL40" s="299">
        <f>(AI40*Pricing!F$2+AJ40*Pricing!G$2+AK40*Pricing!H$2+AL40*Pricing!I$2+AM40*Pricing!J$2+AN40*Pricing!K$2)*IF(U$46="N",(1+W$46),1)</f>
        <v>0</v>
      </c>
      <c r="BM40" s="299">
        <f t="shared" si="29"/>
        <v>0</v>
      </c>
      <c r="BN40" s="299" t="e">
        <f t="shared" si="30"/>
        <v>#DIV/0!</v>
      </c>
      <c r="BO40" s="299">
        <f t="shared" si="31"/>
        <v>0</v>
      </c>
    </row>
    <row r="41" spans="2:67" s="299" customFormat="1" ht="18" customHeight="1" x14ac:dyDescent="0.35">
      <c r="B41" s="1979">
        <f>I70*G48</f>
        <v>0</v>
      </c>
      <c r="C41" s="1980"/>
      <c r="D41" s="139"/>
      <c r="E41" s="456"/>
      <c r="F41" s="872"/>
      <c r="G41" s="176"/>
      <c r="H41" s="126"/>
      <c r="I41" s="125"/>
      <c r="J41" s="176"/>
      <c r="K41" s="126"/>
      <c r="L41" s="125"/>
      <c r="M41" s="176"/>
      <c r="N41" s="176"/>
      <c r="O41" s="234"/>
      <c r="P41" s="176"/>
      <c r="Q41" s="176"/>
      <c r="R41" s="176"/>
      <c r="S41" s="185"/>
      <c r="T41" s="874"/>
      <c r="U41" s="106"/>
      <c r="V41" s="140"/>
      <c r="W41" s="863">
        <f t="shared" si="0"/>
        <v>0</v>
      </c>
      <c r="X41" s="865">
        <f t="shared" si="1"/>
        <v>0</v>
      </c>
      <c r="Y41" s="1795" t="e">
        <f t="shared" si="12"/>
        <v>#DIV/0!</v>
      </c>
      <c r="Z41" s="1796" t="e">
        <f>BN41*(1+M$47+Summary!P$58)</f>
        <v>#DIV/0!</v>
      </c>
      <c r="AA41" s="1795" t="e">
        <f t="shared" si="13"/>
        <v>#DIV/0!</v>
      </c>
      <c r="AB41" s="1796">
        <f>(BL41+BK41)*(1+M$47+Summary!P$58)</f>
        <v>0</v>
      </c>
      <c r="AI41" s="299">
        <f t="shared" si="2"/>
        <v>0</v>
      </c>
      <c r="AJ41" s="299">
        <f t="shared" si="3"/>
        <v>0</v>
      </c>
      <c r="AK41" s="299">
        <f t="shared" si="4"/>
        <v>0</v>
      </c>
      <c r="AL41" s="299">
        <f t="shared" si="5"/>
        <v>0</v>
      </c>
      <c r="AM41" s="299">
        <f t="shared" si="6"/>
        <v>0</v>
      </c>
      <c r="AN41" s="299">
        <f t="shared" si="7"/>
        <v>0</v>
      </c>
      <c r="AO41" s="299">
        <f t="shared" si="14"/>
        <v>0</v>
      </c>
      <c r="AP41" s="299">
        <f t="shared" si="15"/>
        <v>0</v>
      </c>
      <c r="AQ41" s="299">
        <f t="shared" si="16"/>
        <v>0</v>
      </c>
      <c r="AR41" s="299">
        <f t="shared" si="17"/>
        <v>0</v>
      </c>
      <c r="AS41" s="299">
        <f t="shared" si="18"/>
        <v>0</v>
      </c>
      <c r="AT41" s="299">
        <f t="shared" si="19"/>
        <v>0</v>
      </c>
      <c r="AU41" s="299">
        <f t="shared" si="20"/>
        <v>0</v>
      </c>
      <c r="AV41" s="299">
        <f t="shared" si="21"/>
        <v>0</v>
      </c>
      <c r="AW41" s="299">
        <f t="shared" si="22"/>
        <v>0</v>
      </c>
      <c r="AX41" s="299">
        <f t="shared" si="23"/>
        <v>0</v>
      </c>
      <c r="AY41" s="299">
        <f t="shared" si="24"/>
        <v>0</v>
      </c>
      <c r="AZ41" s="299">
        <f t="shared" si="25"/>
        <v>0</v>
      </c>
      <c r="BC41" s="299">
        <f t="shared" si="26"/>
        <v>0</v>
      </c>
      <c r="BD41" s="299">
        <f>(AO41*Pricing!F$2+AP41*Pricing!G$2+AQ41*Pricing!H$2+AR41*Pricing!I$2+AS41*Pricing!J$2+AT41*Pricing!K$2+AI41*Pricing!F$2+AJ41*Pricing!G$2+AK41*Pricing!H$2+AL41*Pricing!I$2+AM41*Pricing!J$2+AN41*Pricing!K$2)*IF(U$46="N",(1+W$46),1)</f>
        <v>0</v>
      </c>
      <c r="BE41" s="299">
        <f t="shared" si="8"/>
        <v>0</v>
      </c>
      <c r="BF41" s="299">
        <f t="shared" si="9"/>
        <v>0</v>
      </c>
      <c r="BG41" s="299">
        <f t="shared" si="10"/>
        <v>0</v>
      </c>
      <c r="BH41" s="511" t="e">
        <f t="shared" si="27"/>
        <v>#DIV/0!</v>
      </c>
      <c r="BI41" s="299">
        <f t="shared" si="11"/>
        <v>0</v>
      </c>
      <c r="BK41" s="299">
        <f t="shared" si="28"/>
        <v>0</v>
      </c>
      <c r="BL41" s="299">
        <f>(AI41*Pricing!F$2+AJ41*Pricing!G$2+AK41*Pricing!H$2+AL41*Pricing!I$2+AM41*Pricing!J$2+AN41*Pricing!K$2)*IF(U$46="N",(1+W$46),1)</f>
        <v>0</v>
      </c>
      <c r="BM41" s="299">
        <f t="shared" si="29"/>
        <v>0</v>
      </c>
      <c r="BN41" s="299" t="e">
        <f t="shared" si="30"/>
        <v>#DIV/0!</v>
      </c>
      <c r="BO41" s="299">
        <f t="shared" si="31"/>
        <v>0</v>
      </c>
    </row>
    <row r="42" spans="2:67" s="299" customFormat="1" ht="18" customHeight="1" thickBot="1" x14ac:dyDescent="0.4">
      <c r="B42" s="2069"/>
      <c r="C42" s="2070"/>
      <c r="D42" s="189"/>
      <c r="E42" s="457"/>
      <c r="F42" s="873"/>
      <c r="G42" s="33"/>
      <c r="H42" s="181"/>
      <c r="I42" s="130"/>
      <c r="J42" s="182"/>
      <c r="K42" s="181"/>
      <c r="L42" s="130"/>
      <c r="M42" s="182"/>
      <c r="N42" s="182"/>
      <c r="O42" s="235"/>
      <c r="P42" s="182"/>
      <c r="Q42" s="182"/>
      <c r="R42" s="182"/>
      <c r="S42" s="222"/>
      <c r="T42" s="875"/>
      <c r="U42" s="188"/>
      <c r="V42" s="430"/>
      <c r="W42" s="863">
        <f t="shared" si="0"/>
        <v>0</v>
      </c>
      <c r="X42" s="865">
        <f t="shared" si="1"/>
        <v>0</v>
      </c>
      <c r="Y42" s="1797" t="e">
        <f t="shared" si="12"/>
        <v>#DIV/0!</v>
      </c>
      <c r="Z42" s="1798" t="e">
        <f>BN42*(1+M$47+Summary!P$58)</f>
        <v>#DIV/0!</v>
      </c>
      <c r="AA42" s="1799" t="e">
        <f t="shared" si="13"/>
        <v>#DIV/0!</v>
      </c>
      <c r="AB42" s="1798">
        <f>(BL42+BK42)*(1+M$47+Summary!P$58)</f>
        <v>0</v>
      </c>
      <c r="AI42" s="299">
        <f t="shared" si="2"/>
        <v>0</v>
      </c>
      <c r="AJ42" s="299">
        <f t="shared" si="3"/>
        <v>0</v>
      </c>
      <c r="AK42" s="299">
        <f t="shared" si="4"/>
        <v>0</v>
      </c>
      <c r="AL42" s="299">
        <f t="shared" si="5"/>
        <v>0</v>
      </c>
      <c r="AM42" s="299">
        <f t="shared" si="6"/>
        <v>0</v>
      </c>
      <c r="AN42" s="299">
        <f t="shared" si="7"/>
        <v>0</v>
      </c>
      <c r="AO42" s="299">
        <f t="shared" si="14"/>
        <v>0</v>
      </c>
      <c r="AP42" s="299">
        <f t="shared" si="15"/>
        <v>0</v>
      </c>
      <c r="AQ42" s="299">
        <f t="shared" si="16"/>
        <v>0</v>
      </c>
      <c r="AR42" s="299">
        <f t="shared" si="17"/>
        <v>0</v>
      </c>
      <c r="AS42" s="299">
        <f t="shared" si="18"/>
        <v>0</v>
      </c>
      <c r="AT42" s="299">
        <f t="shared" si="19"/>
        <v>0</v>
      </c>
      <c r="AU42" s="299">
        <f t="shared" si="20"/>
        <v>0</v>
      </c>
      <c r="AV42" s="299">
        <f t="shared" si="21"/>
        <v>0</v>
      </c>
      <c r="AW42" s="299">
        <f t="shared" si="22"/>
        <v>0</v>
      </c>
      <c r="AX42" s="299">
        <f t="shared" si="23"/>
        <v>0</v>
      </c>
      <c r="AY42" s="299">
        <f t="shared" si="24"/>
        <v>0</v>
      </c>
      <c r="AZ42" s="299">
        <f t="shared" si="25"/>
        <v>0</v>
      </c>
      <c r="BC42" s="299">
        <f t="shared" si="26"/>
        <v>0</v>
      </c>
      <c r="BD42" s="299">
        <f>(AO42*Pricing!F$2+AP42*Pricing!G$2+AQ42*Pricing!H$2+AR42*Pricing!I$2+AS42*Pricing!J$2+AT42*Pricing!K$2+AI42*Pricing!F$2+AJ42*Pricing!G$2+AK42*Pricing!H$2+AL42*Pricing!I$2+AM42*Pricing!J$2+AN42*Pricing!K$2)*IF(U$46="N",(1+W$46),1)</f>
        <v>0</v>
      </c>
      <c r="BE42" s="299">
        <f t="shared" si="8"/>
        <v>0</v>
      </c>
      <c r="BF42" s="299">
        <f t="shared" si="9"/>
        <v>0</v>
      </c>
      <c r="BG42" s="299">
        <f t="shared" si="10"/>
        <v>0</v>
      </c>
      <c r="BH42" s="511" t="e">
        <f t="shared" si="27"/>
        <v>#DIV/0!</v>
      </c>
      <c r="BI42" s="299">
        <f t="shared" si="11"/>
        <v>0</v>
      </c>
      <c r="BK42" s="299">
        <f t="shared" si="28"/>
        <v>0</v>
      </c>
      <c r="BL42" s="299">
        <f>(AI42*Pricing!F$2+AJ42*Pricing!G$2+AK42*Pricing!H$2+AL42*Pricing!I$2+AM42*Pricing!J$2+AN42*Pricing!K$2)*IF(U$46="N",(1+W$46),1)</f>
        <v>0</v>
      </c>
      <c r="BM42" s="299">
        <f t="shared" si="29"/>
        <v>0</v>
      </c>
      <c r="BN42" s="299" t="e">
        <f t="shared" si="30"/>
        <v>#DIV/0!</v>
      </c>
      <c r="BO42" s="299">
        <f t="shared" si="31"/>
        <v>0</v>
      </c>
    </row>
    <row r="43" spans="2:67" s="299" customFormat="1" ht="15" customHeight="1" x14ac:dyDescent="0.35">
      <c r="B43" s="313"/>
      <c r="C43" s="298"/>
      <c r="D43" s="298"/>
      <c r="E43" s="587">
        <f>SUM(F11:F42)</f>
        <v>0</v>
      </c>
      <c r="F43" s="2605" t="s">
        <v>55</v>
      </c>
      <c r="G43" s="2605"/>
      <c r="H43" s="2605"/>
      <c r="I43" s="2605"/>
      <c r="J43" s="298"/>
      <c r="K43" s="298"/>
      <c r="L43" s="298"/>
      <c r="M43" s="298"/>
      <c r="N43" s="298"/>
      <c r="O43" s="298"/>
      <c r="P43" s="2620" t="s">
        <v>54</v>
      </c>
      <c r="Q43" s="2621"/>
      <c r="R43" s="2621"/>
      <c r="S43" s="2621"/>
      <c r="T43" s="309"/>
      <c r="U43" s="309"/>
      <c r="V43" s="322">
        <f>SUM(W11:W42)</f>
        <v>0</v>
      </c>
      <c r="W43" s="327"/>
      <c r="X43" s="323">
        <f>SUM(X11:X42)</f>
        <v>0</v>
      </c>
      <c r="AI43" s="299">
        <f t="shared" ref="AI43:AN43" si="53">SUM(AI11:AI42)</f>
        <v>0</v>
      </c>
      <c r="AJ43" s="299">
        <f t="shared" si="53"/>
        <v>0</v>
      </c>
      <c r="AK43" s="299">
        <f t="shared" si="53"/>
        <v>0</v>
      </c>
      <c r="AL43" s="299">
        <f t="shared" si="53"/>
        <v>0</v>
      </c>
      <c r="AM43" s="299">
        <f t="shared" si="53"/>
        <v>0</v>
      </c>
      <c r="AN43" s="299">
        <f t="shared" si="53"/>
        <v>0</v>
      </c>
      <c r="AO43" s="299">
        <f t="shared" ref="AO43:BH43" si="54">SUM(AO11:AO42)</f>
        <v>0</v>
      </c>
      <c r="AP43" s="299">
        <f t="shared" si="54"/>
        <v>0</v>
      </c>
      <c r="AQ43" s="299">
        <f t="shared" si="54"/>
        <v>0</v>
      </c>
      <c r="AR43" s="299">
        <f t="shared" si="54"/>
        <v>0</v>
      </c>
      <c r="AS43" s="299">
        <f t="shared" si="54"/>
        <v>0</v>
      </c>
      <c r="AT43" s="299">
        <f t="shared" si="54"/>
        <v>0</v>
      </c>
      <c r="AU43" s="299">
        <f>SUM(AU11:AU42)</f>
        <v>0</v>
      </c>
      <c r="AV43" s="299">
        <f>SUM(AV11:AV42)</f>
        <v>0</v>
      </c>
      <c r="AW43" s="299">
        <f t="shared" si="54"/>
        <v>0</v>
      </c>
      <c r="AX43" s="299">
        <f t="shared" si="54"/>
        <v>0</v>
      </c>
      <c r="AY43" s="299">
        <f t="shared" si="54"/>
        <v>0</v>
      </c>
      <c r="AZ43" s="299">
        <f t="shared" si="54"/>
        <v>0</v>
      </c>
      <c r="BA43" s="299">
        <f t="shared" si="54"/>
        <v>0</v>
      </c>
      <c r="BB43" s="299">
        <f t="shared" si="54"/>
        <v>0</v>
      </c>
      <c r="BC43" s="299">
        <f t="shared" si="54"/>
        <v>0</v>
      </c>
      <c r="BD43" s="299">
        <f t="shared" si="54"/>
        <v>0</v>
      </c>
      <c r="BE43" s="299">
        <f t="shared" si="54"/>
        <v>0</v>
      </c>
      <c r="BF43" s="299">
        <f t="shared" si="54"/>
        <v>0</v>
      </c>
      <c r="BG43" s="299">
        <f t="shared" si="54"/>
        <v>0</v>
      </c>
      <c r="BH43" s="299" t="e">
        <f t="shared" si="54"/>
        <v>#DIV/0!</v>
      </c>
      <c r="BI43" s="299">
        <f>SUM(BI11:BI42)</f>
        <v>0</v>
      </c>
      <c r="BJ43" s="299" t="e">
        <f>SUM(BC43:BI43)</f>
        <v>#DIV/0!</v>
      </c>
      <c r="BK43" s="299">
        <f>SUM(BK11:BK42)</f>
        <v>0</v>
      </c>
      <c r="BL43" s="299">
        <f>SUM(BL11:BL42)</f>
        <v>0</v>
      </c>
      <c r="BN43" s="299" t="e">
        <f>SUM(BN11:BN42)</f>
        <v>#DIV/0!</v>
      </c>
      <c r="BO43" s="299" t="e">
        <f>SUM(BK43:BN43)</f>
        <v>#DIV/0!</v>
      </c>
    </row>
    <row r="44" spans="2:67" s="299" customFormat="1" ht="15" customHeight="1" thickBot="1" x14ac:dyDescent="0.4">
      <c r="B44" s="314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2618" t="s">
        <v>56</v>
      </c>
      <c r="Q44" s="2619"/>
      <c r="R44" s="2619"/>
      <c r="S44" s="2619"/>
      <c r="T44" s="306"/>
      <c r="U44" s="306"/>
      <c r="V44" s="324">
        <f>ROUNDUP(V43/2000,0)</f>
        <v>0</v>
      </c>
      <c r="W44" s="325"/>
      <c r="X44" s="325"/>
    </row>
    <row r="45" spans="2:67" s="299" customFormat="1" ht="21.75" customHeight="1" thickBot="1" x14ac:dyDescent="0.4">
      <c r="B45" s="898"/>
      <c r="C45" s="899"/>
      <c r="D45" s="899"/>
      <c r="E45" s="899"/>
      <c r="F45" s="899"/>
      <c r="G45" s="899"/>
      <c r="H45" s="899"/>
      <c r="I45" s="899"/>
      <c r="J45" s="899"/>
      <c r="K45" s="899"/>
      <c r="L45" s="900"/>
      <c r="M45" s="899"/>
      <c r="N45" s="899"/>
      <c r="O45" s="899"/>
      <c r="P45" s="899"/>
      <c r="Q45" s="899"/>
      <c r="R45" s="899"/>
      <c r="S45" s="899"/>
      <c r="T45" s="899"/>
      <c r="U45" s="899"/>
      <c r="V45" s="899"/>
      <c r="W45" s="899"/>
      <c r="X45" s="1115"/>
    </row>
    <row r="46" spans="2:67" s="299" customFormat="1" ht="15" customHeight="1" x14ac:dyDescent="0.35">
      <c r="B46" s="1987" t="s">
        <v>185</v>
      </c>
      <c r="C46" s="2041"/>
      <c r="D46" s="1988"/>
      <c r="E46" s="1987" t="s">
        <v>140</v>
      </c>
      <c r="F46" s="1988"/>
      <c r="G46" s="1987" t="s">
        <v>178</v>
      </c>
      <c r="H46" s="2041"/>
      <c r="I46" s="1988"/>
      <c r="J46" s="1935" t="s">
        <v>184</v>
      </c>
      <c r="K46" s="1936"/>
      <c r="L46" s="1937"/>
      <c r="M46" s="2044" t="s">
        <v>179</v>
      </c>
      <c r="N46" s="2045"/>
      <c r="O46" s="132"/>
      <c r="P46" s="133"/>
      <c r="Q46" s="897"/>
      <c r="R46" s="43" t="s">
        <v>34</v>
      </c>
      <c r="S46" s="42"/>
      <c r="T46" s="42" t="s">
        <v>758</v>
      </c>
      <c r="U46" s="822" t="str">
        <f>Summary!P65</f>
        <v>n</v>
      </c>
      <c r="V46" s="73" t="s">
        <v>298</v>
      </c>
      <c r="W46" s="823">
        <f>Summary!R65</f>
        <v>8.2500000000000004E-2</v>
      </c>
      <c r="X46" s="1113"/>
    </row>
    <row r="47" spans="2:67" s="299" customFormat="1" ht="27" customHeight="1" thickBot="1" x14ac:dyDescent="0.4">
      <c r="B47" s="11" t="s">
        <v>180</v>
      </c>
      <c r="C47" s="1999">
        <f>IF(AY43=0,0,E47/AY43)</f>
        <v>0</v>
      </c>
      <c r="D47" s="2000"/>
      <c r="E47" s="2602">
        <f>U47*(1+M47+Summary!P64)</f>
        <v>0</v>
      </c>
      <c r="F47" s="2004"/>
      <c r="G47" s="15">
        <f>IF(E47=0,0,H47/E47)</f>
        <v>0</v>
      </c>
      <c r="H47" s="2042">
        <f>E47-U47</f>
        <v>0</v>
      </c>
      <c r="I47" s="2043"/>
      <c r="J47" s="2064">
        <f>IF(AY43=0,0,U47/AY43)</f>
        <v>0</v>
      </c>
      <c r="K47" s="2065"/>
      <c r="L47" s="2066"/>
      <c r="M47" s="2302">
        <f>Summary!P63</f>
        <v>0.18</v>
      </c>
      <c r="N47" s="2303"/>
      <c r="O47" s="2303"/>
      <c r="P47" s="2304"/>
      <c r="Q47" s="902"/>
      <c r="R47" s="86" t="s">
        <v>50</v>
      </c>
      <c r="S47" s="42"/>
      <c r="T47" s="42"/>
      <c r="U47" s="1932">
        <f>SUM(O57:P67)+SUM(O70:P76)+SUM(O79:P83)+SUM(O85:P90)+SUM(O92:P97)+X97+O68+SUM(L70:M76)</f>
        <v>0</v>
      </c>
      <c r="V47" s="1932"/>
      <c r="W47" s="42"/>
      <c r="X47" s="1113"/>
    </row>
    <row r="48" spans="2:67" s="299" customFormat="1" ht="26.25" customHeight="1" thickBot="1" x14ac:dyDescent="0.4">
      <c r="B48" s="1129" t="s">
        <v>110</v>
      </c>
      <c r="C48" s="2614">
        <f>IF(G48=0,C47,IF(AY43=0,0,BN43/AY43)*(1+M47))</f>
        <v>0</v>
      </c>
      <c r="D48" s="2614"/>
      <c r="E48" s="2615" t="s">
        <v>553</v>
      </c>
      <c r="F48" s="2615"/>
      <c r="G48" s="2614">
        <f>IF(AZ43=0,0,(BL43+BK43)/AZ43)*(1+M47)</f>
        <v>0</v>
      </c>
      <c r="H48" s="2614"/>
      <c r="I48" s="891" t="s">
        <v>891</v>
      </c>
      <c r="J48" s="892"/>
      <c r="K48" s="2036"/>
      <c r="L48" s="2037"/>
      <c r="M48" s="893"/>
      <c r="N48" s="1899">
        <f>IF(K48&gt;0,(K48-E47)/(1+M47),0)</f>
        <v>0</v>
      </c>
      <c r="O48" s="1900"/>
      <c r="P48" s="890"/>
      <c r="Q48" s="890"/>
      <c r="R48" s="890"/>
      <c r="S48" s="890"/>
      <c r="T48" s="890"/>
      <c r="U48" s="2245">
        <f>AF2</f>
        <v>0</v>
      </c>
      <c r="V48" s="2622"/>
      <c r="W48" s="890"/>
      <c r="X48" s="896"/>
    </row>
    <row r="49" spans="2:24" s="299" customFormat="1" x14ac:dyDescent="0.35"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</row>
    <row r="50" spans="2:24" s="299" customFormat="1" x14ac:dyDescent="0.35">
      <c r="B50" s="42" t="s">
        <v>632</v>
      </c>
      <c r="C50" s="824"/>
      <c r="D50" s="824"/>
      <c r="E50" s="824"/>
      <c r="F50" s="824"/>
      <c r="G50" s="824"/>
      <c r="H50" s="824"/>
      <c r="I50" s="824"/>
      <c r="J50" s="824"/>
      <c r="K50" s="739"/>
      <c r="L50" s="739"/>
      <c r="M50" s="739"/>
      <c r="N50" s="739"/>
      <c r="O50" s="739"/>
      <c r="P50" s="739"/>
      <c r="Q50" s="298"/>
      <c r="R50" s="298"/>
      <c r="S50" s="298"/>
      <c r="T50" s="298"/>
      <c r="U50" s="298"/>
      <c r="V50" s="298"/>
      <c r="W50" s="298"/>
      <c r="X50" s="298"/>
    </row>
    <row r="51" spans="2:24" s="299" customFormat="1" ht="32.25" customHeight="1" x14ac:dyDescent="0.35">
      <c r="B51" s="298"/>
      <c r="C51" s="825"/>
      <c r="D51" s="824"/>
      <c r="E51" s="824"/>
      <c r="F51" s="824"/>
      <c r="G51" s="824"/>
      <c r="H51" s="824"/>
      <c r="I51" s="824"/>
      <c r="J51" s="824"/>
      <c r="K51" s="739"/>
      <c r="L51" s="739"/>
      <c r="M51" s="739"/>
      <c r="N51" s="739"/>
      <c r="O51" s="739"/>
      <c r="P51" s="739"/>
      <c r="Q51" s="298"/>
      <c r="R51" s="298"/>
      <c r="S51" s="298"/>
      <c r="T51" s="298"/>
      <c r="U51" s="298"/>
      <c r="V51" s="298"/>
      <c r="W51" s="298"/>
      <c r="X51" s="298"/>
    </row>
    <row r="52" spans="2:24" s="299" customFormat="1" ht="19" customHeight="1" x14ac:dyDescent="0.35">
      <c r="B52" s="298"/>
      <c r="C52" s="739"/>
      <c r="D52" s="739"/>
      <c r="E52" s="739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39"/>
      <c r="Q52" s="298"/>
      <c r="R52" s="298"/>
      <c r="S52" s="298"/>
      <c r="T52" s="298"/>
      <c r="U52" s="298"/>
      <c r="V52" s="298"/>
      <c r="W52" s="298"/>
      <c r="X52" s="298"/>
    </row>
    <row r="53" spans="2:24" s="299" customFormat="1" ht="19" customHeight="1" x14ac:dyDescent="0.35">
      <c r="B53" s="298"/>
      <c r="C53" s="739"/>
      <c r="D53" s="739"/>
      <c r="E53" s="739"/>
      <c r="F53" s="739"/>
      <c r="G53" s="739"/>
      <c r="H53" s="739"/>
      <c r="I53" s="739"/>
      <c r="J53" s="739"/>
      <c r="K53" s="739"/>
      <c r="L53" s="739"/>
      <c r="M53" s="739"/>
      <c r="N53" s="739"/>
      <c r="O53" s="739"/>
      <c r="P53" s="739"/>
      <c r="Q53" s="298"/>
      <c r="R53" s="298"/>
      <c r="S53" s="298"/>
      <c r="T53" s="298"/>
      <c r="U53" s="298"/>
      <c r="V53" s="298"/>
      <c r="W53" s="298"/>
      <c r="X53" s="298"/>
    </row>
    <row r="54" spans="2:24" s="299" customFormat="1" ht="19" customHeight="1" x14ac:dyDescent="0.35">
      <c r="B54" s="42"/>
      <c r="C54" s="739"/>
      <c r="D54" s="739"/>
      <c r="E54" s="739"/>
      <c r="F54" s="739"/>
      <c r="G54" s="739"/>
      <c r="H54" s="739"/>
      <c r="I54" s="739"/>
      <c r="J54" s="739"/>
      <c r="K54" s="739"/>
      <c r="L54" s="739"/>
      <c r="M54" s="739"/>
      <c r="N54" s="739"/>
      <c r="O54" s="739"/>
      <c r="P54" s="739"/>
      <c r="Q54" s="298"/>
      <c r="R54" s="298"/>
      <c r="S54" s="298"/>
      <c r="T54" s="298"/>
      <c r="U54" s="2589"/>
      <c r="V54" s="2589"/>
    </row>
    <row r="55" spans="2:24" s="299" customFormat="1" ht="19" customHeight="1" thickBot="1" x14ac:dyDescent="0.4">
      <c r="B55" s="298"/>
      <c r="C55" s="770"/>
      <c r="D55" s="770"/>
      <c r="E55" s="770"/>
      <c r="F55" s="770"/>
      <c r="G55" s="770"/>
      <c r="H55" s="770"/>
      <c r="I55" s="770"/>
      <c r="J55" s="770"/>
      <c r="K55" s="770"/>
      <c r="L55" s="770"/>
      <c r="M55" s="770"/>
      <c r="N55" s="770"/>
      <c r="O55" s="770"/>
      <c r="P55" s="770"/>
      <c r="Q55" s="298"/>
      <c r="R55" s="298"/>
      <c r="S55" s="298"/>
      <c r="T55" s="306"/>
      <c r="U55" s="306"/>
      <c r="V55" s="306"/>
      <c r="W55" s="306"/>
      <c r="X55" s="298"/>
    </row>
    <row r="56" spans="2:24" s="299" customFormat="1" ht="37.5" customHeight="1" thickBot="1" x14ac:dyDescent="0.4">
      <c r="B56" s="862" t="s">
        <v>226</v>
      </c>
      <c r="C56" s="2294" t="s">
        <v>167</v>
      </c>
      <c r="D56" s="2295"/>
      <c r="E56" s="2295"/>
      <c r="F56" s="2295"/>
      <c r="G56" s="2295"/>
      <c r="H56" s="2295"/>
      <c r="I56" s="2295"/>
      <c r="J56" s="2295"/>
      <c r="K56" s="2295"/>
      <c r="L56" s="2295"/>
      <c r="M56" s="2295"/>
      <c r="N56" s="2295"/>
      <c r="O56" s="2295"/>
      <c r="P56" s="2296"/>
      <c r="Q56" s="854" t="s">
        <v>284</v>
      </c>
      <c r="R56" s="2464" t="s">
        <v>196</v>
      </c>
      <c r="S56" s="2465"/>
      <c r="T56" s="152" t="s">
        <v>52</v>
      </c>
      <c r="U56" s="143"/>
      <c r="V56" s="164" t="s">
        <v>7</v>
      </c>
      <c r="W56" s="143"/>
      <c r="X56" s="165"/>
    </row>
    <row r="57" spans="2:24" s="299" customFormat="1" ht="20.149999999999999" customHeight="1" thickTop="1" x14ac:dyDescent="0.35">
      <c r="B57" s="442">
        <v>1</v>
      </c>
      <c r="C57" s="42" t="str">
        <f>IF(B57=1,Pricing!F$1,IF(B57=2,Pricing!G$1,IF(B57=3,Pricing!H$1,IF(B57=4,Pricing!I$1,IF(B57=5,Pricing!J$1,IF(B57=6,Pricing!K$1,0))))))</f>
        <v>3000 PSI W/ ASH PIERS, SOG</v>
      </c>
      <c r="D57" s="42"/>
      <c r="E57" s="42"/>
      <c r="F57" s="42"/>
      <c r="G57" s="764">
        <f>IF(B57=1,Pricing!F$2,IF(B57=2,Pricing!G$2,IF(B57=3,Pricing!H$2,IF(B57=4,Pricing!I$2,IF(B57=5,Pricing!J$2,IF(B57=6,Pricing!K$2,0))))))</f>
        <v>147</v>
      </c>
      <c r="H57" s="88" t="s">
        <v>168</v>
      </c>
      <c r="I57" s="2032" t="s">
        <v>323</v>
      </c>
      <c r="J57" s="2033"/>
      <c r="K57" s="2039">
        <v>0.1</v>
      </c>
      <c r="L57" s="1908">
        <f>IF(B57=1,AO$43,IF(B57=2,AP$43,IF(B57=3,AQ$43,IF(B57=4,AR$43,IF(B57=5,AS$43,IF(B57=6,AT$43))))))+IF(B57=1,AI$43,IF(B57=2,AJ$43,IF(B57=3,AK$43,IF(B57=4,AL$43,IF(B57=5,AM$43,IF(B57=6,AN$43))))))</f>
        <v>0</v>
      </c>
      <c r="M57" s="1909"/>
      <c r="N57" s="58" t="s">
        <v>102</v>
      </c>
      <c r="O57" s="2583">
        <f>L57*G57*(IF(U$46="N",1+W$46,1))</f>
        <v>0</v>
      </c>
      <c r="P57" s="2584"/>
      <c r="Q57" s="855">
        <v>2</v>
      </c>
      <c r="R57" s="106" t="s">
        <v>466</v>
      </c>
      <c r="S57" s="106"/>
      <c r="T57" s="827">
        <v>1</v>
      </c>
      <c r="U57" s="106"/>
      <c r="V57" s="195">
        <f>BC75</f>
        <v>0</v>
      </c>
      <c r="W57" s="106"/>
      <c r="X57" s="118">
        <f>V57*T57</f>
        <v>0</v>
      </c>
    </row>
    <row r="58" spans="2:24" s="299" customFormat="1" ht="20.149999999999999" customHeight="1" x14ac:dyDescent="0.35">
      <c r="B58" s="443">
        <v>2</v>
      </c>
      <c r="C58" s="42" t="str">
        <f>IF(B58=1,Pricing!F$1,IF(B58=2,Pricing!G$1,IF(B58=3,Pricing!H$1,IF(B58=4,Pricing!I$1,IF(B58=5,Pricing!J$1,IF(B58=6,Pricing!K$1,0))))))</f>
        <v>3500 Psi</v>
      </c>
      <c r="D58" s="42"/>
      <c r="E58" s="42"/>
      <c r="F58" s="42"/>
      <c r="G58" s="762">
        <f>IF(B58=1,Pricing!F$2,IF(B58=2,Pricing!G$2,IF(B58=3,Pricing!H$2,IF(B58=4,Pricing!I$2,IF(B58=5,Pricing!J$2,IF(B58=6,Pricing!K$2,0))))))</f>
        <v>152</v>
      </c>
      <c r="H58" s="88" t="s">
        <v>168</v>
      </c>
      <c r="I58" s="2032"/>
      <c r="J58" s="2033"/>
      <c r="K58" s="2039"/>
      <c r="L58" s="1908">
        <f>IF(B58=1,AO$43,IF(B58=2,AP$43,IF(B58=3,AQ$43,IF(B58=4,AR$43,IF(B58=5,AS$43,IF(B58=6,AT$43))))))+IF(B58=1,AI$43,IF(B58=2,AJ$43,IF(B58=3,AK$43,IF(B58=4,AL$43,IF(B58=5,AM$43,IF(B58=6,AN$43))))))</f>
        <v>0</v>
      </c>
      <c r="M58" s="1909"/>
      <c r="N58" s="58" t="s">
        <v>102</v>
      </c>
      <c r="O58" s="2585">
        <f>L58*G58*(IF(U$46="N",1+W$46,1))</f>
        <v>0</v>
      </c>
      <c r="P58" s="2586"/>
      <c r="Q58" s="856">
        <v>2</v>
      </c>
      <c r="R58" s="106" t="s">
        <v>203</v>
      </c>
      <c r="S58" s="106"/>
      <c r="T58" s="194">
        <f>I71*3.6*T57</f>
        <v>0</v>
      </c>
      <c r="U58" s="387" t="s">
        <v>759</v>
      </c>
      <c r="V58" s="195">
        <f>Pricing!N3</f>
        <v>0.5625</v>
      </c>
      <c r="W58" s="401" t="s">
        <v>787</v>
      </c>
      <c r="X58" s="118">
        <f t="shared" ref="X58:X69" si="55">IF(U$46="Y",T58*V58,T58*V58*(1+W$46))</f>
        <v>0</v>
      </c>
    </row>
    <row r="59" spans="2:24" s="299" customFormat="1" ht="20.149999999999999" customHeight="1" thickBot="1" x14ac:dyDescent="0.4">
      <c r="B59" s="444">
        <v>4</v>
      </c>
      <c r="C59" s="75" t="str">
        <f>IF(B59=1,Pricing!F$1,IF(B59=2,Pricing!G$1,IF(B59=3,Pricing!H$1,IF(B59=4,Pricing!I$1,IF(B59=5,Pricing!J$1,IF(B59=6,Pricing!K$1,0))))))</f>
        <v>4500 psi</v>
      </c>
      <c r="D59" s="75"/>
      <c r="E59" s="75"/>
      <c r="F59" s="75"/>
      <c r="G59" s="762">
        <f>IF(B59=1,Pricing!F$2,IF(B59=2,Pricing!G$2,IF(B59=3,Pricing!H$2,IF(B59=4,Pricing!I$2,IF(B59=5,Pricing!J$2,IF(B59=6,Pricing!K$2,0))))))</f>
        <v>162</v>
      </c>
      <c r="H59" s="90" t="s">
        <v>168</v>
      </c>
      <c r="I59" s="2034"/>
      <c r="J59" s="2035"/>
      <c r="K59" s="2040"/>
      <c r="L59" s="1908">
        <f>IF(B59=1,AO$43,IF(B59=2,AP$43,IF(B59=3,AQ$43,IF(B59=4,AR$43,IF(B59=5,AS$43,IF(B59=6,AT$43))))))+IF(B59=1,AI$43,IF(B59=2,AJ$43,IF(B59=3,AK$43,IF(B59=4,AL$43,IF(B59=5,AM$43,IF(B59=6,AN$43))))))</f>
        <v>0</v>
      </c>
      <c r="M59" s="1909"/>
      <c r="N59" s="91" t="s">
        <v>102</v>
      </c>
      <c r="O59" s="2585">
        <f>L59*G59*(IF(U$46="N",1+W$46,1))</f>
        <v>0</v>
      </c>
      <c r="P59" s="2586"/>
      <c r="Q59" s="856">
        <v>2</v>
      </c>
      <c r="R59" s="106" t="s">
        <v>204</v>
      </c>
      <c r="S59" s="106"/>
      <c r="T59" s="194">
        <v>0</v>
      </c>
      <c r="U59" s="387" t="s">
        <v>759</v>
      </c>
      <c r="V59" s="195">
        <f>Pricing!N4</f>
        <v>0.65625</v>
      </c>
      <c r="W59" s="401" t="s">
        <v>787</v>
      </c>
      <c r="X59" s="118">
        <f t="shared" si="55"/>
        <v>0</v>
      </c>
    </row>
    <row r="60" spans="2:24" s="299" customFormat="1" ht="20.149999999999999" customHeight="1" thickTop="1" x14ac:dyDescent="0.35">
      <c r="B60" s="43"/>
      <c r="C60" s="92" t="s">
        <v>104</v>
      </c>
      <c r="D60" s="42"/>
      <c r="E60" s="42"/>
      <c r="F60" s="42"/>
      <c r="G60" s="762">
        <f>Pricing!D22</f>
        <v>0.6</v>
      </c>
      <c r="H60" s="88" t="s">
        <v>88</v>
      </c>
      <c r="I60" s="2616" t="s">
        <v>202</v>
      </c>
      <c r="J60" s="2617"/>
      <c r="K60" s="826">
        <v>0.1</v>
      </c>
      <c r="L60" s="2062">
        <f>V43</f>
        <v>0</v>
      </c>
      <c r="M60" s="2063"/>
      <c r="N60" s="42" t="s">
        <v>32</v>
      </c>
      <c r="O60" s="2585">
        <f>G60*L60*(IF(U46="N",1+W46,1))</f>
        <v>0</v>
      </c>
      <c r="P60" s="2586"/>
      <c r="Q60" s="856">
        <v>2</v>
      </c>
      <c r="R60" s="106" t="s">
        <v>206</v>
      </c>
      <c r="S60" s="106"/>
      <c r="T60" s="194">
        <v>0</v>
      </c>
      <c r="U60" s="387" t="s">
        <v>759</v>
      </c>
      <c r="V60" s="195">
        <f>Pricing!N5</f>
        <v>1</v>
      </c>
      <c r="W60" s="401" t="s">
        <v>787</v>
      </c>
      <c r="X60" s="118">
        <f t="shared" si="55"/>
        <v>0</v>
      </c>
    </row>
    <row r="61" spans="2:24" s="299" customFormat="1" ht="20.149999999999999" customHeight="1" x14ac:dyDescent="0.35">
      <c r="B61" s="43"/>
      <c r="C61" s="92"/>
      <c r="D61" s="42"/>
      <c r="E61" s="42"/>
      <c r="F61" s="42"/>
      <c r="G61" s="762">
        <f>Pricing!F5</f>
        <v>0</v>
      </c>
      <c r="H61" s="88" t="s">
        <v>69</v>
      </c>
      <c r="I61" s="2625" t="s">
        <v>202</v>
      </c>
      <c r="J61" s="2626"/>
      <c r="K61" s="748">
        <v>0.05</v>
      </c>
      <c r="L61" s="1908"/>
      <c r="M61" s="1909"/>
      <c r="N61" s="42" t="s">
        <v>95</v>
      </c>
      <c r="O61" s="2585">
        <f>L61*G61*(IF(U46="N",1+W46,1))*(K61+1)</f>
        <v>0</v>
      </c>
      <c r="P61" s="2586"/>
      <c r="Q61" s="856">
        <v>2</v>
      </c>
      <c r="R61" s="106" t="s">
        <v>205</v>
      </c>
      <c r="S61" s="106"/>
      <c r="T61" s="194">
        <f>E43*2</f>
        <v>0</v>
      </c>
      <c r="U61" s="387" t="s">
        <v>759</v>
      </c>
      <c r="V61" s="195">
        <f>Pricing!N6</f>
        <v>1.25</v>
      </c>
      <c r="W61" s="401" t="s">
        <v>787</v>
      </c>
      <c r="X61" s="118">
        <f t="shared" si="55"/>
        <v>0</v>
      </c>
    </row>
    <row r="62" spans="2:24" s="299" customFormat="1" ht="20.149999999999999" customHeight="1" thickBot="1" x14ac:dyDescent="0.4">
      <c r="B62" s="43"/>
      <c r="C62" s="93" t="s">
        <v>302</v>
      </c>
      <c r="D62" s="75"/>
      <c r="E62" s="75"/>
      <c r="F62" s="75"/>
      <c r="G62" s="763">
        <v>0.35</v>
      </c>
      <c r="H62" s="90" t="s">
        <v>69</v>
      </c>
      <c r="I62" s="199" t="s">
        <v>199</v>
      </c>
      <c r="J62" s="2375">
        <v>0</v>
      </c>
      <c r="K62" s="2375"/>
      <c r="L62" s="2061"/>
      <c r="M62" s="2061"/>
      <c r="N62" s="75" t="s">
        <v>95</v>
      </c>
      <c r="O62" s="2543">
        <f>IF(M42="y",IF(J62=0,L62*G62,J62),0)*(IF(T$69="N",1+V$69,1))</f>
        <v>0</v>
      </c>
      <c r="P62" s="2544"/>
      <c r="Q62" s="856">
        <v>2</v>
      </c>
      <c r="R62" s="106" t="s">
        <v>207</v>
      </c>
      <c r="S62" s="106"/>
      <c r="T62" s="194">
        <f>ROUNDUP(I71*2/32*T57*1.1,0)</f>
        <v>0</v>
      </c>
      <c r="U62" s="106" t="s">
        <v>209</v>
      </c>
      <c r="V62" s="195">
        <f>Pricing!N7</f>
        <v>50</v>
      </c>
      <c r="W62" s="401" t="s">
        <v>290</v>
      </c>
      <c r="X62" s="118">
        <f t="shared" si="55"/>
        <v>0</v>
      </c>
    </row>
    <row r="63" spans="2:24" s="299" customFormat="1" ht="20.149999999999999" customHeight="1" thickTop="1" x14ac:dyDescent="0.35">
      <c r="B63" s="94"/>
      <c r="C63" s="58" t="s">
        <v>103</v>
      </c>
      <c r="D63" s="42"/>
      <c r="E63" s="42"/>
      <c r="F63" s="42"/>
      <c r="G63" s="838">
        <f>Pricing!D18</f>
        <v>25</v>
      </c>
      <c r="H63" s="88" t="s">
        <v>169</v>
      </c>
      <c r="I63" s="2444" t="s">
        <v>202</v>
      </c>
      <c r="J63" s="2445"/>
      <c r="K63" s="2603">
        <v>0.05</v>
      </c>
      <c r="L63" s="1909"/>
      <c r="M63" s="1909"/>
      <c r="N63" s="42" t="s">
        <v>102</v>
      </c>
      <c r="O63" s="2585">
        <f>L63*G63*IF(R24="N",1+U24,1)</f>
        <v>0</v>
      </c>
      <c r="P63" s="2586"/>
      <c r="Q63" s="856">
        <v>2</v>
      </c>
      <c r="R63" s="106" t="s">
        <v>757</v>
      </c>
      <c r="S63" s="106"/>
      <c r="T63" s="194">
        <f>ROUNDUP(E43*2/25,0)</f>
        <v>0</v>
      </c>
      <c r="U63" s="106" t="s">
        <v>786</v>
      </c>
      <c r="V63" s="195">
        <f>Pricing!N14</f>
        <v>18</v>
      </c>
      <c r="W63" s="401" t="s">
        <v>291</v>
      </c>
      <c r="X63" s="118">
        <f t="shared" si="55"/>
        <v>0</v>
      </c>
    </row>
    <row r="64" spans="2:24" s="299" customFormat="1" ht="20.149999999999999" customHeight="1" thickBot="1" x14ac:dyDescent="0.4">
      <c r="B64" s="43"/>
      <c r="C64" s="134" t="s">
        <v>344</v>
      </c>
      <c r="D64" s="75"/>
      <c r="E64" s="95"/>
      <c r="F64" s="75"/>
      <c r="G64" s="839">
        <v>15</v>
      </c>
      <c r="H64" s="90" t="s">
        <v>124</v>
      </c>
      <c r="I64" s="2446"/>
      <c r="J64" s="2447"/>
      <c r="K64" s="2604"/>
      <c r="L64" s="2061"/>
      <c r="M64" s="2061"/>
      <c r="N64" s="75" t="s">
        <v>95</v>
      </c>
      <c r="O64" s="2585">
        <f>L64*G64</f>
        <v>0</v>
      </c>
      <c r="P64" s="2586"/>
      <c r="Q64" s="856">
        <v>2</v>
      </c>
      <c r="R64" s="106" t="s">
        <v>0</v>
      </c>
      <c r="S64" s="106"/>
      <c r="T64" s="194">
        <f>ROUNDUP(I71/1800,0)</f>
        <v>0</v>
      </c>
      <c r="U64" s="106" t="s">
        <v>626</v>
      </c>
      <c r="V64" s="195">
        <f>Pricing!N15</f>
        <v>42</v>
      </c>
      <c r="W64" s="401" t="s">
        <v>292</v>
      </c>
      <c r="X64" s="118">
        <f t="shared" si="55"/>
        <v>0</v>
      </c>
    </row>
    <row r="65" spans="2:32" s="299" customFormat="1" ht="20.149999999999999" customHeight="1" thickTop="1" x14ac:dyDescent="0.35">
      <c r="B65" s="43"/>
      <c r="C65" s="92"/>
      <c r="D65" s="42"/>
      <c r="E65" s="73"/>
      <c r="F65" s="42"/>
      <c r="G65" s="840">
        <v>0.17</v>
      </c>
      <c r="H65" s="42" t="s">
        <v>171</v>
      </c>
      <c r="I65" s="2444" t="s">
        <v>202</v>
      </c>
      <c r="J65" s="2445"/>
      <c r="K65" s="2611">
        <v>0.1</v>
      </c>
      <c r="L65" s="1908"/>
      <c r="M65" s="1909"/>
      <c r="N65" s="868" t="s">
        <v>95</v>
      </c>
      <c r="O65" s="2543">
        <f>G65*L65</f>
        <v>0</v>
      </c>
      <c r="P65" s="2544"/>
      <c r="Q65" s="856">
        <v>2</v>
      </c>
      <c r="R65" s="106" t="s">
        <v>2</v>
      </c>
      <c r="S65" s="106"/>
      <c r="T65" s="194">
        <f>ROUNDUP(I71/1000,0)</f>
        <v>0</v>
      </c>
      <c r="U65" s="106" t="s">
        <v>626</v>
      </c>
      <c r="V65" s="195">
        <f>Pricing!N16</f>
        <v>42</v>
      </c>
      <c r="W65" s="401" t="s">
        <v>292</v>
      </c>
      <c r="X65" s="118">
        <f t="shared" si="55"/>
        <v>0</v>
      </c>
      <c r="AA65" s="299" t="s">
        <v>237</v>
      </c>
    </row>
    <row r="66" spans="2:32" s="299" customFormat="1" ht="20.149999999999999" customHeight="1" x14ac:dyDescent="0.35">
      <c r="B66" s="2259" t="s">
        <v>192</v>
      </c>
      <c r="C66" s="1972"/>
      <c r="D66" s="1972"/>
      <c r="E66" s="73" t="s">
        <v>301</v>
      </c>
      <c r="F66" s="777" t="s">
        <v>198</v>
      </c>
      <c r="G66" s="767">
        <v>1.75</v>
      </c>
      <c r="H66" s="88" t="s">
        <v>69</v>
      </c>
      <c r="I66" s="2607"/>
      <c r="J66" s="2608"/>
      <c r="K66" s="2603"/>
      <c r="L66" s="1908">
        <f>IF(F66="Y",E43*(1+K65),0)</f>
        <v>0</v>
      </c>
      <c r="M66" s="1909"/>
      <c r="N66" s="868" t="s">
        <v>42</v>
      </c>
      <c r="O66" s="2543">
        <f>L66*G66</f>
        <v>0</v>
      </c>
      <c r="P66" s="2544"/>
      <c r="Q66" s="856">
        <v>2</v>
      </c>
      <c r="R66" s="106" t="s">
        <v>1</v>
      </c>
      <c r="S66" s="106"/>
      <c r="T66" s="194">
        <f>T65</f>
        <v>0</v>
      </c>
      <c r="U66" s="106" t="s">
        <v>626</v>
      </c>
      <c r="V66" s="195">
        <f>Pricing!N17</f>
        <v>42</v>
      </c>
      <c r="W66" s="401" t="s">
        <v>292</v>
      </c>
      <c r="X66" s="118">
        <f t="shared" si="55"/>
        <v>0</v>
      </c>
      <c r="AA66" s="299" t="s">
        <v>126</v>
      </c>
      <c r="AB66" s="299">
        <v>0</v>
      </c>
    </row>
    <row r="67" spans="2:32" s="299" customFormat="1" ht="20.149999999999999" customHeight="1" thickBot="1" x14ac:dyDescent="0.4">
      <c r="B67" s="2318" t="s">
        <v>201</v>
      </c>
      <c r="C67" s="2308"/>
      <c r="D67" s="2308"/>
      <c r="E67" s="307" t="s">
        <v>301</v>
      </c>
      <c r="F67" s="778" t="s">
        <v>198</v>
      </c>
      <c r="G67" s="870">
        <v>1.8</v>
      </c>
      <c r="H67" s="96" t="s">
        <v>170</v>
      </c>
      <c r="I67" s="2609"/>
      <c r="J67" s="2610"/>
      <c r="K67" s="2612"/>
      <c r="L67" s="2613">
        <f>IF(F67="Y",,0)*E43*2*(1+K65)</f>
        <v>0</v>
      </c>
      <c r="M67" s="2029"/>
      <c r="N67" s="871" t="s">
        <v>42</v>
      </c>
      <c r="O67" s="2543">
        <f>L67*G67</f>
        <v>0</v>
      </c>
      <c r="P67" s="2544"/>
      <c r="Q67" s="856">
        <v>2</v>
      </c>
      <c r="R67" s="106" t="s">
        <v>210</v>
      </c>
      <c r="S67" s="106"/>
      <c r="T67" s="194">
        <f>AM35*12/48/50</f>
        <v>0</v>
      </c>
      <c r="U67" s="106" t="s">
        <v>626</v>
      </c>
      <c r="V67" s="195">
        <f>Pricing!N33</f>
        <v>25.5</v>
      </c>
      <c r="W67" s="401" t="s">
        <v>292</v>
      </c>
      <c r="X67" s="118">
        <f t="shared" si="55"/>
        <v>0</v>
      </c>
      <c r="AA67" s="299" t="s">
        <v>238</v>
      </c>
      <c r="AB67" s="299">
        <v>0</v>
      </c>
    </row>
    <row r="68" spans="2:32" s="299" customFormat="1" ht="20.149999999999999" customHeight="1" thickBot="1" x14ac:dyDescent="0.4">
      <c r="B68" s="47"/>
      <c r="C68" s="47" t="s">
        <v>70</v>
      </c>
      <c r="D68" s="49"/>
      <c r="E68" s="49"/>
      <c r="F68" s="49"/>
      <c r="G68" s="841"/>
      <c r="H68" s="96" t="s">
        <v>193</v>
      </c>
      <c r="I68" s="2006" t="s">
        <v>793</v>
      </c>
      <c r="J68" s="2007"/>
      <c r="K68" s="828">
        <v>0.4</v>
      </c>
      <c r="L68" s="2623">
        <f>AX43</f>
        <v>0</v>
      </c>
      <c r="M68" s="2624"/>
      <c r="N68" s="49" t="s">
        <v>95</v>
      </c>
      <c r="O68" s="2563">
        <f>G68*K68*L68</f>
        <v>0</v>
      </c>
      <c r="P68" s="2564"/>
      <c r="Q68" s="856">
        <v>2</v>
      </c>
      <c r="R68" s="106" t="s">
        <v>236</v>
      </c>
      <c r="S68" s="106"/>
      <c r="T68" s="194">
        <f>BF57+AE120</f>
        <v>0</v>
      </c>
      <c r="U68" s="387" t="s">
        <v>759</v>
      </c>
      <c r="V68" s="195">
        <f>Pricing!N18</f>
        <v>0.78</v>
      </c>
      <c r="W68" s="106" t="s">
        <v>787</v>
      </c>
      <c r="X68" s="118">
        <f t="shared" si="55"/>
        <v>0</v>
      </c>
      <c r="AA68" s="299" t="s">
        <v>283</v>
      </c>
      <c r="AB68" s="299">
        <v>0</v>
      </c>
    </row>
    <row r="69" spans="2:32" s="299" customFormat="1" ht="20.149999999999999" customHeight="1" thickBot="1" x14ac:dyDescent="0.4">
      <c r="B69" s="835" t="s">
        <v>221</v>
      </c>
      <c r="C69" s="834"/>
      <c r="D69" s="834" t="s">
        <v>299</v>
      </c>
      <c r="E69" s="834"/>
      <c r="F69" s="834"/>
      <c r="G69" s="836"/>
      <c r="H69" s="834"/>
      <c r="I69" s="843"/>
      <c r="J69" s="834"/>
      <c r="K69" s="834"/>
      <c r="L69" s="2306" t="s">
        <v>45</v>
      </c>
      <c r="M69" s="2306"/>
      <c r="N69" s="2306" t="s">
        <v>300</v>
      </c>
      <c r="O69" s="2306"/>
      <c r="P69" s="2307"/>
      <c r="Q69" s="856">
        <v>2</v>
      </c>
      <c r="R69" s="106" t="s">
        <v>119</v>
      </c>
      <c r="S69" s="106"/>
      <c r="T69" s="194">
        <v>0</v>
      </c>
      <c r="U69" s="387" t="s">
        <v>759</v>
      </c>
      <c r="V69" s="195">
        <f>Pricing!N19</f>
        <v>0.16</v>
      </c>
      <c r="W69" s="106" t="s">
        <v>787</v>
      </c>
      <c r="X69" s="118">
        <f t="shared" si="55"/>
        <v>0</v>
      </c>
      <c r="AA69" s="299" t="s">
        <v>239</v>
      </c>
      <c r="AB69" s="299" t="s">
        <v>240</v>
      </c>
      <c r="AF69" s="299" t="s">
        <v>92</v>
      </c>
    </row>
    <row r="70" spans="2:32" s="299" customFormat="1" ht="20.149999999999999" customHeight="1" x14ac:dyDescent="0.35">
      <c r="B70" s="193" t="s">
        <v>541</v>
      </c>
      <c r="C70" s="42"/>
      <c r="D70" s="97" t="s">
        <v>661</v>
      </c>
      <c r="E70" s="1845">
        <v>10</v>
      </c>
      <c r="F70" s="1845"/>
      <c r="G70" s="401" t="s">
        <v>191</v>
      </c>
      <c r="H70" s="42"/>
      <c r="I70" s="2587">
        <f>AZ43</f>
        <v>0</v>
      </c>
      <c r="J70" s="2588"/>
      <c r="K70" s="42" t="s">
        <v>95</v>
      </c>
      <c r="L70" s="1886">
        <f>IF(D70="N",E70*I70,0)</f>
        <v>0</v>
      </c>
      <c r="M70" s="1886"/>
      <c r="N70"/>
      <c r="O70" s="2545">
        <f>IF(D70="y",E70*I70,0)</f>
        <v>0</v>
      </c>
      <c r="P70" s="2546"/>
      <c r="Q70" s="856">
        <v>2</v>
      </c>
      <c r="R70" s="106" t="s">
        <v>218</v>
      </c>
      <c r="S70" s="106"/>
      <c r="T70" s="194"/>
      <c r="U70" s="106" t="s">
        <v>762</v>
      </c>
      <c r="V70" s="195">
        <f>Pricing!N20</f>
        <v>45</v>
      </c>
      <c r="W70" s="401" t="s">
        <v>292</v>
      </c>
      <c r="X70" s="118">
        <f>IF(U$46="Y",T70*V70,T70*V70*(1+W$46))</f>
        <v>0</v>
      </c>
    </row>
    <row r="71" spans="2:32" s="299" customFormat="1" ht="20.149999999999999" customHeight="1" x14ac:dyDescent="0.35">
      <c r="B71" s="193" t="s">
        <v>329</v>
      </c>
      <c r="C71" s="57"/>
      <c r="D71" s="97" t="s">
        <v>661</v>
      </c>
      <c r="E71" s="1844">
        <v>4</v>
      </c>
      <c r="F71" s="1845"/>
      <c r="G71" s="401" t="s">
        <v>191</v>
      </c>
      <c r="H71" s="2431">
        <f>SUM(E71:F73)</f>
        <v>10</v>
      </c>
      <c r="I71" s="2557">
        <f>AY43</f>
        <v>0</v>
      </c>
      <c r="J71" s="2558"/>
      <c r="K71" s="42" t="s">
        <v>332</v>
      </c>
      <c r="L71" s="1886">
        <f>IF(D71="N",E71*I$71,0)</f>
        <v>0</v>
      </c>
      <c r="M71" s="1886"/>
      <c r="N71"/>
      <c r="O71" s="2543">
        <f>IF(D71="y",I$71*E71,0)</f>
        <v>0</v>
      </c>
      <c r="P71" s="2544"/>
      <c r="Q71" s="856">
        <v>2</v>
      </c>
      <c r="R71" s="106" t="s">
        <v>839</v>
      </c>
      <c r="S71" s="106"/>
      <c r="T71" s="194">
        <v>0</v>
      </c>
      <c r="U71" s="106" t="s">
        <v>42</v>
      </c>
      <c r="V71" s="195">
        <v>1</v>
      </c>
      <c r="W71" s="401" t="s">
        <v>788</v>
      </c>
      <c r="X71" s="118">
        <f>IF(U$46="Y",T71*V71,T71*V71*(1+W$46))</f>
        <v>0</v>
      </c>
      <c r="AA71" s="299">
        <v>0</v>
      </c>
      <c r="AB71" s="299" t="s">
        <v>241</v>
      </c>
    </row>
    <row r="72" spans="2:32" s="299" customFormat="1" ht="20.149999999999999" customHeight="1" x14ac:dyDescent="0.35">
      <c r="B72" s="196" t="s">
        <v>162</v>
      </c>
      <c r="C72" s="57"/>
      <c r="D72" s="98" t="s">
        <v>200</v>
      </c>
      <c r="E72" s="1844">
        <v>4</v>
      </c>
      <c r="F72" s="1845"/>
      <c r="G72" s="401" t="s">
        <v>191</v>
      </c>
      <c r="H72" s="2431"/>
      <c r="I72" s="2559"/>
      <c r="J72" s="2560"/>
      <c r="K72" s="42" t="s">
        <v>332</v>
      </c>
      <c r="L72" s="1886">
        <f>IF(D72="N",E72*I$71,0)</f>
        <v>0</v>
      </c>
      <c r="M72" s="1886"/>
      <c r="N72"/>
      <c r="O72" s="2543">
        <f>IF(D72="y",I$71*E72,0)</f>
        <v>0</v>
      </c>
      <c r="P72" s="2544"/>
      <c r="Q72" s="856">
        <v>2</v>
      </c>
      <c r="R72" s="106" t="s">
        <v>123</v>
      </c>
      <c r="S72" s="106"/>
      <c r="T72" s="194">
        <v>0</v>
      </c>
      <c r="U72" s="106" t="s">
        <v>498</v>
      </c>
      <c r="V72" s="195">
        <f>Pricing!N41</f>
        <v>100</v>
      </c>
      <c r="W72" s="401" t="s">
        <v>294</v>
      </c>
      <c r="X72" s="118">
        <f>V72*T72</f>
        <v>0</v>
      </c>
      <c r="AA72" s="299">
        <v>1</v>
      </c>
      <c r="AB72" s="299" t="s">
        <v>242</v>
      </c>
    </row>
    <row r="73" spans="2:32" s="299" customFormat="1" ht="20.149999999999999" customHeight="1" x14ac:dyDescent="0.35">
      <c r="B73" s="196" t="s">
        <v>84</v>
      </c>
      <c r="C73" s="57"/>
      <c r="D73" s="98" t="s">
        <v>200</v>
      </c>
      <c r="E73" s="1844">
        <v>2</v>
      </c>
      <c r="F73" s="1845"/>
      <c r="G73" s="401" t="s">
        <v>191</v>
      </c>
      <c r="H73" s="2431"/>
      <c r="I73" s="2559"/>
      <c r="J73" s="2560"/>
      <c r="K73" s="42" t="s">
        <v>332</v>
      </c>
      <c r="L73" s="1886">
        <f>IF(D73="N",E73*I$71,0)</f>
        <v>0</v>
      </c>
      <c r="M73" s="1886"/>
      <c r="N73"/>
      <c r="O73" s="2543">
        <f>IF(D73="y",I$71*E73,0)</f>
        <v>0</v>
      </c>
      <c r="P73" s="2544"/>
      <c r="Q73" s="856">
        <v>2</v>
      </c>
      <c r="R73" s="106" t="s">
        <v>834</v>
      </c>
      <c r="S73" s="106"/>
      <c r="T73" s="194">
        <v>0</v>
      </c>
      <c r="U73" s="106"/>
      <c r="V73" s="195">
        <v>2</v>
      </c>
      <c r="W73" s="106"/>
      <c r="X73" s="118">
        <f>V73*T73</f>
        <v>0</v>
      </c>
      <c r="AA73" s="299">
        <v>2</v>
      </c>
      <c r="AB73" s="299" t="s">
        <v>243</v>
      </c>
      <c r="AF73" s="343">
        <f>SUM(X58:X83)+O61+O65+O95</f>
        <v>0</v>
      </c>
    </row>
    <row r="74" spans="2:32" s="299" customFormat="1" ht="20.149999999999999" customHeight="1" x14ac:dyDescent="0.35">
      <c r="B74" s="196" t="s">
        <v>322</v>
      </c>
      <c r="C74" s="57"/>
      <c r="D74" s="98" t="s">
        <v>235</v>
      </c>
      <c r="E74" s="1844">
        <v>0.5</v>
      </c>
      <c r="F74" s="1845"/>
      <c r="G74" s="401" t="s">
        <v>191</v>
      </c>
      <c r="H74" s="42"/>
      <c r="I74" s="2561"/>
      <c r="J74" s="2562"/>
      <c r="K74" s="42" t="s">
        <v>332</v>
      </c>
      <c r="L74" s="1886">
        <f>IF(D74="N",E74*I$71,0)</f>
        <v>0</v>
      </c>
      <c r="M74" s="1886"/>
      <c r="N74"/>
      <c r="O74" s="2543">
        <f>IF(D74="y",I$71*E74,0)</f>
        <v>0</v>
      </c>
      <c r="P74" s="2544"/>
      <c r="Q74" s="856">
        <v>2</v>
      </c>
      <c r="R74" s="106"/>
      <c r="S74" s="106"/>
      <c r="T74" s="194"/>
      <c r="U74" s="106"/>
      <c r="V74" s="195"/>
      <c r="W74" s="106"/>
      <c r="X74" s="118"/>
      <c r="AA74" s="299">
        <v>3</v>
      </c>
      <c r="AB74" s="299" t="s">
        <v>244</v>
      </c>
      <c r="AF74" s="299">
        <f>O63</f>
        <v>0</v>
      </c>
    </row>
    <row r="75" spans="2:32" s="299" customFormat="1" ht="20.149999999999999" customHeight="1" x14ac:dyDescent="0.35">
      <c r="B75" s="196" t="s">
        <v>33</v>
      </c>
      <c r="C75" s="57"/>
      <c r="D75" s="98" t="s">
        <v>200</v>
      </c>
      <c r="E75" s="1844">
        <v>400</v>
      </c>
      <c r="F75" s="1845"/>
      <c r="G75" s="401" t="s">
        <v>89</v>
      </c>
      <c r="H75" s="42"/>
      <c r="I75" s="1909">
        <f>(L60/2000)</f>
        <v>0</v>
      </c>
      <c r="J75" s="1909"/>
      <c r="K75" s="42" t="s">
        <v>183</v>
      </c>
      <c r="L75" s="1886">
        <f>IF(D75="N",E75*I75,0)</f>
        <v>0</v>
      </c>
      <c r="M75" s="1886"/>
      <c r="N75"/>
      <c r="O75" s="2543">
        <f>IF(D75="y",I75*E75,0)</f>
        <v>0</v>
      </c>
      <c r="P75" s="2544"/>
      <c r="Q75" s="856">
        <v>2</v>
      </c>
      <c r="R75" s="106"/>
      <c r="S75" s="106"/>
      <c r="T75" s="194"/>
      <c r="U75" s="106"/>
      <c r="V75" s="195"/>
      <c r="W75" s="106"/>
      <c r="X75" s="118"/>
      <c r="AA75" s="299">
        <v>4</v>
      </c>
      <c r="AB75" s="299" t="s">
        <v>245</v>
      </c>
      <c r="AF75" s="299">
        <f>O64</f>
        <v>0</v>
      </c>
    </row>
    <row r="76" spans="2:32" s="299" customFormat="1" ht="20.149999999999999" customHeight="1" x14ac:dyDescent="0.35">
      <c r="B76" s="209" t="s">
        <v>664</v>
      </c>
      <c r="C76" s="79"/>
      <c r="D76" s="98" t="s">
        <v>200</v>
      </c>
      <c r="E76" s="1842">
        <v>20</v>
      </c>
      <c r="F76" s="1843"/>
      <c r="G76" s="445" t="s">
        <v>327</v>
      </c>
      <c r="H76" s="52"/>
      <c r="I76" s="2257">
        <f>AU43</f>
        <v>0</v>
      </c>
      <c r="J76" s="2257"/>
      <c r="K76" s="52" t="s">
        <v>328</v>
      </c>
      <c r="L76" s="2118">
        <f>IF(D76="N",E76*I76,0)</f>
        <v>0</v>
      </c>
      <c r="M76" s="2118"/>
      <c r="N76"/>
      <c r="O76" s="2543">
        <f>IF(D76="y",I76*E76,0)</f>
        <v>0</v>
      </c>
      <c r="P76" s="2544"/>
      <c r="Q76" s="856">
        <v>2</v>
      </c>
      <c r="R76" s="106"/>
      <c r="S76" s="106"/>
      <c r="T76" s="194"/>
      <c r="U76" s="106"/>
      <c r="V76" s="195"/>
      <c r="W76" s="106"/>
      <c r="X76" s="118"/>
      <c r="AA76" s="299">
        <v>5</v>
      </c>
      <c r="AB76" s="299" t="s">
        <v>246</v>
      </c>
      <c r="AF76" s="299">
        <f>O60</f>
        <v>0</v>
      </c>
    </row>
    <row r="77" spans="2:32" s="299" customFormat="1" ht="20.149999999999999" customHeight="1" thickBot="1" x14ac:dyDescent="0.4">
      <c r="B77" s="6" t="s">
        <v>223</v>
      </c>
      <c r="C77" s="4"/>
      <c r="D77" s="5"/>
      <c r="E77" s="2263">
        <f>IF(I71=0,0,(O77+L77)/I71)</f>
        <v>0</v>
      </c>
      <c r="F77" s="2264"/>
      <c r="G77" s="76"/>
      <c r="H77" s="49"/>
      <c r="I77" s="2017" t="s">
        <v>50</v>
      </c>
      <c r="J77" s="2017"/>
      <c r="K77" s="2017"/>
      <c r="L77" s="2124">
        <f>SUM(L70:M76)</f>
        <v>0</v>
      </c>
      <c r="M77" s="2124"/>
      <c r="N77" s="248"/>
      <c r="O77" s="2563">
        <f>SUM(O70:P76)</f>
        <v>0</v>
      </c>
      <c r="P77" s="2564"/>
      <c r="Q77" s="856">
        <v>2</v>
      </c>
      <c r="R77" s="106"/>
      <c r="S77" s="106"/>
      <c r="T77" s="194"/>
      <c r="U77" s="402"/>
      <c r="V77" s="195"/>
      <c r="W77" s="106"/>
      <c r="X77" s="118"/>
      <c r="AA77" s="299">
        <v>6</v>
      </c>
      <c r="AB77" s="299" t="s">
        <v>248</v>
      </c>
      <c r="AF77" s="299">
        <f>SUM(X85:X90)</f>
        <v>0</v>
      </c>
    </row>
    <row r="78" spans="2:32" s="299" customFormat="1" ht="20.149999999999999" customHeight="1" thickBot="1" x14ac:dyDescent="0.4">
      <c r="B78" s="2305" t="s">
        <v>194</v>
      </c>
      <c r="C78" s="2306"/>
      <c r="D78" s="2306"/>
      <c r="E78" s="2306"/>
      <c r="F78" s="2306"/>
      <c r="G78" s="2306"/>
      <c r="H78" s="2306"/>
      <c r="I78" s="2306"/>
      <c r="J78" s="2306"/>
      <c r="K78" s="2306"/>
      <c r="L78" s="2306"/>
      <c r="M78" s="2306"/>
      <c r="N78" s="2306"/>
      <c r="O78" s="2306"/>
      <c r="P78" s="2307"/>
      <c r="Q78" s="856">
        <v>2</v>
      </c>
      <c r="R78" s="106" t="s">
        <v>219</v>
      </c>
      <c r="S78" s="106"/>
      <c r="T78" s="194">
        <f>ROUNDUP(L68*0.55*T57,0)</f>
        <v>0</v>
      </c>
      <c r="U78" s="106" t="s">
        <v>18</v>
      </c>
      <c r="V78" s="195">
        <f>Pricing!N25</f>
        <v>0.25</v>
      </c>
      <c r="W78" s="106" t="s">
        <v>121</v>
      </c>
      <c r="X78" s="118">
        <f>T78*V78</f>
        <v>0</v>
      </c>
      <c r="AA78" s="299">
        <v>7</v>
      </c>
      <c r="AB78" s="299" t="s">
        <v>247</v>
      </c>
      <c r="AF78" s="299">
        <f>O62</f>
        <v>0</v>
      </c>
    </row>
    <row r="79" spans="2:32" s="299" customFormat="1" ht="20.149999999999999" customHeight="1" x14ac:dyDescent="0.35">
      <c r="B79" s="100" t="s">
        <v>1164</v>
      </c>
      <c r="C79" s="48"/>
      <c r="D79" s="101"/>
      <c r="E79" s="752">
        <v>0</v>
      </c>
      <c r="F79" s="48" t="s">
        <v>187</v>
      </c>
      <c r="G79" s="807">
        <v>295</v>
      </c>
      <c r="H79" s="102" t="s">
        <v>68</v>
      </c>
      <c r="I79" s="48"/>
      <c r="J79" s="48"/>
      <c r="K79" s="48"/>
      <c r="L79" s="48"/>
      <c r="M79" s="2214">
        <f>IF(E51=0,0,(SUM(O79:P83))/E51)</f>
        <v>0</v>
      </c>
      <c r="N79" s="2215"/>
      <c r="O79" s="1897">
        <f>E79*G79</f>
        <v>0</v>
      </c>
      <c r="P79" s="1898"/>
      <c r="Q79" s="856">
        <v>2</v>
      </c>
      <c r="R79" s="106" t="s">
        <v>233</v>
      </c>
      <c r="S79" s="106"/>
      <c r="T79" s="194">
        <v>0</v>
      </c>
      <c r="U79" s="106" t="s">
        <v>18</v>
      </c>
      <c r="V79" s="195">
        <f>Pricing!N26</f>
        <v>0.75</v>
      </c>
      <c r="W79" s="106" t="s">
        <v>18</v>
      </c>
      <c r="X79" s="118">
        <f>T79*V79</f>
        <v>0</v>
      </c>
      <c r="AA79" s="299">
        <v>8</v>
      </c>
      <c r="AB79" s="299" t="s">
        <v>249</v>
      </c>
      <c r="AF79" s="299">
        <f>SUM(O57:P59)</f>
        <v>0</v>
      </c>
    </row>
    <row r="80" spans="2:32" s="299" customFormat="1" ht="20.149999999999999" customHeight="1" x14ac:dyDescent="0.35">
      <c r="B80" s="92" t="s">
        <v>1162</v>
      </c>
      <c r="C80" s="42"/>
      <c r="D80" s="42"/>
      <c r="E80" s="753">
        <f>E79*0.5</f>
        <v>0</v>
      </c>
      <c r="F80" s="103" t="s">
        <v>187</v>
      </c>
      <c r="G80" s="808">
        <v>390</v>
      </c>
      <c r="H80" s="108" t="s">
        <v>68</v>
      </c>
      <c r="I80" s="42"/>
      <c r="J80" s="42"/>
      <c r="K80" s="42"/>
      <c r="L80" s="42"/>
      <c r="M80" s="2076">
        <f>SUM(O79:P83)</f>
        <v>0</v>
      </c>
      <c r="N80" s="2108"/>
      <c r="O80" s="1895">
        <f>E80*G80</f>
        <v>0</v>
      </c>
      <c r="P80" s="1896"/>
      <c r="Q80" s="856">
        <v>2</v>
      </c>
      <c r="R80" s="106" t="s">
        <v>785</v>
      </c>
      <c r="S80" s="106"/>
      <c r="T80" s="194">
        <v>0</v>
      </c>
      <c r="U80" s="106" t="s">
        <v>288</v>
      </c>
      <c r="V80" s="195">
        <f>Pricing!N27</f>
        <v>15</v>
      </c>
      <c r="W80" s="401" t="s">
        <v>293</v>
      </c>
      <c r="X80" s="118">
        <f>T80*V80</f>
        <v>0</v>
      </c>
      <c r="AA80" s="299">
        <v>9</v>
      </c>
      <c r="AB80" s="299" t="s">
        <v>234</v>
      </c>
      <c r="AF80" s="299">
        <f>SUM(O66:P67)</f>
        <v>0</v>
      </c>
    </row>
    <row r="81" spans="2:32" s="299" customFormat="1" ht="20.149999999999999" customHeight="1" x14ac:dyDescent="0.35">
      <c r="B81" s="196" t="s">
        <v>1165</v>
      </c>
      <c r="C81" s="42"/>
      <c r="D81" s="42"/>
      <c r="E81" s="1408"/>
      <c r="F81" s="103" t="s">
        <v>187</v>
      </c>
      <c r="G81" s="1414">
        <v>200</v>
      </c>
      <c r="H81" s="108" t="s">
        <v>68</v>
      </c>
      <c r="I81" s="42"/>
      <c r="J81" s="42"/>
      <c r="K81" s="42"/>
      <c r="L81" s="42"/>
      <c r="M81" s="1814"/>
      <c r="N81" s="1814"/>
      <c r="O81" s="1895">
        <f t="shared" ref="O81:O82" si="56">E81*G81</f>
        <v>0</v>
      </c>
      <c r="P81" s="1896"/>
      <c r="Q81" s="856"/>
      <c r="R81" s="106"/>
      <c r="S81" s="106"/>
      <c r="T81" s="194"/>
      <c r="U81" s="106"/>
      <c r="V81" s="195"/>
      <c r="W81" s="401"/>
      <c r="X81" s="118"/>
    </row>
    <row r="82" spans="2:32" s="299" customFormat="1" ht="20.149999999999999" customHeight="1" x14ac:dyDescent="0.35">
      <c r="B82" s="196" t="s">
        <v>1168</v>
      </c>
      <c r="C82" s="42"/>
      <c r="D82" s="42"/>
      <c r="E82" s="1408">
        <f>E79*0.5</f>
        <v>0</v>
      </c>
      <c r="F82" s="103" t="s">
        <v>187</v>
      </c>
      <c r="G82" s="1414">
        <v>200</v>
      </c>
      <c r="H82" s="88"/>
      <c r="I82" s="42"/>
      <c r="J82" s="42"/>
      <c r="K82" s="42"/>
      <c r="L82" s="42"/>
      <c r="M82" s="1814"/>
      <c r="N82" s="1814"/>
      <c r="O82" s="1895">
        <f t="shared" si="56"/>
        <v>0</v>
      </c>
      <c r="P82" s="1896"/>
      <c r="Q82" s="856"/>
      <c r="R82" s="106"/>
      <c r="S82" s="106"/>
      <c r="T82" s="194"/>
      <c r="U82" s="106"/>
      <c r="V82" s="195"/>
      <c r="W82" s="401"/>
      <c r="X82" s="118"/>
    </row>
    <row r="83" spans="2:32" s="299" customFormat="1" ht="20.149999999999999" customHeight="1" thickBot="1" x14ac:dyDescent="0.4">
      <c r="B83" s="219" t="s">
        <v>188</v>
      </c>
      <c r="C83" s="49"/>
      <c r="D83" s="49"/>
      <c r="E83" s="754">
        <f>IF(E79=0,E80,E79)</f>
        <v>0</v>
      </c>
      <c r="F83" s="49" t="s">
        <v>187</v>
      </c>
      <c r="G83" s="809">
        <v>100</v>
      </c>
      <c r="H83" s="96" t="s">
        <v>68</v>
      </c>
      <c r="I83" s="49"/>
      <c r="J83" s="49"/>
      <c r="K83" s="49"/>
      <c r="L83" s="49"/>
      <c r="M83" s="49"/>
      <c r="N83" s="49"/>
      <c r="O83" s="2072">
        <f>E83*G83</f>
        <v>0</v>
      </c>
      <c r="P83" s="2073"/>
      <c r="Q83" s="856">
        <v>2</v>
      </c>
      <c r="R83" s="106"/>
      <c r="S83" s="106"/>
      <c r="T83" s="194"/>
      <c r="U83" s="106"/>
      <c r="V83" s="195"/>
      <c r="W83" s="106"/>
      <c r="X83" s="118"/>
      <c r="AA83" s="299">
        <v>10</v>
      </c>
      <c r="AB83" s="299" t="s">
        <v>250</v>
      </c>
      <c r="AF83" s="299">
        <f>SUM(X91:X93)</f>
        <v>0</v>
      </c>
    </row>
    <row r="84" spans="2:32" s="299" customFormat="1" ht="20.149999999999999" customHeight="1" thickBot="1" x14ac:dyDescent="0.4">
      <c r="B84" s="2305" t="s">
        <v>44</v>
      </c>
      <c r="C84" s="2306"/>
      <c r="D84" s="2306"/>
      <c r="E84" s="2306"/>
      <c r="F84" s="2306"/>
      <c r="G84" s="2306"/>
      <c r="H84" s="2306"/>
      <c r="I84" s="2306"/>
      <c r="J84" s="2306"/>
      <c r="K84" s="2306"/>
      <c r="L84" s="2306"/>
      <c r="M84" s="2306"/>
      <c r="N84" s="2306"/>
      <c r="O84" s="2306"/>
      <c r="P84" s="2307"/>
      <c r="Q84" s="856">
        <v>2</v>
      </c>
      <c r="R84" s="851" t="s">
        <v>892</v>
      </c>
      <c r="S84" s="852"/>
      <c r="T84" s="851"/>
      <c r="U84" s="853"/>
      <c r="V84" s="2243"/>
      <c r="W84" s="2244"/>
      <c r="X84" s="850">
        <f>V84</f>
        <v>0</v>
      </c>
      <c r="AA84" s="299">
        <v>11</v>
      </c>
      <c r="AB84" s="299" t="s">
        <v>251</v>
      </c>
    </row>
    <row r="85" spans="2:32" s="299" customFormat="1" ht="20.149999999999999" customHeight="1" thickTop="1" x14ac:dyDescent="0.35">
      <c r="B85" s="1979" t="s">
        <v>90</v>
      </c>
      <c r="C85" s="1980"/>
      <c r="D85" s="1981"/>
      <c r="E85" s="755">
        <f>IF(E$79&gt;0,IF(E$79&lt;=3,E$79,7),0)+IF(E$79&gt;5,IF(E$79&lt;=10,7,0),0)+IF(E$79&gt;10,IF(E$79&lt;=15,14,0),0)+IF(E$79&gt;15,IF(E$79&lt;=20,23,0),0)+IF(E$79&gt;20,IF(E$79&lt;=40,53,0),0)+IF(E$79&gt;40,IF(E$79&lt;=60,83,0),0)+IF(E$79&gt;60,IF(E$79&lt;=80,113,0),0)+IF(E$79&gt;80,IF(E$79&lt;=100,143,0),0)</f>
        <v>0</v>
      </c>
      <c r="F85" s="106" t="s">
        <v>107</v>
      </c>
      <c r="G85" s="858">
        <f>Pricing!D31</f>
        <v>385</v>
      </c>
      <c r="H85" s="401" t="s">
        <v>172</v>
      </c>
      <c r="I85" s="42"/>
      <c r="J85" s="42"/>
      <c r="K85" s="42"/>
      <c r="L85" s="42"/>
      <c r="M85" s="42"/>
      <c r="N85" s="42"/>
      <c r="O85" s="2545">
        <f>(IF(AND(E85&gt;0,E85&lt;4),E85*G85,0)+IF(AND(E85&gt;3,E85&lt;8),G85*3,0)+IF(AND(E85&gt;7,E85&lt;21),E85/7*G85*3,0)+IF(AND(E85&gt;20,E85&lt;30),G85*9,0)+IF(E85&gt;29,E85/30*G85*9,0))*(1+W$46+J$87)</f>
        <v>0</v>
      </c>
      <c r="P85" s="2546"/>
      <c r="Q85" s="856">
        <v>6</v>
      </c>
      <c r="R85" s="106" t="s">
        <v>287</v>
      </c>
      <c r="S85" s="106"/>
      <c r="T85" s="194"/>
      <c r="U85" s="106" t="s">
        <v>288</v>
      </c>
      <c r="V85" s="195">
        <f>Pricing!N30</f>
        <v>27</v>
      </c>
      <c r="W85" s="401" t="s">
        <v>293</v>
      </c>
      <c r="X85" s="111">
        <f>T85*V85</f>
        <v>0</v>
      </c>
      <c r="AA85" s="299">
        <v>12</v>
      </c>
      <c r="AB85" s="299" t="s">
        <v>252</v>
      </c>
    </row>
    <row r="86" spans="2:32" s="299" customFormat="1" ht="20.149999999999999" customHeight="1" thickBot="1" x14ac:dyDescent="0.4">
      <c r="B86" s="1979" t="s">
        <v>789</v>
      </c>
      <c r="C86" s="1980"/>
      <c r="D86" s="1981"/>
      <c r="E86" s="755">
        <f>E85</f>
        <v>0</v>
      </c>
      <c r="F86" s="106" t="s">
        <v>107</v>
      </c>
      <c r="G86" s="844">
        <f>Pricing!D33</f>
        <v>350</v>
      </c>
      <c r="H86" s="401" t="s">
        <v>172</v>
      </c>
      <c r="I86" s="42"/>
      <c r="J86" s="2083" t="s">
        <v>469</v>
      </c>
      <c r="K86" s="2084"/>
      <c r="L86" s="42"/>
      <c r="M86" s="2074">
        <f>IF(E47=0,0,(SUM(O85:P90))/E47)</f>
        <v>0</v>
      </c>
      <c r="N86" s="2569"/>
      <c r="O86" s="2543">
        <f>(IF(AND(E86&gt;0,E86&lt;4),E86*G86,0)+IF(AND(E86&gt;3,E86&lt;8),G86*3,0)+IF(AND(E86&gt;7,E86&lt;21),E86/7*G86*3,0)+IF(AND(E86&gt;20,E86&lt;30),G86*9,0)+IF(E86&gt;29,E86/30*G86*9,0))*(1+W$46+J$87)</f>
        <v>0</v>
      </c>
      <c r="P86" s="2544"/>
      <c r="Q86" s="856">
        <v>6</v>
      </c>
      <c r="R86" s="106" t="s">
        <v>286</v>
      </c>
      <c r="S86" s="106"/>
      <c r="T86" s="194">
        <v>0</v>
      </c>
      <c r="U86" s="106" t="s">
        <v>788</v>
      </c>
      <c r="V86" s="195">
        <f>Pricing!N31</f>
        <v>1.25</v>
      </c>
      <c r="W86" s="401" t="s">
        <v>99</v>
      </c>
      <c r="X86" s="118">
        <f>V86*T86</f>
        <v>0</v>
      </c>
      <c r="AA86" s="299">
        <v>15</v>
      </c>
      <c r="AB86" s="299" t="s">
        <v>253</v>
      </c>
    </row>
    <row r="87" spans="2:32" s="299" customFormat="1" ht="20.149999999999999" customHeight="1" thickTop="1" x14ac:dyDescent="0.35">
      <c r="B87" s="1979" t="s">
        <v>662</v>
      </c>
      <c r="C87" s="1980"/>
      <c r="D87" s="1981"/>
      <c r="E87" s="755">
        <f>E85</f>
        <v>0</v>
      </c>
      <c r="F87" s="106" t="s">
        <v>107</v>
      </c>
      <c r="G87" s="844">
        <f>Pricing!D42</f>
        <v>200</v>
      </c>
      <c r="H87" s="401" t="s">
        <v>172</v>
      </c>
      <c r="I87" s="42"/>
      <c r="J87" s="2565">
        <v>0.5</v>
      </c>
      <c r="K87" s="2566"/>
      <c r="L87" s="42"/>
      <c r="M87" s="2410">
        <f>SUM(O85:P90)</f>
        <v>0</v>
      </c>
      <c r="N87" s="2570"/>
      <c r="O87" s="2543">
        <f>(IF(AND(E87&gt;0,E87&lt;4),E87*G87,0)+IF(AND(E87&gt;3,E87&lt;8),G87*3,0)+IF(AND(E87&gt;7,E87&lt;21),E87/7*G87*3,0)+IF(AND(E87&gt;20,E87&lt;30),G87*9,0)+IF(E87&gt;29,E87/30*G87*9,0))*(1+W$46+J$87)</f>
        <v>0</v>
      </c>
      <c r="P87" s="2544"/>
      <c r="Q87" s="856">
        <v>6</v>
      </c>
      <c r="R87" s="106" t="s">
        <v>285</v>
      </c>
      <c r="S87" s="106"/>
      <c r="T87" s="194">
        <f>L60</f>
        <v>0</v>
      </c>
      <c r="U87" s="106" t="s">
        <v>32</v>
      </c>
      <c r="V87" s="195">
        <v>0.04</v>
      </c>
      <c r="W87" s="401" t="s">
        <v>88</v>
      </c>
      <c r="X87" s="118">
        <f>V87*T87</f>
        <v>0</v>
      </c>
      <c r="AA87" s="299">
        <v>16</v>
      </c>
      <c r="AB87" s="299" t="s">
        <v>841</v>
      </c>
    </row>
    <row r="88" spans="2:32" s="299" customFormat="1" ht="20.149999999999999" customHeight="1" x14ac:dyDescent="0.35">
      <c r="B88" s="1979" t="s">
        <v>160</v>
      </c>
      <c r="C88" s="1980"/>
      <c r="D88" s="1981"/>
      <c r="E88" s="755">
        <f>E86</f>
        <v>0</v>
      </c>
      <c r="F88" s="106" t="s">
        <v>107</v>
      </c>
      <c r="G88" s="844">
        <f>Pricing!D37</f>
        <v>65</v>
      </c>
      <c r="H88" s="401" t="s">
        <v>172</v>
      </c>
      <c r="I88" s="42"/>
      <c r="J88" s="2567"/>
      <c r="K88" s="2568"/>
      <c r="L88" s="42"/>
      <c r="M88" s="42"/>
      <c r="N88" s="42"/>
      <c r="O88" s="2543">
        <f>(IF(AND(E88&gt;0,E88&lt;4),E88*G88,0)+IF(AND(E88&gt;3,E88&lt;8),G88*3,0)+IF(AND(E88&gt;7,E88&lt;21),E88/7*G88*3,0)+IF(AND(E88&gt;20,E88&lt;30),G88*9,0)+IF(E88&gt;29,E88/30*G88*9,0))*(1+W$46+J$87)</f>
        <v>0</v>
      </c>
      <c r="P88" s="2544"/>
      <c r="Q88" s="856">
        <v>6</v>
      </c>
      <c r="R88" s="106"/>
      <c r="S88" s="106"/>
      <c r="T88" s="194"/>
      <c r="U88" s="106"/>
      <c r="V88" s="195"/>
      <c r="W88" s="106"/>
      <c r="X88" s="118"/>
      <c r="AA88" s="299">
        <v>17</v>
      </c>
      <c r="AB88" s="299" t="s">
        <v>842</v>
      </c>
    </row>
    <row r="89" spans="2:32" s="299" customFormat="1" ht="20.149999999999999" customHeight="1" x14ac:dyDescent="0.35">
      <c r="B89" s="1979" t="s">
        <v>175</v>
      </c>
      <c r="C89" s="1980"/>
      <c r="D89" s="1981"/>
      <c r="E89" s="755"/>
      <c r="F89" s="106" t="s">
        <v>107</v>
      </c>
      <c r="G89" s="844">
        <f>Pricing!D39</f>
        <v>420</v>
      </c>
      <c r="H89" s="401" t="s">
        <v>172</v>
      </c>
      <c r="I89" s="42"/>
      <c r="J89" s="42"/>
      <c r="K89" s="42"/>
      <c r="L89" s="42"/>
      <c r="M89" s="42"/>
      <c r="N89" s="42"/>
      <c r="O89" s="2543">
        <f>(IF(AND(E89&gt;0,E89&lt;4),E89*G89,0)+IF(AND(E89&gt;3,E89&lt;8),G89*3,0)+IF(AND(E89&gt;7,E89&lt;21),E89/7*G89*3,0)+IF(AND(E89&gt;20,E89&lt;30),G89*9,0)+IF(E89&gt;29,E89/30*G89*9,0))*(1+W$46+J$87)</f>
        <v>0</v>
      </c>
      <c r="P89" s="2544"/>
      <c r="Q89" s="856">
        <v>6</v>
      </c>
      <c r="R89" s="106"/>
      <c r="S89" s="106"/>
      <c r="T89" s="194"/>
      <c r="U89" s="106"/>
      <c r="V89" s="195"/>
      <c r="W89" s="106"/>
      <c r="X89" s="118"/>
      <c r="AA89" s="299">
        <v>18</v>
      </c>
      <c r="AB89" s="299" t="s">
        <v>843</v>
      </c>
      <c r="AF89" s="343">
        <f>O68</f>
        <v>0</v>
      </c>
    </row>
    <row r="90" spans="2:32" s="299" customFormat="1" ht="20.149999999999999" customHeight="1" thickBot="1" x14ac:dyDescent="0.4">
      <c r="B90" s="2069" t="s">
        <v>108</v>
      </c>
      <c r="C90" s="2070"/>
      <c r="D90" s="2071"/>
      <c r="E90" s="829">
        <f>IF(E$83&gt;0,IF(E$83&lt;=3,E$83,7),0)+IF(E$83&gt;5,IF(E$83&lt;=10,7,0),0)+IF(E$83&gt;10,IF(E$83&lt;=15,14,0),0)+IF(E$83&gt;15,IF(E$83&lt;=20,23,0),0)+IF(E$83&gt;20,IF(E$83&lt;=40,53,0),0)+IF(E$83&gt;40,IF(E$83&lt;=60,83,0),0)+IF(E$83&gt;60,IF(E$83&lt;=80,113,0),0)+IF(E$83&gt;80,IF(E$83&lt;=100,143,0),0)</f>
        <v>0</v>
      </c>
      <c r="F90" s="188" t="s">
        <v>107</v>
      </c>
      <c r="G90" s="845">
        <v>35</v>
      </c>
      <c r="H90" s="422" t="s">
        <v>172</v>
      </c>
      <c r="I90" s="49"/>
      <c r="J90" s="49"/>
      <c r="K90" s="49"/>
      <c r="L90" s="49"/>
      <c r="M90" s="117"/>
      <c r="N90" s="49"/>
      <c r="O90" s="2563">
        <f>(IF(AND(E90&gt;0,E90&lt;4),E90*G90,0)+IF(AND(E90&gt;3,E90&lt;8),G90*3,0)+IF(AND(E90&gt;7,E90&lt;21),E90/7*G90*3,0)+IF(AND(E90&gt;20,E90&lt;30),G90*9,0)+IF(E90&gt;29,E90/30*G90*9,0))</f>
        <v>0</v>
      </c>
      <c r="P90" s="2564"/>
      <c r="Q90" s="856">
        <v>6</v>
      </c>
      <c r="R90" s="199"/>
      <c r="S90" s="199"/>
      <c r="T90" s="200"/>
      <c r="U90" s="199"/>
      <c r="V90" s="201"/>
      <c r="W90" s="199"/>
      <c r="X90" s="119"/>
      <c r="AA90" s="299">
        <v>20</v>
      </c>
      <c r="AB90" s="299" t="s">
        <v>93</v>
      </c>
      <c r="AF90" s="299">
        <f>SUM(O79:P80)</f>
        <v>0</v>
      </c>
    </row>
    <row r="91" spans="2:32" s="299" customFormat="1" ht="20.149999999999999" customHeight="1" thickTop="1" thickBot="1" x14ac:dyDescent="0.4">
      <c r="B91" s="2305" t="s">
        <v>174</v>
      </c>
      <c r="C91" s="2306"/>
      <c r="D91" s="2306"/>
      <c r="E91" s="2306"/>
      <c r="F91" s="2306"/>
      <c r="G91" s="2306"/>
      <c r="H91" s="2306"/>
      <c r="I91" s="2306"/>
      <c r="J91" s="2306"/>
      <c r="K91" s="2306"/>
      <c r="L91" s="2306"/>
      <c r="M91" s="2306"/>
      <c r="N91" s="2306"/>
      <c r="O91" s="2306"/>
      <c r="P91" s="2307"/>
      <c r="Q91" s="856">
        <v>10</v>
      </c>
      <c r="R91" s="42"/>
      <c r="S91" s="42"/>
      <c r="T91" s="89"/>
      <c r="U91" s="42"/>
      <c r="V91" s="34"/>
      <c r="W91" s="42"/>
      <c r="X91" s="111"/>
      <c r="AA91" s="299">
        <v>21</v>
      </c>
      <c r="AB91" s="299" t="s">
        <v>254</v>
      </c>
      <c r="AF91" s="299">
        <f>O83</f>
        <v>0</v>
      </c>
    </row>
    <row r="92" spans="2:32" s="299" customFormat="1" ht="20.149999999999999" customHeight="1" x14ac:dyDescent="0.35">
      <c r="B92" s="2114" t="s">
        <v>85</v>
      </c>
      <c r="C92" s="2115"/>
      <c r="D92" s="2571"/>
      <c r="E92" s="859">
        <f>Pricing!D41</f>
        <v>16</v>
      </c>
      <c r="F92" s="860" t="s">
        <v>117</v>
      </c>
      <c r="G92" s="861">
        <f>SUM(L57:M59)</f>
        <v>0</v>
      </c>
      <c r="H92" s="401" t="s">
        <v>190</v>
      </c>
      <c r="I92" s="42"/>
      <c r="J92" s="42"/>
      <c r="K92" s="42"/>
      <c r="L92" s="42"/>
      <c r="M92" s="42"/>
      <c r="N92" s="42"/>
      <c r="O92" s="2581">
        <f t="shared" ref="O92:O97" si="57">E92*G92</f>
        <v>0</v>
      </c>
      <c r="P92" s="2582"/>
      <c r="Q92" s="856">
        <v>10</v>
      </c>
      <c r="R92" s="42" t="s">
        <v>211</v>
      </c>
      <c r="S92" s="42"/>
      <c r="T92" s="89">
        <f>ROUNDUP(I71/300/55,0)</f>
        <v>0</v>
      </c>
      <c r="U92" s="42" t="s">
        <v>784</v>
      </c>
      <c r="V92" s="34">
        <f>Pricing!N42</f>
        <v>540</v>
      </c>
      <c r="W92" s="88" t="s">
        <v>295</v>
      </c>
      <c r="X92" s="118">
        <f>V92*T92</f>
        <v>0</v>
      </c>
      <c r="AA92" s="299">
        <v>22</v>
      </c>
      <c r="AB92" s="299" t="s">
        <v>255</v>
      </c>
      <c r="AF92" s="299">
        <f>SUM(L70:M76)</f>
        <v>0</v>
      </c>
    </row>
    <row r="93" spans="2:32" s="299" customFormat="1" ht="20.149999999999999" customHeight="1" thickBot="1" x14ac:dyDescent="0.4">
      <c r="B93" s="2114" t="s">
        <v>560</v>
      </c>
      <c r="C93" s="2115"/>
      <c r="D93" s="2571"/>
      <c r="E93" s="830">
        <v>3</v>
      </c>
      <c r="F93" s="401" t="s">
        <v>69</v>
      </c>
      <c r="G93" s="846"/>
      <c r="H93" s="401" t="s">
        <v>69</v>
      </c>
      <c r="I93" s="42"/>
      <c r="J93" s="42"/>
      <c r="K93" s="42"/>
      <c r="L93" s="42"/>
      <c r="M93" s="42"/>
      <c r="N93" s="42"/>
      <c r="O93" s="2572">
        <f t="shared" si="57"/>
        <v>0</v>
      </c>
      <c r="P93" s="2573"/>
      <c r="Q93" s="856">
        <v>10</v>
      </c>
      <c r="R93" s="75" t="s">
        <v>212</v>
      </c>
      <c r="S93" s="75"/>
      <c r="T93" s="107">
        <f>BF70</f>
        <v>0</v>
      </c>
      <c r="U93" s="75" t="s">
        <v>784</v>
      </c>
      <c r="V93" s="530">
        <f>Pricing!N43</f>
        <v>542</v>
      </c>
      <c r="W93" s="90" t="s">
        <v>295</v>
      </c>
      <c r="X93" s="119">
        <f>V93*T93</f>
        <v>0</v>
      </c>
      <c r="AA93" s="299">
        <v>23</v>
      </c>
      <c r="AB93" s="299" t="s">
        <v>256</v>
      </c>
      <c r="AF93" s="299">
        <f>O97</f>
        <v>0</v>
      </c>
    </row>
    <row r="94" spans="2:32" s="299" customFormat="1" ht="20.149999999999999" customHeight="1" thickTop="1" x14ac:dyDescent="0.35">
      <c r="B94" s="2114" t="s">
        <v>176</v>
      </c>
      <c r="C94" s="2115"/>
      <c r="D94" s="2571"/>
      <c r="E94" s="830">
        <v>0.25</v>
      </c>
      <c r="F94" s="452" t="s">
        <v>118</v>
      </c>
      <c r="G94" s="846"/>
      <c r="H94" s="401" t="s">
        <v>118</v>
      </c>
      <c r="I94" s="42"/>
      <c r="J94" s="42"/>
      <c r="K94" s="42"/>
      <c r="L94" s="42"/>
      <c r="M94" s="42"/>
      <c r="N94" s="42"/>
      <c r="O94" s="2572">
        <f t="shared" si="57"/>
        <v>0</v>
      </c>
      <c r="P94" s="2573"/>
      <c r="Q94" s="856"/>
      <c r="R94" s="42"/>
      <c r="S94" s="42"/>
      <c r="T94" s="42"/>
      <c r="U94" s="42"/>
      <c r="V94" s="154"/>
      <c r="W94" s="42"/>
      <c r="X94" s="111"/>
      <c r="AA94" s="299">
        <v>24</v>
      </c>
      <c r="AB94" s="299" t="s">
        <v>257</v>
      </c>
    </row>
    <row r="95" spans="2:32" s="299" customFormat="1" ht="20.149999999999999" customHeight="1" x14ac:dyDescent="0.35">
      <c r="B95" s="2574" t="s">
        <v>108</v>
      </c>
      <c r="C95" s="2575"/>
      <c r="D95" s="2576"/>
      <c r="E95" s="831"/>
      <c r="F95" s="453" t="s">
        <v>137</v>
      </c>
      <c r="G95" s="847">
        <v>1000</v>
      </c>
      <c r="H95" s="454" t="s">
        <v>794</v>
      </c>
      <c r="I95" s="42"/>
      <c r="J95" s="42"/>
      <c r="K95" s="42"/>
      <c r="L95" s="42"/>
      <c r="M95" s="42"/>
      <c r="N95" s="42"/>
      <c r="O95" s="2572">
        <f t="shared" si="57"/>
        <v>0</v>
      </c>
      <c r="P95" s="2573"/>
      <c r="Q95" s="856"/>
      <c r="R95" s="2315" t="s">
        <v>216</v>
      </c>
      <c r="S95" s="2315"/>
      <c r="T95" s="770">
        <v>18</v>
      </c>
      <c r="U95" s="770" t="s">
        <v>217</v>
      </c>
      <c r="V95" s="42"/>
      <c r="W95" s="42"/>
      <c r="X95" s="534"/>
      <c r="AA95" s="299">
        <v>25</v>
      </c>
      <c r="AB95" s="299" t="s">
        <v>258</v>
      </c>
    </row>
    <row r="96" spans="2:32" s="299" customFormat="1" ht="20.149999999999999" customHeight="1" thickBot="1" x14ac:dyDescent="0.4">
      <c r="B96" s="2114" t="s">
        <v>307</v>
      </c>
      <c r="C96" s="2115"/>
      <c r="D96" s="2571"/>
      <c r="E96" s="832"/>
      <c r="F96" s="425" t="s">
        <v>124</v>
      </c>
      <c r="G96" s="848">
        <v>525</v>
      </c>
      <c r="H96" s="106" t="s">
        <v>31</v>
      </c>
      <c r="I96" s="42"/>
      <c r="J96" s="42"/>
      <c r="K96" s="42"/>
      <c r="L96" s="42"/>
      <c r="M96" s="42"/>
      <c r="N96" s="42"/>
      <c r="O96" s="2572">
        <f t="shared" si="57"/>
        <v>0</v>
      </c>
      <c r="P96" s="2573"/>
      <c r="Q96" s="856"/>
      <c r="R96" s="49" t="s">
        <v>214</v>
      </c>
      <c r="S96" s="49"/>
      <c r="T96" s="49">
        <f>T68*12/T95</f>
        <v>0</v>
      </c>
      <c r="U96" s="49" t="s">
        <v>215</v>
      </c>
      <c r="V96" s="2313">
        <f>Pricing!D29</f>
        <v>1.75</v>
      </c>
      <c r="W96" s="2313"/>
      <c r="X96" s="22">
        <f>V96*T96</f>
        <v>0</v>
      </c>
      <c r="AA96" s="299">
        <v>30</v>
      </c>
      <c r="AB96" s="299" t="s">
        <v>259</v>
      </c>
      <c r="AF96" s="299">
        <f>O92</f>
        <v>0</v>
      </c>
    </row>
    <row r="97" spans="2:32" s="299" customFormat="1" ht="20.149999999999999" customHeight="1" thickBot="1" x14ac:dyDescent="0.4">
      <c r="B97" s="2577" t="s">
        <v>186</v>
      </c>
      <c r="C97" s="2233"/>
      <c r="D97" s="2578"/>
      <c r="E97" s="833"/>
      <c r="F97" s="455" t="s">
        <v>97</v>
      </c>
      <c r="G97" s="849">
        <v>250</v>
      </c>
      <c r="H97" s="422" t="s">
        <v>68</v>
      </c>
      <c r="I97" s="49"/>
      <c r="J97" s="49"/>
      <c r="K97" s="49"/>
      <c r="L97" s="49"/>
      <c r="M97" s="49"/>
      <c r="N97" s="49"/>
      <c r="O97" s="2579">
        <f t="shared" si="57"/>
        <v>0</v>
      </c>
      <c r="P97" s="2580"/>
      <c r="Q97" s="857"/>
      <c r="R97" s="298"/>
      <c r="S97" s="298"/>
      <c r="T97" s="298"/>
      <c r="U97" s="298"/>
      <c r="V97" s="298"/>
      <c r="W97" s="298"/>
      <c r="X97" s="1131">
        <f>SUM(X58:X96)</f>
        <v>0</v>
      </c>
      <c r="AA97" s="299">
        <v>31</v>
      </c>
      <c r="AB97" s="299" t="s">
        <v>744</v>
      </c>
    </row>
    <row r="98" spans="2:32" s="299" customFormat="1" ht="16" thickBot="1" x14ac:dyDescent="0.4">
      <c r="B98" s="898"/>
      <c r="C98" s="899"/>
      <c r="D98" s="899"/>
      <c r="E98" s="899"/>
      <c r="F98" s="899"/>
      <c r="G98" s="899"/>
      <c r="H98" s="899"/>
      <c r="I98" s="899"/>
      <c r="J98" s="899"/>
      <c r="K98" s="899"/>
      <c r="L98" s="900"/>
      <c r="M98" s="899"/>
      <c r="N98" s="899"/>
      <c r="O98" s="899"/>
      <c r="P98" s="899"/>
      <c r="Q98" s="899"/>
      <c r="R98" s="899"/>
      <c r="S98" s="899"/>
      <c r="T98" s="899"/>
      <c r="U98" s="899"/>
      <c r="V98" s="899"/>
      <c r="W98" s="899"/>
      <c r="X98" s="1115"/>
      <c r="AA98" s="299">
        <v>32</v>
      </c>
      <c r="AB98" s="299" t="s">
        <v>260</v>
      </c>
    </row>
    <row r="99" spans="2:32" s="299" customFormat="1" x14ac:dyDescent="0.35">
      <c r="B99" s="1987" t="s">
        <v>185</v>
      </c>
      <c r="C99" s="2041"/>
      <c r="D99" s="1988"/>
      <c r="E99" s="1987" t="s">
        <v>140</v>
      </c>
      <c r="F99" s="1988"/>
      <c r="G99" s="1987" t="s">
        <v>178</v>
      </c>
      <c r="H99" s="2041"/>
      <c r="I99" s="1988"/>
      <c r="J99" s="1935" t="s">
        <v>184</v>
      </c>
      <c r="K99" s="1936"/>
      <c r="L99" s="1937"/>
      <c r="M99" s="2044" t="s">
        <v>179</v>
      </c>
      <c r="N99" s="2045"/>
      <c r="O99" s="132"/>
      <c r="P99" s="133"/>
      <c r="Q99" s="897"/>
      <c r="R99" s="43" t="s">
        <v>34</v>
      </c>
      <c r="S99" s="42"/>
      <c r="T99" s="42" t="s">
        <v>758</v>
      </c>
      <c r="U99" s="728" t="str">
        <f>U46</f>
        <v>n</v>
      </c>
      <c r="V99" s="73" t="s">
        <v>298</v>
      </c>
      <c r="W99" s="729">
        <f>W46</f>
        <v>8.2500000000000004E-2</v>
      </c>
      <c r="X99" s="1113"/>
      <c r="AA99" s="299">
        <v>33</v>
      </c>
      <c r="AB99" s="299" t="s">
        <v>261</v>
      </c>
      <c r="AF99" s="299">
        <f>O96</f>
        <v>0</v>
      </c>
    </row>
    <row r="100" spans="2:32" s="299" customFormat="1" ht="16" thickBot="1" x14ac:dyDescent="0.4">
      <c r="B100" s="11" t="s">
        <v>180</v>
      </c>
      <c r="C100" s="1999">
        <f>C47</f>
        <v>0</v>
      </c>
      <c r="D100" s="2000"/>
      <c r="E100" s="2003">
        <f>E47</f>
        <v>0</v>
      </c>
      <c r="F100" s="2004"/>
      <c r="G100" s="15">
        <f>G47</f>
        <v>0</v>
      </c>
      <c r="H100" s="2042">
        <f>H47</f>
        <v>0</v>
      </c>
      <c r="I100" s="2043"/>
      <c r="J100" s="2064">
        <f>J47</f>
        <v>0</v>
      </c>
      <c r="K100" s="2065"/>
      <c r="L100" s="2066"/>
      <c r="M100" s="1879">
        <f>M47</f>
        <v>0.18</v>
      </c>
      <c r="N100" s="1880"/>
      <c r="O100" s="1880"/>
      <c r="P100" s="1881"/>
      <c r="Q100" s="902"/>
      <c r="R100" s="86" t="s">
        <v>50</v>
      </c>
      <c r="S100" s="42"/>
      <c r="T100" s="42"/>
      <c r="U100" s="1932">
        <f>U47</f>
        <v>0</v>
      </c>
      <c r="V100" s="1932"/>
      <c r="W100" s="42"/>
      <c r="X100" s="1113"/>
      <c r="AA100" s="299">
        <v>34</v>
      </c>
      <c r="AB100" s="299" t="s">
        <v>262</v>
      </c>
      <c r="AF100" s="299">
        <f>O94+O93</f>
        <v>0</v>
      </c>
    </row>
    <row r="101" spans="2:32" s="299" customFormat="1" ht="16" thickBot="1" x14ac:dyDescent="0.4">
      <c r="B101" s="889"/>
      <c r="C101" s="890"/>
      <c r="D101" s="890"/>
      <c r="E101" s="890"/>
      <c r="F101" s="890"/>
      <c r="G101" s="890"/>
      <c r="H101" s="890"/>
      <c r="I101" s="890"/>
      <c r="J101" s="890"/>
      <c r="K101" s="890"/>
      <c r="L101" s="890"/>
      <c r="M101" s="890"/>
      <c r="N101" s="890"/>
      <c r="O101" s="890"/>
      <c r="P101" s="890"/>
      <c r="Q101" s="890"/>
      <c r="R101" s="890"/>
      <c r="S101" s="890"/>
      <c r="T101" s="890"/>
      <c r="U101" s="890"/>
      <c r="V101" s="890"/>
      <c r="W101" s="890"/>
      <c r="X101" s="896"/>
      <c r="AA101" s="299">
        <v>35</v>
      </c>
      <c r="AB101" s="299" t="s">
        <v>263</v>
      </c>
    </row>
    <row r="102" spans="2:32" s="299" customFormat="1" x14ac:dyDescent="0.35"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AA102" s="299">
        <v>36</v>
      </c>
      <c r="AB102" s="299" t="s">
        <v>745</v>
      </c>
    </row>
    <row r="103" spans="2:32" s="299" customFormat="1" hidden="1" x14ac:dyDescent="0.35"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AA103" s="299">
        <v>39</v>
      </c>
      <c r="AB103" s="299" t="s">
        <v>264</v>
      </c>
    </row>
    <row r="104" spans="2:32" s="299" customFormat="1" hidden="1" x14ac:dyDescent="0.35"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AA104" s="299">
        <v>40</v>
      </c>
      <c r="AB104" s="299" t="s">
        <v>222</v>
      </c>
    </row>
    <row r="105" spans="2:32" s="299" customFormat="1" hidden="1" x14ac:dyDescent="0.35"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AA105" s="299">
        <v>41</v>
      </c>
      <c r="AB105" s="299" t="s">
        <v>265</v>
      </c>
    </row>
    <row r="106" spans="2:32" hidden="1" x14ac:dyDescent="0.35">
      <c r="AA106" s="299">
        <v>42</v>
      </c>
      <c r="AB106" s="299" t="s">
        <v>266</v>
      </c>
      <c r="AC106" s="299"/>
      <c r="AD106" s="299"/>
      <c r="AE106" s="299"/>
      <c r="AF106" s="299"/>
    </row>
    <row r="107" spans="2:32" hidden="1" x14ac:dyDescent="0.35">
      <c r="AA107" s="299">
        <v>44</v>
      </c>
      <c r="AB107" s="299" t="s">
        <v>267</v>
      </c>
      <c r="AC107" s="299"/>
      <c r="AD107" s="299"/>
      <c r="AE107" s="299"/>
      <c r="AF107" s="299"/>
    </row>
    <row r="108" spans="2:32" hidden="1" x14ac:dyDescent="0.35">
      <c r="AA108" s="299">
        <v>45</v>
      </c>
      <c r="AB108" s="299" t="s">
        <v>268</v>
      </c>
      <c r="AC108" s="299"/>
      <c r="AD108" s="299"/>
      <c r="AE108" s="299"/>
      <c r="AF108" s="299"/>
    </row>
    <row r="109" spans="2:32" hidden="1" x14ac:dyDescent="0.35">
      <c r="AA109" s="299">
        <v>46</v>
      </c>
      <c r="AB109" s="299" t="s">
        <v>269</v>
      </c>
      <c r="AC109" s="299"/>
      <c r="AD109" s="299"/>
      <c r="AE109" s="299"/>
      <c r="AF109" s="299"/>
    </row>
    <row r="110" spans="2:32" hidden="1" x14ac:dyDescent="0.35">
      <c r="AA110" s="299">
        <v>47</v>
      </c>
      <c r="AB110" s="299" t="s">
        <v>270</v>
      </c>
      <c r="AC110" s="299"/>
      <c r="AD110" s="299"/>
      <c r="AE110" s="299"/>
      <c r="AF110" s="299"/>
    </row>
    <row r="111" spans="2:32" hidden="1" x14ac:dyDescent="0.35">
      <c r="AA111" s="299">
        <v>48</v>
      </c>
      <c r="AB111" s="299" t="s">
        <v>271</v>
      </c>
      <c r="AC111" s="299"/>
      <c r="AD111" s="299"/>
      <c r="AE111" s="299"/>
      <c r="AF111" s="299"/>
    </row>
    <row r="112" spans="2:32" hidden="1" x14ac:dyDescent="0.35">
      <c r="AA112" s="299">
        <v>49</v>
      </c>
      <c r="AB112" s="299" t="s">
        <v>272</v>
      </c>
      <c r="AC112" s="299"/>
      <c r="AD112" s="299"/>
      <c r="AE112" s="299"/>
      <c r="AF112" s="299"/>
    </row>
    <row r="113" spans="27:32" hidden="1" x14ac:dyDescent="0.35">
      <c r="AA113" s="299">
        <v>50</v>
      </c>
      <c r="AB113" s="299" t="s">
        <v>718</v>
      </c>
      <c r="AC113" s="299"/>
      <c r="AD113" s="299"/>
      <c r="AE113" s="299"/>
      <c r="AF113" s="511">
        <f>SUM(O70:P76)-O75</f>
        <v>0</v>
      </c>
    </row>
    <row r="114" spans="27:32" hidden="1" x14ac:dyDescent="0.35">
      <c r="AA114" s="299">
        <v>51</v>
      </c>
      <c r="AB114" s="299" t="s">
        <v>712</v>
      </c>
      <c r="AC114" s="299"/>
      <c r="AD114" s="299"/>
      <c r="AE114" s="299"/>
      <c r="AF114" s="299"/>
    </row>
    <row r="115" spans="27:32" hidden="1" x14ac:dyDescent="0.35">
      <c r="AA115" s="299">
        <v>52</v>
      </c>
      <c r="AB115" s="299" t="s">
        <v>273</v>
      </c>
      <c r="AC115" s="299"/>
      <c r="AD115" s="299"/>
      <c r="AE115" s="299"/>
      <c r="AF115" s="299"/>
    </row>
    <row r="116" spans="27:32" hidden="1" x14ac:dyDescent="0.35">
      <c r="AA116" s="299">
        <v>56</v>
      </c>
      <c r="AB116" s="299" t="s">
        <v>274</v>
      </c>
      <c r="AC116" s="299"/>
      <c r="AD116" s="299"/>
      <c r="AE116" s="299"/>
      <c r="AF116" s="299"/>
    </row>
    <row r="117" spans="27:32" hidden="1" x14ac:dyDescent="0.35">
      <c r="AA117" s="299">
        <v>54</v>
      </c>
      <c r="AB117" s="299" t="s">
        <v>275</v>
      </c>
      <c r="AC117" s="299"/>
      <c r="AD117" s="299"/>
      <c r="AE117" s="299"/>
      <c r="AF117" s="299"/>
    </row>
    <row r="118" spans="27:32" hidden="1" x14ac:dyDescent="0.35">
      <c r="AA118" s="299">
        <v>55</v>
      </c>
      <c r="AB118" s="299" t="s">
        <v>276</v>
      </c>
      <c r="AC118" s="299"/>
      <c r="AD118" s="299"/>
      <c r="AE118" s="299"/>
      <c r="AF118" s="299"/>
    </row>
    <row r="119" spans="27:32" hidden="1" x14ac:dyDescent="0.35">
      <c r="AA119" s="299">
        <v>56</v>
      </c>
      <c r="AB119" s="299" t="s">
        <v>277</v>
      </c>
      <c r="AC119" s="299"/>
      <c r="AD119" s="299"/>
      <c r="AE119" s="299"/>
      <c r="AF119" s="299"/>
    </row>
    <row r="120" spans="27:32" hidden="1" x14ac:dyDescent="0.35">
      <c r="AA120" s="299">
        <v>57</v>
      </c>
      <c r="AB120" s="299" t="s">
        <v>278</v>
      </c>
      <c r="AC120" s="299"/>
      <c r="AD120" s="815"/>
      <c r="AE120" s="299"/>
      <c r="AF120" s="299"/>
    </row>
    <row r="121" spans="27:32" hidden="1" x14ac:dyDescent="0.35">
      <c r="AA121" s="299">
        <v>58</v>
      </c>
      <c r="AB121" s="299" t="s">
        <v>279</v>
      </c>
      <c r="AC121" s="299"/>
      <c r="AD121" s="299"/>
      <c r="AE121" s="299"/>
      <c r="AF121" s="299"/>
    </row>
    <row r="122" spans="27:32" hidden="1" x14ac:dyDescent="0.35">
      <c r="AA122" s="299">
        <v>59</v>
      </c>
      <c r="AB122" s="299" t="s">
        <v>280</v>
      </c>
      <c r="AC122" s="299"/>
      <c r="AD122" s="299"/>
      <c r="AE122" s="299"/>
      <c r="AF122" s="299">
        <f>O75</f>
        <v>0</v>
      </c>
    </row>
    <row r="123" spans="27:32" hidden="1" x14ac:dyDescent="0.35">
      <c r="AA123" s="299">
        <v>60</v>
      </c>
      <c r="AB123" s="299" t="s">
        <v>281</v>
      </c>
      <c r="AC123" s="299"/>
      <c r="AD123" s="299"/>
      <c r="AE123" s="299"/>
      <c r="AF123" s="299">
        <f>SUM(O85:P90)-O90</f>
        <v>0</v>
      </c>
    </row>
    <row r="124" spans="27:32" hidden="1" x14ac:dyDescent="0.35">
      <c r="AA124" s="299">
        <v>65</v>
      </c>
      <c r="AB124" s="299" t="s">
        <v>282</v>
      </c>
      <c r="AC124" s="299"/>
      <c r="AD124" s="299"/>
      <c r="AE124" s="299"/>
      <c r="AF124" s="299">
        <f>O90</f>
        <v>0</v>
      </c>
    </row>
    <row r="125" spans="27:32" hidden="1" x14ac:dyDescent="0.35">
      <c r="AA125">
        <v>99</v>
      </c>
      <c r="AB125" t="s">
        <v>893</v>
      </c>
      <c r="AF125" s="382">
        <f>X84</f>
        <v>0</v>
      </c>
    </row>
  </sheetData>
  <mergeCells count="206">
    <mergeCell ref="L69:M69"/>
    <mergeCell ref="N69:P69"/>
    <mergeCell ref="I68:J68"/>
    <mergeCell ref="O67:P67"/>
    <mergeCell ref="Y9:Y10"/>
    <mergeCell ref="Z9:Z10"/>
    <mergeCell ref="AA9:AA10"/>
    <mergeCell ref="AB9:AB10"/>
    <mergeCell ref="P44:S44"/>
    <mergeCell ref="M46:N46"/>
    <mergeCell ref="G46:I46"/>
    <mergeCell ref="J46:L46"/>
    <mergeCell ref="P43:S43"/>
    <mergeCell ref="U47:V47"/>
    <mergeCell ref="U48:V48"/>
    <mergeCell ref="L68:M68"/>
    <mergeCell ref="O68:P68"/>
    <mergeCell ref="R56:S56"/>
    <mergeCell ref="L60:M60"/>
    <mergeCell ref="O60:P60"/>
    <mergeCell ref="I61:J61"/>
    <mergeCell ref="L61:M61"/>
    <mergeCell ref="O61:P61"/>
    <mergeCell ref="H47:I47"/>
    <mergeCell ref="B42:C42"/>
    <mergeCell ref="F43:I43"/>
    <mergeCell ref="B39:C39"/>
    <mergeCell ref="B40:C40"/>
    <mergeCell ref="B41:C41"/>
    <mergeCell ref="K48:L48"/>
    <mergeCell ref="N48:O48"/>
    <mergeCell ref="O66:P66"/>
    <mergeCell ref="K57:K59"/>
    <mergeCell ref="O59:P59"/>
    <mergeCell ref="O64:P64"/>
    <mergeCell ref="O63:P63"/>
    <mergeCell ref="I65:J67"/>
    <mergeCell ref="K65:K67"/>
    <mergeCell ref="L65:M65"/>
    <mergeCell ref="O65:P65"/>
    <mergeCell ref="B67:D67"/>
    <mergeCell ref="L67:M67"/>
    <mergeCell ref="M47:P47"/>
    <mergeCell ref="C56:P56"/>
    <mergeCell ref="C48:D48"/>
    <mergeCell ref="G48:H48"/>
    <mergeCell ref="E48:F48"/>
    <mergeCell ref="I60:J60"/>
    <mergeCell ref="B3:E3"/>
    <mergeCell ref="B4:E4"/>
    <mergeCell ref="B5:E5"/>
    <mergeCell ref="J5:N5"/>
    <mergeCell ref="J4:N4"/>
    <mergeCell ref="B66:D66"/>
    <mergeCell ref="L66:M66"/>
    <mergeCell ref="B46:D46"/>
    <mergeCell ref="E46:F46"/>
    <mergeCell ref="B37:C37"/>
    <mergeCell ref="B38:C38"/>
    <mergeCell ref="C47:D47"/>
    <mergeCell ref="E47:F47"/>
    <mergeCell ref="B35:C35"/>
    <mergeCell ref="B36:C36"/>
    <mergeCell ref="B16:C16"/>
    <mergeCell ref="B22:C22"/>
    <mergeCell ref="B13:C13"/>
    <mergeCell ref="B14:C14"/>
    <mergeCell ref="I63:J64"/>
    <mergeCell ref="K63:K64"/>
    <mergeCell ref="L64:M64"/>
    <mergeCell ref="L63:M63"/>
    <mergeCell ref="B34:C34"/>
    <mergeCell ref="J47:L47"/>
    <mergeCell ref="O57:P57"/>
    <mergeCell ref="L58:M58"/>
    <mergeCell ref="O58:P58"/>
    <mergeCell ref="I57:J59"/>
    <mergeCell ref="E70:F70"/>
    <mergeCell ref="I70:J70"/>
    <mergeCell ref="U100:V100"/>
    <mergeCell ref="U54:V54"/>
    <mergeCell ref="L57:M57"/>
    <mergeCell ref="L59:M59"/>
    <mergeCell ref="R95:S95"/>
    <mergeCell ref="O89:P89"/>
    <mergeCell ref="B91:P91"/>
    <mergeCell ref="O71:P71"/>
    <mergeCell ref="C100:D100"/>
    <mergeCell ref="E100:F100"/>
    <mergeCell ref="H100:I100"/>
    <mergeCell ref="J100:L100"/>
    <mergeCell ref="M100:P100"/>
    <mergeCell ref="B99:D99"/>
    <mergeCell ref="E99:F99"/>
    <mergeCell ref="G99:I99"/>
    <mergeCell ref="J99:L99"/>
    <mergeCell ref="V96:W96"/>
    <mergeCell ref="B94:D94"/>
    <mergeCell ref="O94:P94"/>
    <mergeCell ref="B95:D95"/>
    <mergeCell ref="O95:P95"/>
    <mergeCell ref="E77:F77"/>
    <mergeCell ref="E76:F76"/>
    <mergeCell ref="M99:N99"/>
    <mergeCell ref="B97:D97"/>
    <mergeCell ref="O97:P97"/>
    <mergeCell ref="B96:D96"/>
    <mergeCell ref="O96:P96"/>
    <mergeCell ref="O88:P88"/>
    <mergeCell ref="B89:D89"/>
    <mergeCell ref="B92:D92"/>
    <mergeCell ref="O92:P92"/>
    <mergeCell ref="B93:D93"/>
    <mergeCell ref="O93:P93"/>
    <mergeCell ref="B90:D90"/>
    <mergeCell ref="O90:P90"/>
    <mergeCell ref="O81:P81"/>
    <mergeCell ref="O82:P82"/>
    <mergeCell ref="E75:F75"/>
    <mergeCell ref="I75:J75"/>
    <mergeCell ref="O80:P80"/>
    <mergeCell ref="I77:K77"/>
    <mergeCell ref="L77:M77"/>
    <mergeCell ref="O77:P77"/>
    <mergeCell ref="L75:M75"/>
    <mergeCell ref="M80:N80"/>
    <mergeCell ref="B87:D87"/>
    <mergeCell ref="J87:K88"/>
    <mergeCell ref="O87:P87"/>
    <mergeCell ref="O85:P85"/>
    <mergeCell ref="O86:P86"/>
    <mergeCell ref="M86:N86"/>
    <mergeCell ref="M87:N87"/>
    <mergeCell ref="B88:D88"/>
    <mergeCell ref="B85:D85"/>
    <mergeCell ref="B86:D86"/>
    <mergeCell ref="J86:K86"/>
    <mergeCell ref="B84:P84"/>
    <mergeCell ref="L76:M76"/>
    <mergeCell ref="O79:P79"/>
    <mergeCell ref="M79:N79"/>
    <mergeCell ref="B78:P78"/>
    <mergeCell ref="E71:F71"/>
    <mergeCell ref="H71:H73"/>
    <mergeCell ref="I71:J74"/>
    <mergeCell ref="L71:M71"/>
    <mergeCell ref="E73:F73"/>
    <mergeCell ref="E74:F74"/>
    <mergeCell ref="E72:F72"/>
    <mergeCell ref="L72:M72"/>
    <mergeCell ref="L73:M73"/>
    <mergeCell ref="B17:C17"/>
    <mergeCell ref="B18:C18"/>
    <mergeCell ref="B19:C19"/>
    <mergeCell ref="B20:C20"/>
    <mergeCell ref="B23:C23"/>
    <mergeCell ref="B24:C24"/>
    <mergeCell ref="B33:C33"/>
    <mergeCell ref="B25:C25"/>
    <mergeCell ref="B26:C26"/>
    <mergeCell ref="B21:C21"/>
    <mergeCell ref="B27:C27"/>
    <mergeCell ref="B28:C28"/>
    <mergeCell ref="B29:C29"/>
    <mergeCell ref="B30:C30"/>
    <mergeCell ref="B31:C31"/>
    <mergeCell ref="B32:C32"/>
    <mergeCell ref="B15:C15"/>
    <mergeCell ref="D7:E7"/>
    <mergeCell ref="J6:N6"/>
    <mergeCell ref="O6:P6"/>
    <mergeCell ref="Q6:R6"/>
    <mergeCell ref="T9:V9"/>
    <mergeCell ref="L9:N9"/>
    <mergeCell ref="I9:K9"/>
    <mergeCell ref="F9:H9"/>
    <mergeCell ref="G8:I8"/>
    <mergeCell ref="D8:E8"/>
    <mergeCell ref="B10:C10"/>
    <mergeCell ref="E9:E10"/>
    <mergeCell ref="B12:C12"/>
    <mergeCell ref="B11:C11"/>
    <mergeCell ref="J3:N3"/>
    <mergeCell ref="W9:W10"/>
    <mergeCell ref="O9:Q9"/>
    <mergeCell ref="J8:N8"/>
    <mergeCell ref="V84:W84"/>
    <mergeCell ref="U2:V2"/>
    <mergeCell ref="W2:X2"/>
    <mergeCell ref="O3:P3"/>
    <mergeCell ref="O4:P4"/>
    <mergeCell ref="O5:P5"/>
    <mergeCell ref="X9:X10"/>
    <mergeCell ref="L74:M74"/>
    <mergeCell ref="O83:P83"/>
    <mergeCell ref="O75:P75"/>
    <mergeCell ref="O76:P76"/>
    <mergeCell ref="O74:P74"/>
    <mergeCell ref="J62:K62"/>
    <mergeCell ref="O70:P70"/>
    <mergeCell ref="O72:P72"/>
    <mergeCell ref="I76:J76"/>
    <mergeCell ref="O73:P73"/>
    <mergeCell ref="L62:M62"/>
    <mergeCell ref="O62:P62"/>
    <mergeCell ref="L70:M70"/>
  </mergeCells>
  <printOptions gridLines="1"/>
  <pageMargins left="0.25" right="0.21" top="0.6" bottom="0.65" header="0.35" footer="0.5"/>
  <pageSetup paperSize="5" scale="55" orientation="landscape" horizontalDpi="1200" verticalDpi="1200" r:id="rId1"/>
  <headerFooter alignWithMargins="0">
    <oddHeader>&amp;L&amp;16           &amp;A&amp;C&amp;20&amp;F&amp;R&amp;16&amp;D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3591-FEEC-4F5D-8CFE-A9C839A11DC2}">
  <dimension ref="B1:BO125"/>
  <sheetViews>
    <sheetView topLeftCell="A49" zoomScale="70" zoomScaleNormal="70" workbookViewId="0">
      <selection activeCell="I11" sqref="I11:S14"/>
    </sheetView>
  </sheetViews>
  <sheetFormatPr defaultColWidth="1.54296875" defaultRowHeight="15.5" zeroHeight="1" x14ac:dyDescent="0.35"/>
  <cols>
    <col min="1" max="1" width="2.453125" customWidth="1"/>
    <col min="2" max="2" width="9.54296875" style="42" customWidth="1"/>
    <col min="3" max="3" width="10.453125" style="42" customWidth="1"/>
    <col min="4" max="4" width="7" style="42" customWidth="1"/>
    <col min="5" max="5" width="10.81640625" style="42" customWidth="1"/>
    <col min="6" max="6" width="13.81640625" style="42" customWidth="1"/>
    <col min="7" max="7" width="13" style="42" customWidth="1"/>
    <col min="8" max="18" width="9.7265625" style="42" customWidth="1"/>
    <col min="19" max="19" width="14" style="42" customWidth="1"/>
    <col min="20" max="20" width="10.7265625" style="42" customWidth="1"/>
    <col min="21" max="21" width="9.453125" style="42" customWidth="1"/>
    <col min="22" max="22" width="12.453125" style="42" customWidth="1"/>
    <col min="23" max="23" width="12.1796875" style="42" customWidth="1"/>
    <col min="24" max="24" width="15.1796875" style="42" customWidth="1"/>
    <col min="25" max="25" width="18.54296875" bestFit="1" customWidth="1"/>
    <col min="26" max="26" width="16.453125" bestFit="1" customWidth="1"/>
    <col min="27" max="27" width="10.54296875" bestFit="1" customWidth="1"/>
    <col min="28" max="28" width="24.08984375" customWidth="1"/>
    <col min="32" max="32" width="11.81640625" bestFit="1" customWidth="1"/>
    <col min="35" max="35" width="6.6328125" bestFit="1" customWidth="1"/>
    <col min="36" max="36" width="18.6328125" bestFit="1" customWidth="1"/>
    <col min="37" max="38" width="6.6328125" bestFit="1" customWidth="1"/>
    <col min="39" max="39" width="6.08984375" bestFit="1" customWidth="1"/>
    <col min="40" max="40" width="6.6328125" bestFit="1" customWidth="1"/>
    <col min="41" max="41" width="11.81640625" bestFit="1" customWidth="1"/>
    <col min="42" max="42" width="15.90625" bestFit="1" customWidth="1"/>
    <col min="43" max="44" width="6.6328125" bestFit="1" customWidth="1"/>
    <col min="45" max="45" width="6.08984375" bestFit="1" customWidth="1"/>
    <col min="46" max="46" width="6.6328125" bestFit="1" customWidth="1"/>
    <col min="47" max="47" width="20.1796875" bestFit="1" customWidth="1"/>
    <col min="48" max="48" width="24" bestFit="1" customWidth="1"/>
    <col min="49" max="49" width="12.90625" bestFit="1" customWidth="1"/>
    <col min="50" max="50" width="12.08984375" bestFit="1" customWidth="1"/>
    <col min="51" max="51" width="11.81640625" bestFit="1" customWidth="1"/>
    <col min="52" max="52" width="14.36328125" bestFit="1" customWidth="1"/>
    <col min="53" max="54" width="1.81640625" bestFit="1" customWidth="1"/>
    <col min="55" max="55" width="6.453125" bestFit="1" customWidth="1"/>
    <col min="56" max="56" width="16.36328125" bestFit="1" customWidth="1"/>
    <col min="57" max="57" width="15" bestFit="1" customWidth="1"/>
    <col min="58" max="58" width="14.54296875" bestFit="1" customWidth="1"/>
    <col min="59" max="59" width="13.1796875" bestFit="1" customWidth="1"/>
    <col min="60" max="60" width="17.08984375" bestFit="1" customWidth="1"/>
    <col min="61" max="61" width="21.08984375" bestFit="1" customWidth="1"/>
    <col min="62" max="62" width="11.81640625" bestFit="1" customWidth="1"/>
    <col min="63" max="63" width="14" bestFit="1" customWidth="1"/>
    <col min="64" max="64" width="1.81640625" bestFit="1" customWidth="1"/>
    <col min="65" max="65" width="12.7265625" bestFit="1" customWidth="1"/>
    <col min="66" max="66" width="17.1796875" customWidth="1"/>
    <col min="67" max="67" width="20.7265625" customWidth="1"/>
    <col min="16384" max="16384" width="31.453125" customWidth="1"/>
  </cols>
  <sheetData>
    <row r="1" spans="2:67" ht="16" thickBot="1" x14ac:dyDescent="0.4"/>
    <row r="2" spans="2:67" s="299" customFormat="1" ht="15.75" customHeight="1" thickBot="1" x14ac:dyDescent="0.4">
      <c r="B2" s="883" t="s">
        <v>303</v>
      </c>
      <c r="C2" s="879"/>
      <c r="D2" s="879"/>
      <c r="E2" s="879"/>
      <c r="F2" s="309"/>
      <c r="G2" s="309"/>
      <c r="H2" s="877"/>
      <c r="I2" s="878" t="s">
        <v>131</v>
      </c>
      <c r="J2" s="879"/>
      <c r="K2" s="880" t="s">
        <v>96</v>
      </c>
      <c r="L2" s="879"/>
      <c r="M2" s="879"/>
      <c r="N2" s="879"/>
      <c r="O2" s="880" t="s">
        <v>125</v>
      </c>
      <c r="P2" s="880"/>
      <c r="Q2" s="880" t="s">
        <v>306</v>
      </c>
      <c r="R2" s="884"/>
      <c r="S2" s="309"/>
      <c r="T2" s="48"/>
      <c r="U2" s="2535" t="s">
        <v>305</v>
      </c>
      <c r="V2" s="2535"/>
      <c r="W2" s="2536">
        <v>37456</v>
      </c>
      <c r="X2" s="2537"/>
      <c r="AF2" s="299">
        <f>SUM(AF71:AF125)</f>
        <v>0</v>
      </c>
    </row>
    <row r="3" spans="2:67" s="299" customFormat="1" ht="26.25" customHeight="1" x14ac:dyDescent="0.35">
      <c r="B3" s="2590">
        <f>Summary!C2</f>
        <v>0</v>
      </c>
      <c r="C3" s="2591"/>
      <c r="D3" s="2591"/>
      <c r="E3" s="2592"/>
      <c r="F3" s="298"/>
      <c r="G3" s="298"/>
      <c r="H3" s="801"/>
      <c r="I3" s="881" t="s">
        <v>132</v>
      </c>
      <c r="J3" s="2529">
        <f>Summary!K3</f>
        <v>0</v>
      </c>
      <c r="K3" s="2530"/>
      <c r="L3" s="2530"/>
      <c r="M3" s="2530"/>
      <c r="N3" s="2531"/>
      <c r="O3" s="2538">
        <f>Summary!O3</f>
        <v>0</v>
      </c>
      <c r="P3" s="2539"/>
      <c r="Q3" s="885">
        <f>Summary!P3</f>
        <v>0</v>
      </c>
      <c r="R3" s="886"/>
      <c r="S3" s="298"/>
      <c r="T3" s="298"/>
      <c r="U3" s="1183" t="s">
        <v>304</v>
      </c>
      <c r="V3" s="1180"/>
      <c r="W3" s="1184" t="str">
        <f>Information!C8</f>
        <v>Chad McKinney</v>
      </c>
      <c r="X3" s="1185"/>
    </row>
    <row r="4" spans="2:67" s="299" customFormat="1" ht="18" customHeight="1" x14ac:dyDescent="0.35">
      <c r="B4" s="2593">
        <f>Summary!C3</f>
        <v>0</v>
      </c>
      <c r="C4" s="2594"/>
      <c r="D4" s="2594"/>
      <c r="E4" s="2595"/>
      <c r="F4" s="298"/>
      <c r="G4" s="298"/>
      <c r="H4" s="801"/>
      <c r="I4" s="881" t="s">
        <v>133</v>
      </c>
      <c r="J4" s="2599">
        <f>Summary!K4</f>
        <v>0</v>
      </c>
      <c r="K4" s="2600"/>
      <c r="L4" s="2600"/>
      <c r="M4" s="2600"/>
      <c r="N4" s="2601"/>
      <c r="O4" s="2540">
        <f>Summary!O4</f>
        <v>0</v>
      </c>
      <c r="P4" s="2541"/>
      <c r="Q4" s="887">
        <f>Summary!P4</f>
        <v>0</v>
      </c>
      <c r="R4" s="888"/>
      <c r="S4" s="298"/>
      <c r="T4" s="298"/>
      <c r="U4" s="1186"/>
      <c r="V4" s="1187"/>
      <c r="W4" s="1187"/>
      <c r="X4" s="1188"/>
    </row>
    <row r="5" spans="2:67" s="299" customFormat="1" ht="18" customHeight="1" thickBot="1" x14ac:dyDescent="0.4">
      <c r="B5" s="2596">
        <f>Summary!C4</f>
        <v>0</v>
      </c>
      <c r="C5" s="2597"/>
      <c r="D5" s="2597"/>
      <c r="E5" s="2598"/>
      <c r="F5" s="298"/>
      <c r="G5" s="298"/>
      <c r="H5" s="801"/>
      <c r="I5" s="881" t="s">
        <v>134</v>
      </c>
      <c r="J5" s="2599">
        <f>Summary!K5</f>
        <v>0</v>
      </c>
      <c r="K5" s="2600"/>
      <c r="L5" s="2600"/>
      <c r="M5" s="2600"/>
      <c r="N5" s="2601"/>
      <c r="O5" s="2540">
        <f>Summary!O5</f>
        <v>0</v>
      </c>
      <c r="P5" s="2541"/>
      <c r="Q5" s="887">
        <f>Summary!P5</f>
        <v>0</v>
      </c>
      <c r="R5" s="888"/>
      <c r="S5" s="298"/>
      <c r="T5" s="298"/>
      <c r="U5" s="1186" t="str">
        <f>Information!H5</f>
        <v>Approved by Chad:</v>
      </c>
      <c r="V5" s="1187"/>
      <c r="W5" s="1189"/>
      <c r="X5" s="1190"/>
    </row>
    <row r="6" spans="2:67" s="299" customFormat="1" ht="18" customHeight="1" thickBot="1" x14ac:dyDescent="0.4">
      <c r="B6" s="92" t="s">
        <v>115</v>
      </c>
      <c r="C6" s="298"/>
      <c r="D6" s="57" t="s">
        <v>125</v>
      </c>
      <c r="E6" s="42"/>
      <c r="F6" s="298"/>
      <c r="G6" s="298"/>
      <c r="H6" s="837"/>
      <c r="I6" s="882" t="s">
        <v>135</v>
      </c>
      <c r="J6" s="2228">
        <f>Summary!K6</f>
        <v>0</v>
      </c>
      <c r="K6" s="2229"/>
      <c r="L6" s="2229"/>
      <c r="M6" s="2229"/>
      <c r="N6" s="2229"/>
      <c r="O6" s="2519">
        <f>Summary!O6</f>
        <v>0</v>
      </c>
      <c r="P6" s="2519"/>
      <c r="Q6" s="1970">
        <f>Summary!P6</f>
        <v>0</v>
      </c>
      <c r="R6" s="1971"/>
      <c r="S6" s="298"/>
      <c r="T6" s="298"/>
      <c r="U6" s="1186"/>
      <c r="V6" s="1187"/>
      <c r="W6" s="1187"/>
      <c r="X6" s="1188"/>
    </row>
    <row r="7" spans="2:67" s="299" customFormat="1" ht="18" customHeight="1" thickBot="1" x14ac:dyDescent="0.4">
      <c r="B7" s="816">
        <v>0</v>
      </c>
      <c r="C7" s="298"/>
      <c r="D7" s="1969">
        <v>0</v>
      </c>
      <c r="E7" s="1969"/>
      <c r="F7" s="298"/>
      <c r="G7" s="298"/>
      <c r="S7" s="298"/>
      <c r="T7" s="298"/>
      <c r="U7" s="1191" t="str">
        <f>Information!H6</f>
        <v>Approved by Edward:</v>
      </c>
      <c r="V7" s="1181"/>
      <c r="W7" s="1181"/>
      <c r="X7" s="1182"/>
    </row>
    <row r="8" spans="2:67" s="299" customFormat="1" ht="18" customHeight="1" thickBot="1" x14ac:dyDescent="0.4">
      <c r="B8" s="817">
        <v>0</v>
      </c>
      <c r="C8" s="298"/>
      <c r="D8" s="2519">
        <v>0</v>
      </c>
      <c r="E8" s="2519"/>
      <c r="F8" s="298"/>
      <c r="G8" s="1962" t="s">
        <v>308</v>
      </c>
      <c r="H8" s="1962"/>
      <c r="I8" s="1962"/>
      <c r="J8" s="2308" t="str">
        <f>Pricing!A2</f>
        <v>Martin Marrieta</v>
      </c>
      <c r="K8" s="2308"/>
      <c r="L8" s="2308"/>
      <c r="M8" s="2308"/>
      <c r="N8" s="2308"/>
      <c r="O8" s="306"/>
      <c r="P8" s="306"/>
      <c r="Q8" s="306"/>
      <c r="R8" s="306"/>
      <c r="S8" s="306"/>
      <c r="T8" s="298"/>
      <c r="U8" s="298"/>
      <c r="V8" s="298"/>
      <c r="W8" s="298"/>
      <c r="X8" s="310"/>
    </row>
    <row r="9" spans="2:67" s="299" customFormat="1" ht="25.5" customHeight="1" thickBot="1" x14ac:dyDescent="0.4">
      <c r="B9" s="792"/>
      <c r="C9" s="793"/>
      <c r="D9" s="876"/>
      <c r="E9" s="2554" t="s">
        <v>35</v>
      </c>
      <c r="F9" s="2534" t="s">
        <v>534</v>
      </c>
      <c r="G9" s="2550"/>
      <c r="H9" s="2551"/>
      <c r="I9" s="2549" t="s">
        <v>536</v>
      </c>
      <c r="J9" s="2550"/>
      <c r="K9" s="2551"/>
      <c r="L9" s="2549" t="s">
        <v>535</v>
      </c>
      <c r="M9" s="2550"/>
      <c r="N9" s="2550"/>
      <c r="O9" s="2533" t="s">
        <v>574</v>
      </c>
      <c r="P9" s="2534"/>
      <c r="Q9" s="2534"/>
      <c r="R9" s="819" t="s">
        <v>116</v>
      </c>
      <c r="S9" s="820">
        <v>3</v>
      </c>
      <c r="T9" s="2534" t="s">
        <v>333</v>
      </c>
      <c r="U9" s="2534"/>
      <c r="V9" s="2548"/>
      <c r="W9" s="1912" t="s">
        <v>296</v>
      </c>
      <c r="X9" s="1919" t="s">
        <v>64</v>
      </c>
      <c r="Y9" s="1912" t="s">
        <v>1142</v>
      </c>
      <c r="Z9" s="1919" t="s">
        <v>1143</v>
      </c>
      <c r="AA9" s="1912" t="s">
        <v>1144</v>
      </c>
      <c r="AB9" s="1919" t="s">
        <v>1145</v>
      </c>
      <c r="AJ9" s="299" t="s">
        <v>548</v>
      </c>
      <c r="AP9" s="299" t="s">
        <v>547</v>
      </c>
    </row>
    <row r="10" spans="2:67" s="299" customFormat="1" ht="33" customHeight="1" thickBot="1" x14ac:dyDescent="0.4">
      <c r="B10" s="2552" t="s">
        <v>60</v>
      </c>
      <c r="C10" s="2553"/>
      <c r="D10" s="774"/>
      <c r="E10" s="2555"/>
      <c r="F10" s="772" t="s">
        <v>61</v>
      </c>
      <c r="G10" s="783" t="s">
        <v>544</v>
      </c>
      <c r="H10" s="771" t="s">
        <v>63</v>
      </c>
      <c r="I10" s="783" t="s">
        <v>29</v>
      </c>
      <c r="J10" s="783" t="s">
        <v>28</v>
      </c>
      <c r="K10" s="772" t="s">
        <v>540</v>
      </c>
      <c r="L10" s="783" t="s">
        <v>29</v>
      </c>
      <c r="M10" s="784" t="s">
        <v>28</v>
      </c>
      <c r="N10" s="783" t="s">
        <v>539</v>
      </c>
      <c r="O10" s="821" t="s">
        <v>537</v>
      </c>
      <c r="P10" s="784" t="s">
        <v>538</v>
      </c>
      <c r="Q10" s="784" t="s">
        <v>29</v>
      </c>
      <c r="R10" s="784" t="s">
        <v>28</v>
      </c>
      <c r="S10" s="785" t="s">
        <v>539</v>
      </c>
      <c r="T10" s="773" t="s">
        <v>52</v>
      </c>
      <c r="U10" s="784" t="s">
        <v>506</v>
      </c>
      <c r="V10" s="772" t="s">
        <v>501</v>
      </c>
      <c r="W10" s="2532"/>
      <c r="X10" s="2542"/>
      <c r="Y10" s="2532"/>
      <c r="Z10" s="2542"/>
      <c r="AA10" s="2532"/>
      <c r="AB10" s="2542"/>
      <c r="AI10" s="299" t="s">
        <v>227</v>
      </c>
      <c r="AJ10" s="299" t="s">
        <v>228</v>
      </c>
      <c r="AK10" s="299" t="s">
        <v>229</v>
      </c>
      <c r="AL10" s="299" t="s">
        <v>230</v>
      </c>
      <c r="AM10" s="299" t="s">
        <v>231</v>
      </c>
      <c r="AN10" s="299" t="s">
        <v>232</v>
      </c>
      <c r="AO10" s="299" t="s">
        <v>227</v>
      </c>
      <c r="AP10" s="299" t="s">
        <v>228</v>
      </c>
      <c r="AQ10" s="299" t="s">
        <v>229</v>
      </c>
      <c r="AR10" s="299" t="s">
        <v>230</v>
      </c>
      <c r="AS10" s="299" t="s">
        <v>231</v>
      </c>
      <c r="AT10" s="299" t="s">
        <v>232</v>
      </c>
      <c r="AU10" s="299" t="s">
        <v>550</v>
      </c>
      <c r="AV10" s="299" t="s">
        <v>549</v>
      </c>
      <c r="AW10" s="299" t="s">
        <v>82</v>
      </c>
      <c r="AX10" s="299" t="s">
        <v>330</v>
      </c>
      <c r="AY10" s="299" t="s">
        <v>331</v>
      </c>
      <c r="AZ10" s="299" t="s">
        <v>542</v>
      </c>
      <c r="BC10" s="299" t="s">
        <v>10</v>
      </c>
      <c r="BD10" s="299" t="s">
        <v>337</v>
      </c>
      <c r="BE10" s="299" t="s">
        <v>338</v>
      </c>
      <c r="BF10" s="299" t="s">
        <v>543</v>
      </c>
      <c r="BG10" s="299" t="s">
        <v>340</v>
      </c>
      <c r="BH10" s="299" t="s">
        <v>341</v>
      </c>
      <c r="BI10" s="299" t="s">
        <v>342</v>
      </c>
      <c r="BK10" s="299" t="s">
        <v>546</v>
      </c>
      <c r="BM10" s="299" t="s">
        <v>551</v>
      </c>
      <c r="BN10" s="299" t="s">
        <v>545</v>
      </c>
      <c r="BO10" s="299" t="s">
        <v>552</v>
      </c>
    </row>
    <row r="11" spans="2:67" s="299" customFormat="1" ht="18" customHeight="1" thickTop="1" x14ac:dyDescent="0.35">
      <c r="B11" s="2547"/>
      <c r="C11" s="1980"/>
      <c r="D11" s="1773"/>
      <c r="E11" s="456">
        <v>4</v>
      </c>
      <c r="F11" s="872"/>
      <c r="G11" s="176">
        <v>12</v>
      </c>
      <c r="H11" s="126"/>
      <c r="I11" s="125"/>
      <c r="J11" s="176"/>
      <c r="K11" s="126"/>
      <c r="L11" s="125"/>
      <c r="M11" s="176"/>
      <c r="N11" s="176"/>
      <c r="O11" s="234"/>
      <c r="P11" s="176"/>
      <c r="Q11" s="176"/>
      <c r="R11" s="184"/>
      <c r="S11" s="185"/>
      <c r="T11" s="874">
        <v>0</v>
      </c>
      <c r="U11" s="106"/>
      <c r="V11" s="427"/>
      <c r="W11" s="863">
        <f t="shared" ref="W11:W42" si="0">((F11*J11/16*J11/16*10.680159*K11)*IF(I11=0,0,(H11/I11))+(H11/12*M11/16*M11/16*10.680159*N11)*IF(L11=0,0,(F11*12/L11))+(F11*IF(Q11=0,0,O11/Q11)*R11/16*R11/16*10.680159*S11)+(IF(Q11=0,0,F11/Q11*O11)*R11/16*R11/16*10.680159*S11)+((U11+V11)/12+4)*IF(I11=0,0,(H11/I11))*J11/16*J11/16*10.680159)*(1+K$60)</f>
        <v>0</v>
      </c>
      <c r="X11" s="864">
        <f t="shared" ref="X11:X42" si="1">((F11*G11/12*H11/324)+ROUNDUP(T11*U11*V11*H11/46656,0)+(O11*P11*F11/3888))*(1+K$57)</f>
        <v>0</v>
      </c>
      <c r="Y11" s="1795" t="e">
        <f>Z11/AY11</f>
        <v>#DIV/0!</v>
      </c>
      <c r="Z11" s="1796" t="e">
        <f>BN11*(1+M$47+Summary!P$58)</f>
        <v>#DIV/0!</v>
      </c>
      <c r="AA11" s="1795" t="e">
        <f>AB11/(AZ11*(P11/12))</f>
        <v>#DIV/0!</v>
      </c>
      <c r="AB11" s="1796">
        <f>(BL11+BK11)*(1+M$47+Summary!P$58)</f>
        <v>0</v>
      </c>
      <c r="AI11" s="299">
        <f t="shared" ref="AI11:AI42" si="2">IF($S$9=1,$O11*$P11*$F11/3888*(1+$K$57),0)</f>
        <v>0</v>
      </c>
      <c r="AJ11" s="299">
        <f t="shared" ref="AJ11:AJ42" si="3">IF($S$9=2,$O11*$P11*$F11/3888*(1+$K$57),0)</f>
        <v>0</v>
      </c>
      <c r="AK11" s="299">
        <f t="shared" ref="AK11:AK42" si="4">IF($S$9=3,$O11*$P11*$F11/3888*(1+$K$57),0)</f>
        <v>0</v>
      </c>
      <c r="AL11" s="299">
        <f t="shared" ref="AL11:AL42" si="5">IF($S$9=4,$O11*$P11*$F11/3888*(1+$K$57),0)</f>
        <v>0</v>
      </c>
      <c r="AM11" s="299">
        <f t="shared" ref="AM11:AM42" si="6">IF($S$9=5,$O11*$P11*$F11/3888*(1+$K$57),0)</f>
        <v>0</v>
      </c>
      <c r="AN11" s="299">
        <f t="shared" ref="AN11:AN42" si="7">IF($S$9=6,$O11*$P11*$F11/3888*(1+$K$57),0)</f>
        <v>0</v>
      </c>
      <c r="AO11" s="299">
        <f t="shared" ref="AO11:AO42" si="8">IF($E11=1,$X11-SUM($AI11:$AN11),0)</f>
        <v>0</v>
      </c>
      <c r="AP11" s="299">
        <f t="shared" ref="AP11:AP12" si="9">IF($E11=2,X11-SUM($AI11:$AN11),0)</f>
        <v>0</v>
      </c>
      <c r="AQ11" s="299">
        <f t="shared" ref="AQ11:AQ12" si="10">IF($E11=3,X11-SUM($AI11:$AN11),0)</f>
        <v>0</v>
      </c>
      <c r="AR11" s="299">
        <f t="shared" ref="AR11:AR12" si="11">IF($E11=4,X11-SUM($AI11:$AN11),0)</f>
        <v>0</v>
      </c>
      <c r="AS11" s="299">
        <f t="shared" ref="AS11:AS12" si="12">IF($E11=5,X11-SUM($AI11:$AN11),0)</f>
        <v>0</v>
      </c>
      <c r="AT11" s="299">
        <f t="shared" ref="AT11:AT12" si="13">IF($E11=6,X11-SUM($AI11:$AN11),0)</f>
        <v>0</v>
      </c>
      <c r="AU11" s="299">
        <f t="shared" ref="AU11:AU12" si="14">SUM(AI11:AN11)</f>
        <v>0</v>
      </c>
      <c r="AV11" s="299">
        <f t="shared" ref="AV11:AV12" si="15">SUM(AO11:AT11)</f>
        <v>0</v>
      </c>
      <c r="AW11" s="299">
        <f t="shared" ref="AW11:AW12" si="16">W11</f>
        <v>0</v>
      </c>
      <c r="AX11" s="299">
        <f t="shared" ref="AX11:AX12" si="17">F11*H11/12*2+(V11*V11*H11/1728*T11)</f>
        <v>0</v>
      </c>
      <c r="AY11" s="299">
        <f t="shared" ref="AY11:AY42" si="18">AX11/2</f>
        <v>0</v>
      </c>
      <c r="AZ11" s="299">
        <f t="shared" ref="AZ11:AZ12" si="19">O11*F11/12</f>
        <v>0</v>
      </c>
      <c r="BC11" s="299">
        <f t="shared" ref="BC11:BC12" si="20">W11*G$60*IF(U$46="N",(1+W$46),1)</f>
        <v>0</v>
      </c>
      <c r="BD11" s="299">
        <f>(AO11*Pricing!F$2+AP11*Pricing!G$2+AQ11*Pricing!H$2+AR11*Pricing!I$2+AS11*Pricing!J$2+AT11*Pricing!K$2+AI11*Pricing!F$2+AJ11*Pricing!G$2+AK11*Pricing!H$2+AL11*Pricing!I$2+AM11*Pricing!J$2+AN11*Pricing!K$2)*IF(U$46="N",(1+W$46),1)</f>
        <v>0</v>
      </c>
      <c r="BE11" s="511">
        <f t="shared" ref="BE11:BE12" si="21">AY11*(H$71+E$74)</f>
        <v>0</v>
      </c>
      <c r="BF11" s="299">
        <f t="shared" ref="BF11:BF12" si="22">AZ11*E$70</f>
        <v>0</v>
      </c>
      <c r="BG11" s="299">
        <f t="shared" ref="BG11:BG12" si="23">W11/2000*E$75</f>
        <v>0</v>
      </c>
      <c r="BH11" s="511" t="e">
        <f t="shared" ref="BH11:BH12" si="24">I$76/E$43*F11*E$76</f>
        <v>#DIV/0!</v>
      </c>
      <c r="BI11" s="299">
        <f t="shared" ref="BI11:BI42" si="25">IF(SUM(AY$43:AZ$43)=0,0,(SUM(O$79:P$83)+SUM(O$85:P$90)+SUM(O$92:P$97)+X$97)/SUM(AY$43:AZ$43)*(AY11+AZ11))</f>
        <v>0</v>
      </c>
      <c r="BK11" s="299">
        <f>IF(SUM(AY$43:AZ$43)=0,0,(BI$43-X$62-O$68-X$58-(M$80*0.15))/SUM(AY$43:AZ$43)*AZ11+BF11)</f>
        <v>0</v>
      </c>
      <c r="BL11" s="299">
        <f>(AI11*Pricing!F$2+AJ11*Pricing!G$2+AK11*Pricing!H$2+AL11*Pricing!I$2+AM11*Pricing!J$2+AN11*Pricing!K$2)*IF(U$46="N",(1+W$46),1)</f>
        <v>0</v>
      </c>
      <c r="BM11" s="299">
        <f t="shared" ref="BM11:BM12" si="26">IF(AZ11=0,0,(BK11+BL11)/AZ11)</f>
        <v>0</v>
      </c>
      <c r="BN11" s="299" t="e">
        <f t="shared" ref="BN11:BN12" si="27">SUM(BC11:BI11)-BK11-BL11</f>
        <v>#DIV/0!</v>
      </c>
      <c r="BO11" s="299">
        <f t="shared" ref="BO11:BO12" si="28">IF(AX11=0,0,BN11/AY11)</f>
        <v>0</v>
      </c>
    </row>
    <row r="12" spans="2:67" s="299" customFormat="1" ht="18" customHeight="1" x14ac:dyDescent="0.35">
      <c r="B12" s="2547"/>
      <c r="C12" s="1980"/>
      <c r="D12" s="139"/>
      <c r="E12" s="456">
        <v>4</v>
      </c>
      <c r="F12" s="872"/>
      <c r="G12" s="176">
        <v>12</v>
      </c>
      <c r="H12" s="126"/>
      <c r="I12" s="125"/>
      <c r="J12" s="176"/>
      <c r="K12" s="126"/>
      <c r="L12" s="125"/>
      <c r="M12" s="176"/>
      <c r="N12" s="176"/>
      <c r="O12" s="234"/>
      <c r="P12" s="176"/>
      <c r="Q12" s="176"/>
      <c r="R12" s="184"/>
      <c r="S12" s="185"/>
      <c r="T12" s="874"/>
      <c r="U12" s="106"/>
      <c r="V12" s="140"/>
      <c r="W12" s="863">
        <f t="shared" si="0"/>
        <v>0</v>
      </c>
      <c r="X12" s="864">
        <f t="shared" si="1"/>
        <v>0</v>
      </c>
      <c r="Y12" s="1795" t="e">
        <f t="shared" ref="Y12:Y42" si="29">Z12/AY12</f>
        <v>#DIV/0!</v>
      </c>
      <c r="Z12" s="1796" t="e">
        <f>BN12*(1+M$47+Summary!P$58)</f>
        <v>#DIV/0!</v>
      </c>
      <c r="AA12" s="1795" t="e">
        <f t="shared" ref="AA12:AA42" si="30">AB12/(AZ12*(P12/12))</f>
        <v>#DIV/0!</v>
      </c>
      <c r="AB12" s="1796">
        <f>(BL12+BK12)*(1+M$47+Summary!P$58)</f>
        <v>0</v>
      </c>
      <c r="AI12" s="299">
        <f t="shared" si="2"/>
        <v>0</v>
      </c>
      <c r="AJ12" s="299">
        <f t="shared" si="3"/>
        <v>0</v>
      </c>
      <c r="AK12" s="299">
        <f t="shared" si="4"/>
        <v>0</v>
      </c>
      <c r="AL12" s="299">
        <f t="shared" si="5"/>
        <v>0</v>
      </c>
      <c r="AM12" s="299">
        <f t="shared" si="6"/>
        <v>0</v>
      </c>
      <c r="AN12" s="299">
        <f t="shared" si="7"/>
        <v>0</v>
      </c>
      <c r="AO12" s="299">
        <f t="shared" si="8"/>
        <v>0</v>
      </c>
      <c r="AP12" s="299">
        <f t="shared" si="9"/>
        <v>0</v>
      </c>
      <c r="AQ12" s="299">
        <f t="shared" si="10"/>
        <v>0</v>
      </c>
      <c r="AR12" s="299">
        <f t="shared" si="11"/>
        <v>0</v>
      </c>
      <c r="AS12" s="299">
        <f t="shared" si="12"/>
        <v>0</v>
      </c>
      <c r="AT12" s="299">
        <f t="shared" si="13"/>
        <v>0</v>
      </c>
      <c r="AU12" s="299">
        <f t="shared" si="14"/>
        <v>0</v>
      </c>
      <c r="AV12" s="299">
        <f t="shared" si="15"/>
        <v>0</v>
      </c>
      <c r="AW12" s="299">
        <f t="shared" si="16"/>
        <v>0</v>
      </c>
      <c r="AX12" s="299">
        <f t="shared" si="17"/>
        <v>0</v>
      </c>
      <c r="AY12" s="299">
        <f t="shared" si="18"/>
        <v>0</v>
      </c>
      <c r="AZ12" s="299">
        <f t="shared" si="19"/>
        <v>0</v>
      </c>
      <c r="BC12" s="299">
        <f t="shared" si="20"/>
        <v>0</v>
      </c>
      <c r="BD12" s="299">
        <f>(AO12*Pricing!F$2+AP12*Pricing!G$2+AQ12*Pricing!H$2+AR12*Pricing!I$2+AS12*Pricing!J$2+AT12*Pricing!K$2+AI12*Pricing!F$2+AJ12*Pricing!G$2+AK12*Pricing!H$2+AL12*Pricing!I$2+AM12*Pricing!J$2+AN12*Pricing!K$2)*IF(U$46="N",(1+W$46),1)</f>
        <v>0</v>
      </c>
      <c r="BE12" s="511">
        <f t="shared" si="21"/>
        <v>0</v>
      </c>
      <c r="BF12" s="299">
        <f t="shared" si="22"/>
        <v>0</v>
      </c>
      <c r="BG12" s="299">
        <f t="shared" si="23"/>
        <v>0</v>
      </c>
      <c r="BH12" s="511" t="e">
        <f t="shared" si="24"/>
        <v>#DIV/0!</v>
      </c>
      <c r="BI12" s="299">
        <f t="shared" si="25"/>
        <v>0</v>
      </c>
      <c r="BK12" s="299">
        <f t="shared" ref="BK12:BK42" si="31">IF(SUM(AY$43:AZ$43)=0,0,(BI$43-X$62-O$68-X$58-(M$80*0.15))/SUM(AY$43:AZ$43)*AZ12+BF12)</f>
        <v>0</v>
      </c>
      <c r="BL12" s="299">
        <f>(AI12*Pricing!F$2+AJ12*Pricing!G$2+AK12*Pricing!H$2+AL12*Pricing!I$2+AM12*Pricing!J$2+AN12*Pricing!K$2)*IF(U$46="N",(1+W$46),1)</f>
        <v>0</v>
      </c>
      <c r="BM12" s="299">
        <f t="shared" si="26"/>
        <v>0</v>
      </c>
      <c r="BN12" s="299" t="e">
        <f t="shared" si="27"/>
        <v>#DIV/0!</v>
      </c>
      <c r="BO12" s="299">
        <f t="shared" si="28"/>
        <v>0</v>
      </c>
    </row>
    <row r="13" spans="2:67" s="299" customFormat="1" ht="18" customHeight="1" x14ac:dyDescent="0.35">
      <c r="B13" s="2547"/>
      <c r="C13" s="1980"/>
      <c r="D13" s="139"/>
      <c r="E13" s="456">
        <v>4</v>
      </c>
      <c r="F13" s="872"/>
      <c r="G13" s="176">
        <v>12</v>
      </c>
      <c r="H13" s="126"/>
      <c r="I13" s="125"/>
      <c r="J13" s="176"/>
      <c r="K13" s="126"/>
      <c r="L13" s="125"/>
      <c r="M13" s="176"/>
      <c r="N13" s="176"/>
      <c r="O13" s="234"/>
      <c r="P13" s="176"/>
      <c r="Q13" s="176"/>
      <c r="R13" s="184"/>
      <c r="S13" s="185"/>
      <c r="T13" s="874"/>
      <c r="U13" s="106"/>
      <c r="V13" s="140"/>
      <c r="W13" s="863">
        <f t="shared" si="0"/>
        <v>0</v>
      </c>
      <c r="X13" s="864">
        <f t="shared" si="1"/>
        <v>0</v>
      </c>
      <c r="Y13" s="1795" t="e">
        <f t="shared" si="29"/>
        <v>#DIV/0!</v>
      </c>
      <c r="Z13" s="1796" t="e">
        <f>BN13*(1+M$47+Summary!P$58)</f>
        <v>#DIV/0!</v>
      </c>
      <c r="AA13" s="1795" t="e">
        <f t="shared" si="30"/>
        <v>#DIV/0!</v>
      </c>
      <c r="AB13" s="1796">
        <f>(BL13+BK13)*(1+M$47+Summary!P$58)</f>
        <v>0</v>
      </c>
      <c r="AI13" s="299">
        <f t="shared" si="2"/>
        <v>0</v>
      </c>
      <c r="AJ13" s="299">
        <f t="shared" si="3"/>
        <v>0</v>
      </c>
      <c r="AK13" s="299">
        <f t="shared" si="4"/>
        <v>0</v>
      </c>
      <c r="AL13" s="299">
        <f t="shared" si="5"/>
        <v>0</v>
      </c>
      <c r="AM13" s="299">
        <f t="shared" si="6"/>
        <v>0</v>
      </c>
      <c r="AN13" s="299">
        <f t="shared" si="7"/>
        <v>0</v>
      </c>
      <c r="AO13" s="299">
        <f t="shared" si="8"/>
        <v>0</v>
      </c>
      <c r="AP13" s="299">
        <f t="shared" ref="AP13:AP15" si="32">IF($E13=2,X13-SUM($AI13:$AN13),0)</f>
        <v>0</v>
      </c>
      <c r="AQ13" s="299">
        <f t="shared" ref="AQ13:AQ15" si="33">IF($E13=3,X13-SUM($AI13:$AN13),0)</f>
        <v>0</v>
      </c>
      <c r="AR13" s="299">
        <f t="shared" ref="AR13:AR15" si="34">IF($E13=4,X13-SUM($AI13:$AN13),0)</f>
        <v>0</v>
      </c>
      <c r="AS13" s="299">
        <f t="shared" ref="AS13:AS15" si="35">IF($E13=5,X13-SUM($AI13:$AN13),0)</f>
        <v>0</v>
      </c>
      <c r="AT13" s="299">
        <f t="shared" ref="AT13:AT15" si="36">IF($E13=6,X13-SUM($AI13:$AN13),0)</f>
        <v>0</v>
      </c>
      <c r="AU13" s="299">
        <f t="shared" ref="AU13:AU15" si="37">SUM(AI13:AN13)</f>
        <v>0</v>
      </c>
      <c r="AV13" s="299">
        <f t="shared" ref="AV13:AV15" si="38">SUM(AO13:AT13)</f>
        <v>0</v>
      </c>
      <c r="AW13" s="299">
        <f t="shared" ref="AW13:AW15" si="39">W13</f>
        <v>0</v>
      </c>
      <c r="AX13" s="299">
        <f t="shared" ref="AX13:AX15" si="40">F13*H13/12*2+(V13*V13*H13/1728*T13)</f>
        <v>0</v>
      </c>
      <c r="AY13" s="299">
        <f t="shared" si="18"/>
        <v>0</v>
      </c>
      <c r="AZ13" s="299">
        <f t="shared" ref="AZ13:AZ15" si="41">O13*F13/12</f>
        <v>0</v>
      </c>
      <c r="BC13" s="299">
        <f t="shared" ref="BC13:BC15" si="42">W13*G$60*IF(U$46="N",(1+W$46),1)</f>
        <v>0</v>
      </c>
      <c r="BD13" s="299">
        <f>(AO13*Pricing!F$2+AP13*Pricing!G$2+AQ13*Pricing!H$2+AR13*Pricing!I$2+AS13*Pricing!J$2+AT13*Pricing!K$2+AI13*Pricing!F$2+AJ13*Pricing!G$2+AK13*Pricing!H$2+AL13*Pricing!I$2+AM13*Pricing!J$2+AN13*Pricing!K$2)*IF(U$46="N",(1+W$46),1)</f>
        <v>0</v>
      </c>
      <c r="BE13" s="511">
        <f t="shared" ref="BE13:BE15" si="43">AY13*(H$71+E$74)</f>
        <v>0</v>
      </c>
      <c r="BF13" s="299">
        <f t="shared" ref="BF13:BF15" si="44">AZ13*E$70</f>
        <v>0</v>
      </c>
      <c r="BG13" s="299">
        <f t="shared" ref="BG13:BG15" si="45">W13/2000*E$75</f>
        <v>0</v>
      </c>
      <c r="BH13" s="511" t="e">
        <f t="shared" ref="BH13:BH15" si="46">I$76/E$43*F13*E$76</f>
        <v>#DIV/0!</v>
      </c>
      <c r="BI13" s="299">
        <f t="shared" si="25"/>
        <v>0</v>
      </c>
      <c r="BK13" s="299">
        <f t="shared" si="31"/>
        <v>0</v>
      </c>
      <c r="BL13" s="299">
        <f>(AI13*Pricing!F$2+AJ13*Pricing!G$2+AK13*Pricing!H$2+AL13*Pricing!I$2+AM13*Pricing!J$2+AN13*Pricing!K$2)*IF(U$46="N",(1+W$46),1)</f>
        <v>0</v>
      </c>
      <c r="BM13" s="299">
        <f t="shared" ref="BM13:BM15" si="47">IF(AZ13=0,0,(BK13+BL13)/AZ13)</f>
        <v>0</v>
      </c>
      <c r="BN13" s="299" t="e">
        <f t="shared" ref="BN13:BN15" si="48">SUM(BC13:BI13)-BK13-BL13</f>
        <v>#DIV/0!</v>
      </c>
      <c r="BO13" s="299">
        <f t="shared" ref="BO13:BO15" si="49">IF(AX13=0,0,BN13/AY13)</f>
        <v>0</v>
      </c>
    </row>
    <row r="14" spans="2:67" s="299" customFormat="1" ht="18" customHeight="1" x14ac:dyDescent="0.35">
      <c r="B14" s="2547"/>
      <c r="C14" s="1980"/>
      <c r="D14" s="139"/>
      <c r="E14" s="456">
        <v>4</v>
      </c>
      <c r="F14" s="872"/>
      <c r="G14" s="176">
        <v>12</v>
      </c>
      <c r="H14" s="1775"/>
      <c r="I14" s="125"/>
      <c r="J14" s="176"/>
      <c r="K14" s="126"/>
      <c r="L14" s="125"/>
      <c r="M14" s="176"/>
      <c r="N14" s="176"/>
      <c r="O14" s="234"/>
      <c r="P14" s="176"/>
      <c r="Q14" s="176"/>
      <c r="R14" s="184"/>
      <c r="S14" s="185"/>
      <c r="T14" s="874"/>
      <c r="U14" s="106"/>
      <c r="V14" s="140"/>
      <c r="W14" s="863">
        <f t="shared" si="0"/>
        <v>0</v>
      </c>
      <c r="X14" s="864">
        <f t="shared" si="1"/>
        <v>0</v>
      </c>
      <c r="Y14" s="1795" t="e">
        <f t="shared" si="29"/>
        <v>#DIV/0!</v>
      </c>
      <c r="Z14" s="1796" t="e">
        <f>BN14*(1+M$47+Summary!P$58)</f>
        <v>#DIV/0!</v>
      </c>
      <c r="AA14" s="1795" t="e">
        <f t="shared" si="30"/>
        <v>#DIV/0!</v>
      </c>
      <c r="AB14" s="1796">
        <f>(BL14+BK14)*(1+M$47+Summary!P$58)</f>
        <v>0</v>
      </c>
      <c r="AI14" s="299">
        <f t="shared" si="2"/>
        <v>0</v>
      </c>
      <c r="AJ14" s="299">
        <f t="shared" si="3"/>
        <v>0</v>
      </c>
      <c r="AK14" s="299">
        <f t="shared" si="4"/>
        <v>0</v>
      </c>
      <c r="AL14" s="299">
        <f t="shared" si="5"/>
        <v>0</v>
      </c>
      <c r="AM14" s="299">
        <f t="shared" si="6"/>
        <v>0</v>
      </c>
      <c r="AN14" s="299">
        <f t="shared" si="7"/>
        <v>0</v>
      </c>
      <c r="AO14" s="299">
        <f t="shared" si="8"/>
        <v>0</v>
      </c>
      <c r="AP14" s="299">
        <f t="shared" si="32"/>
        <v>0</v>
      </c>
      <c r="AQ14" s="299">
        <f t="shared" si="33"/>
        <v>0</v>
      </c>
      <c r="AR14" s="299">
        <f t="shared" si="34"/>
        <v>0</v>
      </c>
      <c r="AS14" s="299">
        <f t="shared" si="35"/>
        <v>0</v>
      </c>
      <c r="AT14" s="299">
        <f t="shared" si="36"/>
        <v>0</v>
      </c>
      <c r="AU14" s="299">
        <f t="shared" si="37"/>
        <v>0</v>
      </c>
      <c r="AV14" s="299">
        <f t="shared" si="38"/>
        <v>0</v>
      </c>
      <c r="AW14" s="299">
        <f t="shared" si="39"/>
        <v>0</v>
      </c>
      <c r="AX14" s="299">
        <f t="shared" si="40"/>
        <v>0</v>
      </c>
      <c r="AY14" s="299">
        <f t="shared" si="18"/>
        <v>0</v>
      </c>
      <c r="AZ14" s="299">
        <f t="shared" si="41"/>
        <v>0</v>
      </c>
      <c r="BC14" s="299">
        <f t="shared" si="42"/>
        <v>0</v>
      </c>
      <c r="BD14" s="299">
        <f>(AO14*Pricing!F$2+AP14*Pricing!G$2+AQ14*Pricing!H$2+AR14*Pricing!I$2+AS14*Pricing!J$2+AT14*Pricing!K$2+AI14*Pricing!F$2+AJ14*Pricing!G$2+AK14*Pricing!H$2+AL14*Pricing!I$2+AM14*Pricing!J$2+AN14*Pricing!K$2)*IF(U$46="N",(1+W$46),1)</f>
        <v>0</v>
      </c>
      <c r="BE14" s="511">
        <f t="shared" si="43"/>
        <v>0</v>
      </c>
      <c r="BF14" s="299">
        <f t="shared" si="44"/>
        <v>0</v>
      </c>
      <c r="BG14" s="299">
        <f t="shared" si="45"/>
        <v>0</v>
      </c>
      <c r="BH14" s="511" t="e">
        <f t="shared" si="46"/>
        <v>#DIV/0!</v>
      </c>
      <c r="BI14" s="299">
        <f t="shared" si="25"/>
        <v>0</v>
      </c>
      <c r="BK14" s="299">
        <f t="shared" si="31"/>
        <v>0</v>
      </c>
      <c r="BL14" s="299">
        <f>(AI14*Pricing!F$2+AJ14*Pricing!G$2+AK14*Pricing!H$2+AL14*Pricing!I$2+AM14*Pricing!J$2+AN14*Pricing!K$2)*IF(U$46="N",(1+W$46),1)</f>
        <v>0</v>
      </c>
      <c r="BM14" s="299">
        <f t="shared" si="47"/>
        <v>0</v>
      </c>
      <c r="BN14" s="299" t="e">
        <f t="shared" si="48"/>
        <v>#DIV/0!</v>
      </c>
      <c r="BO14" s="299">
        <f t="shared" si="49"/>
        <v>0</v>
      </c>
    </row>
    <row r="15" spans="2:67" s="299" customFormat="1" ht="18" customHeight="1" x14ac:dyDescent="0.35">
      <c r="B15" s="2547"/>
      <c r="C15" s="1980"/>
      <c r="D15" s="139"/>
      <c r="E15" s="456">
        <v>1</v>
      </c>
      <c r="F15" s="872"/>
      <c r="G15" s="176">
        <v>12</v>
      </c>
      <c r="H15" s="1775"/>
      <c r="I15" s="125"/>
      <c r="J15" s="176"/>
      <c r="K15" s="126"/>
      <c r="L15" s="125"/>
      <c r="M15" s="176"/>
      <c r="N15" s="176"/>
      <c r="O15" s="234"/>
      <c r="P15" s="176"/>
      <c r="Q15" s="176"/>
      <c r="R15" s="184"/>
      <c r="S15" s="185"/>
      <c r="T15" s="874"/>
      <c r="U15" s="106"/>
      <c r="V15" s="140"/>
      <c r="W15" s="863">
        <f t="shared" si="0"/>
        <v>0</v>
      </c>
      <c r="X15" s="864">
        <f t="shared" si="1"/>
        <v>0</v>
      </c>
      <c r="Y15" s="1795" t="e">
        <f t="shared" si="29"/>
        <v>#DIV/0!</v>
      </c>
      <c r="Z15" s="1796" t="e">
        <f>BN15*(1+M$47+Summary!P$58)</f>
        <v>#DIV/0!</v>
      </c>
      <c r="AA15" s="1795" t="e">
        <f t="shared" si="30"/>
        <v>#DIV/0!</v>
      </c>
      <c r="AB15" s="1796">
        <f>(BL15+BK15)*(1+M$47+Summary!P$58)</f>
        <v>0</v>
      </c>
      <c r="AI15" s="299">
        <f t="shared" si="2"/>
        <v>0</v>
      </c>
      <c r="AJ15" s="299">
        <f t="shared" si="3"/>
        <v>0</v>
      </c>
      <c r="AK15" s="299">
        <f t="shared" si="4"/>
        <v>0</v>
      </c>
      <c r="AL15" s="299">
        <f t="shared" si="5"/>
        <v>0</v>
      </c>
      <c r="AM15" s="299">
        <f t="shared" si="6"/>
        <v>0</v>
      </c>
      <c r="AN15" s="299">
        <f t="shared" si="7"/>
        <v>0</v>
      </c>
      <c r="AO15" s="299">
        <f t="shared" si="8"/>
        <v>0</v>
      </c>
      <c r="AP15" s="299">
        <f t="shared" si="32"/>
        <v>0</v>
      </c>
      <c r="AQ15" s="299">
        <f t="shared" si="33"/>
        <v>0</v>
      </c>
      <c r="AR15" s="299">
        <f t="shared" si="34"/>
        <v>0</v>
      </c>
      <c r="AS15" s="299">
        <f t="shared" si="35"/>
        <v>0</v>
      </c>
      <c r="AT15" s="299">
        <f t="shared" si="36"/>
        <v>0</v>
      </c>
      <c r="AU15" s="299">
        <f t="shared" si="37"/>
        <v>0</v>
      </c>
      <c r="AV15" s="299">
        <f t="shared" si="38"/>
        <v>0</v>
      </c>
      <c r="AW15" s="299">
        <f t="shared" si="39"/>
        <v>0</v>
      </c>
      <c r="AX15" s="299">
        <f t="shared" si="40"/>
        <v>0</v>
      </c>
      <c r="AY15" s="299">
        <f t="shared" si="18"/>
        <v>0</v>
      </c>
      <c r="AZ15" s="299">
        <f t="shared" si="41"/>
        <v>0</v>
      </c>
      <c r="BC15" s="299">
        <f t="shared" si="42"/>
        <v>0</v>
      </c>
      <c r="BD15" s="299">
        <f>(AO15*Pricing!F$2+AP15*Pricing!G$2+AQ15*Pricing!H$2+AR15*Pricing!I$2+AS15*Pricing!J$2+AT15*Pricing!K$2+AI15*Pricing!F$2+AJ15*Pricing!G$2+AK15*Pricing!H$2+AL15*Pricing!I$2+AM15*Pricing!J$2+AN15*Pricing!K$2)*IF(U$46="N",(1+W$46),1)</f>
        <v>0</v>
      </c>
      <c r="BE15" s="511">
        <f t="shared" si="43"/>
        <v>0</v>
      </c>
      <c r="BF15" s="299">
        <f t="shared" si="44"/>
        <v>0</v>
      </c>
      <c r="BG15" s="299">
        <f t="shared" si="45"/>
        <v>0</v>
      </c>
      <c r="BH15" s="511" t="e">
        <f t="shared" si="46"/>
        <v>#DIV/0!</v>
      </c>
      <c r="BI15" s="299">
        <f t="shared" si="25"/>
        <v>0</v>
      </c>
      <c r="BK15" s="299">
        <f t="shared" si="31"/>
        <v>0</v>
      </c>
      <c r="BL15" s="299">
        <f>(AI15*Pricing!F$2+AJ15*Pricing!G$2+AK15*Pricing!H$2+AL15*Pricing!I$2+AM15*Pricing!J$2+AN15*Pricing!K$2)*IF(U$46="N",(1+W$46),1)</f>
        <v>0</v>
      </c>
      <c r="BM15" s="299">
        <f t="shared" si="47"/>
        <v>0</v>
      </c>
      <c r="BN15" s="299" t="e">
        <f t="shared" si="48"/>
        <v>#DIV/0!</v>
      </c>
      <c r="BO15" s="299">
        <f t="shared" si="49"/>
        <v>0</v>
      </c>
    </row>
    <row r="16" spans="2:67" s="299" customFormat="1" ht="18" customHeight="1" x14ac:dyDescent="0.35">
      <c r="B16" s="1979"/>
      <c r="C16" s="1980"/>
      <c r="D16" s="139"/>
      <c r="E16" s="456">
        <v>1</v>
      </c>
      <c r="F16" s="872"/>
      <c r="G16" s="176">
        <v>12</v>
      </c>
      <c r="H16" s="1775"/>
      <c r="I16" s="125"/>
      <c r="J16" s="176"/>
      <c r="K16" s="126"/>
      <c r="L16" s="125"/>
      <c r="M16" s="176"/>
      <c r="N16" s="176"/>
      <c r="O16" s="234"/>
      <c r="P16" s="176"/>
      <c r="Q16" s="176"/>
      <c r="R16" s="184"/>
      <c r="S16" s="185"/>
      <c r="T16" s="874"/>
      <c r="U16" s="106"/>
      <c r="V16" s="140"/>
      <c r="W16" s="863">
        <f t="shared" si="0"/>
        <v>0</v>
      </c>
      <c r="X16" s="864">
        <f t="shared" si="1"/>
        <v>0</v>
      </c>
      <c r="Y16" s="1795" t="e">
        <f t="shared" si="29"/>
        <v>#DIV/0!</v>
      </c>
      <c r="Z16" s="1796" t="e">
        <f>BN16*(1+M$47+Summary!P$58)</f>
        <v>#DIV/0!</v>
      </c>
      <c r="AA16" s="1795" t="e">
        <f t="shared" si="30"/>
        <v>#DIV/0!</v>
      </c>
      <c r="AB16" s="1796">
        <f>(BL16+BK16)*(1+M$47+Summary!P$58)</f>
        <v>0</v>
      </c>
      <c r="AI16" s="299">
        <f t="shared" si="2"/>
        <v>0</v>
      </c>
      <c r="AJ16" s="299">
        <f t="shared" si="3"/>
        <v>0</v>
      </c>
      <c r="AK16" s="299">
        <f t="shared" si="4"/>
        <v>0</v>
      </c>
      <c r="AL16" s="299">
        <f t="shared" si="5"/>
        <v>0</v>
      </c>
      <c r="AM16" s="299">
        <f t="shared" si="6"/>
        <v>0</v>
      </c>
      <c r="AN16" s="299">
        <f t="shared" si="7"/>
        <v>0</v>
      </c>
      <c r="AO16" s="299">
        <f t="shared" si="8"/>
        <v>0</v>
      </c>
      <c r="AP16" s="299">
        <f t="shared" ref="AP16:AP42" si="50">IF($E16=2,X16-SUM($AI16:$AN16),0)</f>
        <v>0</v>
      </c>
      <c r="AQ16" s="299">
        <f t="shared" ref="AQ16:AQ42" si="51">IF($E16=3,X16-SUM($AI16:$AN16),0)</f>
        <v>0</v>
      </c>
      <c r="AR16" s="299">
        <f t="shared" ref="AR16:AR42" si="52">IF($E16=4,X16-SUM($AI16:$AN16),0)</f>
        <v>0</v>
      </c>
      <c r="AS16" s="299">
        <f t="shared" ref="AS16:AS42" si="53">IF($E16=5,X16-SUM($AI16:$AN16),0)</f>
        <v>0</v>
      </c>
      <c r="AT16" s="299">
        <f t="shared" ref="AT16:AT42" si="54">IF($E16=6,X16-SUM($AI16:$AN16),0)</f>
        <v>0</v>
      </c>
      <c r="AU16" s="299">
        <f t="shared" ref="AU16:AU42" si="55">SUM(AI16:AN16)</f>
        <v>0</v>
      </c>
      <c r="AV16" s="299">
        <f t="shared" ref="AV16:AV42" si="56">SUM(AO16:AT16)</f>
        <v>0</v>
      </c>
      <c r="AW16" s="299">
        <f t="shared" ref="AW16:AW42" si="57">W16</f>
        <v>0</v>
      </c>
      <c r="AX16" s="299">
        <f t="shared" ref="AX16:AX42" si="58">F16*H16/12*2+(V16*V16*H16/1728*T16)</f>
        <v>0</v>
      </c>
      <c r="AY16" s="299">
        <f t="shared" si="18"/>
        <v>0</v>
      </c>
      <c r="AZ16" s="299">
        <f t="shared" ref="AZ16:AZ42" si="59">O16*F16/12</f>
        <v>0</v>
      </c>
      <c r="BC16" s="299">
        <f t="shared" ref="BC16:BC42" si="60">W16*G$60*IF(U$46="N",(1+W$46),1)</f>
        <v>0</v>
      </c>
      <c r="BD16" s="299">
        <f>(AO16*Pricing!F$2+AP16*Pricing!G$2+AQ16*Pricing!H$2+AR16*Pricing!I$2+AS16*Pricing!J$2+AT16*Pricing!K$2+AI16*Pricing!F$2+AJ16*Pricing!G$2+AK16*Pricing!H$2+AL16*Pricing!I$2+AM16*Pricing!J$2+AN16*Pricing!K$2)*IF(U$46="N",(1+W$46),1)</f>
        <v>0</v>
      </c>
      <c r="BE16" s="511">
        <f t="shared" ref="BE16:BE42" si="61">AY16*(H$71+E$74)</f>
        <v>0</v>
      </c>
      <c r="BF16" s="299">
        <f t="shared" ref="BF16:BF42" si="62">AZ16*E$70</f>
        <v>0</v>
      </c>
      <c r="BG16" s="299">
        <f t="shared" ref="BG16:BG42" si="63">W16/2000*E$75</f>
        <v>0</v>
      </c>
      <c r="BH16" s="511" t="e">
        <f t="shared" ref="BH16:BH42" si="64">I$76/E$43*F16*E$76</f>
        <v>#DIV/0!</v>
      </c>
      <c r="BI16" s="299">
        <f t="shared" si="25"/>
        <v>0</v>
      </c>
      <c r="BK16" s="299">
        <f t="shared" si="31"/>
        <v>0</v>
      </c>
      <c r="BL16" s="299">
        <f>(AI16*Pricing!F$2+AJ16*Pricing!G$2+AK16*Pricing!H$2+AL16*Pricing!I$2+AM16*Pricing!J$2+AN16*Pricing!K$2)*IF(U$46="N",(1+W$46),1)</f>
        <v>0</v>
      </c>
      <c r="BM16" s="299">
        <f t="shared" ref="BM16:BM42" si="65">IF(AZ16=0,0,(BK16+BL16)/AZ16)</f>
        <v>0</v>
      </c>
      <c r="BN16" s="299" t="e">
        <f t="shared" ref="BN16:BN42" si="66">SUM(BC16:BI16)-BK16-BL16</f>
        <v>#DIV/0!</v>
      </c>
      <c r="BO16" s="299">
        <f t="shared" ref="BO16:BO42" si="67">IF(AX16=0,0,BN16/AY16)</f>
        <v>0</v>
      </c>
    </row>
    <row r="17" spans="2:67" s="299" customFormat="1" ht="18" customHeight="1" x14ac:dyDescent="0.35">
      <c r="B17" s="2547"/>
      <c r="C17" s="1980"/>
      <c r="D17" s="139"/>
      <c r="E17" s="456">
        <v>1</v>
      </c>
      <c r="F17" s="872"/>
      <c r="G17" s="176">
        <v>12</v>
      </c>
      <c r="H17" s="1775"/>
      <c r="I17" s="125"/>
      <c r="J17" s="176"/>
      <c r="K17" s="126"/>
      <c r="L17" s="125"/>
      <c r="M17" s="176"/>
      <c r="N17" s="176"/>
      <c r="O17" s="234"/>
      <c r="P17" s="176"/>
      <c r="Q17" s="176"/>
      <c r="R17" s="184"/>
      <c r="S17" s="185"/>
      <c r="T17" s="874"/>
      <c r="U17" s="106"/>
      <c r="V17" s="140"/>
      <c r="W17" s="863">
        <f t="shared" si="0"/>
        <v>0</v>
      </c>
      <c r="X17" s="864">
        <f t="shared" si="1"/>
        <v>0</v>
      </c>
      <c r="Y17" s="1795" t="e">
        <f t="shared" si="29"/>
        <v>#DIV/0!</v>
      </c>
      <c r="Z17" s="1796" t="e">
        <f>BN17*(1+M$47+Summary!P$58)</f>
        <v>#DIV/0!</v>
      </c>
      <c r="AA17" s="1795" t="e">
        <f t="shared" si="30"/>
        <v>#DIV/0!</v>
      </c>
      <c r="AB17" s="1796">
        <f>(BL17+BK17)*(1+M$47+Summary!P$58)</f>
        <v>0</v>
      </c>
      <c r="AI17" s="299">
        <f t="shared" si="2"/>
        <v>0</v>
      </c>
      <c r="AJ17" s="299">
        <f t="shared" si="3"/>
        <v>0</v>
      </c>
      <c r="AK17" s="299">
        <f t="shared" si="4"/>
        <v>0</v>
      </c>
      <c r="AL17" s="299">
        <f t="shared" si="5"/>
        <v>0</v>
      </c>
      <c r="AM17" s="299">
        <f t="shared" si="6"/>
        <v>0</v>
      </c>
      <c r="AN17" s="299">
        <f t="shared" si="7"/>
        <v>0</v>
      </c>
      <c r="AO17" s="299">
        <f t="shared" si="8"/>
        <v>0</v>
      </c>
      <c r="AP17" s="299">
        <f t="shared" si="50"/>
        <v>0</v>
      </c>
      <c r="AQ17" s="299">
        <f t="shared" si="51"/>
        <v>0</v>
      </c>
      <c r="AR17" s="299">
        <f t="shared" si="52"/>
        <v>0</v>
      </c>
      <c r="AS17" s="299">
        <f t="shared" si="53"/>
        <v>0</v>
      </c>
      <c r="AT17" s="299">
        <f t="shared" si="54"/>
        <v>0</v>
      </c>
      <c r="AU17" s="299">
        <f t="shared" si="55"/>
        <v>0</v>
      </c>
      <c r="AV17" s="299">
        <f t="shared" si="56"/>
        <v>0</v>
      </c>
      <c r="AW17" s="299">
        <f t="shared" si="57"/>
        <v>0</v>
      </c>
      <c r="AX17" s="299">
        <f t="shared" si="58"/>
        <v>0</v>
      </c>
      <c r="AY17" s="299">
        <f t="shared" si="18"/>
        <v>0</v>
      </c>
      <c r="AZ17" s="299">
        <f t="shared" si="59"/>
        <v>0</v>
      </c>
      <c r="BC17" s="299">
        <f t="shared" si="60"/>
        <v>0</v>
      </c>
      <c r="BD17" s="299">
        <f>(AO17*Pricing!F$2+AP17*Pricing!G$2+AQ17*Pricing!H$2+AR17*Pricing!I$2+AS17*Pricing!J$2+AT17*Pricing!K$2+AI17*Pricing!F$2+AJ17*Pricing!G$2+AK17*Pricing!H$2+AL17*Pricing!I$2+AM17*Pricing!J$2+AN17*Pricing!K$2)*IF(U$46="N",(1+W$46),1)</f>
        <v>0</v>
      </c>
      <c r="BE17" s="511">
        <f t="shared" si="61"/>
        <v>0</v>
      </c>
      <c r="BF17" s="299">
        <f t="shared" si="62"/>
        <v>0</v>
      </c>
      <c r="BG17" s="299">
        <f t="shared" si="63"/>
        <v>0</v>
      </c>
      <c r="BH17" s="511" t="e">
        <f t="shared" si="64"/>
        <v>#DIV/0!</v>
      </c>
      <c r="BI17" s="299">
        <f t="shared" si="25"/>
        <v>0</v>
      </c>
      <c r="BK17" s="299">
        <f t="shared" si="31"/>
        <v>0</v>
      </c>
      <c r="BL17" s="299">
        <f>(AI17*Pricing!F$2+AJ17*Pricing!G$2+AK17*Pricing!H$2+AL17*Pricing!I$2+AM17*Pricing!J$2+AN17*Pricing!K$2)*IF(U$46="N",(1+W$46),1)</f>
        <v>0</v>
      </c>
      <c r="BM17" s="299">
        <f t="shared" si="65"/>
        <v>0</v>
      </c>
      <c r="BN17" s="299" t="e">
        <f t="shared" si="66"/>
        <v>#DIV/0!</v>
      </c>
      <c r="BO17" s="299">
        <f t="shared" si="67"/>
        <v>0</v>
      </c>
    </row>
    <row r="18" spans="2:67" s="299" customFormat="1" ht="18" customHeight="1" x14ac:dyDescent="0.35">
      <c r="B18" s="2547"/>
      <c r="C18" s="1980"/>
      <c r="D18" s="139"/>
      <c r="E18" s="456">
        <v>1</v>
      </c>
      <c r="F18" s="872"/>
      <c r="G18" s="176">
        <v>12</v>
      </c>
      <c r="H18" s="1775"/>
      <c r="I18" s="125"/>
      <c r="J18" s="176"/>
      <c r="K18" s="126"/>
      <c r="L18" s="125"/>
      <c r="M18" s="176"/>
      <c r="N18" s="176"/>
      <c r="O18" s="234"/>
      <c r="P18" s="176"/>
      <c r="Q18" s="176"/>
      <c r="R18" s="184"/>
      <c r="S18" s="185"/>
      <c r="T18" s="874"/>
      <c r="U18" s="106"/>
      <c r="V18" s="140"/>
      <c r="W18" s="863">
        <f t="shared" si="0"/>
        <v>0</v>
      </c>
      <c r="X18" s="864">
        <f t="shared" si="1"/>
        <v>0</v>
      </c>
      <c r="Y18" s="1795" t="e">
        <f t="shared" si="29"/>
        <v>#DIV/0!</v>
      </c>
      <c r="Z18" s="1796" t="e">
        <f>BN18*(1+M$47+Summary!P$58)</f>
        <v>#DIV/0!</v>
      </c>
      <c r="AA18" s="1795" t="e">
        <f t="shared" si="30"/>
        <v>#DIV/0!</v>
      </c>
      <c r="AB18" s="1796">
        <f>(BL18+BK18)*(1+M$47+Summary!P$58)</f>
        <v>0</v>
      </c>
      <c r="AI18" s="299">
        <f t="shared" si="2"/>
        <v>0</v>
      </c>
      <c r="AJ18" s="299">
        <f t="shared" si="3"/>
        <v>0</v>
      </c>
      <c r="AK18" s="299">
        <f t="shared" si="4"/>
        <v>0</v>
      </c>
      <c r="AL18" s="299">
        <f t="shared" si="5"/>
        <v>0</v>
      </c>
      <c r="AM18" s="299">
        <f t="shared" si="6"/>
        <v>0</v>
      </c>
      <c r="AN18" s="299">
        <f t="shared" si="7"/>
        <v>0</v>
      </c>
      <c r="AO18" s="299">
        <f t="shared" si="8"/>
        <v>0</v>
      </c>
      <c r="AP18" s="299">
        <f t="shared" si="50"/>
        <v>0</v>
      </c>
      <c r="AQ18" s="299">
        <f t="shared" si="51"/>
        <v>0</v>
      </c>
      <c r="AR18" s="299">
        <f t="shared" si="52"/>
        <v>0</v>
      </c>
      <c r="AS18" s="299">
        <f t="shared" si="53"/>
        <v>0</v>
      </c>
      <c r="AT18" s="299">
        <f t="shared" si="54"/>
        <v>0</v>
      </c>
      <c r="AU18" s="299">
        <f t="shared" si="55"/>
        <v>0</v>
      </c>
      <c r="AV18" s="299">
        <f t="shared" si="56"/>
        <v>0</v>
      </c>
      <c r="AW18" s="299">
        <f t="shared" si="57"/>
        <v>0</v>
      </c>
      <c r="AX18" s="299">
        <f t="shared" si="58"/>
        <v>0</v>
      </c>
      <c r="AY18" s="299">
        <f t="shared" si="18"/>
        <v>0</v>
      </c>
      <c r="AZ18" s="299">
        <f t="shared" si="59"/>
        <v>0</v>
      </c>
      <c r="BC18" s="299">
        <f t="shared" si="60"/>
        <v>0</v>
      </c>
      <c r="BD18" s="299">
        <f>(AO18*Pricing!F$2+AP18*Pricing!G$2+AQ18*Pricing!H$2+AR18*Pricing!I$2+AS18*Pricing!J$2+AT18*Pricing!K$2+AI18*Pricing!F$2+AJ18*Pricing!G$2+AK18*Pricing!H$2+AL18*Pricing!I$2+AM18*Pricing!J$2+AN18*Pricing!K$2)*IF(U$46="N",(1+W$46),1)</f>
        <v>0</v>
      </c>
      <c r="BE18" s="511">
        <f t="shared" si="61"/>
        <v>0</v>
      </c>
      <c r="BF18" s="299">
        <f t="shared" si="62"/>
        <v>0</v>
      </c>
      <c r="BG18" s="299">
        <f t="shared" si="63"/>
        <v>0</v>
      </c>
      <c r="BH18" s="511" t="e">
        <f t="shared" si="64"/>
        <v>#DIV/0!</v>
      </c>
      <c r="BI18" s="299">
        <f t="shared" si="25"/>
        <v>0</v>
      </c>
      <c r="BK18" s="299">
        <f t="shared" si="31"/>
        <v>0</v>
      </c>
      <c r="BL18" s="299">
        <f>(AI18*Pricing!F$2+AJ18*Pricing!G$2+AK18*Pricing!H$2+AL18*Pricing!I$2+AM18*Pricing!J$2+AN18*Pricing!K$2)*IF(U$46="N",(1+W$46),1)</f>
        <v>0</v>
      </c>
      <c r="BM18" s="299">
        <f t="shared" si="65"/>
        <v>0</v>
      </c>
      <c r="BN18" s="299" t="e">
        <f t="shared" si="66"/>
        <v>#DIV/0!</v>
      </c>
      <c r="BO18" s="299">
        <f t="shared" si="67"/>
        <v>0</v>
      </c>
    </row>
    <row r="19" spans="2:67" s="299" customFormat="1" ht="18" customHeight="1" x14ac:dyDescent="0.35">
      <c r="B19" s="2547"/>
      <c r="C19" s="1980"/>
      <c r="D19" s="139"/>
      <c r="E19" s="456">
        <v>1</v>
      </c>
      <c r="F19" s="872"/>
      <c r="G19" s="176">
        <v>12</v>
      </c>
      <c r="H19" s="1775"/>
      <c r="I19" s="125"/>
      <c r="J19" s="176"/>
      <c r="K19" s="126"/>
      <c r="L19" s="125"/>
      <c r="M19" s="176"/>
      <c r="N19" s="176"/>
      <c r="O19" s="234"/>
      <c r="P19" s="176"/>
      <c r="Q19" s="176"/>
      <c r="R19" s="184"/>
      <c r="S19" s="185"/>
      <c r="T19" s="874"/>
      <c r="U19" s="106"/>
      <c r="V19" s="140"/>
      <c r="W19" s="863">
        <f t="shared" si="0"/>
        <v>0</v>
      </c>
      <c r="X19" s="864">
        <f t="shared" si="1"/>
        <v>0</v>
      </c>
      <c r="Y19" s="1795" t="e">
        <f t="shared" si="29"/>
        <v>#DIV/0!</v>
      </c>
      <c r="Z19" s="1796" t="e">
        <f>BN19*(1+M$47+Summary!P$58)</f>
        <v>#DIV/0!</v>
      </c>
      <c r="AA19" s="1795" t="e">
        <f t="shared" si="30"/>
        <v>#DIV/0!</v>
      </c>
      <c r="AB19" s="1796">
        <f>(BL19+BK19)*(1+M$47+Summary!P$58)</f>
        <v>0</v>
      </c>
      <c r="AI19" s="299">
        <f t="shared" si="2"/>
        <v>0</v>
      </c>
      <c r="AJ19" s="299">
        <f t="shared" si="3"/>
        <v>0</v>
      </c>
      <c r="AK19" s="299">
        <f t="shared" si="4"/>
        <v>0</v>
      </c>
      <c r="AL19" s="299">
        <f t="shared" si="5"/>
        <v>0</v>
      </c>
      <c r="AM19" s="299">
        <f t="shared" si="6"/>
        <v>0</v>
      </c>
      <c r="AN19" s="299">
        <f t="shared" si="7"/>
        <v>0</v>
      </c>
      <c r="AO19" s="299">
        <f t="shared" si="8"/>
        <v>0</v>
      </c>
      <c r="AP19" s="299">
        <f t="shared" si="50"/>
        <v>0</v>
      </c>
      <c r="AQ19" s="299">
        <f t="shared" si="51"/>
        <v>0</v>
      </c>
      <c r="AR19" s="299">
        <f t="shared" si="52"/>
        <v>0</v>
      </c>
      <c r="AS19" s="299">
        <f t="shared" si="53"/>
        <v>0</v>
      </c>
      <c r="AT19" s="299">
        <f t="shared" si="54"/>
        <v>0</v>
      </c>
      <c r="AU19" s="299">
        <f t="shared" si="55"/>
        <v>0</v>
      </c>
      <c r="AV19" s="299">
        <f t="shared" si="56"/>
        <v>0</v>
      </c>
      <c r="AW19" s="299">
        <f t="shared" si="57"/>
        <v>0</v>
      </c>
      <c r="AX19" s="299">
        <f t="shared" si="58"/>
        <v>0</v>
      </c>
      <c r="AY19" s="299">
        <f t="shared" si="18"/>
        <v>0</v>
      </c>
      <c r="AZ19" s="299">
        <f t="shared" si="59"/>
        <v>0</v>
      </c>
      <c r="BC19" s="299">
        <f t="shared" si="60"/>
        <v>0</v>
      </c>
      <c r="BD19" s="299">
        <f>(AO19*Pricing!F$2+AP19*Pricing!G$2+AQ19*Pricing!H$2+AR19*Pricing!I$2+AS19*Pricing!J$2+AT19*Pricing!K$2+AI19*Pricing!F$2+AJ19*Pricing!G$2+AK19*Pricing!H$2+AL19*Pricing!I$2+AM19*Pricing!J$2+AN19*Pricing!K$2)*IF(U$46="N",(1+W$46),1)</f>
        <v>0</v>
      </c>
      <c r="BE19" s="511">
        <f t="shared" si="61"/>
        <v>0</v>
      </c>
      <c r="BF19" s="299">
        <f t="shared" si="62"/>
        <v>0</v>
      </c>
      <c r="BG19" s="299">
        <f t="shared" si="63"/>
        <v>0</v>
      </c>
      <c r="BH19" s="511" t="e">
        <f t="shared" si="64"/>
        <v>#DIV/0!</v>
      </c>
      <c r="BI19" s="299">
        <f t="shared" si="25"/>
        <v>0</v>
      </c>
      <c r="BK19" s="299">
        <f t="shared" si="31"/>
        <v>0</v>
      </c>
      <c r="BL19" s="299">
        <f>(AI19*Pricing!F$2+AJ19*Pricing!G$2+AK19*Pricing!H$2+AL19*Pricing!I$2+AM19*Pricing!J$2+AN19*Pricing!K$2)*IF(U$46="N",(1+W$46),1)</f>
        <v>0</v>
      </c>
      <c r="BM19" s="299">
        <f t="shared" si="65"/>
        <v>0</v>
      </c>
      <c r="BN19" s="299" t="e">
        <f t="shared" si="66"/>
        <v>#DIV/0!</v>
      </c>
      <c r="BO19" s="299">
        <f t="shared" si="67"/>
        <v>0</v>
      </c>
    </row>
    <row r="20" spans="2:67" s="299" customFormat="1" ht="18" customHeight="1" x14ac:dyDescent="0.35">
      <c r="B20" s="2556"/>
      <c r="C20" s="1980"/>
      <c r="D20" s="139"/>
      <c r="E20" s="456">
        <v>1</v>
      </c>
      <c r="F20" s="872"/>
      <c r="G20" s="176">
        <v>12</v>
      </c>
      <c r="H20" s="1775"/>
      <c r="I20" s="125"/>
      <c r="J20" s="176"/>
      <c r="K20" s="126"/>
      <c r="L20" s="125"/>
      <c r="M20" s="176"/>
      <c r="N20" s="176"/>
      <c r="O20" s="234"/>
      <c r="P20" s="176"/>
      <c r="Q20" s="176"/>
      <c r="R20" s="184"/>
      <c r="S20" s="185"/>
      <c r="T20" s="874"/>
      <c r="U20" s="106"/>
      <c r="V20" s="140"/>
      <c r="W20" s="863">
        <f t="shared" si="0"/>
        <v>0</v>
      </c>
      <c r="X20" s="864">
        <f t="shared" si="1"/>
        <v>0</v>
      </c>
      <c r="Y20" s="1795" t="e">
        <f t="shared" si="29"/>
        <v>#DIV/0!</v>
      </c>
      <c r="Z20" s="1796" t="e">
        <f>BN20*(1+M$47+Summary!P$58)</f>
        <v>#DIV/0!</v>
      </c>
      <c r="AA20" s="1795" t="e">
        <f t="shared" si="30"/>
        <v>#DIV/0!</v>
      </c>
      <c r="AB20" s="1796">
        <f>(BL20+BK20)*(1+M$47+Summary!P$58)</f>
        <v>0</v>
      </c>
      <c r="AI20" s="299">
        <f t="shared" si="2"/>
        <v>0</v>
      </c>
      <c r="AJ20" s="299">
        <f t="shared" si="3"/>
        <v>0</v>
      </c>
      <c r="AK20" s="299">
        <f t="shared" si="4"/>
        <v>0</v>
      </c>
      <c r="AL20" s="299">
        <f t="shared" si="5"/>
        <v>0</v>
      </c>
      <c r="AM20" s="299">
        <f t="shared" si="6"/>
        <v>0</v>
      </c>
      <c r="AN20" s="299">
        <f t="shared" si="7"/>
        <v>0</v>
      </c>
      <c r="AO20" s="299">
        <f t="shared" si="8"/>
        <v>0</v>
      </c>
      <c r="AP20" s="299">
        <f t="shared" si="50"/>
        <v>0</v>
      </c>
      <c r="AQ20" s="299">
        <f t="shared" si="51"/>
        <v>0</v>
      </c>
      <c r="AR20" s="299">
        <f t="shared" si="52"/>
        <v>0</v>
      </c>
      <c r="AS20" s="299">
        <f t="shared" si="53"/>
        <v>0</v>
      </c>
      <c r="AT20" s="299">
        <f t="shared" si="54"/>
        <v>0</v>
      </c>
      <c r="AU20" s="299">
        <f t="shared" si="55"/>
        <v>0</v>
      </c>
      <c r="AV20" s="299">
        <f t="shared" si="56"/>
        <v>0</v>
      </c>
      <c r="AW20" s="299">
        <f t="shared" si="57"/>
        <v>0</v>
      </c>
      <c r="AX20" s="299">
        <f t="shared" si="58"/>
        <v>0</v>
      </c>
      <c r="AY20" s="299">
        <f t="shared" si="18"/>
        <v>0</v>
      </c>
      <c r="AZ20" s="299">
        <f t="shared" si="59"/>
        <v>0</v>
      </c>
      <c r="BC20" s="299">
        <f t="shared" si="60"/>
        <v>0</v>
      </c>
      <c r="BD20" s="299">
        <f>(AO20*Pricing!F$2+AP20*Pricing!G$2+AQ20*Pricing!H$2+AR20*Pricing!I$2+AS20*Pricing!J$2+AT20*Pricing!K$2+AI20*Pricing!F$2+AJ20*Pricing!G$2+AK20*Pricing!H$2+AL20*Pricing!I$2+AM20*Pricing!J$2+AN20*Pricing!K$2)*IF(U$46="N",(1+W$46),1)</f>
        <v>0</v>
      </c>
      <c r="BE20" s="511">
        <f t="shared" si="61"/>
        <v>0</v>
      </c>
      <c r="BF20" s="299">
        <f t="shared" si="62"/>
        <v>0</v>
      </c>
      <c r="BG20" s="299">
        <f t="shared" si="63"/>
        <v>0</v>
      </c>
      <c r="BH20" s="511" t="e">
        <f t="shared" si="64"/>
        <v>#DIV/0!</v>
      </c>
      <c r="BI20" s="299">
        <f t="shared" si="25"/>
        <v>0</v>
      </c>
      <c r="BK20" s="299">
        <f t="shared" si="31"/>
        <v>0</v>
      </c>
      <c r="BL20" s="299">
        <f>(AI20*Pricing!F$2+AJ20*Pricing!G$2+AK20*Pricing!H$2+AL20*Pricing!I$2+AM20*Pricing!J$2+AN20*Pricing!K$2)*IF(U$46="N",(1+W$46),1)</f>
        <v>0</v>
      </c>
      <c r="BM20" s="299">
        <f t="shared" si="65"/>
        <v>0</v>
      </c>
      <c r="BN20" s="299" t="e">
        <f t="shared" si="66"/>
        <v>#DIV/0!</v>
      </c>
      <c r="BO20" s="299">
        <f t="shared" si="67"/>
        <v>0</v>
      </c>
    </row>
    <row r="21" spans="2:67" s="299" customFormat="1" ht="18" customHeight="1" x14ac:dyDescent="0.35">
      <c r="B21" s="2547"/>
      <c r="C21" s="1980"/>
      <c r="D21" s="139"/>
      <c r="E21" s="456">
        <v>1</v>
      </c>
      <c r="F21" s="872"/>
      <c r="G21" s="176">
        <v>12</v>
      </c>
      <c r="H21" s="1775"/>
      <c r="I21" s="125"/>
      <c r="J21" s="176"/>
      <c r="K21" s="126"/>
      <c r="L21" s="125"/>
      <c r="M21" s="176"/>
      <c r="N21" s="176"/>
      <c r="O21" s="234"/>
      <c r="P21" s="176"/>
      <c r="Q21" s="176"/>
      <c r="R21" s="184"/>
      <c r="S21" s="185"/>
      <c r="T21" s="874"/>
      <c r="U21" s="106"/>
      <c r="V21" s="140"/>
      <c r="W21" s="863">
        <f t="shared" si="0"/>
        <v>0</v>
      </c>
      <c r="X21" s="864">
        <f t="shared" si="1"/>
        <v>0</v>
      </c>
      <c r="Y21" s="1795" t="e">
        <f t="shared" si="29"/>
        <v>#DIV/0!</v>
      </c>
      <c r="Z21" s="1796" t="e">
        <f>BN21*(1+M$47+Summary!P$58)</f>
        <v>#DIV/0!</v>
      </c>
      <c r="AA21" s="1795" t="e">
        <f t="shared" si="30"/>
        <v>#DIV/0!</v>
      </c>
      <c r="AB21" s="1796">
        <f>(BL21+BK21)*(1+M$47+Summary!P$58)</f>
        <v>0</v>
      </c>
      <c r="AI21" s="299">
        <f t="shared" si="2"/>
        <v>0</v>
      </c>
      <c r="AJ21" s="299">
        <f t="shared" si="3"/>
        <v>0</v>
      </c>
      <c r="AK21" s="299">
        <f t="shared" si="4"/>
        <v>0</v>
      </c>
      <c r="AL21" s="299">
        <f t="shared" si="5"/>
        <v>0</v>
      </c>
      <c r="AM21" s="299">
        <f t="shared" si="6"/>
        <v>0</v>
      </c>
      <c r="AN21" s="299">
        <f t="shared" si="7"/>
        <v>0</v>
      </c>
      <c r="AO21" s="299">
        <f t="shared" si="8"/>
        <v>0</v>
      </c>
      <c r="AP21" s="299">
        <f t="shared" si="50"/>
        <v>0</v>
      </c>
      <c r="AQ21" s="299">
        <f t="shared" si="51"/>
        <v>0</v>
      </c>
      <c r="AR21" s="299">
        <f t="shared" si="52"/>
        <v>0</v>
      </c>
      <c r="AS21" s="299">
        <f t="shared" si="53"/>
        <v>0</v>
      </c>
      <c r="AT21" s="299">
        <f t="shared" si="54"/>
        <v>0</v>
      </c>
      <c r="AU21" s="299">
        <f t="shared" si="55"/>
        <v>0</v>
      </c>
      <c r="AV21" s="299">
        <f t="shared" si="56"/>
        <v>0</v>
      </c>
      <c r="AW21" s="299">
        <f t="shared" si="57"/>
        <v>0</v>
      </c>
      <c r="AX21" s="299">
        <f t="shared" si="58"/>
        <v>0</v>
      </c>
      <c r="AY21" s="299">
        <f t="shared" si="18"/>
        <v>0</v>
      </c>
      <c r="AZ21" s="299">
        <f t="shared" si="59"/>
        <v>0</v>
      </c>
      <c r="BC21" s="299">
        <f t="shared" si="60"/>
        <v>0</v>
      </c>
      <c r="BD21" s="299">
        <f>(AO21*Pricing!F$2+AP21*Pricing!G$2+AQ21*Pricing!H$2+AR21*Pricing!I$2+AS21*Pricing!J$2+AT21*Pricing!K$2+AI21*Pricing!F$2+AJ21*Pricing!G$2+AK21*Pricing!H$2+AL21*Pricing!I$2+AM21*Pricing!J$2+AN21*Pricing!K$2)*IF(U$46="N",(1+W$46),1)</f>
        <v>0</v>
      </c>
      <c r="BE21" s="511">
        <f t="shared" si="61"/>
        <v>0</v>
      </c>
      <c r="BF21" s="299">
        <f t="shared" si="62"/>
        <v>0</v>
      </c>
      <c r="BG21" s="299">
        <f t="shared" si="63"/>
        <v>0</v>
      </c>
      <c r="BH21" s="511" t="e">
        <f t="shared" si="64"/>
        <v>#DIV/0!</v>
      </c>
      <c r="BI21" s="299">
        <f t="shared" si="25"/>
        <v>0</v>
      </c>
      <c r="BK21" s="299">
        <f t="shared" si="31"/>
        <v>0</v>
      </c>
      <c r="BL21" s="299">
        <f>(AI21*Pricing!F$2+AJ21*Pricing!G$2+AK21*Pricing!H$2+AL21*Pricing!I$2+AM21*Pricing!J$2+AN21*Pricing!K$2)*IF(U$46="N",(1+W$46),1)</f>
        <v>0</v>
      </c>
      <c r="BM21" s="299">
        <f t="shared" si="65"/>
        <v>0</v>
      </c>
      <c r="BN21" s="299" t="e">
        <f t="shared" si="66"/>
        <v>#DIV/0!</v>
      </c>
      <c r="BO21" s="299">
        <f t="shared" si="67"/>
        <v>0</v>
      </c>
    </row>
    <row r="22" spans="2:67" s="299" customFormat="1" ht="18" customHeight="1" x14ac:dyDescent="0.35">
      <c r="B22" s="1979"/>
      <c r="C22" s="1980"/>
      <c r="D22" s="139"/>
      <c r="E22" s="456">
        <v>1</v>
      </c>
      <c r="F22" s="872"/>
      <c r="G22" s="176">
        <v>12</v>
      </c>
      <c r="H22" s="1775"/>
      <c r="I22" s="125"/>
      <c r="J22" s="176"/>
      <c r="K22" s="126"/>
      <c r="L22" s="125"/>
      <c r="M22" s="176"/>
      <c r="N22" s="176"/>
      <c r="O22" s="234"/>
      <c r="P22" s="176"/>
      <c r="Q22" s="176"/>
      <c r="R22" s="184"/>
      <c r="S22" s="185"/>
      <c r="T22" s="874"/>
      <c r="U22" s="106"/>
      <c r="V22" s="140"/>
      <c r="W22" s="863">
        <f t="shared" si="0"/>
        <v>0</v>
      </c>
      <c r="X22" s="865">
        <f t="shared" si="1"/>
        <v>0</v>
      </c>
      <c r="Y22" s="1795" t="e">
        <f t="shared" si="29"/>
        <v>#DIV/0!</v>
      </c>
      <c r="Z22" s="1796" t="e">
        <f>BN22*(1+M$47+Summary!P$58)</f>
        <v>#DIV/0!</v>
      </c>
      <c r="AA22" s="1795" t="e">
        <f t="shared" si="30"/>
        <v>#DIV/0!</v>
      </c>
      <c r="AB22" s="1796">
        <f>(BL22+BK22)*(1+M$47+Summary!P$58)</f>
        <v>0</v>
      </c>
      <c r="AI22" s="299">
        <f t="shared" si="2"/>
        <v>0</v>
      </c>
      <c r="AJ22" s="299">
        <f t="shared" si="3"/>
        <v>0</v>
      </c>
      <c r="AK22" s="299">
        <f t="shared" si="4"/>
        <v>0</v>
      </c>
      <c r="AL22" s="299">
        <f t="shared" si="5"/>
        <v>0</v>
      </c>
      <c r="AM22" s="299">
        <f t="shared" si="6"/>
        <v>0</v>
      </c>
      <c r="AN22" s="299">
        <f t="shared" si="7"/>
        <v>0</v>
      </c>
      <c r="AO22" s="299">
        <f t="shared" si="8"/>
        <v>0</v>
      </c>
      <c r="AP22" s="299">
        <f t="shared" si="50"/>
        <v>0</v>
      </c>
      <c r="AQ22" s="299">
        <f t="shared" si="51"/>
        <v>0</v>
      </c>
      <c r="AR22" s="299">
        <f t="shared" si="52"/>
        <v>0</v>
      </c>
      <c r="AS22" s="299">
        <f t="shared" si="53"/>
        <v>0</v>
      </c>
      <c r="AT22" s="299">
        <f t="shared" si="54"/>
        <v>0</v>
      </c>
      <c r="AU22" s="299">
        <f t="shared" si="55"/>
        <v>0</v>
      </c>
      <c r="AV22" s="299">
        <f t="shared" si="56"/>
        <v>0</v>
      </c>
      <c r="AW22" s="299">
        <f t="shared" si="57"/>
        <v>0</v>
      </c>
      <c r="AX22" s="299">
        <f t="shared" si="58"/>
        <v>0</v>
      </c>
      <c r="AY22" s="299">
        <f t="shared" si="18"/>
        <v>0</v>
      </c>
      <c r="AZ22" s="299">
        <f t="shared" si="59"/>
        <v>0</v>
      </c>
      <c r="BC22" s="299">
        <f t="shared" si="60"/>
        <v>0</v>
      </c>
      <c r="BD22" s="299">
        <f>(AO22*Pricing!F$2+AP22*Pricing!G$2+AQ22*Pricing!H$2+AR22*Pricing!I$2+AS22*Pricing!J$2+AT22*Pricing!K$2+AI22*Pricing!F$2+AJ22*Pricing!G$2+AK22*Pricing!H$2+AL22*Pricing!I$2+AM22*Pricing!J$2+AN22*Pricing!K$2)*IF(U$46="N",(1+W$46),1)</f>
        <v>0</v>
      </c>
      <c r="BE22" s="511">
        <f t="shared" si="61"/>
        <v>0</v>
      </c>
      <c r="BF22" s="299">
        <f t="shared" si="62"/>
        <v>0</v>
      </c>
      <c r="BG22" s="299">
        <f t="shared" si="63"/>
        <v>0</v>
      </c>
      <c r="BH22" s="511" t="e">
        <f t="shared" si="64"/>
        <v>#DIV/0!</v>
      </c>
      <c r="BI22" s="299">
        <f t="shared" si="25"/>
        <v>0</v>
      </c>
      <c r="BK22" s="299">
        <f t="shared" si="31"/>
        <v>0</v>
      </c>
      <c r="BL22" s="299">
        <f>(AI22*Pricing!F$2+AJ22*Pricing!G$2+AK22*Pricing!H$2+AL22*Pricing!I$2+AM22*Pricing!J$2+AN22*Pricing!K$2)*IF(U$46="N",(1+W$46),1)</f>
        <v>0</v>
      </c>
      <c r="BM22" s="299">
        <f t="shared" si="65"/>
        <v>0</v>
      </c>
      <c r="BN22" s="299" t="e">
        <f t="shared" si="66"/>
        <v>#DIV/0!</v>
      </c>
      <c r="BO22" s="299">
        <f t="shared" si="67"/>
        <v>0</v>
      </c>
    </row>
    <row r="23" spans="2:67" s="299" customFormat="1" ht="18" customHeight="1" x14ac:dyDescent="0.35">
      <c r="B23" s="2556"/>
      <c r="C23" s="1980"/>
      <c r="D23" s="139"/>
      <c r="E23" s="456">
        <v>1</v>
      </c>
      <c r="F23" s="872"/>
      <c r="G23" s="176">
        <v>12</v>
      </c>
      <c r="H23" s="1775"/>
      <c r="I23" s="125"/>
      <c r="J23" s="380"/>
      <c r="K23" s="126"/>
      <c r="L23" s="125"/>
      <c r="M23" s="176"/>
      <c r="N23" s="176"/>
      <c r="O23" s="234"/>
      <c r="P23" s="176"/>
      <c r="Q23" s="176"/>
      <c r="R23" s="184"/>
      <c r="S23" s="185"/>
      <c r="T23" s="874"/>
      <c r="U23" s="106"/>
      <c r="V23" s="140"/>
      <c r="W23" s="863">
        <f t="shared" si="0"/>
        <v>0</v>
      </c>
      <c r="X23" s="865">
        <f t="shared" si="1"/>
        <v>0</v>
      </c>
      <c r="Y23" s="1795" t="e">
        <f t="shared" si="29"/>
        <v>#DIV/0!</v>
      </c>
      <c r="Z23" s="1796" t="e">
        <f>BN23*(1+M$47+Summary!P$58)</f>
        <v>#DIV/0!</v>
      </c>
      <c r="AA23" s="1795" t="e">
        <f t="shared" si="30"/>
        <v>#DIV/0!</v>
      </c>
      <c r="AB23" s="1796">
        <f>(BL23+BK23)*(1+M$47+Summary!P$58)</f>
        <v>0</v>
      </c>
      <c r="AI23" s="299">
        <f t="shared" si="2"/>
        <v>0</v>
      </c>
      <c r="AJ23" s="299">
        <f t="shared" si="3"/>
        <v>0</v>
      </c>
      <c r="AK23" s="299">
        <f t="shared" si="4"/>
        <v>0</v>
      </c>
      <c r="AL23" s="299">
        <f t="shared" si="5"/>
        <v>0</v>
      </c>
      <c r="AM23" s="299">
        <f t="shared" si="6"/>
        <v>0</v>
      </c>
      <c r="AN23" s="299">
        <f t="shared" si="7"/>
        <v>0</v>
      </c>
      <c r="AO23" s="299">
        <f t="shared" si="8"/>
        <v>0</v>
      </c>
      <c r="AP23" s="299">
        <f t="shared" si="50"/>
        <v>0</v>
      </c>
      <c r="AQ23" s="299">
        <f t="shared" si="51"/>
        <v>0</v>
      </c>
      <c r="AR23" s="299">
        <f t="shared" si="52"/>
        <v>0</v>
      </c>
      <c r="AS23" s="299">
        <f t="shared" si="53"/>
        <v>0</v>
      </c>
      <c r="AT23" s="299">
        <f t="shared" si="54"/>
        <v>0</v>
      </c>
      <c r="AU23" s="299">
        <f t="shared" si="55"/>
        <v>0</v>
      </c>
      <c r="AV23" s="299">
        <f t="shared" si="56"/>
        <v>0</v>
      </c>
      <c r="AW23" s="299">
        <f t="shared" si="57"/>
        <v>0</v>
      </c>
      <c r="AX23" s="299">
        <f t="shared" si="58"/>
        <v>0</v>
      </c>
      <c r="AY23" s="299">
        <f t="shared" si="18"/>
        <v>0</v>
      </c>
      <c r="AZ23" s="299">
        <f t="shared" si="59"/>
        <v>0</v>
      </c>
      <c r="BC23" s="299">
        <f t="shared" si="60"/>
        <v>0</v>
      </c>
      <c r="BD23" s="299">
        <f>(AO23*Pricing!F$2+AP23*Pricing!G$2+AQ23*Pricing!H$2+AR23*Pricing!I$2+AS23*Pricing!J$2+AT23*Pricing!K$2+AI23*Pricing!F$2+AJ23*Pricing!G$2+AK23*Pricing!H$2+AL23*Pricing!I$2+AM23*Pricing!J$2+AN23*Pricing!K$2)*IF(U$46="N",(1+W$46),1)</f>
        <v>0</v>
      </c>
      <c r="BE23" s="511">
        <f t="shared" si="61"/>
        <v>0</v>
      </c>
      <c r="BF23" s="299">
        <f t="shared" si="62"/>
        <v>0</v>
      </c>
      <c r="BG23" s="299">
        <f t="shared" si="63"/>
        <v>0</v>
      </c>
      <c r="BH23" s="511" t="e">
        <f t="shared" si="64"/>
        <v>#DIV/0!</v>
      </c>
      <c r="BI23" s="299">
        <f t="shared" si="25"/>
        <v>0</v>
      </c>
      <c r="BK23" s="299">
        <f t="shared" si="31"/>
        <v>0</v>
      </c>
      <c r="BL23" s="299">
        <f>(AI23*Pricing!F$2+AJ23*Pricing!G$2+AK23*Pricing!H$2+AL23*Pricing!I$2+AM23*Pricing!J$2+AN23*Pricing!K$2)*IF(U$46="N",(1+W$46),1)</f>
        <v>0</v>
      </c>
      <c r="BM23" s="299">
        <f t="shared" si="65"/>
        <v>0</v>
      </c>
      <c r="BN23" s="299" t="e">
        <f t="shared" si="66"/>
        <v>#DIV/0!</v>
      </c>
      <c r="BO23" s="299">
        <f t="shared" si="67"/>
        <v>0</v>
      </c>
    </row>
    <row r="24" spans="2:67" s="299" customFormat="1" ht="18" customHeight="1" x14ac:dyDescent="0.35">
      <c r="B24" s="1979"/>
      <c r="C24" s="1980"/>
      <c r="D24" s="139"/>
      <c r="E24" s="456">
        <v>1</v>
      </c>
      <c r="F24" s="872"/>
      <c r="G24" s="176">
        <v>12</v>
      </c>
      <c r="H24" s="1775"/>
      <c r="I24" s="125"/>
      <c r="J24" s="176"/>
      <c r="K24" s="126"/>
      <c r="L24" s="125"/>
      <c r="M24" s="176"/>
      <c r="N24" s="176"/>
      <c r="O24" s="234"/>
      <c r="P24" s="176"/>
      <c r="Q24" s="176"/>
      <c r="R24" s="184"/>
      <c r="S24" s="185"/>
      <c r="T24" s="874"/>
      <c r="U24" s="106"/>
      <c r="V24" s="140"/>
      <c r="W24" s="863">
        <f t="shared" si="0"/>
        <v>0</v>
      </c>
      <c r="X24" s="865">
        <f t="shared" si="1"/>
        <v>0</v>
      </c>
      <c r="Y24" s="1795" t="e">
        <f t="shared" si="29"/>
        <v>#DIV/0!</v>
      </c>
      <c r="Z24" s="1796" t="e">
        <f>BN24*(1+M$47+Summary!P$58)</f>
        <v>#DIV/0!</v>
      </c>
      <c r="AA24" s="1795" t="e">
        <f t="shared" si="30"/>
        <v>#DIV/0!</v>
      </c>
      <c r="AB24" s="1796">
        <f>(BL24+BK24)*(1+M$47+Summary!P$58)</f>
        <v>0</v>
      </c>
      <c r="AI24" s="299">
        <f t="shared" si="2"/>
        <v>0</v>
      </c>
      <c r="AJ24" s="299">
        <f t="shared" si="3"/>
        <v>0</v>
      </c>
      <c r="AK24" s="299">
        <f t="shared" si="4"/>
        <v>0</v>
      </c>
      <c r="AL24" s="299">
        <f t="shared" si="5"/>
        <v>0</v>
      </c>
      <c r="AM24" s="299">
        <f t="shared" si="6"/>
        <v>0</v>
      </c>
      <c r="AN24" s="299">
        <f t="shared" si="7"/>
        <v>0</v>
      </c>
      <c r="AO24" s="299">
        <f t="shared" si="8"/>
        <v>0</v>
      </c>
      <c r="AP24" s="299">
        <f t="shared" si="50"/>
        <v>0</v>
      </c>
      <c r="AQ24" s="299">
        <f t="shared" si="51"/>
        <v>0</v>
      </c>
      <c r="AR24" s="299">
        <f t="shared" si="52"/>
        <v>0</v>
      </c>
      <c r="AS24" s="299">
        <f t="shared" si="53"/>
        <v>0</v>
      </c>
      <c r="AT24" s="299">
        <f t="shared" si="54"/>
        <v>0</v>
      </c>
      <c r="AU24" s="299">
        <f t="shared" si="55"/>
        <v>0</v>
      </c>
      <c r="AV24" s="299">
        <f t="shared" si="56"/>
        <v>0</v>
      </c>
      <c r="AW24" s="299">
        <f t="shared" si="57"/>
        <v>0</v>
      </c>
      <c r="AX24" s="299">
        <f t="shared" si="58"/>
        <v>0</v>
      </c>
      <c r="AY24" s="299">
        <f t="shared" si="18"/>
        <v>0</v>
      </c>
      <c r="AZ24" s="299">
        <f t="shared" si="59"/>
        <v>0</v>
      </c>
      <c r="BC24" s="299">
        <f t="shared" si="60"/>
        <v>0</v>
      </c>
      <c r="BD24" s="299">
        <f>(AO24*Pricing!F$2+AP24*Pricing!G$2+AQ24*Pricing!H$2+AR24*Pricing!I$2+AS24*Pricing!J$2+AT24*Pricing!K$2+AI24*Pricing!F$2+AJ24*Pricing!G$2+AK24*Pricing!H$2+AL24*Pricing!I$2+AM24*Pricing!J$2+AN24*Pricing!K$2)*IF(U$46="N",(1+W$46),1)</f>
        <v>0</v>
      </c>
      <c r="BE24" s="511">
        <f t="shared" si="61"/>
        <v>0</v>
      </c>
      <c r="BF24" s="299">
        <f t="shared" si="62"/>
        <v>0</v>
      </c>
      <c r="BG24" s="299">
        <f t="shared" si="63"/>
        <v>0</v>
      </c>
      <c r="BH24" s="511" t="e">
        <f t="shared" si="64"/>
        <v>#DIV/0!</v>
      </c>
      <c r="BI24" s="299">
        <f t="shared" si="25"/>
        <v>0</v>
      </c>
      <c r="BK24" s="299">
        <f t="shared" si="31"/>
        <v>0</v>
      </c>
      <c r="BL24" s="299">
        <f>(AI24*Pricing!F$2+AJ24*Pricing!G$2+AK24*Pricing!H$2+AL24*Pricing!I$2+AM24*Pricing!J$2+AN24*Pricing!K$2)*IF(U$46="N",(1+W$46),1)</f>
        <v>0</v>
      </c>
      <c r="BM24" s="299">
        <f t="shared" si="65"/>
        <v>0</v>
      </c>
      <c r="BN24" s="299" t="e">
        <f t="shared" si="66"/>
        <v>#DIV/0!</v>
      </c>
      <c r="BO24" s="299">
        <f t="shared" si="67"/>
        <v>0</v>
      </c>
    </row>
    <row r="25" spans="2:67" s="299" customFormat="1" ht="18" customHeight="1" x14ac:dyDescent="0.35">
      <c r="B25" s="1979"/>
      <c r="C25" s="1980"/>
      <c r="D25" s="139"/>
      <c r="E25" s="456">
        <v>1</v>
      </c>
      <c r="F25" s="872"/>
      <c r="G25" s="176">
        <v>12</v>
      </c>
      <c r="H25" s="1775"/>
      <c r="I25" s="125"/>
      <c r="J25" s="176"/>
      <c r="K25" s="126"/>
      <c r="L25" s="125"/>
      <c r="M25" s="176"/>
      <c r="N25" s="176"/>
      <c r="O25" s="234"/>
      <c r="P25" s="176"/>
      <c r="Q25" s="176"/>
      <c r="R25" s="184"/>
      <c r="S25" s="185"/>
      <c r="T25" s="874"/>
      <c r="U25" s="106"/>
      <c r="V25" s="140"/>
      <c r="W25" s="863">
        <f t="shared" si="0"/>
        <v>0</v>
      </c>
      <c r="X25" s="865">
        <f t="shared" si="1"/>
        <v>0</v>
      </c>
      <c r="Y25" s="1795" t="e">
        <f t="shared" si="29"/>
        <v>#DIV/0!</v>
      </c>
      <c r="Z25" s="1796" t="e">
        <f>BN25*(1+M$47+Summary!P$58)</f>
        <v>#DIV/0!</v>
      </c>
      <c r="AA25" s="1795" t="e">
        <f t="shared" si="30"/>
        <v>#DIV/0!</v>
      </c>
      <c r="AB25" s="1796">
        <f>(BL25+BK25)*(1+M$47+Summary!P$58)</f>
        <v>0</v>
      </c>
      <c r="AI25" s="299">
        <f t="shared" si="2"/>
        <v>0</v>
      </c>
      <c r="AJ25" s="299">
        <f t="shared" si="3"/>
        <v>0</v>
      </c>
      <c r="AK25" s="299">
        <f t="shared" si="4"/>
        <v>0</v>
      </c>
      <c r="AL25" s="299">
        <f t="shared" si="5"/>
        <v>0</v>
      </c>
      <c r="AM25" s="299">
        <f t="shared" si="6"/>
        <v>0</v>
      </c>
      <c r="AN25" s="299">
        <f t="shared" si="7"/>
        <v>0</v>
      </c>
      <c r="AO25" s="299">
        <f t="shared" si="8"/>
        <v>0</v>
      </c>
      <c r="AP25" s="299">
        <f t="shared" si="50"/>
        <v>0</v>
      </c>
      <c r="AQ25" s="299">
        <f t="shared" si="51"/>
        <v>0</v>
      </c>
      <c r="AR25" s="299">
        <f t="shared" si="52"/>
        <v>0</v>
      </c>
      <c r="AS25" s="299">
        <f t="shared" si="53"/>
        <v>0</v>
      </c>
      <c r="AT25" s="299">
        <f t="shared" si="54"/>
        <v>0</v>
      </c>
      <c r="AU25" s="299">
        <f t="shared" si="55"/>
        <v>0</v>
      </c>
      <c r="AV25" s="299">
        <f t="shared" si="56"/>
        <v>0</v>
      </c>
      <c r="AW25" s="299">
        <f t="shared" si="57"/>
        <v>0</v>
      </c>
      <c r="AX25" s="299">
        <f t="shared" si="58"/>
        <v>0</v>
      </c>
      <c r="AY25" s="299">
        <f t="shared" si="18"/>
        <v>0</v>
      </c>
      <c r="AZ25" s="299">
        <f t="shared" si="59"/>
        <v>0</v>
      </c>
      <c r="BC25" s="299">
        <f t="shared" si="60"/>
        <v>0</v>
      </c>
      <c r="BD25" s="299">
        <f>(AO25*Pricing!F$2+AP25*Pricing!G$2+AQ25*Pricing!H$2+AR25*Pricing!I$2+AS25*Pricing!J$2+AT25*Pricing!K$2+AI25*Pricing!F$2+AJ25*Pricing!G$2+AK25*Pricing!H$2+AL25*Pricing!I$2+AM25*Pricing!J$2+AN25*Pricing!K$2)*IF(U$46="N",(1+W$46),1)</f>
        <v>0</v>
      </c>
      <c r="BE25" s="511">
        <f t="shared" si="61"/>
        <v>0</v>
      </c>
      <c r="BF25" s="299">
        <f t="shared" si="62"/>
        <v>0</v>
      </c>
      <c r="BG25" s="299">
        <f t="shared" si="63"/>
        <v>0</v>
      </c>
      <c r="BH25" s="511" t="e">
        <f t="shared" si="64"/>
        <v>#DIV/0!</v>
      </c>
      <c r="BI25" s="299">
        <f t="shared" si="25"/>
        <v>0</v>
      </c>
      <c r="BK25" s="299">
        <f t="shared" si="31"/>
        <v>0</v>
      </c>
      <c r="BL25" s="299">
        <f>(AI25*Pricing!F$2+AJ25*Pricing!G$2+AK25*Pricing!H$2+AL25*Pricing!I$2+AM25*Pricing!J$2+AN25*Pricing!K$2)*IF(U$46="N",(1+W$46),1)</f>
        <v>0</v>
      </c>
      <c r="BM25" s="299">
        <f t="shared" si="65"/>
        <v>0</v>
      </c>
      <c r="BN25" s="299" t="e">
        <f t="shared" si="66"/>
        <v>#DIV/0!</v>
      </c>
      <c r="BO25" s="299">
        <f t="shared" si="67"/>
        <v>0</v>
      </c>
    </row>
    <row r="26" spans="2:67" s="299" customFormat="1" ht="18" customHeight="1" x14ac:dyDescent="0.35">
      <c r="B26" s="1979"/>
      <c r="C26" s="1980"/>
      <c r="D26" s="139"/>
      <c r="E26" s="456">
        <v>1</v>
      </c>
      <c r="F26" s="872"/>
      <c r="G26" s="176">
        <v>12</v>
      </c>
      <c r="H26" s="1775"/>
      <c r="I26" s="125"/>
      <c r="J26" s="176"/>
      <c r="K26" s="126"/>
      <c r="L26" s="125"/>
      <c r="M26" s="176"/>
      <c r="N26" s="176"/>
      <c r="O26" s="234"/>
      <c r="P26" s="176"/>
      <c r="Q26" s="176"/>
      <c r="R26" s="176"/>
      <c r="S26" s="185"/>
      <c r="T26" s="874"/>
      <c r="U26" s="106"/>
      <c r="V26" s="140"/>
      <c r="W26" s="863">
        <f t="shared" si="0"/>
        <v>0</v>
      </c>
      <c r="X26" s="865">
        <f t="shared" si="1"/>
        <v>0</v>
      </c>
      <c r="Y26" s="1795" t="e">
        <f t="shared" si="29"/>
        <v>#DIV/0!</v>
      </c>
      <c r="Z26" s="1796" t="e">
        <f>BN26*(1+M$47+Summary!P$58)</f>
        <v>#DIV/0!</v>
      </c>
      <c r="AA26" s="1795" t="e">
        <f t="shared" si="30"/>
        <v>#DIV/0!</v>
      </c>
      <c r="AB26" s="1796">
        <f>(BL26+BK26)*(1+M$47+Summary!P$58)</f>
        <v>0</v>
      </c>
      <c r="AI26" s="299">
        <f t="shared" si="2"/>
        <v>0</v>
      </c>
      <c r="AJ26" s="299">
        <f t="shared" si="3"/>
        <v>0</v>
      </c>
      <c r="AK26" s="299">
        <f t="shared" si="4"/>
        <v>0</v>
      </c>
      <c r="AL26" s="299">
        <f t="shared" si="5"/>
        <v>0</v>
      </c>
      <c r="AM26" s="299">
        <f t="shared" si="6"/>
        <v>0</v>
      </c>
      <c r="AN26" s="299">
        <f t="shared" si="7"/>
        <v>0</v>
      </c>
      <c r="AO26" s="299">
        <f t="shared" si="8"/>
        <v>0</v>
      </c>
      <c r="AP26" s="299">
        <f t="shared" si="50"/>
        <v>0</v>
      </c>
      <c r="AQ26" s="299">
        <f t="shared" si="51"/>
        <v>0</v>
      </c>
      <c r="AR26" s="299">
        <f t="shared" si="52"/>
        <v>0</v>
      </c>
      <c r="AS26" s="299">
        <f t="shared" si="53"/>
        <v>0</v>
      </c>
      <c r="AT26" s="299">
        <f t="shared" si="54"/>
        <v>0</v>
      </c>
      <c r="AU26" s="299">
        <f t="shared" si="55"/>
        <v>0</v>
      </c>
      <c r="AV26" s="299">
        <f t="shared" si="56"/>
        <v>0</v>
      </c>
      <c r="AW26" s="299">
        <f t="shared" si="57"/>
        <v>0</v>
      </c>
      <c r="AX26" s="299">
        <f t="shared" si="58"/>
        <v>0</v>
      </c>
      <c r="AY26" s="299">
        <f t="shared" si="18"/>
        <v>0</v>
      </c>
      <c r="AZ26" s="299">
        <f t="shared" si="59"/>
        <v>0</v>
      </c>
      <c r="BC26" s="299">
        <f t="shared" si="60"/>
        <v>0</v>
      </c>
      <c r="BD26" s="299">
        <f>(AO26*Pricing!F$2+AP26*Pricing!G$2+AQ26*Pricing!H$2+AR26*Pricing!I$2+AS26*Pricing!J$2+AT26*Pricing!K$2+AI26*Pricing!F$2+AJ26*Pricing!G$2+AK26*Pricing!H$2+AL26*Pricing!I$2+AM26*Pricing!J$2+AN26*Pricing!K$2)*IF(U$46="N",(1+W$46),1)</f>
        <v>0</v>
      </c>
      <c r="BE26" s="511">
        <f t="shared" si="61"/>
        <v>0</v>
      </c>
      <c r="BF26" s="299">
        <f t="shared" si="62"/>
        <v>0</v>
      </c>
      <c r="BG26" s="299">
        <f t="shared" si="63"/>
        <v>0</v>
      </c>
      <c r="BH26" s="511" t="e">
        <f t="shared" si="64"/>
        <v>#DIV/0!</v>
      </c>
      <c r="BI26" s="299">
        <f t="shared" si="25"/>
        <v>0</v>
      </c>
      <c r="BK26" s="299">
        <f t="shared" si="31"/>
        <v>0</v>
      </c>
      <c r="BL26" s="299">
        <f>(AI26*Pricing!F$2+AJ26*Pricing!G$2+AK26*Pricing!H$2+AL26*Pricing!I$2+AM26*Pricing!J$2+AN26*Pricing!K$2)*IF(U$46="N",(1+W$46),1)</f>
        <v>0</v>
      </c>
      <c r="BM26" s="299">
        <f t="shared" si="65"/>
        <v>0</v>
      </c>
      <c r="BN26" s="299" t="e">
        <f t="shared" si="66"/>
        <v>#DIV/0!</v>
      </c>
      <c r="BO26" s="299">
        <f t="shared" si="67"/>
        <v>0</v>
      </c>
    </row>
    <row r="27" spans="2:67" s="299" customFormat="1" ht="18" customHeight="1" x14ac:dyDescent="0.35">
      <c r="B27" s="1979"/>
      <c r="C27" s="1980"/>
      <c r="D27" s="139"/>
      <c r="E27" s="456">
        <v>1</v>
      </c>
      <c r="F27" s="872"/>
      <c r="G27" s="176">
        <v>12</v>
      </c>
      <c r="H27" s="1775"/>
      <c r="I27" s="125"/>
      <c r="J27" s="176"/>
      <c r="K27" s="126"/>
      <c r="L27" s="125"/>
      <c r="M27" s="176"/>
      <c r="N27" s="176"/>
      <c r="O27" s="234"/>
      <c r="P27" s="176"/>
      <c r="Q27" s="176"/>
      <c r="R27" s="176"/>
      <c r="S27" s="185"/>
      <c r="T27" s="874"/>
      <c r="U27" s="106"/>
      <c r="V27" s="140"/>
      <c r="W27" s="863">
        <f t="shared" si="0"/>
        <v>0</v>
      </c>
      <c r="X27" s="865">
        <f t="shared" si="1"/>
        <v>0</v>
      </c>
      <c r="Y27" s="1795" t="e">
        <f t="shared" si="29"/>
        <v>#DIV/0!</v>
      </c>
      <c r="Z27" s="1796" t="e">
        <f>BN27*(1+M$47+Summary!P$58)</f>
        <v>#DIV/0!</v>
      </c>
      <c r="AA27" s="1795" t="e">
        <f t="shared" si="30"/>
        <v>#DIV/0!</v>
      </c>
      <c r="AB27" s="1796">
        <f>(BL27+BK27)*(1+M$47+Summary!P$58)</f>
        <v>0</v>
      </c>
      <c r="AI27" s="299">
        <f t="shared" si="2"/>
        <v>0</v>
      </c>
      <c r="AJ27" s="299">
        <f t="shared" si="3"/>
        <v>0</v>
      </c>
      <c r="AK27" s="299">
        <f t="shared" si="4"/>
        <v>0</v>
      </c>
      <c r="AL27" s="299">
        <f t="shared" si="5"/>
        <v>0</v>
      </c>
      <c r="AM27" s="299">
        <f t="shared" si="6"/>
        <v>0</v>
      </c>
      <c r="AN27" s="299">
        <f t="shared" si="7"/>
        <v>0</v>
      </c>
      <c r="AO27" s="299">
        <f t="shared" si="8"/>
        <v>0</v>
      </c>
      <c r="AP27" s="299">
        <f t="shared" si="50"/>
        <v>0</v>
      </c>
      <c r="AQ27" s="299">
        <f t="shared" si="51"/>
        <v>0</v>
      </c>
      <c r="AR27" s="299">
        <f t="shared" si="52"/>
        <v>0</v>
      </c>
      <c r="AS27" s="299">
        <f t="shared" si="53"/>
        <v>0</v>
      </c>
      <c r="AT27" s="299">
        <f t="shared" si="54"/>
        <v>0</v>
      </c>
      <c r="AU27" s="299">
        <f t="shared" si="55"/>
        <v>0</v>
      </c>
      <c r="AV27" s="299">
        <f t="shared" si="56"/>
        <v>0</v>
      </c>
      <c r="AW27" s="299">
        <f t="shared" si="57"/>
        <v>0</v>
      </c>
      <c r="AX27" s="299">
        <f t="shared" si="58"/>
        <v>0</v>
      </c>
      <c r="AY27" s="299">
        <f t="shared" si="18"/>
        <v>0</v>
      </c>
      <c r="AZ27" s="299">
        <f t="shared" si="59"/>
        <v>0</v>
      </c>
      <c r="BC27" s="299">
        <f t="shared" si="60"/>
        <v>0</v>
      </c>
      <c r="BD27" s="299">
        <f>(AO27*Pricing!F$2+AP27*Pricing!G$2+AQ27*Pricing!H$2+AR27*Pricing!I$2+AS27*Pricing!J$2+AT27*Pricing!K$2+AI27*Pricing!F$2+AJ27*Pricing!G$2+AK27*Pricing!H$2+AL27*Pricing!I$2+AM27*Pricing!J$2+AN27*Pricing!K$2)*IF(U$46="N",(1+W$46),1)</f>
        <v>0</v>
      </c>
      <c r="BE27" s="511">
        <f t="shared" si="61"/>
        <v>0</v>
      </c>
      <c r="BF27" s="299">
        <f t="shared" si="62"/>
        <v>0</v>
      </c>
      <c r="BG27" s="299">
        <f t="shared" si="63"/>
        <v>0</v>
      </c>
      <c r="BH27" s="511" t="e">
        <f t="shared" si="64"/>
        <v>#DIV/0!</v>
      </c>
      <c r="BI27" s="299">
        <f t="shared" si="25"/>
        <v>0</v>
      </c>
      <c r="BK27" s="299">
        <f t="shared" si="31"/>
        <v>0</v>
      </c>
      <c r="BL27" s="299">
        <f>(AI27*Pricing!F$2+AJ27*Pricing!G$2+AK27*Pricing!H$2+AL27*Pricing!I$2+AM27*Pricing!J$2+AN27*Pricing!K$2)*IF(U$46="N",(1+W$46),1)</f>
        <v>0</v>
      </c>
      <c r="BM27" s="299">
        <f t="shared" si="65"/>
        <v>0</v>
      </c>
      <c r="BN27" s="299" t="e">
        <f t="shared" si="66"/>
        <v>#DIV/0!</v>
      </c>
      <c r="BO27" s="299">
        <f t="shared" si="67"/>
        <v>0</v>
      </c>
    </row>
    <row r="28" spans="2:67" s="299" customFormat="1" ht="18" customHeight="1" x14ac:dyDescent="0.35">
      <c r="B28" s="1979"/>
      <c r="C28" s="1980"/>
      <c r="D28" s="139"/>
      <c r="E28" s="456">
        <v>1</v>
      </c>
      <c r="F28" s="872"/>
      <c r="G28" s="176">
        <v>12</v>
      </c>
      <c r="H28" s="1775"/>
      <c r="I28" s="125"/>
      <c r="J28" s="176"/>
      <c r="K28" s="126"/>
      <c r="L28" s="125"/>
      <c r="M28" s="176"/>
      <c r="N28" s="176"/>
      <c r="O28" s="234"/>
      <c r="P28" s="176"/>
      <c r="Q28" s="176"/>
      <c r="R28" s="176"/>
      <c r="S28" s="185"/>
      <c r="T28" s="874"/>
      <c r="U28" s="106"/>
      <c r="V28" s="140"/>
      <c r="W28" s="863">
        <f t="shared" si="0"/>
        <v>0</v>
      </c>
      <c r="X28" s="865">
        <f t="shared" si="1"/>
        <v>0</v>
      </c>
      <c r="Y28" s="1795" t="e">
        <f t="shared" si="29"/>
        <v>#DIV/0!</v>
      </c>
      <c r="Z28" s="1796" t="e">
        <f>BN28*(1+M$47+Summary!P$58)</f>
        <v>#DIV/0!</v>
      </c>
      <c r="AA28" s="1795" t="e">
        <f t="shared" si="30"/>
        <v>#DIV/0!</v>
      </c>
      <c r="AB28" s="1796">
        <f>(BL28+BK28)*(1+M$47+Summary!P$58)</f>
        <v>0</v>
      </c>
      <c r="AI28" s="299">
        <f t="shared" si="2"/>
        <v>0</v>
      </c>
      <c r="AJ28" s="299">
        <f t="shared" si="3"/>
        <v>0</v>
      </c>
      <c r="AK28" s="299">
        <f t="shared" si="4"/>
        <v>0</v>
      </c>
      <c r="AL28" s="299">
        <f t="shared" si="5"/>
        <v>0</v>
      </c>
      <c r="AM28" s="299">
        <f t="shared" si="6"/>
        <v>0</v>
      </c>
      <c r="AN28" s="299">
        <f t="shared" si="7"/>
        <v>0</v>
      </c>
      <c r="AO28" s="299">
        <f t="shared" si="8"/>
        <v>0</v>
      </c>
      <c r="AP28" s="299">
        <f t="shared" si="50"/>
        <v>0</v>
      </c>
      <c r="AQ28" s="299">
        <f t="shared" si="51"/>
        <v>0</v>
      </c>
      <c r="AR28" s="299">
        <f t="shared" si="52"/>
        <v>0</v>
      </c>
      <c r="AS28" s="299">
        <f t="shared" si="53"/>
        <v>0</v>
      </c>
      <c r="AT28" s="299">
        <f t="shared" si="54"/>
        <v>0</v>
      </c>
      <c r="AU28" s="299">
        <f t="shared" si="55"/>
        <v>0</v>
      </c>
      <c r="AV28" s="299">
        <f t="shared" si="56"/>
        <v>0</v>
      </c>
      <c r="AW28" s="299">
        <f t="shared" si="57"/>
        <v>0</v>
      </c>
      <c r="AX28" s="299">
        <f t="shared" si="58"/>
        <v>0</v>
      </c>
      <c r="AY28" s="299">
        <f t="shared" si="18"/>
        <v>0</v>
      </c>
      <c r="AZ28" s="299">
        <f t="shared" si="59"/>
        <v>0</v>
      </c>
      <c r="BC28" s="299">
        <f t="shared" si="60"/>
        <v>0</v>
      </c>
      <c r="BD28" s="299">
        <f>(AO28*Pricing!F$2+AP28*Pricing!G$2+AQ28*Pricing!H$2+AR28*Pricing!I$2+AS28*Pricing!J$2+AT28*Pricing!K$2+AI28*Pricing!F$2+AJ28*Pricing!G$2+AK28*Pricing!H$2+AL28*Pricing!I$2+AM28*Pricing!J$2+AN28*Pricing!K$2)*IF(U$46="N",(1+W$46),1)</f>
        <v>0</v>
      </c>
      <c r="BE28" s="511">
        <f t="shared" si="61"/>
        <v>0</v>
      </c>
      <c r="BF28" s="299">
        <f t="shared" si="62"/>
        <v>0</v>
      </c>
      <c r="BG28" s="299">
        <f t="shared" si="63"/>
        <v>0</v>
      </c>
      <c r="BH28" s="511" t="e">
        <f t="shared" si="64"/>
        <v>#DIV/0!</v>
      </c>
      <c r="BI28" s="299">
        <f t="shared" si="25"/>
        <v>0</v>
      </c>
      <c r="BK28" s="299">
        <f t="shared" si="31"/>
        <v>0</v>
      </c>
      <c r="BL28" s="299">
        <f>(AI28*Pricing!F$2+AJ28*Pricing!G$2+AK28*Pricing!H$2+AL28*Pricing!I$2+AM28*Pricing!J$2+AN28*Pricing!K$2)*IF(U$46="N",(1+W$46),1)</f>
        <v>0</v>
      </c>
      <c r="BM28" s="299">
        <f t="shared" si="65"/>
        <v>0</v>
      </c>
      <c r="BN28" s="299" t="e">
        <f t="shared" si="66"/>
        <v>#DIV/0!</v>
      </c>
      <c r="BO28" s="299">
        <f t="shared" si="67"/>
        <v>0</v>
      </c>
    </row>
    <row r="29" spans="2:67" s="299" customFormat="1" ht="18" customHeight="1" x14ac:dyDescent="0.35">
      <c r="B29" s="1979"/>
      <c r="C29" s="1980"/>
      <c r="D29" s="139"/>
      <c r="E29" s="456">
        <v>1</v>
      </c>
      <c r="F29" s="872"/>
      <c r="G29" s="176">
        <v>12</v>
      </c>
      <c r="H29" s="1775"/>
      <c r="I29" s="125"/>
      <c r="J29" s="176"/>
      <c r="K29" s="126"/>
      <c r="L29" s="125"/>
      <c r="M29" s="176"/>
      <c r="N29" s="176"/>
      <c r="O29" s="234"/>
      <c r="P29" s="176"/>
      <c r="Q29" s="176"/>
      <c r="R29" s="176"/>
      <c r="S29" s="185"/>
      <c r="T29" s="874"/>
      <c r="U29" s="106"/>
      <c r="V29" s="140"/>
      <c r="W29" s="863">
        <f t="shared" si="0"/>
        <v>0</v>
      </c>
      <c r="X29" s="865">
        <f t="shared" si="1"/>
        <v>0</v>
      </c>
      <c r="Y29" s="1795" t="e">
        <f t="shared" si="29"/>
        <v>#DIV/0!</v>
      </c>
      <c r="Z29" s="1796" t="e">
        <f>BN29*(1+M$47+Summary!P$58)</f>
        <v>#DIV/0!</v>
      </c>
      <c r="AA29" s="1795" t="e">
        <f t="shared" si="30"/>
        <v>#DIV/0!</v>
      </c>
      <c r="AB29" s="1796">
        <f>(BL29+BK29)*(1+M$47+Summary!P$58)</f>
        <v>0</v>
      </c>
      <c r="AI29" s="299">
        <f t="shared" si="2"/>
        <v>0</v>
      </c>
      <c r="AJ29" s="299">
        <f t="shared" si="3"/>
        <v>0</v>
      </c>
      <c r="AK29" s="299">
        <f t="shared" si="4"/>
        <v>0</v>
      </c>
      <c r="AL29" s="299">
        <f t="shared" si="5"/>
        <v>0</v>
      </c>
      <c r="AM29" s="299">
        <f t="shared" si="6"/>
        <v>0</v>
      </c>
      <c r="AN29" s="299">
        <f t="shared" si="7"/>
        <v>0</v>
      </c>
      <c r="AO29" s="299">
        <f t="shared" si="8"/>
        <v>0</v>
      </c>
      <c r="AP29" s="299">
        <f t="shared" si="50"/>
        <v>0</v>
      </c>
      <c r="AQ29" s="299">
        <f t="shared" si="51"/>
        <v>0</v>
      </c>
      <c r="AR29" s="299">
        <f t="shared" si="52"/>
        <v>0</v>
      </c>
      <c r="AS29" s="299">
        <f t="shared" si="53"/>
        <v>0</v>
      </c>
      <c r="AT29" s="299">
        <f t="shared" si="54"/>
        <v>0</v>
      </c>
      <c r="AU29" s="299">
        <f t="shared" si="55"/>
        <v>0</v>
      </c>
      <c r="AV29" s="299">
        <f t="shared" si="56"/>
        <v>0</v>
      </c>
      <c r="AW29" s="299">
        <f t="shared" si="57"/>
        <v>0</v>
      </c>
      <c r="AX29" s="299">
        <f t="shared" si="58"/>
        <v>0</v>
      </c>
      <c r="AY29" s="299">
        <f t="shared" si="18"/>
        <v>0</v>
      </c>
      <c r="AZ29" s="299">
        <f t="shared" si="59"/>
        <v>0</v>
      </c>
      <c r="BC29" s="299">
        <f t="shared" si="60"/>
        <v>0</v>
      </c>
      <c r="BD29" s="299">
        <f>(AO29*Pricing!F$2+AP29*Pricing!G$2+AQ29*Pricing!H$2+AR29*Pricing!I$2+AS29*Pricing!J$2+AT29*Pricing!K$2+AI29*Pricing!F$2+AJ29*Pricing!G$2+AK29*Pricing!H$2+AL29*Pricing!I$2+AM29*Pricing!J$2+AN29*Pricing!K$2)*IF(U$46="N",(1+W$46),1)</f>
        <v>0</v>
      </c>
      <c r="BE29" s="511">
        <f t="shared" si="61"/>
        <v>0</v>
      </c>
      <c r="BF29" s="299">
        <f t="shared" si="62"/>
        <v>0</v>
      </c>
      <c r="BG29" s="299">
        <f t="shared" si="63"/>
        <v>0</v>
      </c>
      <c r="BH29" s="511" t="e">
        <f t="shared" si="64"/>
        <v>#DIV/0!</v>
      </c>
      <c r="BI29" s="299">
        <f t="shared" si="25"/>
        <v>0</v>
      </c>
      <c r="BK29" s="299">
        <f t="shared" si="31"/>
        <v>0</v>
      </c>
      <c r="BL29" s="299">
        <f>(AI29*Pricing!F$2+AJ29*Pricing!G$2+AK29*Pricing!H$2+AL29*Pricing!I$2+AM29*Pricing!J$2+AN29*Pricing!K$2)*IF(U$46="N",(1+W$46),1)</f>
        <v>0</v>
      </c>
      <c r="BM29" s="299">
        <f t="shared" si="65"/>
        <v>0</v>
      </c>
      <c r="BN29" s="299" t="e">
        <f t="shared" si="66"/>
        <v>#DIV/0!</v>
      </c>
      <c r="BO29" s="299">
        <f t="shared" si="67"/>
        <v>0</v>
      </c>
    </row>
    <row r="30" spans="2:67" s="299" customFormat="1" ht="18" customHeight="1" x14ac:dyDescent="0.35">
      <c r="B30" s="1979"/>
      <c r="C30" s="1980"/>
      <c r="D30" s="139"/>
      <c r="E30" s="456">
        <v>1</v>
      </c>
      <c r="F30" s="872"/>
      <c r="G30" s="176">
        <v>12</v>
      </c>
      <c r="H30" s="1775"/>
      <c r="I30" s="125"/>
      <c r="J30" s="176"/>
      <c r="K30" s="126"/>
      <c r="L30" s="125"/>
      <c r="M30" s="176"/>
      <c r="N30" s="176"/>
      <c r="O30" s="234"/>
      <c r="P30" s="176"/>
      <c r="Q30" s="176"/>
      <c r="R30" s="176"/>
      <c r="S30" s="185"/>
      <c r="T30" s="874"/>
      <c r="U30" s="106"/>
      <c r="V30" s="140"/>
      <c r="W30" s="863">
        <f t="shared" si="0"/>
        <v>0</v>
      </c>
      <c r="X30" s="865">
        <f t="shared" si="1"/>
        <v>0</v>
      </c>
      <c r="Y30" s="1795" t="e">
        <f t="shared" si="29"/>
        <v>#DIV/0!</v>
      </c>
      <c r="Z30" s="1796" t="e">
        <f>BN30*(1+M$47+Summary!P$58)</f>
        <v>#DIV/0!</v>
      </c>
      <c r="AA30" s="1795" t="e">
        <f t="shared" si="30"/>
        <v>#DIV/0!</v>
      </c>
      <c r="AB30" s="1796">
        <f>(BL30+BK30)*(1+M$47+Summary!P$58)</f>
        <v>0</v>
      </c>
      <c r="AI30" s="299">
        <f t="shared" si="2"/>
        <v>0</v>
      </c>
      <c r="AJ30" s="299">
        <f t="shared" si="3"/>
        <v>0</v>
      </c>
      <c r="AK30" s="299">
        <f t="shared" si="4"/>
        <v>0</v>
      </c>
      <c r="AL30" s="299">
        <f t="shared" si="5"/>
        <v>0</v>
      </c>
      <c r="AM30" s="299">
        <f t="shared" si="6"/>
        <v>0</v>
      </c>
      <c r="AN30" s="299">
        <f t="shared" si="7"/>
        <v>0</v>
      </c>
      <c r="AO30" s="299">
        <f t="shared" si="8"/>
        <v>0</v>
      </c>
      <c r="AP30" s="299">
        <f t="shared" si="50"/>
        <v>0</v>
      </c>
      <c r="AQ30" s="299">
        <f t="shared" si="51"/>
        <v>0</v>
      </c>
      <c r="AR30" s="299">
        <f t="shared" si="52"/>
        <v>0</v>
      </c>
      <c r="AS30" s="299">
        <f t="shared" si="53"/>
        <v>0</v>
      </c>
      <c r="AT30" s="299">
        <f t="shared" si="54"/>
        <v>0</v>
      </c>
      <c r="AU30" s="299">
        <f t="shared" si="55"/>
        <v>0</v>
      </c>
      <c r="AV30" s="299">
        <f t="shared" si="56"/>
        <v>0</v>
      </c>
      <c r="AW30" s="299">
        <f t="shared" si="57"/>
        <v>0</v>
      </c>
      <c r="AX30" s="299">
        <f t="shared" si="58"/>
        <v>0</v>
      </c>
      <c r="AY30" s="299">
        <f t="shared" si="18"/>
        <v>0</v>
      </c>
      <c r="AZ30" s="299">
        <f t="shared" si="59"/>
        <v>0</v>
      </c>
      <c r="BC30" s="299">
        <f t="shared" si="60"/>
        <v>0</v>
      </c>
      <c r="BD30" s="299">
        <f>(AO30*Pricing!F$2+AP30*Pricing!G$2+AQ30*Pricing!H$2+AR30*Pricing!I$2+AS30*Pricing!J$2+AT30*Pricing!K$2+AI30*Pricing!F$2+AJ30*Pricing!G$2+AK30*Pricing!H$2+AL30*Pricing!I$2+AM30*Pricing!J$2+AN30*Pricing!K$2)*IF(U$46="N",(1+W$46),1)</f>
        <v>0</v>
      </c>
      <c r="BE30" s="511">
        <f t="shared" si="61"/>
        <v>0</v>
      </c>
      <c r="BF30" s="299">
        <f t="shared" si="62"/>
        <v>0</v>
      </c>
      <c r="BG30" s="299">
        <f t="shared" si="63"/>
        <v>0</v>
      </c>
      <c r="BH30" s="511" t="e">
        <f t="shared" si="64"/>
        <v>#DIV/0!</v>
      </c>
      <c r="BI30" s="299">
        <f t="shared" si="25"/>
        <v>0</v>
      </c>
      <c r="BK30" s="299">
        <f t="shared" si="31"/>
        <v>0</v>
      </c>
      <c r="BL30" s="299">
        <f>(AI30*Pricing!F$2+AJ30*Pricing!G$2+AK30*Pricing!H$2+AL30*Pricing!I$2+AM30*Pricing!J$2+AN30*Pricing!K$2)*IF(U$46="N",(1+W$46),1)</f>
        <v>0</v>
      </c>
      <c r="BM30" s="299">
        <f t="shared" si="65"/>
        <v>0</v>
      </c>
      <c r="BN30" s="299" t="e">
        <f t="shared" si="66"/>
        <v>#DIV/0!</v>
      </c>
      <c r="BO30" s="299">
        <f t="shared" si="67"/>
        <v>0</v>
      </c>
    </row>
    <row r="31" spans="2:67" s="299" customFormat="1" ht="18" customHeight="1" x14ac:dyDescent="0.35">
      <c r="B31" s="1979"/>
      <c r="C31" s="1980"/>
      <c r="D31" s="139"/>
      <c r="E31" s="456">
        <v>1</v>
      </c>
      <c r="F31" s="872"/>
      <c r="G31" s="176">
        <v>12</v>
      </c>
      <c r="H31" s="1775"/>
      <c r="I31" s="125"/>
      <c r="J31" s="176"/>
      <c r="K31" s="126"/>
      <c r="L31" s="125"/>
      <c r="M31" s="176"/>
      <c r="N31" s="176"/>
      <c r="O31" s="234"/>
      <c r="P31" s="176"/>
      <c r="Q31" s="176"/>
      <c r="R31" s="176"/>
      <c r="S31" s="185"/>
      <c r="T31" s="874"/>
      <c r="U31" s="106"/>
      <c r="V31" s="140"/>
      <c r="W31" s="863">
        <f t="shared" si="0"/>
        <v>0</v>
      </c>
      <c r="X31" s="865">
        <f t="shared" si="1"/>
        <v>0</v>
      </c>
      <c r="Y31" s="1795" t="e">
        <f t="shared" si="29"/>
        <v>#DIV/0!</v>
      </c>
      <c r="Z31" s="1796" t="e">
        <f>BN31*(1+M$47+Summary!P$58)</f>
        <v>#DIV/0!</v>
      </c>
      <c r="AA31" s="1795" t="e">
        <f t="shared" si="30"/>
        <v>#DIV/0!</v>
      </c>
      <c r="AB31" s="1796">
        <f>(BL31+BK31)*(1+M$47+Summary!P$58)</f>
        <v>0</v>
      </c>
      <c r="AI31" s="299">
        <f t="shared" si="2"/>
        <v>0</v>
      </c>
      <c r="AJ31" s="299">
        <f t="shared" si="3"/>
        <v>0</v>
      </c>
      <c r="AK31" s="299">
        <f t="shared" si="4"/>
        <v>0</v>
      </c>
      <c r="AL31" s="299">
        <f t="shared" si="5"/>
        <v>0</v>
      </c>
      <c r="AM31" s="299">
        <f t="shared" si="6"/>
        <v>0</v>
      </c>
      <c r="AN31" s="299">
        <f t="shared" si="7"/>
        <v>0</v>
      </c>
      <c r="AO31" s="299">
        <f t="shared" si="8"/>
        <v>0</v>
      </c>
      <c r="AP31" s="299">
        <f t="shared" si="50"/>
        <v>0</v>
      </c>
      <c r="AQ31" s="299">
        <f t="shared" si="51"/>
        <v>0</v>
      </c>
      <c r="AR31" s="299">
        <f t="shared" si="52"/>
        <v>0</v>
      </c>
      <c r="AS31" s="299">
        <f t="shared" si="53"/>
        <v>0</v>
      </c>
      <c r="AT31" s="299">
        <f t="shared" si="54"/>
        <v>0</v>
      </c>
      <c r="AU31" s="299">
        <f t="shared" si="55"/>
        <v>0</v>
      </c>
      <c r="AV31" s="299">
        <f t="shared" si="56"/>
        <v>0</v>
      </c>
      <c r="AW31" s="299">
        <f t="shared" si="57"/>
        <v>0</v>
      </c>
      <c r="AX31" s="299">
        <f t="shared" si="58"/>
        <v>0</v>
      </c>
      <c r="AY31" s="299">
        <f t="shared" si="18"/>
        <v>0</v>
      </c>
      <c r="AZ31" s="299">
        <f t="shared" si="59"/>
        <v>0</v>
      </c>
      <c r="BC31" s="299">
        <f t="shared" si="60"/>
        <v>0</v>
      </c>
      <c r="BD31" s="299">
        <f>(AO31*Pricing!F$2+AP31*Pricing!G$2+AQ31*Pricing!H$2+AR31*Pricing!I$2+AS31*Pricing!J$2+AT31*Pricing!K$2+AI31*Pricing!F$2+AJ31*Pricing!G$2+AK31*Pricing!H$2+AL31*Pricing!I$2+AM31*Pricing!J$2+AN31*Pricing!K$2)*IF(U$46="N",(1+W$46),1)</f>
        <v>0</v>
      </c>
      <c r="BE31" s="511">
        <f t="shared" si="61"/>
        <v>0</v>
      </c>
      <c r="BF31" s="299">
        <f t="shared" si="62"/>
        <v>0</v>
      </c>
      <c r="BG31" s="299">
        <f t="shared" si="63"/>
        <v>0</v>
      </c>
      <c r="BH31" s="511" t="e">
        <f t="shared" si="64"/>
        <v>#DIV/0!</v>
      </c>
      <c r="BI31" s="299">
        <f t="shared" si="25"/>
        <v>0</v>
      </c>
      <c r="BK31" s="299">
        <f t="shared" si="31"/>
        <v>0</v>
      </c>
      <c r="BL31" s="299">
        <f>(AI31*Pricing!F$2+AJ31*Pricing!G$2+AK31*Pricing!H$2+AL31*Pricing!I$2+AM31*Pricing!J$2+AN31*Pricing!K$2)*IF(U$46="N",(1+W$46),1)</f>
        <v>0</v>
      </c>
      <c r="BM31" s="299">
        <f t="shared" si="65"/>
        <v>0</v>
      </c>
      <c r="BN31" s="299" t="e">
        <f t="shared" si="66"/>
        <v>#DIV/0!</v>
      </c>
      <c r="BO31" s="299">
        <f t="shared" si="67"/>
        <v>0</v>
      </c>
    </row>
    <row r="32" spans="2:67" s="299" customFormat="1" ht="18" customHeight="1" x14ac:dyDescent="0.35">
      <c r="B32" s="1979"/>
      <c r="C32" s="1980"/>
      <c r="D32" s="139"/>
      <c r="E32" s="456">
        <v>1</v>
      </c>
      <c r="F32" s="872"/>
      <c r="G32" s="176">
        <v>12</v>
      </c>
      <c r="H32" s="1775"/>
      <c r="I32" s="125"/>
      <c r="J32" s="176"/>
      <c r="K32" s="126"/>
      <c r="L32" s="125"/>
      <c r="M32" s="176"/>
      <c r="N32" s="176"/>
      <c r="O32" s="234"/>
      <c r="P32" s="176"/>
      <c r="Q32" s="176"/>
      <c r="R32" s="176"/>
      <c r="S32" s="185"/>
      <c r="T32" s="874"/>
      <c r="U32" s="106"/>
      <c r="V32" s="140"/>
      <c r="W32" s="863">
        <f t="shared" si="0"/>
        <v>0</v>
      </c>
      <c r="X32" s="865">
        <f t="shared" si="1"/>
        <v>0</v>
      </c>
      <c r="Y32" s="1795" t="e">
        <f t="shared" si="29"/>
        <v>#DIV/0!</v>
      </c>
      <c r="Z32" s="1796" t="e">
        <f>BN32*(1+M$47+Summary!P$58)</f>
        <v>#DIV/0!</v>
      </c>
      <c r="AA32" s="1795" t="e">
        <f t="shared" si="30"/>
        <v>#DIV/0!</v>
      </c>
      <c r="AB32" s="1796">
        <f>(BL32+BK32)*(1+M$47+Summary!P$58)</f>
        <v>0</v>
      </c>
      <c r="AI32" s="299">
        <f t="shared" si="2"/>
        <v>0</v>
      </c>
      <c r="AJ32" s="299">
        <f t="shared" si="3"/>
        <v>0</v>
      </c>
      <c r="AK32" s="299">
        <f t="shared" si="4"/>
        <v>0</v>
      </c>
      <c r="AL32" s="299">
        <f t="shared" si="5"/>
        <v>0</v>
      </c>
      <c r="AM32" s="299">
        <f t="shared" si="6"/>
        <v>0</v>
      </c>
      <c r="AN32" s="299">
        <f t="shared" si="7"/>
        <v>0</v>
      </c>
      <c r="AO32" s="299">
        <f t="shared" si="8"/>
        <v>0</v>
      </c>
      <c r="AP32" s="299">
        <f t="shared" si="50"/>
        <v>0</v>
      </c>
      <c r="AQ32" s="299">
        <f t="shared" si="51"/>
        <v>0</v>
      </c>
      <c r="AR32" s="299">
        <f t="shared" si="52"/>
        <v>0</v>
      </c>
      <c r="AS32" s="299">
        <f t="shared" si="53"/>
        <v>0</v>
      </c>
      <c r="AT32" s="299">
        <f t="shared" si="54"/>
        <v>0</v>
      </c>
      <c r="AU32" s="299">
        <f t="shared" si="55"/>
        <v>0</v>
      </c>
      <c r="AV32" s="299">
        <f t="shared" si="56"/>
        <v>0</v>
      </c>
      <c r="AW32" s="299">
        <f t="shared" si="57"/>
        <v>0</v>
      </c>
      <c r="AX32" s="299">
        <f t="shared" si="58"/>
        <v>0</v>
      </c>
      <c r="AY32" s="299">
        <f t="shared" si="18"/>
        <v>0</v>
      </c>
      <c r="AZ32" s="299">
        <f t="shared" si="59"/>
        <v>0</v>
      </c>
      <c r="BC32" s="299">
        <f t="shared" si="60"/>
        <v>0</v>
      </c>
      <c r="BD32" s="299">
        <f>(AO32*Pricing!F$2+AP32*Pricing!G$2+AQ32*Pricing!H$2+AR32*Pricing!I$2+AS32*Pricing!J$2+AT32*Pricing!K$2+AI32*Pricing!F$2+AJ32*Pricing!G$2+AK32*Pricing!H$2+AL32*Pricing!I$2+AM32*Pricing!J$2+AN32*Pricing!K$2)*IF(U$46="N",(1+W$46),1)</f>
        <v>0</v>
      </c>
      <c r="BE32" s="511">
        <f t="shared" si="61"/>
        <v>0</v>
      </c>
      <c r="BF32" s="299">
        <f t="shared" si="62"/>
        <v>0</v>
      </c>
      <c r="BG32" s="299">
        <f t="shared" si="63"/>
        <v>0</v>
      </c>
      <c r="BH32" s="511" t="e">
        <f t="shared" si="64"/>
        <v>#DIV/0!</v>
      </c>
      <c r="BI32" s="299">
        <f t="shared" si="25"/>
        <v>0</v>
      </c>
      <c r="BK32" s="299">
        <f t="shared" si="31"/>
        <v>0</v>
      </c>
      <c r="BL32" s="299">
        <f>(AI32*Pricing!F$2+AJ32*Pricing!G$2+AK32*Pricing!H$2+AL32*Pricing!I$2+AM32*Pricing!J$2+AN32*Pricing!K$2)*IF(U$46="N",(1+W$46),1)</f>
        <v>0</v>
      </c>
      <c r="BM32" s="299">
        <f t="shared" si="65"/>
        <v>0</v>
      </c>
      <c r="BN32" s="299" t="e">
        <f t="shared" si="66"/>
        <v>#DIV/0!</v>
      </c>
      <c r="BO32" s="299">
        <f t="shared" si="67"/>
        <v>0</v>
      </c>
    </row>
    <row r="33" spans="2:67" s="299" customFormat="1" ht="18" customHeight="1" x14ac:dyDescent="0.35">
      <c r="B33" s="1979"/>
      <c r="C33" s="1980"/>
      <c r="D33" s="139"/>
      <c r="E33" s="456">
        <v>1</v>
      </c>
      <c r="F33" s="872"/>
      <c r="G33" s="176">
        <v>12</v>
      </c>
      <c r="H33" s="1775"/>
      <c r="I33" s="125"/>
      <c r="J33" s="176"/>
      <c r="K33" s="126"/>
      <c r="L33" s="125"/>
      <c r="M33" s="176"/>
      <c r="N33" s="176"/>
      <c r="O33" s="234"/>
      <c r="P33" s="176"/>
      <c r="Q33" s="176"/>
      <c r="R33" s="176"/>
      <c r="S33" s="185"/>
      <c r="T33" s="874"/>
      <c r="U33" s="106"/>
      <c r="V33" s="140"/>
      <c r="W33" s="863">
        <f t="shared" si="0"/>
        <v>0</v>
      </c>
      <c r="X33" s="865">
        <f t="shared" si="1"/>
        <v>0</v>
      </c>
      <c r="Y33" s="1795" t="e">
        <f t="shared" si="29"/>
        <v>#DIV/0!</v>
      </c>
      <c r="Z33" s="1796" t="e">
        <f>BN33*(1+M$47+Summary!P$58)</f>
        <v>#DIV/0!</v>
      </c>
      <c r="AA33" s="1795" t="e">
        <f t="shared" si="30"/>
        <v>#DIV/0!</v>
      </c>
      <c r="AB33" s="1796">
        <f>(BL33+BK33)*(1+M$47+Summary!P$58)</f>
        <v>0</v>
      </c>
      <c r="AI33" s="299">
        <f t="shared" si="2"/>
        <v>0</v>
      </c>
      <c r="AJ33" s="299">
        <f t="shared" si="3"/>
        <v>0</v>
      </c>
      <c r="AK33" s="299">
        <f t="shared" si="4"/>
        <v>0</v>
      </c>
      <c r="AL33" s="299">
        <f t="shared" si="5"/>
        <v>0</v>
      </c>
      <c r="AM33" s="299">
        <f t="shared" si="6"/>
        <v>0</v>
      </c>
      <c r="AN33" s="299">
        <f t="shared" si="7"/>
        <v>0</v>
      </c>
      <c r="AO33" s="299">
        <f t="shared" si="8"/>
        <v>0</v>
      </c>
      <c r="AP33" s="299">
        <f t="shared" si="50"/>
        <v>0</v>
      </c>
      <c r="AQ33" s="299">
        <f t="shared" si="51"/>
        <v>0</v>
      </c>
      <c r="AR33" s="299">
        <f t="shared" si="52"/>
        <v>0</v>
      </c>
      <c r="AS33" s="299">
        <f t="shared" si="53"/>
        <v>0</v>
      </c>
      <c r="AT33" s="299">
        <f t="shared" si="54"/>
        <v>0</v>
      </c>
      <c r="AU33" s="299">
        <f t="shared" si="55"/>
        <v>0</v>
      </c>
      <c r="AV33" s="299">
        <f t="shared" si="56"/>
        <v>0</v>
      </c>
      <c r="AW33" s="299">
        <f t="shared" si="57"/>
        <v>0</v>
      </c>
      <c r="AX33" s="299">
        <f t="shared" si="58"/>
        <v>0</v>
      </c>
      <c r="AY33" s="299">
        <f t="shared" si="18"/>
        <v>0</v>
      </c>
      <c r="AZ33" s="299">
        <f t="shared" si="59"/>
        <v>0</v>
      </c>
      <c r="BC33" s="299">
        <f t="shared" si="60"/>
        <v>0</v>
      </c>
      <c r="BD33" s="299">
        <f>(AO33*Pricing!F$2+AP33*Pricing!G$2+AQ33*Pricing!H$2+AR33*Pricing!I$2+AS33*Pricing!J$2+AT33*Pricing!K$2+AI33*Pricing!F$2+AJ33*Pricing!G$2+AK33*Pricing!H$2+AL33*Pricing!I$2+AM33*Pricing!J$2+AN33*Pricing!K$2)*IF(U$46="N",(1+W$46),1)</f>
        <v>0</v>
      </c>
      <c r="BE33" s="511">
        <f t="shared" si="61"/>
        <v>0</v>
      </c>
      <c r="BF33" s="299">
        <f t="shared" si="62"/>
        <v>0</v>
      </c>
      <c r="BG33" s="299">
        <f t="shared" si="63"/>
        <v>0</v>
      </c>
      <c r="BH33" s="511" t="e">
        <f t="shared" si="64"/>
        <v>#DIV/0!</v>
      </c>
      <c r="BI33" s="299">
        <f t="shared" si="25"/>
        <v>0</v>
      </c>
      <c r="BK33" s="299">
        <f t="shared" si="31"/>
        <v>0</v>
      </c>
      <c r="BL33" s="299">
        <f>(AI33*Pricing!F$2+AJ33*Pricing!G$2+AK33*Pricing!H$2+AL33*Pricing!I$2+AM33*Pricing!J$2+AN33*Pricing!K$2)*IF(U$46="N",(1+W$46),1)</f>
        <v>0</v>
      </c>
      <c r="BM33" s="299">
        <f t="shared" si="65"/>
        <v>0</v>
      </c>
      <c r="BN33" s="299" t="e">
        <f t="shared" si="66"/>
        <v>#DIV/0!</v>
      </c>
      <c r="BO33" s="299">
        <f t="shared" si="67"/>
        <v>0</v>
      </c>
    </row>
    <row r="34" spans="2:67" s="299" customFormat="1" ht="18" customHeight="1" x14ac:dyDescent="0.35">
      <c r="B34" s="1979"/>
      <c r="C34" s="1980"/>
      <c r="D34" s="139"/>
      <c r="E34" s="456">
        <v>1</v>
      </c>
      <c r="F34" s="872"/>
      <c r="G34" s="176">
        <v>12</v>
      </c>
      <c r="H34" s="1775"/>
      <c r="I34" s="125"/>
      <c r="J34" s="176"/>
      <c r="K34" s="126"/>
      <c r="L34" s="125"/>
      <c r="M34" s="176"/>
      <c r="N34" s="176"/>
      <c r="O34" s="234"/>
      <c r="P34" s="176"/>
      <c r="Q34" s="176"/>
      <c r="R34" s="176"/>
      <c r="S34" s="185"/>
      <c r="T34" s="874"/>
      <c r="U34" s="106"/>
      <c r="V34" s="140"/>
      <c r="W34" s="863">
        <f t="shared" si="0"/>
        <v>0</v>
      </c>
      <c r="X34" s="865">
        <f t="shared" si="1"/>
        <v>0</v>
      </c>
      <c r="Y34" s="1795" t="e">
        <f t="shared" si="29"/>
        <v>#DIV/0!</v>
      </c>
      <c r="Z34" s="1796" t="e">
        <f>BN34*(1+M$47+Summary!P$58)</f>
        <v>#DIV/0!</v>
      </c>
      <c r="AA34" s="1795" t="e">
        <f t="shared" si="30"/>
        <v>#DIV/0!</v>
      </c>
      <c r="AB34" s="1796">
        <f>(BL34+BK34)*(1+M$47+Summary!P$58)</f>
        <v>0</v>
      </c>
      <c r="AI34" s="299">
        <f t="shared" si="2"/>
        <v>0</v>
      </c>
      <c r="AJ34" s="299">
        <f t="shared" si="3"/>
        <v>0</v>
      </c>
      <c r="AK34" s="299">
        <f t="shared" si="4"/>
        <v>0</v>
      </c>
      <c r="AL34" s="299">
        <f t="shared" si="5"/>
        <v>0</v>
      </c>
      <c r="AM34" s="299">
        <f t="shared" si="6"/>
        <v>0</v>
      </c>
      <c r="AN34" s="299">
        <f t="shared" si="7"/>
        <v>0</v>
      </c>
      <c r="AO34" s="299">
        <f t="shared" si="8"/>
        <v>0</v>
      </c>
      <c r="AP34" s="299">
        <f t="shared" si="50"/>
        <v>0</v>
      </c>
      <c r="AQ34" s="299">
        <f t="shared" si="51"/>
        <v>0</v>
      </c>
      <c r="AR34" s="299">
        <f t="shared" si="52"/>
        <v>0</v>
      </c>
      <c r="AS34" s="299">
        <f t="shared" si="53"/>
        <v>0</v>
      </c>
      <c r="AT34" s="299">
        <f t="shared" si="54"/>
        <v>0</v>
      </c>
      <c r="AU34" s="299">
        <f t="shared" si="55"/>
        <v>0</v>
      </c>
      <c r="AV34" s="299">
        <f t="shared" si="56"/>
        <v>0</v>
      </c>
      <c r="AW34" s="299">
        <f t="shared" si="57"/>
        <v>0</v>
      </c>
      <c r="AX34" s="299">
        <f t="shared" si="58"/>
        <v>0</v>
      </c>
      <c r="AY34" s="299">
        <f t="shared" si="18"/>
        <v>0</v>
      </c>
      <c r="AZ34" s="299">
        <f t="shared" si="59"/>
        <v>0</v>
      </c>
      <c r="BC34" s="299">
        <f t="shared" si="60"/>
        <v>0</v>
      </c>
      <c r="BD34" s="299">
        <f>(AO34*Pricing!F$2+AP34*Pricing!G$2+AQ34*Pricing!H$2+AR34*Pricing!I$2+AS34*Pricing!J$2+AT34*Pricing!K$2+AI34*Pricing!F$2+AJ34*Pricing!G$2+AK34*Pricing!H$2+AL34*Pricing!I$2+AM34*Pricing!J$2+AN34*Pricing!K$2)*IF(U$46="N",(1+W$46),1)</f>
        <v>0</v>
      </c>
      <c r="BE34" s="511">
        <f t="shared" si="61"/>
        <v>0</v>
      </c>
      <c r="BF34" s="299">
        <f t="shared" si="62"/>
        <v>0</v>
      </c>
      <c r="BG34" s="299">
        <f t="shared" si="63"/>
        <v>0</v>
      </c>
      <c r="BH34" s="511" t="e">
        <f t="shared" si="64"/>
        <v>#DIV/0!</v>
      </c>
      <c r="BI34" s="299">
        <f t="shared" si="25"/>
        <v>0</v>
      </c>
      <c r="BK34" s="299">
        <f t="shared" si="31"/>
        <v>0</v>
      </c>
      <c r="BL34" s="299">
        <f>(AI34*Pricing!F$2+AJ34*Pricing!G$2+AK34*Pricing!H$2+AL34*Pricing!I$2+AM34*Pricing!J$2+AN34*Pricing!K$2)*IF(U$46="N",(1+W$46),1)</f>
        <v>0</v>
      </c>
      <c r="BM34" s="299">
        <f t="shared" si="65"/>
        <v>0</v>
      </c>
      <c r="BN34" s="299" t="e">
        <f t="shared" si="66"/>
        <v>#DIV/0!</v>
      </c>
      <c r="BO34" s="299">
        <f t="shared" si="67"/>
        <v>0</v>
      </c>
    </row>
    <row r="35" spans="2:67" s="299" customFormat="1" ht="18" customHeight="1" x14ac:dyDescent="0.35">
      <c r="B35" s="1979"/>
      <c r="C35" s="1980"/>
      <c r="D35" s="139"/>
      <c r="E35" s="456"/>
      <c r="F35" s="872"/>
      <c r="G35" s="176"/>
      <c r="H35" s="126"/>
      <c r="I35" s="125"/>
      <c r="J35" s="176"/>
      <c r="K35" s="126"/>
      <c r="L35" s="125"/>
      <c r="M35" s="176"/>
      <c r="N35" s="176"/>
      <c r="O35" s="234"/>
      <c r="P35" s="176"/>
      <c r="Q35" s="176"/>
      <c r="R35" s="176"/>
      <c r="S35" s="185"/>
      <c r="T35" s="874"/>
      <c r="U35" s="106"/>
      <c r="V35" s="140"/>
      <c r="W35" s="863">
        <f t="shared" si="0"/>
        <v>0</v>
      </c>
      <c r="X35" s="865">
        <f t="shared" si="1"/>
        <v>0</v>
      </c>
      <c r="Y35" s="1795" t="e">
        <f t="shared" si="29"/>
        <v>#DIV/0!</v>
      </c>
      <c r="Z35" s="1796" t="e">
        <f>BN35*(1+M$47+Summary!P$58)</f>
        <v>#DIV/0!</v>
      </c>
      <c r="AA35" s="1795" t="e">
        <f t="shared" si="30"/>
        <v>#DIV/0!</v>
      </c>
      <c r="AB35" s="1796">
        <f>(BL35+BK35)*(1+M$47+Summary!P$58)</f>
        <v>0</v>
      </c>
      <c r="AI35" s="299">
        <f t="shared" si="2"/>
        <v>0</v>
      </c>
      <c r="AJ35" s="299">
        <f t="shared" si="3"/>
        <v>0</v>
      </c>
      <c r="AK35" s="299">
        <f t="shared" si="4"/>
        <v>0</v>
      </c>
      <c r="AL35" s="299">
        <f t="shared" si="5"/>
        <v>0</v>
      </c>
      <c r="AM35" s="299">
        <f t="shared" si="6"/>
        <v>0</v>
      </c>
      <c r="AN35" s="299">
        <f t="shared" si="7"/>
        <v>0</v>
      </c>
      <c r="AO35" s="299">
        <f t="shared" si="8"/>
        <v>0</v>
      </c>
      <c r="AP35" s="299">
        <f t="shared" si="50"/>
        <v>0</v>
      </c>
      <c r="AQ35" s="299">
        <f t="shared" si="51"/>
        <v>0</v>
      </c>
      <c r="AR35" s="299">
        <f t="shared" si="52"/>
        <v>0</v>
      </c>
      <c r="AS35" s="299">
        <f t="shared" si="53"/>
        <v>0</v>
      </c>
      <c r="AT35" s="299">
        <f t="shared" si="54"/>
        <v>0</v>
      </c>
      <c r="AU35" s="299">
        <f t="shared" si="55"/>
        <v>0</v>
      </c>
      <c r="AV35" s="299">
        <f t="shared" si="56"/>
        <v>0</v>
      </c>
      <c r="AW35" s="299">
        <f t="shared" si="57"/>
        <v>0</v>
      </c>
      <c r="AX35" s="299">
        <f t="shared" si="58"/>
        <v>0</v>
      </c>
      <c r="AY35" s="299">
        <f t="shared" si="18"/>
        <v>0</v>
      </c>
      <c r="AZ35" s="299">
        <f t="shared" si="59"/>
        <v>0</v>
      </c>
      <c r="BC35" s="299">
        <f t="shared" si="60"/>
        <v>0</v>
      </c>
      <c r="BD35" s="299">
        <f>(AO35*Pricing!F$2+AP35*Pricing!G$2+AQ35*Pricing!H$2+AR35*Pricing!I$2+AS35*Pricing!J$2+AT35*Pricing!K$2+AI35*Pricing!F$2+AJ35*Pricing!G$2+AK35*Pricing!H$2+AL35*Pricing!I$2+AM35*Pricing!J$2+AN35*Pricing!K$2)*IF(U$46="N",(1+W$46),1)</f>
        <v>0</v>
      </c>
      <c r="BE35" s="511">
        <f t="shared" si="61"/>
        <v>0</v>
      </c>
      <c r="BF35" s="299">
        <f t="shared" si="62"/>
        <v>0</v>
      </c>
      <c r="BG35" s="299">
        <f t="shared" si="63"/>
        <v>0</v>
      </c>
      <c r="BH35" s="511" t="e">
        <f t="shared" si="64"/>
        <v>#DIV/0!</v>
      </c>
      <c r="BI35" s="299">
        <f t="shared" si="25"/>
        <v>0</v>
      </c>
      <c r="BK35" s="299">
        <f t="shared" si="31"/>
        <v>0</v>
      </c>
      <c r="BL35" s="299">
        <f>(AI35*Pricing!F$2+AJ35*Pricing!G$2+AK35*Pricing!H$2+AL35*Pricing!I$2+AM35*Pricing!J$2+AN35*Pricing!K$2)*IF(U$46="N",(1+W$46),1)</f>
        <v>0</v>
      </c>
      <c r="BM35" s="299">
        <f t="shared" si="65"/>
        <v>0</v>
      </c>
      <c r="BN35" s="299" t="e">
        <f t="shared" si="66"/>
        <v>#DIV/0!</v>
      </c>
      <c r="BO35" s="299">
        <f t="shared" si="67"/>
        <v>0</v>
      </c>
    </row>
    <row r="36" spans="2:67" s="299" customFormat="1" ht="18" customHeight="1" x14ac:dyDescent="0.35">
      <c r="B36" s="1979"/>
      <c r="C36" s="1980"/>
      <c r="D36" s="139"/>
      <c r="E36" s="456"/>
      <c r="F36" s="872"/>
      <c r="G36" s="176"/>
      <c r="H36" s="126"/>
      <c r="I36" s="125"/>
      <c r="J36" s="176"/>
      <c r="K36" s="126"/>
      <c r="L36" s="125"/>
      <c r="M36" s="176"/>
      <c r="N36" s="176"/>
      <c r="O36" s="234"/>
      <c r="P36" s="176"/>
      <c r="Q36" s="176"/>
      <c r="R36" s="176"/>
      <c r="S36" s="185"/>
      <c r="T36" s="874"/>
      <c r="U36" s="106"/>
      <c r="V36" s="140"/>
      <c r="W36" s="863">
        <f t="shared" si="0"/>
        <v>0</v>
      </c>
      <c r="X36" s="865">
        <f t="shared" si="1"/>
        <v>0</v>
      </c>
      <c r="Y36" s="1795" t="e">
        <f t="shared" si="29"/>
        <v>#DIV/0!</v>
      </c>
      <c r="Z36" s="1796" t="e">
        <f>BN36*(1+M$47+Summary!P$58)</f>
        <v>#DIV/0!</v>
      </c>
      <c r="AA36" s="1795" t="e">
        <f t="shared" si="30"/>
        <v>#DIV/0!</v>
      </c>
      <c r="AB36" s="1796">
        <f>(BL36+BK36)*(1+M$47+Summary!P$58)</f>
        <v>0</v>
      </c>
      <c r="AI36" s="299">
        <f t="shared" si="2"/>
        <v>0</v>
      </c>
      <c r="AJ36" s="299">
        <f t="shared" si="3"/>
        <v>0</v>
      </c>
      <c r="AK36" s="299">
        <f t="shared" si="4"/>
        <v>0</v>
      </c>
      <c r="AL36" s="299">
        <f t="shared" si="5"/>
        <v>0</v>
      </c>
      <c r="AM36" s="299">
        <f t="shared" si="6"/>
        <v>0</v>
      </c>
      <c r="AN36" s="299">
        <f t="shared" si="7"/>
        <v>0</v>
      </c>
      <c r="AO36" s="299">
        <f t="shared" si="8"/>
        <v>0</v>
      </c>
      <c r="AP36" s="299">
        <f t="shared" si="50"/>
        <v>0</v>
      </c>
      <c r="AQ36" s="299">
        <f t="shared" si="51"/>
        <v>0</v>
      </c>
      <c r="AR36" s="299">
        <f t="shared" si="52"/>
        <v>0</v>
      </c>
      <c r="AS36" s="299">
        <f t="shared" si="53"/>
        <v>0</v>
      </c>
      <c r="AT36" s="299">
        <f t="shared" si="54"/>
        <v>0</v>
      </c>
      <c r="AU36" s="299">
        <f t="shared" si="55"/>
        <v>0</v>
      </c>
      <c r="AV36" s="299">
        <f t="shared" si="56"/>
        <v>0</v>
      </c>
      <c r="AW36" s="299">
        <f t="shared" si="57"/>
        <v>0</v>
      </c>
      <c r="AX36" s="299">
        <f t="shared" si="58"/>
        <v>0</v>
      </c>
      <c r="AY36" s="299">
        <f t="shared" si="18"/>
        <v>0</v>
      </c>
      <c r="AZ36" s="299">
        <f t="shared" si="59"/>
        <v>0</v>
      </c>
      <c r="BC36" s="299">
        <f t="shared" si="60"/>
        <v>0</v>
      </c>
      <c r="BD36" s="299">
        <f>(AO36*Pricing!F$2+AP36*Pricing!G$2+AQ36*Pricing!H$2+AR36*Pricing!I$2+AS36*Pricing!J$2+AT36*Pricing!K$2+AI36*Pricing!F$2+AJ36*Pricing!G$2+AK36*Pricing!H$2+AL36*Pricing!I$2+AM36*Pricing!J$2+AN36*Pricing!K$2)*IF(U$46="N",(1+W$46),1)</f>
        <v>0</v>
      </c>
      <c r="BE36" s="511">
        <f t="shared" si="61"/>
        <v>0</v>
      </c>
      <c r="BF36" s="299">
        <f t="shared" si="62"/>
        <v>0</v>
      </c>
      <c r="BG36" s="299">
        <f t="shared" si="63"/>
        <v>0</v>
      </c>
      <c r="BH36" s="511" t="e">
        <f t="shared" si="64"/>
        <v>#DIV/0!</v>
      </c>
      <c r="BI36" s="299">
        <f t="shared" si="25"/>
        <v>0</v>
      </c>
      <c r="BK36" s="299">
        <f t="shared" si="31"/>
        <v>0</v>
      </c>
      <c r="BL36" s="299">
        <f>(AI36*Pricing!F$2+AJ36*Pricing!G$2+AK36*Pricing!H$2+AL36*Pricing!I$2+AM36*Pricing!J$2+AN36*Pricing!K$2)*IF(U$46="N",(1+W$46),1)</f>
        <v>0</v>
      </c>
      <c r="BM36" s="299">
        <f t="shared" si="65"/>
        <v>0</v>
      </c>
      <c r="BN36" s="299" t="e">
        <f t="shared" si="66"/>
        <v>#DIV/0!</v>
      </c>
      <c r="BO36" s="299">
        <f t="shared" si="67"/>
        <v>0</v>
      </c>
    </row>
    <row r="37" spans="2:67" s="299" customFormat="1" ht="18" customHeight="1" x14ac:dyDescent="0.35">
      <c r="B37" s="1979"/>
      <c r="C37" s="1980"/>
      <c r="D37" s="139"/>
      <c r="E37" s="456"/>
      <c r="F37" s="872"/>
      <c r="G37" s="176"/>
      <c r="H37" s="126"/>
      <c r="I37" s="125"/>
      <c r="J37" s="176"/>
      <c r="K37" s="126"/>
      <c r="L37" s="125"/>
      <c r="M37" s="176"/>
      <c r="N37" s="176"/>
      <c r="O37" s="234"/>
      <c r="P37" s="176"/>
      <c r="Q37" s="176"/>
      <c r="R37" s="176"/>
      <c r="S37" s="185"/>
      <c r="T37" s="874"/>
      <c r="U37" s="106"/>
      <c r="V37" s="140"/>
      <c r="W37" s="863">
        <f t="shared" si="0"/>
        <v>0</v>
      </c>
      <c r="X37" s="865">
        <f t="shared" si="1"/>
        <v>0</v>
      </c>
      <c r="Y37" s="1795" t="e">
        <f t="shared" si="29"/>
        <v>#DIV/0!</v>
      </c>
      <c r="Z37" s="1796" t="e">
        <f>BN37*(1+M$47+Summary!P$58)</f>
        <v>#DIV/0!</v>
      </c>
      <c r="AA37" s="1795" t="e">
        <f t="shared" si="30"/>
        <v>#DIV/0!</v>
      </c>
      <c r="AB37" s="1796">
        <f>(BL37+BK37)*(1+M$47+Summary!P$58)</f>
        <v>0</v>
      </c>
      <c r="AI37" s="299">
        <f t="shared" si="2"/>
        <v>0</v>
      </c>
      <c r="AJ37" s="299">
        <f t="shared" si="3"/>
        <v>0</v>
      </c>
      <c r="AK37" s="299">
        <f t="shared" si="4"/>
        <v>0</v>
      </c>
      <c r="AL37" s="299">
        <f t="shared" si="5"/>
        <v>0</v>
      </c>
      <c r="AM37" s="299">
        <f t="shared" si="6"/>
        <v>0</v>
      </c>
      <c r="AN37" s="299">
        <f t="shared" si="7"/>
        <v>0</v>
      </c>
      <c r="AO37" s="299">
        <f t="shared" si="8"/>
        <v>0</v>
      </c>
      <c r="AP37" s="299">
        <f t="shared" si="50"/>
        <v>0</v>
      </c>
      <c r="AQ37" s="299">
        <f t="shared" si="51"/>
        <v>0</v>
      </c>
      <c r="AR37" s="299">
        <f t="shared" si="52"/>
        <v>0</v>
      </c>
      <c r="AS37" s="299">
        <f t="shared" si="53"/>
        <v>0</v>
      </c>
      <c r="AT37" s="299">
        <f t="shared" si="54"/>
        <v>0</v>
      </c>
      <c r="AU37" s="299">
        <f t="shared" si="55"/>
        <v>0</v>
      </c>
      <c r="AV37" s="299">
        <f t="shared" si="56"/>
        <v>0</v>
      </c>
      <c r="AW37" s="299">
        <f t="shared" si="57"/>
        <v>0</v>
      </c>
      <c r="AX37" s="299">
        <f t="shared" si="58"/>
        <v>0</v>
      </c>
      <c r="AY37" s="299">
        <f t="shared" si="18"/>
        <v>0</v>
      </c>
      <c r="AZ37" s="299">
        <f t="shared" si="59"/>
        <v>0</v>
      </c>
      <c r="BC37" s="299">
        <f t="shared" si="60"/>
        <v>0</v>
      </c>
      <c r="BD37" s="299">
        <f>(AO37*Pricing!F$2+AP37*Pricing!G$2+AQ37*Pricing!H$2+AR37*Pricing!I$2+AS37*Pricing!J$2+AT37*Pricing!K$2+AI37*Pricing!F$2+AJ37*Pricing!G$2+AK37*Pricing!H$2+AL37*Pricing!I$2+AM37*Pricing!J$2+AN37*Pricing!K$2)*IF(U$46="N",(1+W$46),1)</f>
        <v>0</v>
      </c>
      <c r="BE37" s="511">
        <f t="shared" si="61"/>
        <v>0</v>
      </c>
      <c r="BF37" s="299">
        <f t="shared" si="62"/>
        <v>0</v>
      </c>
      <c r="BG37" s="299">
        <f t="shared" si="63"/>
        <v>0</v>
      </c>
      <c r="BH37" s="511" t="e">
        <f t="shared" si="64"/>
        <v>#DIV/0!</v>
      </c>
      <c r="BI37" s="299">
        <f t="shared" si="25"/>
        <v>0</v>
      </c>
      <c r="BK37" s="299">
        <f t="shared" si="31"/>
        <v>0</v>
      </c>
      <c r="BL37" s="299">
        <f>(AI37*Pricing!F$2+AJ37*Pricing!G$2+AK37*Pricing!H$2+AL37*Pricing!I$2+AM37*Pricing!J$2+AN37*Pricing!K$2)*IF(U$46="N",(1+W$46),1)</f>
        <v>0</v>
      </c>
      <c r="BM37" s="299">
        <f t="shared" si="65"/>
        <v>0</v>
      </c>
      <c r="BN37" s="299" t="e">
        <f t="shared" si="66"/>
        <v>#DIV/0!</v>
      </c>
      <c r="BO37" s="299">
        <f t="shared" si="67"/>
        <v>0</v>
      </c>
    </row>
    <row r="38" spans="2:67" s="299" customFormat="1" ht="18" customHeight="1" x14ac:dyDescent="0.35">
      <c r="B38" s="1979"/>
      <c r="C38" s="1980"/>
      <c r="D38" s="139"/>
      <c r="E38" s="456"/>
      <c r="F38" s="872"/>
      <c r="G38" s="176"/>
      <c r="H38" s="126"/>
      <c r="I38" s="125"/>
      <c r="J38" s="176"/>
      <c r="K38" s="126"/>
      <c r="L38" s="125"/>
      <c r="M38" s="176"/>
      <c r="N38" s="176"/>
      <c r="O38" s="234"/>
      <c r="P38" s="176"/>
      <c r="Q38" s="176"/>
      <c r="R38" s="176"/>
      <c r="S38" s="185"/>
      <c r="T38" s="874"/>
      <c r="U38" s="106"/>
      <c r="V38" s="140"/>
      <c r="W38" s="863">
        <f t="shared" si="0"/>
        <v>0</v>
      </c>
      <c r="X38" s="865">
        <f t="shared" si="1"/>
        <v>0</v>
      </c>
      <c r="Y38" s="1795" t="e">
        <f t="shared" si="29"/>
        <v>#DIV/0!</v>
      </c>
      <c r="Z38" s="1796" t="e">
        <f>BN38*(1+M$47+Summary!P$58)</f>
        <v>#DIV/0!</v>
      </c>
      <c r="AA38" s="1795" t="e">
        <f t="shared" si="30"/>
        <v>#DIV/0!</v>
      </c>
      <c r="AB38" s="1796">
        <f>(BL38+BK38)*(1+M$47+Summary!P$58)</f>
        <v>0</v>
      </c>
      <c r="AI38" s="299">
        <f t="shared" si="2"/>
        <v>0</v>
      </c>
      <c r="AJ38" s="299">
        <f t="shared" si="3"/>
        <v>0</v>
      </c>
      <c r="AK38" s="299">
        <f t="shared" si="4"/>
        <v>0</v>
      </c>
      <c r="AL38" s="299">
        <f t="shared" si="5"/>
        <v>0</v>
      </c>
      <c r="AM38" s="299">
        <f t="shared" si="6"/>
        <v>0</v>
      </c>
      <c r="AN38" s="299">
        <f t="shared" si="7"/>
        <v>0</v>
      </c>
      <c r="AO38" s="299">
        <f t="shared" si="8"/>
        <v>0</v>
      </c>
      <c r="AP38" s="299">
        <f t="shared" si="50"/>
        <v>0</v>
      </c>
      <c r="AQ38" s="299">
        <f t="shared" si="51"/>
        <v>0</v>
      </c>
      <c r="AR38" s="299">
        <f t="shared" si="52"/>
        <v>0</v>
      </c>
      <c r="AS38" s="299">
        <f t="shared" si="53"/>
        <v>0</v>
      </c>
      <c r="AT38" s="299">
        <f t="shared" si="54"/>
        <v>0</v>
      </c>
      <c r="AU38" s="299">
        <f t="shared" si="55"/>
        <v>0</v>
      </c>
      <c r="AV38" s="299">
        <f t="shared" si="56"/>
        <v>0</v>
      </c>
      <c r="AW38" s="299">
        <f t="shared" si="57"/>
        <v>0</v>
      </c>
      <c r="AX38" s="299">
        <f t="shared" si="58"/>
        <v>0</v>
      </c>
      <c r="AY38" s="299">
        <f t="shared" si="18"/>
        <v>0</v>
      </c>
      <c r="AZ38" s="299">
        <f t="shared" si="59"/>
        <v>0</v>
      </c>
      <c r="BC38" s="299">
        <f t="shared" si="60"/>
        <v>0</v>
      </c>
      <c r="BD38" s="299">
        <f>(AO38*Pricing!F$2+AP38*Pricing!G$2+AQ38*Pricing!H$2+AR38*Pricing!I$2+AS38*Pricing!J$2+AT38*Pricing!K$2+AI38*Pricing!F$2+AJ38*Pricing!G$2+AK38*Pricing!H$2+AL38*Pricing!I$2+AM38*Pricing!J$2+AN38*Pricing!K$2)*IF(U$46="N",(1+W$46),1)</f>
        <v>0</v>
      </c>
      <c r="BE38" s="511">
        <f t="shared" si="61"/>
        <v>0</v>
      </c>
      <c r="BF38" s="299">
        <f t="shared" si="62"/>
        <v>0</v>
      </c>
      <c r="BG38" s="299">
        <f t="shared" si="63"/>
        <v>0</v>
      </c>
      <c r="BH38" s="511" t="e">
        <f t="shared" si="64"/>
        <v>#DIV/0!</v>
      </c>
      <c r="BI38" s="299">
        <f t="shared" si="25"/>
        <v>0</v>
      </c>
      <c r="BK38" s="299">
        <f t="shared" si="31"/>
        <v>0</v>
      </c>
      <c r="BL38" s="299">
        <f>(AI38*Pricing!F$2+AJ38*Pricing!G$2+AK38*Pricing!H$2+AL38*Pricing!I$2+AM38*Pricing!J$2+AN38*Pricing!K$2)*IF(U$46="N",(1+W$46),1)</f>
        <v>0</v>
      </c>
      <c r="BM38" s="299">
        <f t="shared" si="65"/>
        <v>0</v>
      </c>
      <c r="BN38" s="299" t="e">
        <f t="shared" si="66"/>
        <v>#DIV/0!</v>
      </c>
      <c r="BO38" s="299">
        <f t="shared" si="67"/>
        <v>0</v>
      </c>
    </row>
    <row r="39" spans="2:67" s="299" customFormat="1" ht="18" customHeight="1" x14ac:dyDescent="0.35">
      <c r="B39" s="1979"/>
      <c r="C39" s="1980"/>
      <c r="D39" s="139"/>
      <c r="E39" s="456"/>
      <c r="F39" s="872"/>
      <c r="G39" s="176"/>
      <c r="H39" s="126"/>
      <c r="I39" s="125"/>
      <c r="J39" s="176"/>
      <c r="K39" s="126"/>
      <c r="L39" s="125"/>
      <c r="M39" s="176"/>
      <c r="N39" s="176"/>
      <c r="O39" s="234"/>
      <c r="P39" s="176"/>
      <c r="Q39" s="176"/>
      <c r="R39" s="176"/>
      <c r="S39" s="185"/>
      <c r="T39" s="874"/>
      <c r="U39" s="106"/>
      <c r="V39" s="140"/>
      <c r="W39" s="863">
        <f t="shared" si="0"/>
        <v>0</v>
      </c>
      <c r="X39" s="865">
        <f t="shared" si="1"/>
        <v>0</v>
      </c>
      <c r="Y39" s="1795" t="e">
        <f t="shared" si="29"/>
        <v>#DIV/0!</v>
      </c>
      <c r="Z39" s="1796" t="e">
        <f>BN39*(1+M$47+Summary!P$58)</f>
        <v>#DIV/0!</v>
      </c>
      <c r="AA39" s="1795" t="e">
        <f t="shared" si="30"/>
        <v>#DIV/0!</v>
      </c>
      <c r="AB39" s="1796">
        <f>(BL39+BK39)*(1+M$47+Summary!P$58)</f>
        <v>0</v>
      </c>
      <c r="AI39" s="299">
        <f t="shared" si="2"/>
        <v>0</v>
      </c>
      <c r="AJ39" s="299">
        <f t="shared" si="3"/>
        <v>0</v>
      </c>
      <c r="AK39" s="299">
        <f t="shared" si="4"/>
        <v>0</v>
      </c>
      <c r="AL39" s="299">
        <f t="shared" si="5"/>
        <v>0</v>
      </c>
      <c r="AM39" s="299">
        <f t="shared" si="6"/>
        <v>0</v>
      </c>
      <c r="AN39" s="299">
        <f t="shared" si="7"/>
        <v>0</v>
      </c>
      <c r="AO39" s="299">
        <f t="shared" si="8"/>
        <v>0</v>
      </c>
      <c r="AP39" s="299">
        <f t="shared" si="50"/>
        <v>0</v>
      </c>
      <c r="AQ39" s="299">
        <f t="shared" si="51"/>
        <v>0</v>
      </c>
      <c r="AR39" s="299">
        <f t="shared" si="52"/>
        <v>0</v>
      </c>
      <c r="AS39" s="299">
        <f t="shared" si="53"/>
        <v>0</v>
      </c>
      <c r="AT39" s="299">
        <f t="shared" si="54"/>
        <v>0</v>
      </c>
      <c r="AU39" s="299">
        <f t="shared" si="55"/>
        <v>0</v>
      </c>
      <c r="AV39" s="299">
        <f t="shared" si="56"/>
        <v>0</v>
      </c>
      <c r="AW39" s="299">
        <f t="shared" si="57"/>
        <v>0</v>
      </c>
      <c r="AX39" s="299">
        <f t="shared" si="58"/>
        <v>0</v>
      </c>
      <c r="AY39" s="299">
        <f t="shared" si="18"/>
        <v>0</v>
      </c>
      <c r="AZ39" s="299">
        <f t="shared" si="59"/>
        <v>0</v>
      </c>
      <c r="BC39" s="299">
        <f t="shared" si="60"/>
        <v>0</v>
      </c>
      <c r="BD39" s="299">
        <f>(AO39*Pricing!F$2+AP39*Pricing!G$2+AQ39*Pricing!H$2+AR39*Pricing!I$2+AS39*Pricing!J$2+AT39*Pricing!K$2+AI39*Pricing!F$2+AJ39*Pricing!G$2+AK39*Pricing!H$2+AL39*Pricing!I$2+AM39*Pricing!J$2+AN39*Pricing!K$2)*IF(U$46="N",(1+W$46),1)</f>
        <v>0</v>
      </c>
      <c r="BE39" s="511">
        <f t="shared" si="61"/>
        <v>0</v>
      </c>
      <c r="BF39" s="299">
        <f t="shared" si="62"/>
        <v>0</v>
      </c>
      <c r="BG39" s="299">
        <f t="shared" si="63"/>
        <v>0</v>
      </c>
      <c r="BH39" s="511" t="e">
        <f t="shared" si="64"/>
        <v>#DIV/0!</v>
      </c>
      <c r="BI39" s="299">
        <f t="shared" si="25"/>
        <v>0</v>
      </c>
      <c r="BK39" s="299">
        <f t="shared" si="31"/>
        <v>0</v>
      </c>
      <c r="BL39" s="299">
        <f>(AI39*Pricing!F$2+AJ39*Pricing!G$2+AK39*Pricing!H$2+AL39*Pricing!I$2+AM39*Pricing!J$2+AN39*Pricing!K$2)*IF(U$46="N",(1+W$46),1)</f>
        <v>0</v>
      </c>
      <c r="BM39" s="299">
        <f t="shared" si="65"/>
        <v>0</v>
      </c>
      <c r="BN39" s="299" t="e">
        <f t="shared" si="66"/>
        <v>#DIV/0!</v>
      </c>
      <c r="BO39" s="299">
        <f t="shared" si="67"/>
        <v>0</v>
      </c>
    </row>
    <row r="40" spans="2:67" s="299" customFormat="1" ht="18" customHeight="1" x14ac:dyDescent="0.35">
      <c r="B40" s="2606"/>
      <c r="C40" s="1980"/>
      <c r="D40" s="139"/>
      <c r="E40" s="456"/>
      <c r="F40" s="872"/>
      <c r="G40" s="176"/>
      <c r="H40" s="126"/>
      <c r="I40" s="125"/>
      <c r="J40" s="176"/>
      <c r="K40" s="126"/>
      <c r="L40" s="125"/>
      <c r="M40" s="176"/>
      <c r="N40" s="176"/>
      <c r="O40" s="234"/>
      <c r="P40" s="176"/>
      <c r="Q40" s="176"/>
      <c r="R40" s="176"/>
      <c r="S40" s="185"/>
      <c r="T40" s="874"/>
      <c r="U40" s="106"/>
      <c r="V40" s="140"/>
      <c r="W40" s="863">
        <f t="shared" si="0"/>
        <v>0</v>
      </c>
      <c r="X40" s="865">
        <f t="shared" si="1"/>
        <v>0</v>
      </c>
      <c r="Y40" s="1795" t="e">
        <f t="shared" si="29"/>
        <v>#DIV/0!</v>
      </c>
      <c r="Z40" s="1796" t="e">
        <f>BN40*(1+M$47+Summary!P$58)</f>
        <v>#DIV/0!</v>
      </c>
      <c r="AA40" s="1795" t="e">
        <f t="shared" si="30"/>
        <v>#DIV/0!</v>
      </c>
      <c r="AB40" s="1796">
        <f>(BL40+BK40)*(1+M$47+Summary!P$58)</f>
        <v>0</v>
      </c>
      <c r="AI40" s="299">
        <f t="shared" si="2"/>
        <v>0</v>
      </c>
      <c r="AJ40" s="299">
        <f t="shared" si="3"/>
        <v>0</v>
      </c>
      <c r="AK40" s="299">
        <f t="shared" si="4"/>
        <v>0</v>
      </c>
      <c r="AL40" s="299">
        <f t="shared" si="5"/>
        <v>0</v>
      </c>
      <c r="AM40" s="299">
        <f t="shared" si="6"/>
        <v>0</v>
      </c>
      <c r="AN40" s="299">
        <f t="shared" si="7"/>
        <v>0</v>
      </c>
      <c r="AO40" s="299">
        <f t="shared" si="8"/>
        <v>0</v>
      </c>
      <c r="AP40" s="299">
        <f t="shared" si="50"/>
        <v>0</v>
      </c>
      <c r="AQ40" s="299">
        <f t="shared" si="51"/>
        <v>0</v>
      </c>
      <c r="AR40" s="299">
        <f t="shared" si="52"/>
        <v>0</v>
      </c>
      <c r="AS40" s="299">
        <f t="shared" si="53"/>
        <v>0</v>
      </c>
      <c r="AT40" s="299">
        <f t="shared" si="54"/>
        <v>0</v>
      </c>
      <c r="AU40" s="299">
        <f t="shared" si="55"/>
        <v>0</v>
      </c>
      <c r="AV40" s="299">
        <f t="shared" si="56"/>
        <v>0</v>
      </c>
      <c r="AW40" s="299">
        <f t="shared" si="57"/>
        <v>0</v>
      </c>
      <c r="AX40" s="299">
        <f t="shared" si="58"/>
        <v>0</v>
      </c>
      <c r="AY40" s="299">
        <f t="shared" si="18"/>
        <v>0</v>
      </c>
      <c r="AZ40" s="299">
        <f t="shared" si="59"/>
        <v>0</v>
      </c>
      <c r="BC40" s="299">
        <f t="shared" si="60"/>
        <v>0</v>
      </c>
      <c r="BD40" s="299">
        <f>(AO40*Pricing!F$2+AP40*Pricing!G$2+AQ40*Pricing!H$2+AR40*Pricing!I$2+AS40*Pricing!J$2+AT40*Pricing!K$2+AI40*Pricing!F$2+AJ40*Pricing!G$2+AK40*Pricing!H$2+AL40*Pricing!I$2+AM40*Pricing!J$2+AN40*Pricing!K$2)*IF(U$46="N",(1+W$46),1)</f>
        <v>0</v>
      </c>
      <c r="BE40" s="511">
        <f t="shared" si="61"/>
        <v>0</v>
      </c>
      <c r="BF40" s="299">
        <f t="shared" si="62"/>
        <v>0</v>
      </c>
      <c r="BG40" s="299">
        <f t="shared" si="63"/>
        <v>0</v>
      </c>
      <c r="BH40" s="511" t="e">
        <f t="shared" si="64"/>
        <v>#DIV/0!</v>
      </c>
      <c r="BI40" s="299">
        <f t="shared" si="25"/>
        <v>0</v>
      </c>
      <c r="BK40" s="299">
        <f t="shared" si="31"/>
        <v>0</v>
      </c>
      <c r="BL40" s="299">
        <f>(AI40*Pricing!F$2+AJ40*Pricing!G$2+AK40*Pricing!H$2+AL40*Pricing!I$2+AM40*Pricing!J$2+AN40*Pricing!K$2)*IF(U$46="N",(1+W$46),1)</f>
        <v>0</v>
      </c>
      <c r="BM40" s="299">
        <f t="shared" si="65"/>
        <v>0</v>
      </c>
      <c r="BN40" s="299" t="e">
        <f t="shared" si="66"/>
        <v>#DIV/0!</v>
      </c>
      <c r="BO40" s="299">
        <f t="shared" si="67"/>
        <v>0</v>
      </c>
    </row>
    <row r="41" spans="2:67" s="299" customFormat="1" ht="18" customHeight="1" x14ac:dyDescent="0.35">
      <c r="B41" s="1979">
        <f>I70*G48</f>
        <v>0</v>
      </c>
      <c r="C41" s="1980"/>
      <c r="D41" s="139"/>
      <c r="E41" s="456"/>
      <c r="F41" s="872"/>
      <c r="G41" s="176"/>
      <c r="H41" s="126"/>
      <c r="I41" s="125"/>
      <c r="J41" s="176"/>
      <c r="K41" s="126"/>
      <c r="L41" s="125"/>
      <c r="M41" s="176"/>
      <c r="N41" s="176"/>
      <c r="O41" s="234"/>
      <c r="P41" s="176"/>
      <c r="Q41" s="176"/>
      <c r="R41" s="176"/>
      <c r="S41" s="185"/>
      <c r="T41" s="874"/>
      <c r="U41" s="106"/>
      <c r="V41" s="140"/>
      <c r="W41" s="863">
        <f t="shared" si="0"/>
        <v>0</v>
      </c>
      <c r="X41" s="865">
        <f t="shared" si="1"/>
        <v>0</v>
      </c>
      <c r="Y41" s="1795" t="e">
        <f t="shared" si="29"/>
        <v>#DIV/0!</v>
      </c>
      <c r="Z41" s="1796" t="e">
        <f>BN41*(1+M$47+Summary!P$58)</f>
        <v>#DIV/0!</v>
      </c>
      <c r="AA41" s="1795" t="e">
        <f t="shared" si="30"/>
        <v>#DIV/0!</v>
      </c>
      <c r="AB41" s="1796">
        <f>(BL41+BK41)*(1+M$47+Summary!P$58)</f>
        <v>0</v>
      </c>
      <c r="AI41" s="299">
        <f t="shared" si="2"/>
        <v>0</v>
      </c>
      <c r="AJ41" s="299">
        <f t="shared" si="3"/>
        <v>0</v>
      </c>
      <c r="AK41" s="299">
        <f t="shared" si="4"/>
        <v>0</v>
      </c>
      <c r="AL41" s="299">
        <f t="shared" si="5"/>
        <v>0</v>
      </c>
      <c r="AM41" s="299">
        <f t="shared" si="6"/>
        <v>0</v>
      </c>
      <c r="AN41" s="299">
        <f t="shared" si="7"/>
        <v>0</v>
      </c>
      <c r="AO41" s="299">
        <f t="shared" si="8"/>
        <v>0</v>
      </c>
      <c r="AP41" s="299">
        <f t="shared" si="50"/>
        <v>0</v>
      </c>
      <c r="AQ41" s="299">
        <f t="shared" si="51"/>
        <v>0</v>
      </c>
      <c r="AR41" s="299">
        <f t="shared" si="52"/>
        <v>0</v>
      </c>
      <c r="AS41" s="299">
        <f t="shared" si="53"/>
        <v>0</v>
      </c>
      <c r="AT41" s="299">
        <f t="shared" si="54"/>
        <v>0</v>
      </c>
      <c r="AU41" s="299">
        <f t="shared" si="55"/>
        <v>0</v>
      </c>
      <c r="AV41" s="299">
        <f t="shared" si="56"/>
        <v>0</v>
      </c>
      <c r="AW41" s="299">
        <f t="shared" si="57"/>
        <v>0</v>
      </c>
      <c r="AX41" s="299">
        <f t="shared" si="58"/>
        <v>0</v>
      </c>
      <c r="AY41" s="299">
        <f t="shared" si="18"/>
        <v>0</v>
      </c>
      <c r="AZ41" s="299">
        <f t="shared" si="59"/>
        <v>0</v>
      </c>
      <c r="BC41" s="299">
        <f t="shared" si="60"/>
        <v>0</v>
      </c>
      <c r="BD41" s="299">
        <f>(AO41*Pricing!F$2+AP41*Pricing!G$2+AQ41*Pricing!H$2+AR41*Pricing!I$2+AS41*Pricing!J$2+AT41*Pricing!K$2+AI41*Pricing!F$2+AJ41*Pricing!G$2+AK41*Pricing!H$2+AL41*Pricing!I$2+AM41*Pricing!J$2+AN41*Pricing!K$2)*IF(U$46="N",(1+W$46),1)</f>
        <v>0</v>
      </c>
      <c r="BE41" s="511">
        <f t="shared" si="61"/>
        <v>0</v>
      </c>
      <c r="BF41" s="299">
        <f t="shared" si="62"/>
        <v>0</v>
      </c>
      <c r="BG41" s="299">
        <f t="shared" si="63"/>
        <v>0</v>
      </c>
      <c r="BH41" s="511" t="e">
        <f t="shared" si="64"/>
        <v>#DIV/0!</v>
      </c>
      <c r="BI41" s="299">
        <f t="shared" si="25"/>
        <v>0</v>
      </c>
      <c r="BK41" s="299">
        <f t="shared" si="31"/>
        <v>0</v>
      </c>
      <c r="BL41" s="299">
        <f>(AI41*Pricing!F$2+AJ41*Pricing!G$2+AK41*Pricing!H$2+AL41*Pricing!I$2+AM41*Pricing!J$2+AN41*Pricing!K$2)*IF(U$46="N",(1+W$46),1)</f>
        <v>0</v>
      </c>
      <c r="BM41" s="299">
        <f t="shared" si="65"/>
        <v>0</v>
      </c>
      <c r="BN41" s="299" t="e">
        <f t="shared" si="66"/>
        <v>#DIV/0!</v>
      </c>
      <c r="BO41" s="299">
        <f t="shared" si="67"/>
        <v>0</v>
      </c>
    </row>
    <row r="42" spans="2:67" s="299" customFormat="1" ht="18" customHeight="1" thickBot="1" x14ac:dyDescent="0.4">
      <c r="B42" s="2069"/>
      <c r="C42" s="2070"/>
      <c r="D42" s="189"/>
      <c r="E42" s="457"/>
      <c r="F42" s="873"/>
      <c r="G42" s="33"/>
      <c r="H42" s="181"/>
      <c r="I42" s="130"/>
      <c r="J42" s="182"/>
      <c r="K42" s="181"/>
      <c r="L42" s="130"/>
      <c r="M42" s="182"/>
      <c r="N42" s="182"/>
      <c r="O42" s="235"/>
      <c r="P42" s="182"/>
      <c r="Q42" s="182"/>
      <c r="R42" s="182"/>
      <c r="S42" s="222"/>
      <c r="T42" s="875"/>
      <c r="U42" s="188"/>
      <c r="V42" s="430"/>
      <c r="W42" s="863">
        <f t="shared" si="0"/>
        <v>0</v>
      </c>
      <c r="X42" s="865">
        <f t="shared" si="1"/>
        <v>0</v>
      </c>
      <c r="Y42" s="1797" t="e">
        <f t="shared" si="29"/>
        <v>#DIV/0!</v>
      </c>
      <c r="Z42" s="1798" t="e">
        <f>BN42*(1+M$47+Summary!P$58)</f>
        <v>#DIV/0!</v>
      </c>
      <c r="AA42" s="1799" t="e">
        <f t="shared" si="30"/>
        <v>#DIV/0!</v>
      </c>
      <c r="AB42" s="1798">
        <f>(BL42+BK42)*(1+M$47+Summary!P$58)</f>
        <v>0</v>
      </c>
      <c r="AI42" s="299">
        <f t="shared" si="2"/>
        <v>0</v>
      </c>
      <c r="AJ42" s="299">
        <f t="shared" si="3"/>
        <v>0</v>
      </c>
      <c r="AK42" s="299">
        <f t="shared" si="4"/>
        <v>0</v>
      </c>
      <c r="AL42" s="299">
        <f t="shared" si="5"/>
        <v>0</v>
      </c>
      <c r="AM42" s="299">
        <f t="shared" si="6"/>
        <v>0</v>
      </c>
      <c r="AN42" s="299">
        <f t="shared" si="7"/>
        <v>0</v>
      </c>
      <c r="AO42" s="299">
        <f t="shared" si="8"/>
        <v>0</v>
      </c>
      <c r="AP42" s="299">
        <f t="shared" si="50"/>
        <v>0</v>
      </c>
      <c r="AQ42" s="299">
        <f t="shared" si="51"/>
        <v>0</v>
      </c>
      <c r="AR42" s="299">
        <f t="shared" si="52"/>
        <v>0</v>
      </c>
      <c r="AS42" s="299">
        <f t="shared" si="53"/>
        <v>0</v>
      </c>
      <c r="AT42" s="299">
        <f t="shared" si="54"/>
        <v>0</v>
      </c>
      <c r="AU42" s="299">
        <f t="shared" si="55"/>
        <v>0</v>
      </c>
      <c r="AV42" s="299">
        <f t="shared" si="56"/>
        <v>0</v>
      </c>
      <c r="AW42" s="299">
        <f t="shared" si="57"/>
        <v>0</v>
      </c>
      <c r="AX42" s="299">
        <f t="shared" si="58"/>
        <v>0</v>
      </c>
      <c r="AY42" s="299">
        <f t="shared" si="18"/>
        <v>0</v>
      </c>
      <c r="AZ42" s="299">
        <f t="shared" si="59"/>
        <v>0</v>
      </c>
      <c r="BC42" s="299">
        <f t="shared" si="60"/>
        <v>0</v>
      </c>
      <c r="BD42" s="299">
        <f>(AO42*Pricing!F$2+AP42*Pricing!G$2+AQ42*Pricing!H$2+AR42*Pricing!I$2+AS42*Pricing!J$2+AT42*Pricing!K$2+AI42*Pricing!F$2+AJ42*Pricing!G$2+AK42*Pricing!H$2+AL42*Pricing!I$2+AM42*Pricing!J$2+AN42*Pricing!K$2)*IF(U$46="N",(1+W$46),1)</f>
        <v>0</v>
      </c>
      <c r="BE42" s="511">
        <f t="shared" si="61"/>
        <v>0</v>
      </c>
      <c r="BF42" s="299">
        <f t="shared" si="62"/>
        <v>0</v>
      </c>
      <c r="BG42" s="299">
        <f t="shared" si="63"/>
        <v>0</v>
      </c>
      <c r="BH42" s="511" t="e">
        <f t="shared" si="64"/>
        <v>#DIV/0!</v>
      </c>
      <c r="BI42" s="299">
        <f t="shared" si="25"/>
        <v>0</v>
      </c>
      <c r="BK42" s="299">
        <f t="shared" si="31"/>
        <v>0</v>
      </c>
      <c r="BL42" s="299">
        <f>(AI42*Pricing!F$2+AJ42*Pricing!G$2+AK42*Pricing!H$2+AL42*Pricing!I$2+AM42*Pricing!J$2+AN42*Pricing!K$2)*IF(U$46="N",(1+W$46),1)</f>
        <v>0</v>
      </c>
      <c r="BM42" s="299">
        <f t="shared" si="65"/>
        <v>0</v>
      </c>
      <c r="BN42" s="299" t="e">
        <f t="shared" si="66"/>
        <v>#DIV/0!</v>
      </c>
      <c r="BO42" s="299">
        <f t="shared" si="67"/>
        <v>0</v>
      </c>
    </row>
    <row r="43" spans="2:67" s="299" customFormat="1" ht="15" customHeight="1" x14ac:dyDescent="0.35">
      <c r="B43" s="313"/>
      <c r="C43" s="298"/>
      <c r="D43" s="298"/>
      <c r="E43" s="587">
        <f>SUM(F11:F42)</f>
        <v>0</v>
      </c>
      <c r="F43" s="2605" t="s">
        <v>55</v>
      </c>
      <c r="G43" s="2605"/>
      <c r="H43" s="2605"/>
      <c r="I43" s="2605"/>
      <c r="J43" s="298"/>
      <c r="K43" s="298"/>
      <c r="L43" s="298"/>
      <c r="M43" s="298"/>
      <c r="N43" s="298"/>
      <c r="O43" s="298"/>
      <c r="P43" s="2620" t="s">
        <v>54</v>
      </c>
      <c r="Q43" s="2621"/>
      <c r="R43" s="2621"/>
      <c r="S43" s="2621"/>
      <c r="T43" s="309"/>
      <c r="U43" s="309"/>
      <c r="V43" s="322">
        <f>SUM(W11:W42)</f>
        <v>0</v>
      </c>
      <c r="W43" s="327"/>
      <c r="X43" s="323">
        <f>SUM(X11:X42)</f>
        <v>0</v>
      </c>
      <c r="AI43" s="299">
        <f t="shared" ref="AI43:BH43" si="68">SUM(AI11:AI42)</f>
        <v>0</v>
      </c>
      <c r="AJ43" s="299">
        <f t="shared" si="68"/>
        <v>0</v>
      </c>
      <c r="AK43" s="299">
        <f t="shared" si="68"/>
        <v>0</v>
      </c>
      <c r="AL43" s="299">
        <f t="shared" si="68"/>
        <v>0</v>
      </c>
      <c r="AM43" s="299">
        <f t="shared" si="68"/>
        <v>0</v>
      </c>
      <c r="AN43" s="299">
        <f t="shared" si="68"/>
        <v>0</v>
      </c>
      <c r="AO43" s="299">
        <f t="shared" si="68"/>
        <v>0</v>
      </c>
      <c r="AP43" s="299">
        <f t="shared" si="68"/>
        <v>0</v>
      </c>
      <c r="AQ43" s="299">
        <f t="shared" si="68"/>
        <v>0</v>
      </c>
      <c r="AR43" s="299">
        <f t="shared" si="68"/>
        <v>0</v>
      </c>
      <c r="AS43" s="299">
        <f t="shared" si="68"/>
        <v>0</v>
      </c>
      <c r="AT43" s="299">
        <f t="shared" si="68"/>
        <v>0</v>
      </c>
      <c r="AU43" s="299">
        <f>SUM(AU11:AU42)</f>
        <v>0</v>
      </c>
      <c r="AV43" s="299">
        <f>SUM(AV11:AV42)</f>
        <v>0</v>
      </c>
      <c r="AW43" s="299">
        <f t="shared" si="68"/>
        <v>0</v>
      </c>
      <c r="AX43" s="299">
        <f t="shared" si="68"/>
        <v>0</v>
      </c>
      <c r="AY43" s="299">
        <f t="shared" si="68"/>
        <v>0</v>
      </c>
      <c r="AZ43" s="299">
        <f t="shared" si="68"/>
        <v>0</v>
      </c>
      <c r="BA43" s="299">
        <f t="shared" si="68"/>
        <v>0</v>
      </c>
      <c r="BB43" s="299">
        <f t="shared" si="68"/>
        <v>0</v>
      </c>
      <c r="BC43" s="299">
        <f t="shared" si="68"/>
        <v>0</v>
      </c>
      <c r="BD43" s="299">
        <f t="shared" si="68"/>
        <v>0</v>
      </c>
      <c r="BE43" s="299">
        <f t="shared" si="68"/>
        <v>0</v>
      </c>
      <c r="BF43" s="299">
        <f t="shared" si="68"/>
        <v>0</v>
      </c>
      <c r="BG43" s="299">
        <f t="shared" si="68"/>
        <v>0</v>
      </c>
      <c r="BH43" s="299" t="e">
        <f t="shared" si="68"/>
        <v>#DIV/0!</v>
      </c>
      <c r="BI43" s="299">
        <f>SUM(BI11:BI42)</f>
        <v>0</v>
      </c>
      <c r="BJ43" s="299" t="e">
        <f>SUM(BC43:BI43)</f>
        <v>#DIV/0!</v>
      </c>
      <c r="BK43" s="299">
        <f>SUM(BK11:BK42)</f>
        <v>0</v>
      </c>
      <c r="BL43" s="299">
        <f>SUM(BL11:BL42)</f>
        <v>0</v>
      </c>
      <c r="BN43" s="299" t="e">
        <f>SUM(BN11:BN42)</f>
        <v>#DIV/0!</v>
      </c>
      <c r="BO43" s="299" t="e">
        <f>SUM(BK43:BN43)</f>
        <v>#DIV/0!</v>
      </c>
    </row>
    <row r="44" spans="2:67" s="299" customFormat="1" ht="15" customHeight="1" thickBot="1" x14ac:dyDescent="0.4">
      <c r="B44" s="314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2618" t="s">
        <v>56</v>
      </c>
      <c r="Q44" s="2619"/>
      <c r="R44" s="2619"/>
      <c r="S44" s="2619"/>
      <c r="T44" s="306"/>
      <c r="U44" s="306"/>
      <c r="V44" s="324">
        <f>ROUNDUP(V43/2000,0)</f>
        <v>0</v>
      </c>
      <c r="W44" s="325"/>
      <c r="X44" s="325"/>
    </row>
    <row r="45" spans="2:67" s="299" customFormat="1" ht="21.75" customHeight="1" thickBot="1" x14ac:dyDescent="0.4">
      <c r="B45" s="898"/>
      <c r="C45" s="899"/>
      <c r="D45" s="899"/>
      <c r="E45" s="899"/>
      <c r="F45" s="899"/>
      <c r="G45" s="899"/>
      <c r="H45" s="899"/>
      <c r="I45" s="899"/>
      <c r="J45" s="899"/>
      <c r="K45" s="899"/>
      <c r="L45" s="900"/>
      <c r="M45" s="899"/>
      <c r="N45" s="899"/>
      <c r="O45" s="899"/>
      <c r="P45" s="899"/>
      <c r="Q45" s="899"/>
      <c r="R45" s="899"/>
      <c r="S45" s="899"/>
      <c r="T45" s="899"/>
      <c r="U45" s="899"/>
      <c r="V45" s="899"/>
      <c r="W45" s="899"/>
      <c r="X45" s="1115"/>
    </row>
    <row r="46" spans="2:67" s="299" customFormat="1" ht="15" customHeight="1" x14ac:dyDescent="0.35">
      <c r="B46" s="1987" t="s">
        <v>185</v>
      </c>
      <c r="C46" s="2041"/>
      <c r="D46" s="1988"/>
      <c r="E46" s="1987" t="s">
        <v>140</v>
      </c>
      <c r="F46" s="1988"/>
      <c r="G46" s="1987" t="s">
        <v>178</v>
      </c>
      <c r="H46" s="2041"/>
      <c r="I46" s="1988"/>
      <c r="J46" s="1935" t="s">
        <v>184</v>
      </c>
      <c r="K46" s="1936"/>
      <c r="L46" s="1937"/>
      <c r="M46" s="2044" t="s">
        <v>179</v>
      </c>
      <c r="N46" s="2045"/>
      <c r="O46" s="132"/>
      <c r="P46" s="133"/>
      <c r="Q46" s="897"/>
      <c r="R46" s="43" t="s">
        <v>34</v>
      </c>
      <c r="S46" s="42"/>
      <c r="T46" s="42" t="s">
        <v>758</v>
      </c>
      <c r="U46" s="822" t="str">
        <f>Summary!P65</f>
        <v>n</v>
      </c>
      <c r="V46" s="73" t="s">
        <v>298</v>
      </c>
      <c r="W46" s="823">
        <f>Summary!R65</f>
        <v>8.2500000000000004E-2</v>
      </c>
      <c r="X46" s="1113"/>
    </row>
    <row r="47" spans="2:67" s="299" customFormat="1" ht="27" customHeight="1" thickBot="1" x14ac:dyDescent="0.4">
      <c r="B47" s="11" t="s">
        <v>180</v>
      </c>
      <c r="C47" s="1999">
        <f>IF(AY43=0,0,E47/AY43)</f>
        <v>0</v>
      </c>
      <c r="D47" s="2000"/>
      <c r="E47" s="2602">
        <f>U47*(1+M47+Summary!P64)</f>
        <v>0</v>
      </c>
      <c r="F47" s="2004"/>
      <c r="G47" s="15">
        <f>IF(E47=0,0,H47/E47)</f>
        <v>0</v>
      </c>
      <c r="H47" s="2042">
        <f>E47-U47</f>
        <v>0</v>
      </c>
      <c r="I47" s="2043"/>
      <c r="J47" s="2064">
        <f>IF(AY43=0,0,U47/AY43)</f>
        <v>0</v>
      </c>
      <c r="K47" s="2065"/>
      <c r="L47" s="2066"/>
      <c r="M47" s="2302">
        <f>Summary!P63</f>
        <v>0.18</v>
      </c>
      <c r="N47" s="2303"/>
      <c r="O47" s="2303"/>
      <c r="P47" s="2304"/>
      <c r="Q47" s="902"/>
      <c r="R47" s="86" t="s">
        <v>50</v>
      </c>
      <c r="S47" s="42"/>
      <c r="T47" s="42"/>
      <c r="U47" s="1932">
        <f>SUM(O57:P67)+SUM(O70:P76)+SUM(O79:P83)+SUM(O85:P90)+SUM(O92:P97)+X97+O68+SUM(L70:M76)</f>
        <v>0</v>
      </c>
      <c r="V47" s="1932"/>
      <c r="W47" s="42"/>
      <c r="X47" s="1113"/>
    </row>
    <row r="48" spans="2:67" s="299" customFormat="1" ht="26.25" customHeight="1" thickBot="1" x14ac:dyDescent="0.4">
      <c r="B48" s="1129" t="s">
        <v>110</v>
      </c>
      <c r="C48" s="2614">
        <f>IF(G48=0,C47,IF(AY43=0,0,BN43/AY43)*(1+M47))</f>
        <v>0</v>
      </c>
      <c r="D48" s="2614"/>
      <c r="E48" s="2615" t="s">
        <v>553</v>
      </c>
      <c r="F48" s="2615"/>
      <c r="G48" s="2614">
        <f>IF(AZ43=0,0,(BL43+BK43)/AZ43)*(1+M47)</f>
        <v>0</v>
      </c>
      <c r="H48" s="2614"/>
      <c r="I48" s="891" t="s">
        <v>891</v>
      </c>
      <c r="J48" s="892"/>
      <c r="K48" s="2036"/>
      <c r="L48" s="2037"/>
      <c r="M48" s="893"/>
      <c r="N48" s="1899">
        <f>IF(K48&gt;0,(K48-E47)/(1+M47),0)</f>
        <v>0</v>
      </c>
      <c r="O48" s="1900"/>
      <c r="P48" s="890"/>
      <c r="Q48" s="890"/>
      <c r="R48" s="890"/>
      <c r="S48" s="890"/>
      <c r="T48" s="890"/>
      <c r="U48" s="2245">
        <f>AF2</f>
        <v>0</v>
      </c>
      <c r="V48" s="2622"/>
      <c r="W48" s="890"/>
      <c r="X48" s="896"/>
    </row>
    <row r="49" spans="2:24" s="299" customFormat="1" x14ac:dyDescent="0.35"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</row>
    <row r="50" spans="2:24" s="299" customFormat="1" x14ac:dyDescent="0.35">
      <c r="B50" s="42" t="s">
        <v>632</v>
      </c>
      <c r="C50" s="824"/>
      <c r="D50" s="824"/>
      <c r="E50" s="824"/>
      <c r="F50" s="824"/>
      <c r="G50" s="824"/>
      <c r="H50" s="824"/>
      <c r="I50" s="824"/>
      <c r="J50" s="824"/>
      <c r="K50" s="739"/>
      <c r="L50" s="739"/>
      <c r="M50" s="739"/>
      <c r="N50" s="739"/>
      <c r="O50" s="739"/>
      <c r="P50" s="739"/>
      <c r="Q50" s="298"/>
      <c r="R50" s="298"/>
      <c r="S50" s="298"/>
      <c r="T50" s="298"/>
      <c r="U50" s="298"/>
      <c r="V50" s="298"/>
      <c r="W50" s="298"/>
      <c r="X50" s="298"/>
    </row>
    <row r="51" spans="2:24" s="299" customFormat="1" ht="32.25" customHeight="1" x14ac:dyDescent="0.35">
      <c r="B51" s="298"/>
      <c r="C51" s="825"/>
      <c r="D51" s="824"/>
      <c r="E51" s="824"/>
      <c r="F51" s="824"/>
      <c r="G51" s="824"/>
      <c r="H51" s="824"/>
      <c r="I51" s="824"/>
      <c r="J51" s="824"/>
      <c r="K51" s="739"/>
      <c r="L51" s="739"/>
      <c r="M51" s="739"/>
      <c r="N51" s="739"/>
      <c r="O51" s="739"/>
      <c r="P51" s="739"/>
      <c r="Q51" s="298"/>
      <c r="R51" s="298"/>
      <c r="S51" s="298"/>
      <c r="T51" s="298"/>
      <c r="U51" s="298"/>
      <c r="V51" s="298"/>
      <c r="W51" s="298"/>
      <c r="X51" s="298"/>
    </row>
    <row r="52" spans="2:24" s="299" customFormat="1" ht="19" customHeight="1" x14ac:dyDescent="0.35">
      <c r="B52" s="298"/>
      <c r="C52" s="739"/>
      <c r="D52" s="739"/>
      <c r="E52" s="739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39"/>
      <c r="Q52" s="298"/>
      <c r="R52" s="298"/>
      <c r="S52" s="298"/>
      <c r="T52" s="298"/>
      <c r="U52" s="298"/>
      <c r="V52" s="298"/>
      <c r="W52" s="298"/>
      <c r="X52" s="298"/>
    </row>
    <row r="53" spans="2:24" s="299" customFormat="1" ht="19" customHeight="1" x14ac:dyDescent="0.35">
      <c r="B53" s="298"/>
      <c r="C53" s="739"/>
      <c r="D53" s="739"/>
      <c r="E53" s="739"/>
      <c r="F53" s="739"/>
      <c r="G53" s="739"/>
      <c r="H53" s="739"/>
      <c r="I53" s="739"/>
      <c r="J53" s="739"/>
      <c r="K53" s="739"/>
      <c r="L53" s="739"/>
      <c r="M53" s="739"/>
      <c r="N53" s="739"/>
      <c r="O53" s="739"/>
      <c r="P53" s="739"/>
      <c r="Q53" s="298"/>
      <c r="R53" s="298"/>
      <c r="S53" s="298"/>
      <c r="T53" s="298"/>
      <c r="U53" s="298"/>
      <c r="V53" s="298"/>
      <c r="W53" s="298"/>
      <c r="X53" s="298"/>
    </row>
    <row r="54" spans="2:24" s="299" customFormat="1" ht="19" customHeight="1" x14ac:dyDescent="0.35">
      <c r="B54" s="42"/>
      <c r="C54" s="739"/>
      <c r="D54" s="739"/>
      <c r="E54" s="739"/>
      <c r="F54" s="739"/>
      <c r="G54" s="739"/>
      <c r="H54" s="739"/>
      <c r="I54" s="739"/>
      <c r="J54" s="739"/>
      <c r="K54" s="739"/>
      <c r="L54" s="739"/>
      <c r="M54" s="739"/>
      <c r="N54" s="739"/>
      <c r="O54" s="739"/>
      <c r="P54" s="739"/>
      <c r="Q54" s="298"/>
      <c r="R54" s="298"/>
      <c r="S54" s="298"/>
      <c r="T54" s="298"/>
      <c r="U54" s="2589"/>
      <c r="V54" s="2589"/>
    </row>
    <row r="55" spans="2:24" s="299" customFormat="1" ht="19" customHeight="1" thickBot="1" x14ac:dyDescent="0.4">
      <c r="B55" s="298"/>
      <c r="C55" s="770"/>
      <c r="D55" s="770"/>
      <c r="E55" s="770"/>
      <c r="F55" s="770"/>
      <c r="G55" s="770"/>
      <c r="H55" s="770"/>
      <c r="I55" s="770"/>
      <c r="J55" s="770"/>
      <c r="K55" s="770"/>
      <c r="L55" s="770"/>
      <c r="M55" s="770"/>
      <c r="N55" s="770"/>
      <c r="O55" s="770"/>
      <c r="P55" s="770"/>
      <c r="Q55" s="298"/>
      <c r="R55" s="298"/>
      <c r="S55" s="298"/>
      <c r="T55" s="306"/>
      <c r="U55" s="306"/>
      <c r="V55" s="306"/>
      <c r="W55" s="306"/>
      <c r="X55" s="298"/>
    </row>
    <row r="56" spans="2:24" s="299" customFormat="1" ht="37.5" customHeight="1" thickBot="1" x14ac:dyDescent="0.4">
      <c r="B56" s="862" t="s">
        <v>226</v>
      </c>
      <c r="C56" s="2294" t="s">
        <v>167</v>
      </c>
      <c r="D56" s="2295"/>
      <c r="E56" s="2295"/>
      <c r="F56" s="2295"/>
      <c r="G56" s="2295"/>
      <c r="H56" s="2295"/>
      <c r="I56" s="2295"/>
      <c r="J56" s="2295"/>
      <c r="K56" s="2295"/>
      <c r="L56" s="2295"/>
      <c r="M56" s="2295"/>
      <c r="N56" s="2295"/>
      <c r="O56" s="2295"/>
      <c r="P56" s="2296"/>
      <c r="Q56" s="854" t="s">
        <v>284</v>
      </c>
      <c r="R56" s="2464" t="s">
        <v>196</v>
      </c>
      <c r="S56" s="2465"/>
      <c r="T56" s="152" t="s">
        <v>52</v>
      </c>
      <c r="U56" s="143"/>
      <c r="V56" s="164" t="s">
        <v>7</v>
      </c>
      <c r="W56" s="143"/>
      <c r="X56" s="165"/>
    </row>
    <row r="57" spans="2:24" s="299" customFormat="1" ht="20.149999999999999" customHeight="1" thickTop="1" x14ac:dyDescent="0.35">
      <c r="B57" s="442">
        <v>1</v>
      </c>
      <c r="C57" s="42" t="str">
        <f>IF(B57=1,Pricing!F$1,IF(B57=2,Pricing!G$1,IF(B57=3,Pricing!H$1,IF(B57=4,Pricing!I$1,IF(B57=5,Pricing!J$1,IF(B57=6,Pricing!K$1,0))))))</f>
        <v>3000 PSI W/ ASH PIERS, SOG</v>
      </c>
      <c r="D57" s="42"/>
      <c r="E57" s="42"/>
      <c r="F57" s="42"/>
      <c r="G57" s="764">
        <f>IF(B57=1,Pricing!F$2,IF(B57=2,Pricing!G$2,IF(B57=3,Pricing!H$2,IF(B57=4,Pricing!I$2,IF(B57=5,Pricing!J$2,IF(B57=6,Pricing!K$2,0))))))</f>
        <v>147</v>
      </c>
      <c r="H57" s="88" t="s">
        <v>168</v>
      </c>
      <c r="I57" s="2032" t="s">
        <v>323</v>
      </c>
      <c r="J57" s="2033"/>
      <c r="K57" s="2039">
        <v>0.1</v>
      </c>
      <c r="L57" s="1908">
        <f>IF(B57=1,AO$43,IF(B57=2,AP$43,IF(B57=3,AQ$43,IF(B57=4,AR$43,IF(B57=5,AS$43,IF(B57=6,AT$43))))))+IF(B57=1,AI$43,IF(B57=2,AJ$43,IF(B57=3,AK$43,IF(B57=4,AL$43,IF(B57=5,AM$43,IF(B57=6,AN$43))))))</f>
        <v>0</v>
      </c>
      <c r="M57" s="1909"/>
      <c r="N57" s="58" t="s">
        <v>102</v>
      </c>
      <c r="O57" s="2583">
        <f>L57*G57*(IF(U$46="N",1+W$46,1))</f>
        <v>0</v>
      </c>
      <c r="P57" s="2584"/>
      <c r="Q57" s="855">
        <v>2</v>
      </c>
      <c r="R57" s="106" t="s">
        <v>466</v>
      </c>
      <c r="S57" s="106"/>
      <c r="T57" s="827">
        <v>1</v>
      </c>
      <c r="U57" s="106"/>
      <c r="V57" s="195">
        <f>BC75</f>
        <v>0</v>
      </c>
      <c r="W57" s="106"/>
      <c r="X57" s="118">
        <f>V57*T57</f>
        <v>0</v>
      </c>
    </row>
    <row r="58" spans="2:24" s="299" customFormat="1" ht="20.149999999999999" customHeight="1" x14ac:dyDescent="0.35">
      <c r="B58" s="443">
        <v>3</v>
      </c>
      <c r="C58" s="42" t="str">
        <f>IF(B58=1,Pricing!F$1,IF(B58=2,Pricing!G$1,IF(B58=3,Pricing!H$1,IF(B58=4,Pricing!I$1,IF(B58=5,Pricing!J$1,IF(B58=6,Pricing!K$1,0))))))</f>
        <v>4000 psi</v>
      </c>
      <c r="D58" s="42"/>
      <c r="E58" s="42"/>
      <c r="F58" s="42"/>
      <c r="G58" s="762">
        <f>IF(B58=1,Pricing!F$2,IF(B58=2,Pricing!G$2,IF(B58=3,Pricing!H$2,IF(B58=4,Pricing!I$2,IF(B58=5,Pricing!J$2,IF(B58=6,Pricing!K$2,0))))))</f>
        <v>157</v>
      </c>
      <c r="H58" s="88" t="s">
        <v>168</v>
      </c>
      <c r="I58" s="2032"/>
      <c r="J58" s="2033"/>
      <c r="K58" s="2039"/>
      <c r="L58" s="1908">
        <f>IF(B58=1,AO$43,IF(B58=2,AP$43,IF(B58=3,AQ$43,IF(B58=4,AR$43,IF(B58=5,AS$43,IF(B58=6,AT$43))))))+IF(B58=1,AI$43,IF(B58=2,AJ$43,IF(B58=3,AK$43,IF(B58=4,AL$43,IF(B58=5,AM$43,IF(B58=6,AN$43))))))</f>
        <v>0</v>
      </c>
      <c r="M58" s="1909"/>
      <c r="N58" s="58" t="s">
        <v>102</v>
      </c>
      <c r="O58" s="2585">
        <f>L58*G58*(IF(U$46="N",1+W$46,1))</f>
        <v>0</v>
      </c>
      <c r="P58" s="2586"/>
      <c r="Q58" s="856">
        <v>2</v>
      </c>
      <c r="R58" s="106" t="s">
        <v>203</v>
      </c>
      <c r="S58" s="106"/>
      <c r="T58" s="194">
        <f>I71*3.6*T57</f>
        <v>0</v>
      </c>
      <c r="U58" s="387" t="s">
        <v>759</v>
      </c>
      <c r="V58" s="195">
        <f>Pricing!N3</f>
        <v>0.5625</v>
      </c>
      <c r="W58" s="401" t="s">
        <v>787</v>
      </c>
      <c r="X58" s="118">
        <f t="shared" ref="X58:X69" si="69">IF(U$46="Y",T58*V58,T58*V58*(1+W$46))</f>
        <v>0</v>
      </c>
    </row>
    <row r="59" spans="2:24" s="299" customFormat="1" ht="20.149999999999999" customHeight="1" thickBot="1" x14ac:dyDescent="0.4">
      <c r="B59" s="444">
        <v>4</v>
      </c>
      <c r="C59" s="75" t="str">
        <f>IF(B59=1,Pricing!F$1,IF(B59=2,Pricing!G$1,IF(B59=3,Pricing!H$1,IF(B59=4,Pricing!I$1,IF(B59=5,Pricing!J$1,IF(B59=6,Pricing!K$1,0))))))</f>
        <v>4500 psi</v>
      </c>
      <c r="D59" s="75"/>
      <c r="E59" s="75"/>
      <c r="F59" s="75"/>
      <c r="G59" s="762">
        <f>IF(B59=1,Pricing!F$2,IF(B59=2,Pricing!G$2,IF(B59=3,Pricing!H$2,IF(B59=4,Pricing!I$2,IF(B59=5,Pricing!J$2,IF(B59=6,Pricing!K$2,0))))))</f>
        <v>162</v>
      </c>
      <c r="H59" s="90" t="s">
        <v>168</v>
      </c>
      <c r="I59" s="2034"/>
      <c r="J59" s="2035"/>
      <c r="K59" s="2040"/>
      <c r="L59" s="1908">
        <f>IF(B59=1,AO$43,IF(B59=2,AP$43,IF(B59=3,AQ$43,IF(B59=4,AR$43,IF(B59=5,AS$43,IF(B59=6,AT$43))))))+IF(B59=1,AI$43,IF(B59=2,AJ$43,IF(B59=3,AK$43,IF(B59=4,AL$43,IF(B59=5,AM$43,IF(B59=6,AN$43))))))</f>
        <v>0</v>
      </c>
      <c r="M59" s="1909"/>
      <c r="N59" s="91" t="s">
        <v>102</v>
      </c>
      <c r="O59" s="2585">
        <f>L59*G59*(IF(U$46="N",1+W$46,1))</f>
        <v>0</v>
      </c>
      <c r="P59" s="2586"/>
      <c r="Q59" s="856">
        <v>2</v>
      </c>
      <c r="R59" s="106" t="s">
        <v>204</v>
      </c>
      <c r="S59" s="106"/>
      <c r="T59" s="194">
        <v>0</v>
      </c>
      <c r="U59" s="387" t="s">
        <v>759</v>
      </c>
      <c r="V59" s="195">
        <f>Pricing!N4</f>
        <v>0.65625</v>
      </c>
      <c r="W59" s="401" t="s">
        <v>787</v>
      </c>
      <c r="X59" s="118">
        <f t="shared" si="69"/>
        <v>0</v>
      </c>
    </row>
    <row r="60" spans="2:24" s="299" customFormat="1" ht="20.149999999999999" customHeight="1" thickTop="1" x14ac:dyDescent="0.35">
      <c r="B60" s="43"/>
      <c r="C60" s="92" t="s">
        <v>104</v>
      </c>
      <c r="D60" s="42"/>
      <c r="E60" s="42"/>
      <c r="F60" s="42"/>
      <c r="G60" s="762">
        <f>Pricing!D22</f>
        <v>0.6</v>
      </c>
      <c r="H60" s="88" t="s">
        <v>88</v>
      </c>
      <c r="I60" s="2616" t="s">
        <v>202</v>
      </c>
      <c r="J60" s="2617"/>
      <c r="K60" s="826">
        <v>0.1</v>
      </c>
      <c r="L60" s="2062">
        <f>V43</f>
        <v>0</v>
      </c>
      <c r="M60" s="2063"/>
      <c r="N60" s="42" t="s">
        <v>32</v>
      </c>
      <c r="O60" s="2585">
        <f>G60*L60*(IF(U46="N",1+W46,1))</f>
        <v>0</v>
      </c>
      <c r="P60" s="2586"/>
      <c r="Q60" s="856">
        <v>2</v>
      </c>
      <c r="R60" s="106" t="s">
        <v>206</v>
      </c>
      <c r="S60" s="106"/>
      <c r="T60" s="194">
        <v>0</v>
      </c>
      <c r="U60" s="387" t="s">
        <v>759</v>
      </c>
      <c r="V60" s="195">
        <f>Pricing!N5</f>
        <v>1</v>
      </c>
      <c r="W60" s="401" t="s">
        <v>787</v>
      </c>
      <c r="X60" s="118">
        <f t="shared" si="69"/>
        <v>0</v>
      </c>
    </row>
    <row r="61" spans="2:24" s="299" customFormat="1" ht="20.149999999999999" customHeight="1" x14ac:dyDescent="0.35">
      <c r="B61" s="43"/>
      <c r="C61" s="92"/>
      <c r="D61" s="42"/>
      <c r="E61" s="42"/>
      <c r="F61" s="42"/>
      <c r="G61" s="762">
        <f>Pricing!F5</f>
        <v>0</v>
      </c>
      <c r="H61" s="88" t="s">
        <v>69</v>
      </c>
      <c r="I61" s="2625" t="s">
        <v>202</v>
      </c>
      <c r="J61" s="2626"/>
      <c r="K61" s="748">
        <v>0.05</v>
      </c>
      <c r="L61" s="1908"/>
      <c r="M61" s="1909"/>
      <c r="N61" s="42" t="s">
        <v>95</v>
      </c>
      <c r="O61" s="2585">
        <f>L61*G61*(IF(U46="N",1+W46,1))*(K61+1)</f>
        <v>0</v>
      </c>
      <c r="P61" s="2586"/>
      <c r="Q61" s="856">
        <v>2</v>
      </c>
      <c r="R61" s="106" t="s">
        <v>205</v>
      </c>
      <c r="S61" s="106"/>
      <c r="T61" s="194">
        <f>E43*2</f>
        <v>0</v>
      </c>
      <c r="U61" s="387" t="s">
        <v>759</v>
      </c>
      <c r="V61" s="195">
        <f>Pricing!N6</f>
        <v>1.25</v>
      </c>
      <c r="W61" s="401" t="s">
        <v>787</v>
      </c>
      <c r="X61" s="118">
        <f t="shared" si="69"/>
        <v>0</v>
      </c>
    </row>
    <row r="62" spans="2:24" s="299" customFormat="1" ht="20.149999999999999" customHeight="1" thickBot="1" x14ac:dyDescent="0.4">
      <c r="B62" s="43"/>
      <c r="C62" s="93" t="s">
        <v>302</v>
      </c>
      <c r="D62" s="75"/>
      <c r="E62" s="75"/>
      <c r="F62" s="75"/>
      <c r="G62" s="763">
        <v>0.35</v>
      </c>
      <c r="H62" s="90" t="s">
        <v>69</v>
      </c>
      <c r="I62" s="199" t="s">
        <v>199</v>
      </c>
      <c r="J62" s="2375">
        <v>0</v>
      </c>
      <c r="K62" s="2375"/>
      <c r="L62" s="2061"/>
      <c r="M62" s="2061"/>
      <c r="N62" s="75" t="s">
        <v>95</v>
      </c>
      <c r="O62" s="2543">
        <f>IF(M42="y",IF(J62=0,L62*G62,J62),0)*(IF(T$69="N",1+V$69,1))</f>
        <v>0</v>
      </c>
      <c r="P62" s="2544"/>
      <c r="Q62" s="856">
        <v>2</v>
      </c>
      <c r="R62" s="106" t="s">
        <v>207</v>
      </c>
      <c r="S62" s="106"/>
      <c r="T62" s="194">
        <f>ROUNDUP(I71*2/32*T57*1.1,0)</f>
        <v>0</v>
      </c>
      <c r="U62" s="106" t="s">
        <v>209</v>
      </c>
      <c r="V62" s="195">
        <f>Pricing!N7</f>
        <v>50</v>
      </c>
      <c r="W62" s="401" t="s">
        <v>290</v>
      </c>
      <c r="X62" s="118">
        <f t="shared" si="69"/>
        <v>0</v>
      </c>
    </row>
    <row r="63" spans="2:24" s="299" customFormat="1" ht="20.149999999999999" customHeight="1" thickTop="1" x14ac:dyDescent="0.35">
      <c r="B63" s="94"/>
      <c r="C63" s="58" t="s">
        <v>103</v>
      </c>
      <c r="D63" s="42"/>
      <c r="E63" s="42"/>
      <c r="F63" s="42"/>
      <c r="G63" s="838">
        <f>Pricing!D18</f>
        <v>25</v>
      </c>
      <c r="H63" s="88" t="s">
        <v>169</v>
      </c>
      <c r="I63" s="2444" t="s">
        <v>202</v>
      </c>
      <c r="J63" s="2445"/>
      <c r="K63" s="2603">
        <v>0.05</v>
      </c>
      <c r="L63" s="1909"/>
      <c r="M63" s="1909"/>
      <c r="N63" s="42" t="s">
        <v>102</v>
      </c>
      <c r="O63" s="2585">
        <f>L63*G63*IF(R24="N",1+U24,1)</f>
        <v>0</v>
      </c>
      <c r="P63" s="2586"/>
      <c r="Q63" s="856">
        <v>2</v>
      </c>
      <c r="R63" s="106" t="s">
        <v>757</v>
      </c>
      <c r="S63" s="106"/>
      <c r="T63" s="194">
        <f>ROUNDUP(E43*2/25,0)</f>
        <v>0</v>
      </c>
      <c r="U63" s="106" t="s">
        <v>786</v>
      </c>
      <c r="V63" s="195">
        <f>Pricing!N14</f>
        <v>18</v>
      </c>
      <c r="W63" s="401" t="s">
        <v>291</v>
      </c>
      <c r="X63" s="118">
        <f t="shared" si="69"/>
        <v>0</v>
      </c>
    </row>
    <row r="64" spans="2:24" s="299" customFormat="1" ht="20.149999999999999" customHeight="1" thickBot="1" x14ac:dyDescent="0.4">
      <c r="B64" s="43"/>
      <c r="C64" s="134" t="s">
        <v>344</v>
      </c>
      <c r="D64" s="75"/>
      <c r="E64" s="95"/>
      <c r="F64" s="75"/>
      <c r="G64" s="839">
        <v>15</v>
      </c>
      <c r="H64" s="90" t="s">
        <v>124</v>
      </c>
      <c r="I64" s="2446"/>
      <c r="J64" s="2447"/>
      <c r="K64" s="2604"/>
      <c r="L64" s="2061"/>
      <c r="M64" s="2061"/>
      <c r="N64" s="75" t="s">
        <v>95</v>
      </c>
      <c r="O64" s="2585">
        <f>L64*G64</f>
        <v>0</v>
      </c>
      <c r="P64" s="2586"/>
      <c r="Q64" s="856">
        <v>2</v>
      </c>
      <c r="R64" s="106" t="s">
        <v>0</v>
      </c>
      <c r="S64" s="106"/>
      <c r="T64" s="194">
        <f>ROUNDUP(I71/1800,0)</f>
        <v>0</v>
      </c>
      <c r="U64" s="106" t="s">
        <v>626</v>
      </c>
      <c r="V64" s="195">
        <f>Pricing!N15</f>
        <v>42</v>
      </c>
      <c r="W64" s="401" t="s">
        <v>292</v>
      </c>
      <c r="X64" s="118">
        <f t="shared" si="69"/>
        <v>0</v>
      </c>
    </row>
    <row r="65" spans="2:32" s="299" customFormat="1" ht="20.149999999999999" customHeight="1" thickTop="1" x14ac:dyDescent="0.35">
      <c r="B65" s="43"/>
      <c r="C65" s="92"/>
      <c r="D65" s="42"/>
      <c r="E65" s="73"/>
      <c r="F65" s="42"/>
      <c r="G65" s="840">
        <v>0.17</v>
      </c>
      <c r="H65" s="42" t="s">
        <v>171</v>
      </c>
      <c r="I65" s="2444" t="s">
        <v>202</v>
      </c>
      <c r="J65" s="2445"/>
      <c r="K65" s="2611">
        <v>0.1</v>
      </c>
      <c r="L65" s="1908"/>
      <c r="M65" s="1909"/>
      <c r="N65" s="868" t="s">
        <v>95</v>
      </c>
      <c r="O65" s="2543">
        <f>G65*L65</f>
        <v>0</v>
      </c>
      <c r="P65" s="2544"/>
      <c r="Q65" s="856">
        <v>2</v>
      </c>
      <c r="R65" s="106" t="s">
        <v>2</v>
      </c>
      <c r="S65" s="106"/>
      <c r="T65" s="194">
        <f>ROUNDUP(I71/1000,0)</f>
        <v>0</v>
      </c>
      <c r="U65" s="106" t="s">
        <v>626</v>
      </c>
      <c r="V65" s="195">
        <f>Pricing!N16</f>
        <v>42</v>
      </c>
      <c r="W65" s="401" t="s">
        <v>292</v>
      </c>
      <c r="X65" s="118">
        <f t="shared" si="69"/>
        <v>0</v>
      </c>
      <c r="AA65" s="299" t="s">
        <v>237</v>
      </c>
    </row>
    <row r="66" spans="2:32" s="299" customFormat="1" ht="20.149999999999999" customHeight="1" x14ac:dyDescent="0.35">
      <c r="B66" s="2259" t="s">
        <v>192</v>
      </c>
      <c r="C66" s="1972"/>
      <c r="D66" s="1972"/>
      <c r="E66" s="73" t="s">
        <v>301</v>
      </c>
      <c r="F66" s="777" t="s">
        <v>198</v>
      </c>
      <c r="G66" s="767">
        <v>1.75</v>
      </c>
      <c r="H66" s="88" t="s">
        <v>69</v>
      </c>
      <c r="I66" s="2607"/>
      <c r="J66" s="2608"/>
      <c r="K66" s="2603"/>
      <c r="L66" s="1908">
        <f>IF(F66="Y",E43*(1+K65),0)</f>
        <v>0</v>
      </c>
      <c r="M66" s="1909"/>
      <c r="N66" s="868" t="s">
        <v>42</v>
      </c>
      <c r="O66" s="2543">
        <f>L66*G66</f>
        <v>0</v>
      </c>
      <c r="P66" s="2544"/>
      <c r="Q66" s="856">
        <v>2</v>
      </c>
      <c r="R66" s="106" t="s">
        <v>1</v>
      </c>
      <c r="S66" s="106"/>
      <c r="T66" s="194">
        <f>T65</f>
        <v>0</v>
      </c>
      <c r="U66" s="106" t="s">
        <v>626</v>
      </c>
      <c r="V66" s="195">
        <f>Pricing!N17</f>
        <v>42</v>
      </c>
      <c r="W66" s="401" t="s">
        <v>292</v>
      </c>
      <c r="X66" s="118">
        <f t="shared" si="69"/>
        <v>0</v>
      </c>
      <c r="AA66" s="299" t="s">
        <v>126</v>
      </c>
      <c r="AB66" s="299">
        <v>0</v>
      </c>
    </row>
    <row r="67" spans="2:32" s="299" customFormat="1" ht="20.149999999999999" customHeight="1" thickBot="1" x14ac:dyDescent="0.4">
      <c r="B67" s="2318" t="s">
        <v>201</v>
      </c>
      <c r="C67" s="2308"/>
      <c r="D67" s="2308"/>
      <c r="E67" s="307" t="s">
        <v>301</v>
      </c>
      <c r="F67" s="778" t="s">
        <v>198</v>
      </c>
      <c r="G67" s="870">
        <v>1.8</v>
      </c>
      <c r="H67" s="96" t="s">
        <v>170</v>
      </c>
      <c r="I67" s="2609"/>
      <c r="J67" s="2610"/>
      <c r="K67" s="2612"/>
      <c r="L67" s="2613">
        <f>IF(F67="Y",,0)*E43*2*(1+K65)</f>
        <v>0</v>
      </c>
      <c r="M67" s="2029"/>
      <c r="N67" s="871" t="s">
        <v>42</v>
      </c>
      <c r="O67" s="2543">
        <f>L67*G67</f>
        <v>0</v>
      </c>
      <c r="P67" s="2544"/>
      <c r="Q67" s="856">
        <v>2</v>
      </c>
      <c r="R67" s="106" t="s">
        <v>210</v>
      </c>
      <c r="S67" s="106"/>
      <c r="T67" s="194">
        <f>AM35*12/48/50</f>
        <v>0</v>
      </c>
      <c r="U67" s="106" t="s">
        <v>626</v>
      </c>
      <c r="V67" s="195">
        <f>Pricing!N33</f>
        <v>25.5</v>
      </c>
      <c r="W67" s="401" t="s">
        <v>292</v>
      </c>
      <c r="X67" s="118">
        <f t="shared" si="69"/>
        <v>0</v>
      </c>
      <c r="AA67" s="299" t="s">
        <v>238</v>
      </c>
      <c r="AB67" s="299">
        <v>0</v>
      </c>
    </row>
    <row r="68" spans="2:32" s="299" customFormat="1" ht="20.149999999999999" customHeight="1" thickBot="1" x14ac:dyDescent="0.4">
      <c r="B68" s="47"/>
      <c r="C68" s="47" t="s">
        <v>70</v>
      </c>
      <c r="D68" s="49"/>
      <c r="E68" s="49"/>
      <c r="F68" s="49"/>
      <c r="G68" s="841"/>
      <c r="H68" s="96" t="s">
        <v>193</v>
      </c>
      <c r="I68" s="2006" t="s">
        <v>793</v>
      </c>
      <c r="J68" s="2007"/>
      <c r="K68" s="828">
        <v>0.4</v>
      </c>
      <c r="L68" s="2623">
        <f>AX43</f>
        <v>0</v>
      </c>
      <c r="M68" s="2624"/>
      <c r="N68" s="49" t="s">
        <v>95</v>
      </c>
      <c r="O68" s="2563">
        <f>G68*K68*L68</f>
        <v>0</v>
      </c>
      <c r="P68" s="2564"/>
      <c r="Q68" s="856">
        <v>2</v>
      </c>
      <c r="R68" s="106" t="s">
        <v>236</v>
      </c>
      <c r="S68" s="106"/>
      <c r="T68" s="194">
        <f>BF57+AE120</f>
        <v>0</v>
      </c>
      <c r="U68" s="387" t="s">
        <v>759</v>
      </c>
      <c r="V68" s="195">
        <f>Pricing!N18</f>
        <v>0.78</v>
      </c>
      <c r="W68" s="106" t="s">
        <v>787</v>
      </c>
      <c r="X68" s="118">
        <f t="shared" si="69"/>
        <v>0</v>
      </c>
      <c r="AA68" s="299" t="s">
        <v>283</v>
      </c>
      <c r="AB68" s="299">
        <v>0</v>
      </c>
    </row>
    <row r="69" spans="2:32" s="299" customFormat="1" ht="20.149999999999999" customHeight="1" thickBot="1" x14ac:dyDescent="0.4">
      <c r="B69" s="835" t="s">
        <v>221</v>
      </c>
      <c r="C69" s="834"/>
      <c r="D69" s="834" t="s">
        <v>299</v>
      </c>
      <c r="E69" s="834"/>
      <c r="F69" s="834"/>
      <c r="G69" s="836"/>
      <c r="H69" s="834"/>
      <c r="I69" s="843"/>
      <c r="J69" s="834"/>
      <c r="K69" s="834"/>
      <c r="L69" s="2306" t="s">
        <v>45</v>
      </c>
      <c r="M69" s="2306"/>
      <c r="N69" s="2306" t="s">
        <v>300</v>
      </c>
      <c r="O69" s="2306"/>
      <c r="P69" s="2307"/>
      <c r="Q69" s="856">
        <v>2</v>
      </c>
      <c r="R69" s="106" t="s">
        <v>119</v>
      </c>
      <c r="S69" s="106"/>
      <c r="T69" s="194">
        <v>0</v>
      </c>
      <c r="U69" s="387" t="s">
        <v>759</v>
      </c>
      <c r="V69" s="195">
        <f>Pricing!N19</f>
        <v>0.16</v>
      </c>
      <c r="W69" s="106" t="s">
        <v>787</v>
      </c>
      <c r="X69" s="118">
        <f t="shared" si="69"/>
        <v>0</v>
      </c>
      <c r="AA69" s="299" t="s">
        <v>239</v>
      </c>
      <c r="AB69" s="299" t="s">
        <v>240</v>
      </c>
      <c r="AF69" s="299" t="s">
        <v>92</v>
      </c>
    </row>
    <row r="70" spans="2:32" s="299" customFormat="1" ht="20.149999999999999" customHeight="1" x14ac:dyDescent="0.35">
      <c r="B70" s="193" t="s">
        <v>541</v>
      </c>
      <c r="C70" s="42"/>
      <c r="D70" s="97" t="s">
        <v>661</v>
      </c>
      <c r="E70" s="1845">
        <v>10</v>
      </c>
      <c r="F70" s="1845"/>
      <c r="G70" s="401" t="s">
        <v>191</v>
      </c>
      <c r="H70" s="42"/>
      <c r="I70" s="2587">
        <f>AZ43</f>
        <v>0</v>
      </c>
      <c r="J70" s="2588"/>
      <c r="K70" s="42" t="s">
        <v>95</v>
      </c>
      <c r="L70" s="1886">
        <f>IF(D70="N",E70*I70,0)</f>
        <v>0</v>
      </c>
      <c r="M70" s="1886"/>
      <c r="N70"/>
      <c r="O70" s="2545">
        <f>IF(D70="y",E70*I70,0)</f>
        <v>0</v>
      </c>
      <c r="P70" s="2546"/>
      <c r="Q70" s="856">
        <v>2</v>
      </c>
      <c r="R70" s="106" t="s">
        <v>218</v>
      </c>
      <c r="S70" s="106"/>
      <c r="T70" s="194"/>
      <c r="U70" s="106" t="s">
        <v>762</v>
      </c>
      <c r="V70" s="195">
        <f>Pricing!N20</f>
        <v>45</v>
      </c>
      <c r="W70" s="401" t="s">
        <v>292</v>
      </c>
      <c r="X70" s="118">
        <f>IF(U$46="Y",T70*V70,T70*V70*(1+W$46))</f>
        <v>0</v>
      </c>
    </row>
    <row r="71" spans="2:32" s="299" customFormat="1" ht="20.149999999999999" customHeight="1" x14ac:dyDescent="0.35">
      <c r="B71" s="193" t="s">
        <v>329</v>
      </c>
      <c r="C71" s="57"/>
      <c r="D71" s="97" t="s">
        <v>661</v>
      </c>
      <c r="E71" s="1844">
        <v>4</v>
      </c>
      <c r="F71" s="1845"/>
      <c r="G71" s="401" t="s">
        <v>191</v>
      </c>
      <c r="H71" s="2431">
        <f>SUM(E71:F73)</f>
        <v>10</v>
      </c>
      <c r="I71" s="2557">
        <f>AY43</f>
        <v>0</v>
      </c>
      <c r="J71" s="2558"/>
      <c r="K71" s="42" t="s">
        <v>332</v>
      </c>
      <c r="L71" s="1886">
        <f>IF(D71="N",E71*I$71,0)</f>
        <v>0</v>
      </c>
      <c r="M71" s="1886"/>
      <c r="N71"/>
      <c r="O71" s="2543">
        <f>IF(D71="y",I$71*E71,0)</f>
        <v>0</v>
      </c>
      <c r="P71" s="2544"/>
      <c r="Q71" s="856">
        <v>2</v>
      </c>
      <c r="R71" s="106" t="s">
        <v>839</v>
      </c>
      <c r="S71" s="106"/>
      <c r="T71" s="194">
        <v>0</v>
      </c>
      <c r="U71" s="106" t="s">
        <v>42</v>
      </c>
      <c r="V71" s="195">
        <v>1</v>
      </c>
      <c r="W71" s="401" t="s">
        <v>788</v>
      </c>
      <c r="X71" s="118">
        <f>IF(U$46="Y",T71*V71,T71*V71*(1+W$46))</f>
        <v>0</v>
      </c>
      <c r="AA71" s="299">
        <v>0</v>
      </c>
      <c r="AB71" s="299" t="s">
        <v>241</v>
      </c>
    </row>
    <row r="72" spans="2:32" s="299" customFormat="1" ht="20.149999999999999" customHeight="1" x14ac:dyDescent="0.35">
      <c r="B72" s="196" t="s">
        <v>162</v>
      </c>
      <c r="C72" s="57"/>
      <c r="D72" s="98" t="s">
        <v>200</v>
      </c>
      <c r="E72" s="1844">
        <v>4</v>
      </c>
      <c r="F72" s="1845"/>
      <c r="G72" s="401" t="s">
        <v>191</v>
      </c>
      <c r="H72" s="2431"/>
      <c r="I72" s="2559"/>
      <c r="J72" s="2560"/>
      <c r="K72" s="42" t="s">
        <v>332</v>
      </c>
      <c r="L72" s="1886">
        <f>IF(D72="N",E72*I$71,0)</f>
        <v>0</v>
      </c>
      <c r="M72" s="1886"/>
      <c r="N72"/>
      <c r="O72" s="2543">
        <f>IF(D72="y",I$71*E72,0)</f>
        <v>0</v>
      </c>
      <c r="P72" s="2544"/>
      <c r="Q72" s="856">
        <v>2</v>
      </c>
      <c r="R72" s="106" t="s">
        <v>123</v>
      </c>
      <c r="S72" s="106"/>
      <c r="T72" s="194">
        <v>0</v>
      </c>
      <c r="U72" s="106" t="s">
        <v>498</v>
      </c>
      <c r="V72" s="195">
        <f>Pricing!N41</f>
        <v>100</v>
      </c>
      <c r="W72" s="401" t="s">
        <v>294</v>
      </c>
      <c r="X72" s="118">
        <f>V72*T72</f>
        <v>0</v>
      </c>
      <c r="AA72" s="299">
        <v>1</v>
      </c>
      <c r="AB72" s="299" t="s">
        <v>242</v>
      </c>
    </row>
    <row r="73" spans="2:32" s="299" customFormat="1" ht="20.149999999999999" customHeight="1" x14ac:dyDescent="0.35">
      <c r="B73" s="196" t="s">
        <v>84</v>
      </c>
      <c r="C73" s="57"/>
      <c r="D73" s="98" t="s">
        <v>200</v>
      </c>
      <c r="E73" s="1844">
        <v>2</v>
      </c>
      <c r="F73" s="1845"/>
      <c r="G73" s="401" t="s">
        <v>191</v>
      </c>
      <c r="H73" s="2431"/>
      <c r="I73" s="2559"/>
      <c r="J73" s="2560"/>
      <c r="K73" s="42" t="s">
        <v>332</v>
      </c>
      <c r="L73" s="1886">
        <f>IF(D73="N",E73*I$71,0)</f>
        <v>0</v>
      </c>
      <c r="M73" s="1886"/>
      <c r="N73"/>
      <c r="O73" s="2543">
        <f>IF(D73="y",I$71*E73,0)</f>
        <v>0</v>
      </c>
      <c r="P73" s="2544"/>
      <c r="Q73" s="856">
        <v>2</v>
      </c>
      <c r="R73" s="106" t="s">
        <v>834</v>
      </c>
      <c r="S73" s="106"/>
      <c r="T73" s="194">
        <v>0</v>
      </c>
      <c r="U73" s="106"/>
      <c r="V73" s="195">
        <v>2</v>
      </c>
      <c r="W73" s="106"/>
      <c r="X73" s="118">
        <f>V73*T73</f>
        <v>0</v>
      </c>
      <c r="AA73" s="299">
        <v>2</v>
      </c>
      <c r="AB73" s="299" t="s">
        <v>243</v>
      </c>
      <c r="AF73" s="343">
        <f>SUM(X58:X83)+O61+O65+O95</f>
        <v>0</v>
      </c>
    </row>
    <row r="74" spans="2:32" s="299" customFormat="1" ht="20.149999999999999" customHeight="1" x14ac:dyDescent="0.35">
      <c r="B74" s="196" t="s">
        <v>322</v>
      </c>
      <c r="C74" s="57"/>
      <c r="D74" s="98" t="s">
        <v>235</v>
      </c>
      <c r="E74" s="1844">
        <v>0.5</v>
      </c>
      <c r="F74" s="1845"/>
      <c r="G74" s="401" t="s">
        <v>191</v>
      </c>
      <c r="H74" s="42"/>
      <c r="I74" s="2561"/>
      <c r="J74" s="2562"/>
      <c r="K74" s="42" t="s">
        <v>332</v>
      </c>
      <c r="L74" s="1886">
        <f>IF(D74="N",E74*I$71,0)</f>
        <v>0</v>
      </c>
      <c r="M74" s="1886"/>
      <c r="N74"/>
      <c r="O74" s="2543">
        <f>IF(D74="y",I$71*E74,0)</f>
        <v>0</v>
      </c>
      <c r="P74" s="2544"/>
      <c r="Q74" s="856">
        <v>2</v>
      </c>
      <c r="R74" s="106"/>
      <c r="S74" s="106"/>
      <c r="T74" s="194"/>
      <c r="U74" s="106"/>
      <c r="V74" s="195"/>
      <c r="W74" s="106"/>
      <c r="X74" s="118"/>
      <c r="AA74" s="299">
        <v>3</v>
      </c>
      <c r="AB74" s="299" t="s">
        <v>244</v>
      </c>
      <c r="AF74" s="299">
        <f>O63</f>
        <v>0</v>
      </c>
    </row>
    <row r="75" spans="2:32" s="299" customFormat="1" ht="20.149999999999999" customHeight="1" x14ac:dyDescent="0.35">
      <c r="B75" s="196" t="s">
        <v>33</v>
      </c>
      <c r="C75" s="57"/>
      <c r="D75" s="98" t="s">
        <v>200</v>
      </c>
      <c r="E75" s="1844">
        <v>400</v>
      </c>
      <c r="F75" s="1845"/>
      <c r="G75" s="401" t="s">
        <v>89</v>
      </c>
      <c r="H75" s="42"/>
      <c r="I75" s="1909">
        <f>(L60/2000)</f>
        <v>0</v>
      </c>
      <c r="J75" s="1909"/>
      <c r="K75" s="42" t="s">
        <v>183</v>
      </c>
      <c r="L75" s="1886">
        <f>IF(D75="N",E75*I75,0)</f>
        <v>0</v>
      </c>
      <c r="M75" s="1886"/>
      <c r="N75"/>
      <c r="O75" s="2543">
        <f>IF(D75="y",I75*E75,0)</f>
        <v>0</v>
      </c>
      <c r="P75" s="2544"/>
      <c r="Q75" s="856">
        <v>2</v>
      </c>
      <c r="R75" s="106"/>
      <c r="S75" s="106"/>
      <c r="T75" s="194"/>
      <c r="U75" s="106"/>
      <c r="V75" s="195"/>
      <c r="W75" s="106"/>
      <c r="X75" s="118"/>
      <c r="AA75" s="299">
        <v>4</v>
      </c>
      <c r="AB75" s="299" t="s">
        <v>245</v>
      </c>
      <c r="AF75" s="299">
        <f>O64</f>
        <v>0</v>
      </c>
    </row>
    <row r="76" spans="2:32" s="299" customFormat="1" ht="20.149999999999999" customHeight="1" x14ac:dyDescent="0.35">
      <c r="B76" s="209" t="s">
        <v>664</v>
      </c>
      <c r="C76" s="79"/>
      <c r="D76" s="98" t="s">
        <v>200</v>
      </c>
      <c r="E76" s="1842">
        <v>20</v>
      </c>
      <c r="F76" s="1843"/>
      <c r="G76" s="445" t="s">
        <v>327</v>
      </c>
      <c r="H76" s="52"/>
      <c r="I76" s="2257">
        <f>AU43</f>
        <v>0</v>
      </c>
      <c r="J76" s="2257"/>
      <c r="K76" s="52" t="s">
        <v>328</v>
      </c>
      <c r="L76" s="2118">
        <f>IF(D76="N",E76*I76,0)</f>
        <v>0</v>
      </c>
      <c r="M76" s="2118"/>
      <c r="N76"/>
      <c r="O76" s="2543">
        <f>IF(D76="y",I76*E76,0)</f>
        <v>0</v>
      </c>
      <c r="P76" s="2544"/>
      <c r="Q76" s="856">
        <v>2</v>
      </c>
      <c r="R76" s="106"/>
      <c r="S76" s="106"/>
      <c r="T76" s="194"/>
      <c r="U76" s="106"/>
      <c r="V76" s="195"/>
      <c r="W76" s="106"/>
      <c r="X76" s="118"/>
      <c r="AA76" s="299">
        <v>5</v>
      </c>
      <c r="AB76" s="299" t="s">
        <v>246</v>
      </c>
      <c r="AF76" s="299">
        <f>O60</f>
        <v>0</v>
      </c>
    </row>
    <row r="77" spans="2:32" s="299" customFormat="1" ht="20.149999999999999" customHeight="1" thickBot="1" x14ac:dyDescent="0.4">
      <c r="B77" s="6" t="s">
        <v>223</v>
      </c>
      <c r="C77" s="4"/>
      <c r="D77" s="5"/>
      <c r="E77" s="2263">
        <f>IF(I71=0,0,(O77+L77)/I71)</f>
        <v>0</v>
      </c>
      <c r="F77" s="2264"/>
      <c r="G77" s="76"/>
      <c r="H77" s="49"/>
      <c r="I77" s="2017" t="s">
        <v>50</v>
      </c>
      <c r="J77" s="2017"/>
      <c r="K77" s="2017"/>
      <c r="L77" s="2124">
        <f>SUM(L70:M76)</f>
        <v>0</v>
      </c>
      <c r="M77" s="2124"/>
      <c r="N77" s="248"/>
      <c r="O77" s="2563">
        <f>SUM(O70:P76)</f>
        <v>0</v>
      </c>
      <c r="P77" s="2564"/>
      <c r="Q77" s="856">
        <v>2</v>
      </c>
      <c r="R77" s="106"/>
      <c r="S77" s="106"/>
      <c r="T77" s="194"/>
      <c r="U77" s="402"/>
      <c r="V77" s="195"/>
      <c r="W77" s="106"/>
      <c r="X77" s="118"/>
      <c r="AA77" s="299">
        <v>6</v>
      </c>
      <c r="AB77" s="299" t="s">
        <v>248</v>
      </c>
      <c r="AF77" s="299">
        <f>SUM(X85:X90)</f>
        <v>0</v>
      </c>
    </row>
    <row r="78" spans="2:32" s="299" customFormat="1" ht="20.149999999999999" customHeight="1" thickBot="1" x14ac:dyDescent="0.4">
      <c r="B78" s="2305" t="s">
        <v>194</v>
      </c>
      <c r="C78" s="2306"/>
      <c r="D78" s="2306"/>
      <c r="E78" s="2306"/>
      <c r="F78" s="2306"/>
      <c r="G78" s="2306"/>
      <c r="H78" s="2306"/>
      <c r="I78" s="2306"/>
      <c r="J78" s="2306"/>
      <c r="K78" s="2306"/>
      <c r="L78" s="2306"/>
      <c r="M78" s="2306"/>
      <c r="N78" s="2306"/>
      <c r="O78" s="2306"/>
      <c r="P78" s="2307"/>
      <c r="Q78" s="856">
        <v>2</v>
      </c>
      <c r="R78" s="106" t="s">
        <v>219</v>
      </c>
      <c r="S78" s="106"/>
      <c r="T78" s="194">
        <f>ROUNDUP(L68*0.55*T57,0)</f>
        <v>0</v>
      </c>
      <c r="U78" s="106" t="s">
        <v>18</v>
      </c>
      <c r="V78" s="195">
        <f>Pricing!N25</f>
        <v>0.25</v>
      </c>
      <c r="W78" s="106" t="s">
        <v>121</v>
      </c>
      <c r="X78" s="118">
        <f>T78*V78</f>
        <v>0</v>
      </c>
      <c r="AA78" s="299">
        <v>7</v>
      </c>
      <c r="AB78" s="299" t="s">
        <v>247</v>
      </c>
      <c r="AF78" s="299">
        <f>O62</f>
        <v>0</v>
      </c>
    </row>
    <row r="79" spans="2:32" s="299" customFormat="1" ht="20.149999999999999" customHeight="1" x14ac:dyDescent="0.35">
      <c r="B79" s="100" t="s">
        <v>1164</v>
      </c>
      <c r="C79" s="48"/>
      <c r="D79" s="101"/>
      <c r="E79" s="752">
        <v>0</v>
      </c>
      <c r="F79" s="48" t="s">
        <v>187</v>
      </c>
      <c r="G79" s="807">
        <v>295</v>
      </c>
      <c r="H79" s="102" t="s">
        <v>68</v>
      </c>
      <c r="I79" s="48"/>
      <c r="J79" s="48"/>
      <c r="K79" s="48"/>
      <c r="L79" s="48"/>
      <c r="M79" s="2214">
        <f>IF(E51=0,0,(SUM(O79:P83))/E51)</f>
        <v>0</v>
      </c>
      <c r="N79" s="2215"/>
      <c r="O79" s="1897">
        <f>E79*G79</f>
        <v>0</v>
      </c>
      <c r="P79" s="1898"/>
      <c r="Q79" s="856">
        <v>2</v>
      </c>
      <c r="R79" s="106" t="s">
        <v>233</v>
      </c>
      <c r="S79" s="106"/>
      <c r="T79" s="194">
        <v>0</v>
      </c>
      <c r="U79" s="106" t="s">
        <v>18</v>
      </c>
      <c r="V79" s="195">
        <f>Pricing!N26</f>
        <v>0.75</v>
      </c>
      <c r="W79" s="106" t="s">
        <v>18</v>
      </c>
      <c r="X79" s="118">
        <f>T79*V79</f>
        <v>0</v>
      </c>
      <c r="AA79" s="299">
        <v>8</v>
      </c>
      <c r="AB79" s="299" t="s">
        <v>249</v>
      </c>
      <c r="AF79" s="299">
        <f>SUM(O57:P59)</f>
        <v>0</v>
      </c>
    </row>
    <row r="80" spans="2:32" s="299" customFormat="1" ht="20.149999999999999" customHeight="1" x14ac:dyDescent="0.35">
      <c r="B80" s="92" t="s">
        <v>1162</v>
      </c>
      <c r="C80" s="42"/>
      <c r="D80" s="42"/>
      <c r="E80" s="753">
        <f>E79*0.5</f>
        <v>0</v>
      </c>
      <c r="F80" s="103" t="s">
        <v>187</v>
      </c>
      <c r="G80" s="808">
        <v>390</v>
      </c>
      <c r="H80" s="108" t="s">
        <v>68</v>
      </c>
      <c r="I80" s="42"/>
      <c r="J80" s="42"/>
      <c r="K80" s="42"/>
      <c r="L80" s="42"/>
      <c r="M80" s="2076">
        <f>SUM(O79:P83)</f>
        <v>0</v>
      </c>
      <c r="N80" s="2108"/>
      <c r="O80" s="1895">
        <f>E80*G80</f>
        <v>0</v>
      </c>
      <c r="P80" s="1896"/>
      <c r="Q80" s="856">
        <v>2</v>
      </c>
      <c r="R80" s="106" t="s">
        <v>785</v>
      </c>
      <c r="S80" s="106"/>
      <c r="T80" s="194">
        <v>0</v>
      </c>
      <c r="U80" s="106" t="s">
        <v>288</v>
      </c>
      <c r="V80" s="195">
        <f>Pricing!N27</f>
        <v>15</v>
      </c>
      <c r="W80" s="401" t="s">
        <v>293</v>
      </c>
      <c r="X80" s="118">
        <f>T80*V80</f>
        <v>0</v>
      </c>
      <c r="AA80" s="299">
        <v>9</v>
      </c>
      <c r="AB80" s="299" t="s">
        <v>234</v>
      </c>
      <c r="AF80" s="299">
        <f>SUM(O66:P67)</f>
        <v>0</v>
      </c>
    </row>
    <row r="81" spans="2:32" s="299" customFormat="1" ht="20.149999999999999" customHeight="1" x14ac:dyDescent="0.35">
      <c r="B81" s="196" t="s">
        <v>1165</v>
      </c>
      <c r="C81" s="42"/>
      <c r="D81" s="42"/>
      <c r="E81" s="1408"/>
      <c r="F81" s="103" t="s">
        <v>187</v>
      </c>
      <c r="G81" s="1414">
        <v>200</v>
      </c>
      <c r="H81" s="108" t="s">
        <v>68</v>
      </c>
      <c r="I81" s="42"/>
      <c r="J81" s="42"/>
      <c r="K81" s="42"/>
      <c r="L81" s="42"/>
      <c r="M81" s="1814"/>
      <c r="N81" s="1814"/>
      <c r="O81" s="1895">
        <f t="shared" ref="O81:O82" si="70">E81*G81</f>
        <v>0</v>
      </c>
      <c r="P81" s="1896"/>
      <c r="Q81" s="856"/>
      <c r="R81" s="106"/>
      <c r="S81" s="106"/>
      <c r="T81" s="194"/>
      <c r="U81" s="106"/>
      <c r="V81" s="195"/>
      <c r="W81" s="401"/>
      <c r="X81" s="118"/>
    </row>
    <row r="82" spans="2:32" s="299" customFormat="1" ht="20.149999999999999" customHeight="1" x14ac:dyDescent="0.35">
      <c r="B82" s="196" t="s">
        <v>1168</v>
      </c>
      <c r="C82" s="42"/>
      <c r="D82" s="42"/>
      <c r="E82" s="1408">
        <f>E79*0.5</f>
        <v>0</v>
      </c>
      <c r="F82" s="103" t="s">
        <v>187</v>
      </c>
      <c r="G82" s="1414">
        <v>200</v>
      </c>
      <c r="H82" s="88"/>
      <c r="I82" s="42"/>
      <c r="J82" s="42"/>
      <c r="K82" s="42"/>
      <c r="L82" s="42"/>
      <c r="M82" s="1814"/>
      <c r="N82" s="1814"/>
      <c r="O82" s="1895">
        <f t="shared" si="70"/>
        <v>0</v>
      </c>
      <c r="P82" s="1896"/>
      <c r="Q82" s="856"/>
      <c r="R82" s="106"/>
      <c r="S82" s="106"/>
      <c r="T82" s="194"/>
      <c r="U82" s="106"/>
      <c r="V82" s="195"/>
      <c r="W82" s="401"/>
      <c r="X82" s="118"/>
    </row>
    <row r="83" spans="2:32" s="299" customFormat="1" ht="20.149999999999999" customHeight="1" thickBot="1" x14ac:dyDescent="0.4">
      <c r="B83" s="219" t="s">
        <v>188</v>
      </c>
      <c r="C83" s="49"/>
      <c r="D83" s="49"/>
      <c r="E83" s="754">
        <f>IF(E79=0,E80,E79)</f>
        <v>0</v>
      </c>
      <c r="F83" s="49" t="s">
        <v>187</v>
      </c>
      <c r="G83" s="809">
        <v>100</v>
      </c>
      <c r="H83" s="96" t="s">
        <v>68</v>
      </c>
      <c r="I83" s="49"/>
      <c r="J83" s="49"/>
      <c r="K83" s="49"/>
      <c r="L83" s="49"/>
      <c r="M83" s="49"/>
      <c r="N83" s="49"/>
      <c r="O83" s="2072">
        <f>E83*G83</f>
        <v>0</v>
      </c>
      <c r="P83" s="2073"/>
      <c r="Q83" s="856">
        <v>2</v>
      </c>
      <c r="R83" s="106"/>
      <c r="S83" s="106"/>
      <c r="T83" s="194"/>
      <c r="U83" s="106"/>
      <c r="V83" s="195"/>
      <c r="W83" s="106"/>
      <c r="X83" s="118"/>
      <c r="AA83" s="299">
        <v>10</v>
      </c>
      <c r="AB83" s="299" t="s">
        <v>250</v>
      </c>
      <c r="AF83" s="299">
        <f>SUM(X91:X93)</f>
        <v>0</v>
      </c>
    </row>
    <row r="84" spans="2:32" s="299" customFormat="1" ht="20.149999999999999" customHeight="1" thickBot="1" x14ac:dyDescent="0.4">
      <c r="B84" s="2305" t="s">
        <v>44</v>
      </c>
      <c r="C84" s="2306"/>
      <c r="D84" s="2306"/>
      <c r="E84" s="2306"/>
      <c r="F84" s="2306"/>
      <c r="G84" s="2306"/>
      <c r="H84" s="2306"/>
      <c r="I84" s="2306"/>
      <c r="J84" s="2306"/>
      <c r="K84" s="2306"/>
      <c r="L84" s="2306"/>
      <c r="M84" s="2306"/>
      <c r="N84" s="2306"/>
      <c r="O84" s="2306"/>
      <c r="P84" s="2307"/>
      <c r="Q84" s="856">
        <v>2</v>
      </c>
      <c r="R84" s="851" t="s">
        <v>892</v>
      </c>
      <c r="S84" s="852"/>
      <c r="T84" s="851"/>
      <c r="U84" s="853"/>
      <c r="V84" s="2243"/>
      <c r="W84" s="2244"/>
      <c r="X84" s="850">
        <f>V84</f>
        <v>0</v>
      </c>
      <c r="AA84" s="299">
        <v>11</v>
      </c>
      <c r="AB84" s="299" t="s">
        <v>251</v>
      </c>
    </row>
    <row r="85" spans="2:32" s="299" customFormat="1" ht="20.149999999999999" customHeight="1" thickTop="1" x14ac:dyDescent="0.35">
      <c r="B85" s="1979" t="s">
        <v>90</v>
      </c>
      <c r="C85" s="1980"/>
      <c r="D85" s="1981"/>
      <c r="E85" s="755">
        <f>IF(E$79&gt;0,IF(E$79&lt;=3,E$79,7),0)+IF(E$79&gt;5,IF(E$79&lt;=10,7,0),0)+IF(E$79&gt;10,IF(E$79&lt;=15,14,0),0)+IF(E$79&gt;15,IF(E$79&lt;=20,23,0),0)+IF(E$79&gt;20,IF(E$79&lt;=40,53,0),0)+IF(E$79&gt;40,IF(E$79&lt;=60,83,0),0)+IF(E$79&gt;60,IF(E$79&lt;=80,113,0),0)+IF(E$79&gt;80,IF(E$79&lt;=100,143,0),0)</f>
        <v>0</v>
      </c>
      <c r="F85" s="106" t="s">
        <v>107</v>
      </c>
      <c r="G85" s="858">
        <f>Pricing!D31</f>
        <v>385</v>
      </c>
      <c r="H85" s="401" t="s">
        <v>172</v>
      </c>
      <c r="I85" s="42"/>
      <c r="J85" s="42"/>
      <c r="K85" s="42"/>
      <c r="L85" s="42"/>
      <c r="M85" s="42"/>
      <c r="N85" s="42"/>
      <c r="O85" s="2545">
        <f>(IF(AND(E85&gt;0,E85&lt;4),E85*G85,0)+IF(AND(E85&gt;3,E85&lt;8),G85*3,0)+IF(AND(E85&gt;7,E85&lt;21),E85/7*G85*3,0)+IF(AND(E85&gt;20,E85&lt;30),G85*9,0)+IF(E85&gt;29,E85/30*G85*9,0))*(1+W$46+J$87)</f>
        <v>0</v>
      </c>
      <c r="P85" s="2546"/>
      <c r="Q85" s="856">
        <v>6</v>
      </c>
      <c r="R85" s="106" t="s">
        <v>287</v>
      </c>
      <c r="S85" s="106"/>
      <c r="T85" s="194"/>
      <c r="U85" s="106" t="s">
        <v>288</v>
      </c>
      <c r="V85" s="195">
        <f>Pricing!N30</f>
        <v>27</v>
      </c>
      <c r="W85" s="401" t="s">
        <v>293</v>
      </c>
      <c r="X85" s="111">
        <f>T85*V85</f>
        <v>0</v>
      </c>
      <c r="AA85" s="299">
        <v>12</v>
      </c>
      <c r="AB85" s="299" t="s">
        <v>252</v>
      </c>
    </row>
    <row r="86" spans="2:32" s="299" customFormat="1" ht="20.149999999999999" customHeight="1" thickBot="1" x14ac:dyDescent="0.4">
      <c r="B86" s="1979" t="s">
        <v>789</v>
      </c>
      <c r="C86" s="1980"/>
      <c r="D86" s="1981"/>
      <c r="E86" s="755">
        <f>E85</f>
        <v>0</v>
      </c>
      <c r="F86" s="106" t="s">
        <v>107</v>
      </c>
      <c r="G86" s="844">
        <f>Pricing!D33</f>
        <v>350</v>
      </c>
      <c r="H86" s="401" t="s">
        <v>172</v>
      </c>
      <c r="I86" s="42"/>
      <c r="J86" s="2083" t="s">
        <v>469</v>
      </c>
      <c r="K86" s="2084"/>
      <c r="L86" s="42"/>
      <c r="M86" s="2074">
        <f>IF(E47=0,0,(SUM(O85:P90))/E47)</f>
        <v>0</v>
      </c>
      <c r="N86" s="2569"/>
      <c r="O86" s="2543">
        <f>(IF(AND(E86&gt;0,E86&lt;4),E86*G86,0)+IF(AND(E86&gt;3,E86&lt;8),G86*3,0)+IF(AND(E86&gt;7,E86&lt;21),E86/7*G86*3,0)+IF(AND(E86&gt;20,E86&lt;30),G86*9,0)+IF(E86&gt;29,E86/30*G86*9,0))*(1+W$46+J$87)</f>
        <v>0</v>
      </c>
      <c r="P86" s="2544"/>
      <c r="Q86" s="856">
        <v>6</v>
      </c>
      <c r="R86" s="106" t="s">
        <v>286</v>
      </c>
      <c r="S86" s="106"/>
      <c r="T86" s="194">
        <v>0</v>
      </c>
      <c r="U86" s="106" t="s">
        <v>788</v>
      </c>
      <c r="V86" s="195">
        <f>Pricing!N31</f>
        <v>1.25</v>
      </c>
      <c r="W86" s="401" t="s">
        <v>99</v>
      </c>
      <c r="X86" s="118">
        <f>V86*T86</f>
        <v>0</v>
      </c>
      <c r="AA86" s="299">
        <v>15</v>
      </c>
      <c r="AB86" s="299" t="s">
        <v>253</v>
      </c>
    </row>
    <row r="87" spans="2:32" s="299" customFormat="1" ht="20.149999999999999" customHeight="1" thickTop="1" x14ac:dyDescent="0.35">
      <c r="B87" s="1979" t="s">
        <v>662</v>
      </c>
      <c r="C87" s="1980"/>
      <c r="D87" s="1981"/>
      <c r="E87" s="755">
        <f>E85</f>
        <v>0</v>
      </c>
      <c r="F87" s="106" t="s">
        <v>107</v>
      </c>
      <c r="G87" s="844">
        <f>Pricing!D42</f>
        <v>200</v>
      </c>
      <c r="H87" s="401" t="s">
        <v>172</v>
      </c>
      <c r="I87" s="42"/>
      <c r="J87" s="2565">
        <v>0.5</v>
      </c>
      <c r="K87" s="2566"/>
      <c r="L87" s="42"/>
      <c r="M87" s="2410">
        <f>SUM(O85:P90)</f>
        <v>0</v>
      </c>
      <c r="N87" s="2570"/>
      <c r="O87" s="2543">
        <f>(IF(AND(E87&gt;0,E87&lt;4),E87*G87,0)+IF(AND(E87&gt;3,E87&lt;8),G87*3,0)+IF(AND(E87&gt;7,E87&lt;21),E87/7*G87*3,0)+IF(AND(E87&gt;20,E87&lt;30),G87*9,0)+IF(E87&gt;29,E87/30*G87*9,0))*(1+W$46+J$87)</f>
        <v>0</v>
      </c>
      <c r="P87" s="2544"/>
      <c r="Q87" s="856">
        <v>6</v>
      </c>
      <c r="R87" s="106" t="s">
        <v>285</v>
      </c>
      <c r="S87" s="106"/>
      <c r="T87" s="194">
        <f>L60</f>
        <v>0</v>
      </c>
      <c r="U87" s="106" t="s">
        <v>32</v>
      </c>
      <c r="V87" s="195">
        <v>0.04</v>
      </c>
      <c r="W87" s="401" t="s">
        <v>88</v>
      </c>
      <c r="X87" s="118">
        <f>V87*T87</f>
        <v>0</v>
      </c>
      <c r="AA87" s="299">
        <v>16</v>
      </c>
      <c r="AB87" s="299" t="s">
        <v>841</v>
      </c>
    </row>
    <row r="88" spans="2:32" s="299" customFormat="1" ht="20.149999999999999" customHeight="1" x14ac:dyDescent="0.35">
      <c r="B88" s="1979" t="s">
        <v>160</v>
      </c>
      <c r="C88" s="1980"/>
      <c r="D88" s="1981"/>
      <c r="E88" s="755">
        <f>E86</f>
        <v>0</v>
      </c>
      <c r="F88" s="106" t="s">
        <v>107</v>
      </c>
      <c r="G88" s="844">
        <f>Pricing!D37</f>
        <v>65</v>
      </c>
      <c r="H88" s="401" t="s">
        <v>172</v>
      </c>
      <c r="I88" s="42"/>
      <c r="J88" s="2567"/>
      <c r="K88" s="2568"/>
      <c r="L88" s="42"/>
      <c r="M88" s="42"/>
      <c r="N88" s="42"/>
      <c r="O88" s="2543">
        <f>(IF(AND(E88&gt;0,E88&lt;4),E88*G88,0)+IF(AND(E88&gt;3,E88&lt;8),G88*3,0)+IF(AND(E88&gt;7,E88&lt;21),E88/7*G88*3,0)+IF(AND(E88&gt;20,E88&lt;30),G88*9,0)+IF(E88&gt;29,E88/30*G88*9,0))*(1+W$46+J$87)</f>
        <v>0</v>
      </c>
      <c r="P88" s="2544"/>
      <c r="Q88" s="856">
        <v>6</v>
      </c>
      <c r="R88" s="106"/>
      <c r="S88" s="106"/>
      <c r="T88" s="194"/>
      <c r="U88" s="106"/>
      <c r="V88" s="195"/>
      <c r="W88" s="106"/>
      <c r="X88" s="118"/>
      <c r="AA88" s="299">
        <v>17</v>
      </c>
      <c r="AB88" s="299" t="s">
        <v>842</v>
      </c>
    </row>
    <row r="89" spans="2:32" s="299" customFormat="1" ht="20.149999999999999" customHeight="1" x14ac:dyDescent="0.35">
      <c r="B89" s="1979" t="s">
        <v>175</v>
      </c>
      <c r="C89" s="1980"/>
      <c r="D89" s="1981"/>
      <c r="E89" s="755"/>
      <c r="F89" s="106" t="s">
        <v>107</v>
      </c>
      <c r="G89" s="844">
        <f>Pricing!D39</f>
        <v>420</v>
      </c>
      <c r="H89" s="401" t="s">
        <v>172</v>
      </c>
      <c r="I89" s="42"/>
      <c r="J89" s="42"/>
      <c r="K89" s="42"/>
      <c r="L89" s="42"/>
      <c r="M89" s="42"/>
      <c r="N89" s="42"/>
      <c r="O89" s="2543">
        <f>(IF(AND(E89&gt;0,E89&lt;4),E89*G89,0)+IF(AND(E89&gt;3,E89&lt;8),G89*3,0)+IF(AND(E89&gt;7,E89&lt;21),E89/7*G89*3,0)+IF(AND(E89&gt;20,E89&lt;30),G89*9,0)+IF(E89&gt;29,E89/30*G89*9,0))*(1+W$46+J$87)</f>
        <v>0</v>
      </c>
      <c r="P89" s="2544"/>
      <c r="Q89" s="856">
        <v>6</v>
      </c>
      <c r="R89" s="106"/>
      <c r="S89" s="106"/>
      <c r="T89" s="194"/>
      <c r="U89" s="106"/>
      <c r="V89" s="195"/>
      <c r="W89" s="106"/>
      <c r="X89" s="118"/>
      <c r="AA89" s="299">
        <v>18</v>
      </c>
      <c r="AB89" s="299" t="s">
        <v>843</v>
      </c>
      <c r="AF89" s="343">
        <f>O68</f>
        <v>0</v>
      </c>
    </row>
    <row r="90" spans="2:32" s="299" customFormat="1" ht="20.149999999999999" customHeight="1" thickBot="1" x14ac:dyDescent="0.4">
      <c r="B90" s="2069" t="s">
        <v>108</v>
      </c>
      <c r="C90" s="2070"/>
      <c r="D90" s="2071"/>
      <c r="E90" s="829">
        <f>IF(E$83&gt;0,IF(E$83&lt;=3,E$83,7),0)+IF(E$83&gt;5,IF(E$83&lt;=10,7,0),0)+IF(E$83&gt;10,IF(E$83&lt;=15,14,0),0)+IF(E$83&gt;15,IF(E$83&lt;=20,23,0),0)+IF(E$83&gt;20,IF(E$83&lt;=40,53,0),0)+IF(E$83&gt;40,IF(E$83&lt;=60,83,0),0)+IF(E$83&gt;60,IF(E$83&lt;=80,113,0),0)+IF(E$83&gt;80,IF(E$83&lt;=100,143,0),0)</f>
        <v>0</v>
      </c>
      <c r="F90" s="188" t="s">
        <v>107</v>
      </c>
      <c r="G90" s="845">
        <v>35</v>
      </c>
      <c r="H90" s="422" t="s">
        <v>172</v>
      </c>
      <c r="I90" s="49"/>
      <c r="J90" s="49"/>
      <c r="K90" s="49"/>
      <c r="L90" s="49"/>
      <c r="M90" s="117"/>
      <c r="N90" s="49"/>
      <c r="O90" s="2563">
        <f>(IF(AND(E90&gt;0,E90&lt;4),E90*G90,0)+IF(AND(E90&gt;3,E90&lt;8),G90*3,0)+IF(AND(E90&gt;7,E90&lt;21),E90/7*G90*3,0)+IF(AND(E90&gt;20,E90&lt;30),G90*9,0)+IF(E90&gt;29,E90/30*G90*9,0))</f>
        <v>0</v>
      </c>
      <c r="P90" s="2564"/>
      <c r="Q90" s="856">
        <v>6</v>
      </c>
      <c r="R90" s="199"/>
      <c r="S90" s="199"/>
      <c r="T90" s="200"/>
      <c r="U90" s="199"/>
      <c r="V90" s="201"/>
      <c r="W90" s="199"/>
      <c r="X90" s="119"/>
      <c r="AA90" s="299">
        <v>20</v>
      </c>
      <c r="AB90" s="299" t="s">
        <v>93</v>
      </c>
      <c r="AF90" s="299">
        <f>SUM(O79:P80)</f>
        <v>0</v>
      </c>
    </row>
    <row r="91" spans="2:32" s="299" customFormat="1" ht="20.149999999999999" customHeight="1" thickTop="1" thickBot="1" x14ac:dyDescent="0.4">
      <c r="B91" s="2305" t="s">
        <v>174</v>
      </c>
      <c r="C91" s="2306"/>
      <c r="D91" s="2306"/>
      <c r="E91" s="2306"/>
      <c r="F91" s="2306"/>
      <c r="G91" s="2306"/>
      <c r="H91" s="2306"/>
      <c r="I91" s="2306"/>
      <c r="J91" s="2306"/>
      <c r="K91" s="2306"/>
      <c r="L91" s="2306"/>
      <c r="M91" s="2306"/>
      <c r="N91" s="2306"/>
      <c r="O91" s="2306"/>
      <c r="P91" s="2307"/>
      <c r="Q91" s="856">
        <v>10</v>
      </c>
      <c r="R91" s="42"/>
      <c r="S91" s="42"/>
      <c r="T91" s="89"/>
      <c r="U91" s="42"/>
      <c r="V91" s="34"/>
      <c r="W91" s="42"/>
      <c r="X91" s="111"/>
      <c r="AA91" s="299">
        <v>21</v>
      </c>
      <c r="AB91" s="299" t="s">
        <v>254</v>
      </c>
      <c r="AF91" s="299">
        <f>O83</f>
        <v>0</v>
      </c>
    </row>
    <row r="92" spans="2:32" s="299" customFormat="1" ht="20.149999999999999" customHeight="1" x14ac:dyDescent="0.35">
      <c r="B92" s="2114" t="s">
        <v>85</v>
      </c>
      <c r="C92" s="2115"/>
      <c r="D92" s="2571"/>
      <c r="E92" s="859">
        <f>Pricing!D41</f>
        <v>16</v>
      </c>
      <c r="F92" s="860" t="s">
        <v>117</v>
      </c>
      <c r="G92" s="861">
        <f>SUM(L57:M59)</f>
        <v>0</v>
      </c>
      <c r="H92" s="401" t="s">
        <v>190</v>
      </c>
      <c r="I92" s="42"/>
      <c r="J92" s="42"/>
      <c r="K92" s="42"/>
      <c r="L92" s="42"/>
      <c r="M92" s="42"/>
      <c r="N92" s="42"/>
      <c r="O92" s="2581">
        <f t="shared" ref="O92:O97" si="71">E92*G92</f>
        <v>0</v>
      </c>
      <c r="P92" s="2582"/>
      <c r="Q92" s="856">
        <v>10</v>
      </c>
      <c r="R92" s="42" t="s">
        <v>211</v>
      </c>
      <c r="S92" s="42"/>
      <c r="T92" s="89">
        <f>ROUNDUP(I71/300/55,0)</f>
        <v>0</v>
      </c>
      <c r="U92" s="42" t="s">
        <v>784</v>
      </c>
      <c r="V92" s="34">
        <f>Pricing!N42</f>
        <v>540</v>
      </c>
      <c r="W92" s="88" t="s">
        <v>295</v>
      </c>
      <c r="X92" s="118">
        <f>V92*T92</f>
        <v>0</v>
      </c>
      <c r="AA92" s="299">
        <v>22</v>
      </c>
      <c r="AB92" s="299" t="s">
        <v>255</v>
      </c>
      <c r="AF92" s="299">
        <f>SUM(L70:M76)</f>
        <v>0</v>
      </c>
    </row>
    <row r="93" spans="2:32" s="299" customFormat="1" ht="20.149999999999999" customHeight="1" thickBot="1" x14ac:dyDescent="0.4">
      <c r="B93" s="2114" t="s">
        <v>560</v>
      </c>
      <c r="C93" s="2115"/>
      <c r="D93" s="2571"/>
      <c r="E93" s="830">
        <v>3</v>
      </c>
      <c r="F93" s="401" t="s">
        <v>69</v>
      </c>
      <c r="G93" s="846"/>
      <c r="H93" s="401" t="s">
        <v>69</v>
      </c>
      <c r="I93" s="42"/>
      <c r="J93" s="42"/>
      <c r="K93" s="42"/>
      <c r="L93" s="42"/>
      <c r="M93" s="42"/>
      <c r="N93" s="42"/>
      <c r="O93" s="2572">
        <f t="shared" si="71"/>
        <v>0</v>
      </c>
      <c r="P93" s="2573"/>
      <c r="Q93" s="856">
        <v>10</v>
      </c>
      <c r="R93" s="75" t="s">
        <v>212</v>
      </c>
      <c r="S93" s="75"/>
      <c r="T93" s="107">
        <f>BF70</f>
        <v>0</v>
      </c>
      <c r="U93" s="75" t="s">
        <v>784</v>
      </c>
      <c r="V93" s="530">
        <f>Pricing!N43</f>
        <v>542</v>
      </c>
      <c r="W93" s="90" t="s">
        <v>295</v>
      </c>
      <c r="X93" s="119">
        <f>V93*T93</f>
        <v>0</v>
      </c>
      <c r="AA93" s="299">
        <v>23</v>
      </c>
      <c r="AB93" s="299" t="s">
        <v>256</v>
      </c>
      <c r="AF93" s="299">
        <f>O97</f>
        <v>0</v>
      </c>
    </row>
    <row r="94" spans="2:32" s="299" customFormat="1" ht="20.149999999999999" customHeight="1" thickTop="1" x14ac:dyDescent="0.35">
      <c r="B94" s="2114" t="s">
        <v>176</v>
      </c>
      <c r="C94" s="2115"/>
      <c r="D94" s="2571"/>
      <c r="E94" s="830">
        <v>0.25</v>
      </c>
      <c r="F94" s="452" t="s">
        <v>118</v>
      </c>
      <c r="G94" s="846"/>
      <c r="H94" s="401" t="s">
        <v>118</v>
      </c>
      <c r="I94" s="42"/>
      <c r="J94" s="42"/>
      <c r="K94" s="42"/>
      <c r="L94" s="42"/>
      <c r="M94" s="42"/>
      <c r="N94" s="42"/>
      <c r="O94" s="2572">
        <f t="shared" si="71"/>
        <v>0</v>
      </c>
      <c r="P94" s="2573"/>
      <c r="Q94" s="856"/>
      <c r="R94" s="42"/>
      <c r="S94" s="42"/>
      <c r="T94" s="42"/>
      <c r="U94" s="42"/>
      <c r="V94" s="154"/>
      <c r="W94" s="42"/>
      <c r="X94" s="111"/>
      <c r="AA94" s="299">
        <v>24</v>
      </c>
      <c r="AB94" s="299" t="s">
        <v>257</v>
      </c>
    </row>
    <row r="95" spans="2:32" s="299" customFormat="1" ht="20.149999999999999" customHeight="1" x14ac:dyDescent="0.35">
      <c r="B95" s="2574" t="s">
        <v>108</v>
      </c>
      <c r="C95" s="2575"/>
      <c r="D95" s="2576"/>
      <c r="E95" s="831"/>
      <c r="F95" s="453" t="s">
        <v>137</v>
      </c>
      <c r="G95" s="847">
        <v>1000</v>
      </c>
      <c r="H95" s="454" t="s">
        <v>794</v>
      </c>
      <c r="I95" s="42"/>
      <c r="J95" s="42"/>
      <c r="K95" s="42"/>
      <c r="L95" s="42"/>
      <c r="M95" s="42"/>
      <c r="N95" s="42"/>
      <c r="O95" s="2572">
        <f t="shared" si="71"/>
        <v>0</v>
      </c>
      <c r="P95" s="2573"/>
      <c r="Q95" s="856"/>
      <c r="R95" s="2315" t="s">
        <v>216</v>
      </c>
      <c r="S95" s="2315"/>
      <c r="T95" s="770">
        <v>18</v>
      </c>
      <c r="U95" s="770" t="s">
        <v>217</v>
      </c>
      <c r="V95" s="42"/>
      <c r="W95" s="42"/>
      <c r="X95" s="534"/>
      <c r="AA95" s="299">
        <v>25</v>
      </c>
      <c r="AB95" s="299" t="s">
        <v>258</v>
      </c>
    </row>
    <row r="96" spans="2:32" s="299" customFormat="1" ht="20.149999999999999" customHeight="1" thickBot="1" x14ac:dyDescent="0.4">
      <c r="B96" s="2114" t="s">
        <v>307</v>
      </c>
      <c r="C96" s="2115"/>
      <c r="D96" s="2571"/>
      <c r="E96" s="832"/>
      <c r="F96" s="425" t="s">
        <v>124</v>
      </c>
      <c r="G96" s="848">
        <v>525</v>
      </c>
      <c r="H96" s="106" t="s">
        <v>31</v>
      </c>
      <c r="I96" s="42"/>
      <c r="J96" s="42"/>
      <c r="K96" s="42"/>
      <c r="L96" s="42"/>
      <c r="M96" s="42"/>
      <c r="N96" s="42"/>
      <c r="O96" s="2572">
        <f t="shared" si="71"/>
        <v>0</v>
      </c>
      <c r="P96" s="2573"/>
      <c r="Q96" s="856"/>
      <c r="R96" s="49" t="s">
        <v>214</v>
      </c>
      <c r="S96" s="49"/>
      <c r="T96" s="49">
        <f>T68*12/T95</f>
        <v>0</v>
      </c>
      <c r="U96" s="49" t="s">
        <v>215</v>
      </c>
      <c r="V96" s="2313">
        <f>Pricing!D29</f>
        <v>1.75</v>
      </c>
      <c r="W96" s="2313"/>
      <c r="X96" s="22">
        <f>V96*T96</f>
        <v>0</v>
      </c>
      <c r="AA96" s="299">
        <v>30</v>
      </c>
      <c r="AB96" s="299" t="s">
        <v>259</v>
      </c>
      <c r="AF96" s="299">
        <f>O92</f>
        <v>0</v>
      </c>
    </row>
    <row r="97" spans="2:32" s="299" customFormat="1" ht="20.149999999999999" customHeight="1" thickBot="1" x14ac:dyDescent="0.4">
      <c r="B97" s="2577" t="s">
        <v>186</v>
      </c>
      <c r="C97" s="2233"/>
      <c r="D97" s="2578"/>
      <c r="E97" s="833"/>
      <c r="F97" s="455" t="s">
        <v>97</v>
      </c>
      <c r="G97" s="849">
        <v>250</v>
      </c>
      <c r="H97" s="422" t="s">
        <v>68</v>
      </c>
      <c r="I97" s="49"/>
      <c r="J97" s="49"/>
      <c r="K97" s="49"/>
      <c r="L97" s="49"/>
      <c r="M97" s="49"/>
      <c r="N97" s="49"/>
      <c r="O97" s="2579">
        <f t="shared" si="71"/>
        <v>0</v>
      </c>
      <c r="P97" s="2580"/>
      <c r="Q97" s="857"/>
      <c r="R97" s="298"/>
      <c r="S97" s="298"/>
      <c r="T97" s="298"/>
      <c r="U97" s="298"/>
      <c r="V97" s="298"/>
      <c r="W97" s="298"/>
      <c r="X97" s="1131">
        <f>SUM(X58:X96)</f>
        <v>0</v>
      </c>
      <c r="AA97" s="299">
        <v>31</v>
      </c>
      <c r="AB97" s="299" t="s">
        <v>744</v>
      </c>
    </row>
    <row r="98" spans="2:32" s="299" customFormat="1" ht="16" thickBot="1" x14ac:dyDescent="0.4">
      <c r="B98" s="898"/>
      <c r="C98" s="899"/>
      <c r="D98" s="899"/>
      <c r="E98" s="899"/>
      <c r="F98" s="899"/>
      <c r="G98" s="899"/>
      <c r="H98" s="899"/>
      <c r="I98" s="899"/>
      <c r="J98" s="899"/>
      <c r="K98" s="899"/>
      <c r="L98" s="900"/>
      <c r="M98" s="899"/>
      <c r="N98" s="899"/>
      <c r="O98" s="899"/>
      <c r="P98" s="899"/>
      <c r="Q98" s="899"/>
      <c r="R98" s="899"/>
      <c r="S98" s="899"/>
      <c r="T98" s="899"/>
      <c r="U98" s="899"/>
      <c r="V98" s="899"/>
      <c r="W98" s="899"/>
      <c r="X98" s="1115"/>
      <c r="AA98" s="299">
        <v>32</v>
      </c>
      <c r="AB98" s="299" t="s">
        <v>260</v>
      </c>
    </row>
    <row r="99" spans="2:32" s="299" customFormat="1" x14ac:dyDescent="0.35">
      <c r="B99" s="1987" t="s">
        <v>185</v>
      </c>
      <c r="C99" s="2041"/>
      <c r="D99" s="1988"/>
      <c r="E99" s="1987" t="s">
        <v>140</v>
      </c>
      <c r="F99" s="1988"/>
      <c r="G99" s="1987" t="s">
        <v>178</v>
      </c>
      <c r="H99" s="2041"/>
      <c r="I99" s="1988"/>
      <c r="J99" s="1935" t="s">
        <v>184</v>
      </c>
      <c r="K99" s="1936"/>
      <c r="L99" s="1937"/>
      <c r="M99" s="2044" t="s">
        <v>179</v>
      </c>
      <c r="N99" s="2045"/>
      <c r="O99" s="132"/>
      <c r="P99" s="133"/>
      <c r="Q99" s="897"/>
      <c r="R99" s="43" t="s">
        <v>34</v>
      </c>
      <c r="S99" s="42"/>
      <c r="T99" s="42" t="s">
        <v>758</v>
      </c>
      <c r="U99" s="728" t="str">
        <f>U46</f>
        <v>n</v>
      </c>
      <c r="V99" s="73" t="s">
        <v>298</v>
      </c>
      <c r="W99" s="729">
        <f>W46</f>
        <v>8.2500000000000004E-2</v>
      </c>
      <c r="X99" s="1113"/>
      <c r="AA99" s="299">
        <v>33</v>
      </c>
      <c r="AB99" s="299" t="s">
        <v>261</v>
      </c>
      <c r="AF99" s="299">
        <f>O96</f>
        <v>0</v>
      </c>
    </row>
    <row r="100" spans="2:32" s="299" customFormat="1" ht="16" thickBot="1" x14ac:dyDescent="0.4">
      <c r="B100" s="11" t="s">
        <v>180</v>
      </c>
      <c r="C100" s="1999">
        <f>C47</f>
        <v>0</v>
      </c>
      <c r="D100" s="2000"/>
      <c r="E100" s="2003">
        <f>E47</f>
        <v>0</v>
      </c>
      <c r="F100" s="2004"/>
      <c r="G100" s="15">
        <f>G47</f>
        <v>0</v>
      </c>
      <c r="H100" s="2042">
        <f>H47</f>
        <v>0</v>
      </c>
      <c r="I100" s="2043"/>
      <c r="J100" s="2064">
        <f>J47</f>
        <v>0</v>
      </c>
      <c r="K100" s="2065"/>
      <c r="L100" s="2066"/>
      <c r="M100" s="1879">
        <f>M47</f>
        <v>0.18</v>
      </c>
      <c r="N100" s="1880"/>
      <c r="O100" s="1880"/>
      <c r="P100" s="1881"/>
      <c r="Q100" s="902"/>
      <c r="R100" s="86" t="s">
        <v>50</v>
      </c>
      <c r="S100" s="42"/>
      <c r="T100" s="42"/>
      <c r="U100" s="1932">
        <f>U47</f>
        <v>0</v>
      </c>
      <c r="V100" s="1932"/>
      <c r="W100" s="42"/>
      <c r="X100" s="1113"/>
      <c r="AA100" s="299">
        <v>34</v>
      </c>
      <c r="AB100" s="299" t="s">
        <v>262</v>
      </c>
      <c r="AF100" s="299">
        <f>O94+O93</f>
        <v>0</v>
      </c>
    </row>
    <row r="101" spans="2:32" s="299" customFormat="1" ht="16" thickBot="1" x14ac:dyDescent="0.4">
      <c r="B101" s="889"/>
      <c r="C101" s="890"/>
      <c r="D101" s="890"/>
      <c r="E101" s="890"/>
      <c r="F101" s="890"/>
      <c r="G101" s="890"/>
      <c r="H101" s="890"/>
      <c r="I101" s="890"/>
      <c r="J101" s="890"/>
      <c r="K101" s="890"/>
      <c r="L101" s="890"/>
      <c r="M101" s="890"/>
      <c r="N101" s="890"/>
      <c r="O101" s="890"/>
      <c r="P101" s="890"/>
      <c r="Q101" s="890"/>
      <c r="R101" s="890"/>
      <c r="S101" s="890"/>
      <c r="T101" s="890"/>
      <c r="U101" s="890"/>
      <c r="V101" s="890"/>
      <c r="W101" s="890"/>
      <c r="X101" s="896"/>
      <c r="AA101" s="299">
        <v>35</v>
      </c>
      <c r="AB101" s="299" t="s">
        <v>263</v>
      </c>
    </row>
    <row r="102" spans="2:32" s="299" customFormat="1" x14ac:dyDescent="0.35"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AA102" s="299">
        <v>36</v>
      </c>
      <c r="AB102" s="299" t="s">
        <v>745</v>
      </c>
    </row>
    <row r="103" spans="2:32" s="299" customFormat="1" hidden="1" x14ac:dyDescent="0.35"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AA103" s="299">
        <v>39</v>
      </c>
      <c r="AB103" s="299" t="s">
        <v>264</v>
      </c>
    </row>
    <row r="104" spans="2:32" s="299" customFormat="1" hidden="1" x14ac:dyDescent="0.35"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AA104" s="299">
        <v>40</v>
      </c>
      <c r="AB104" s="299" t="s">
        <v>222</v>
      </c>
    </row>
    <row r="105" spans="2:32" s="299" customFormat="1" hidden="1" x14ac:dyDescent="0.35"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AA105" s="299">
        <v>41</v>
      </c>
      <c r="AB105" s="299" t="s">
        <v>265</v>
      </c>
    </row>
    <row r="106" spans="2:32" hidden="1" x14ac:dyDescent="0.35">
      <c r="AA106" s="299">
        <v>42</v>
      </c>
      <c r="AB106" s="299" t="s">
        <v>266</v>
      </c>
      <c r="AC106" s="299"/>
      <c r="AD106" s="299"/>
      <c r="AE106" s="299"/>
      <c r="AF106" s="299"/>
    </row>
    <row r="107" spans="2:32" hidden="1" x14ac:dyDescent="0.35">
      <c r="AA107" s="299">
        <v>44</v>
      </c>
      <c r="AB107" s="299" t="s">
        <v>267</v>
      </c>
      <c r="AC107" s="299"/>
      <c r="AD107" s="299"/>
      <c r="AE107" s="299"/>
      <c r="AF107" s="299"/>
    </row>
    <row r="108" spans="2:32" hidden="1" x14ac:dyDescent="0.35">
      <c r="AA108" s="299">
        <v>45</v>
      </c>
      <c r="AB108" s="299" t="s">
        <v>268</v>
      </c>
      <c r="AC108" s="299"/>
      <c r="AD108" s="299"/>
      <c r="AE108" s="299"/>
      <c r="AF108" s="299"/>
    </row>
    <row r="109" spans="2:32" hidden="1" x14ac:dyDescent="0.35">
      <c r="AA109" s="299">
        <v>46</v>
      </c>
      <c r="AB109" s="299" t="s">
        <v>269</v>
      </c>
      <c r="AC109" s="299"/>
      <c r="AD109" s="299"/>
      <c r="AE109" s="299"/>
      <c r="AF109" s="299"/>
    </row>
    <row r="110" spans="2:32" hidden="1" x14ac:dyDescent="0.35">
      <c r="AA110" s="299">
        <v>47</v>
      </c>
      <c r="AB110" s="299" t="s">
        <v>270</v>
      </c>
      <c r="AC110" s="299"/>
      <c r="AD110" s="299"/>
      <c r="AE110" s="299"/>
      <c r="AF110" s="299"/>
    </row>
    <row r="111" spans="2:32" hidden="1" x14ac:dyDescent="0.35">
      <c r="AA111" s="299">
        <v>48</v>
      </c>
      <c r="AB111" s="299" t="s">
        <v>271</v>
      </c>
      <c r="AC111" s="299"/>
      <c r="AD111" s="299"/>
      <c r="AE111" s="299"/>
      <c r="AF111" s="299"/>
    </row>
    <row r="112" spans="2:32" hidden="1" x14ac:dyDescent="0.35">
      <c r="AA112" s="299">
        <v>49</v>
      </c>
      <c r="AB112" s="299" t="s">
        <v>272</v>
      </c>
      <c r="AC112" s="299"/>
      <c r="AD112" s="299"/>
      <c r="AE112" s="299"/>
      <c r="AF112" s="299"/>
    </row>
    <row r="113" spans="27:32" hidden="1" x14ac:dyDescent="0.35">
      <c r="AA113" s="299">
        <v>50</v>
      </c>
      <c r="AB113" s="299" t="s">
        <v>718</v>
      </c>
      <c r="AC113" s="299"/>
      <c r="AD113" s="299"/>
      <c r="AE113" s="299"/>
      <c r="AF113" s="511">
        <f>SUM(O70:P76)-O75</f>
        <v>0</v>
      </c>
    </row>
    <row r="114" spans="27:32" hidden="1" x14ac:dyDescent="0.35">
      <c r="AA114" s="299">
        <v>51</v>
      </c>
      <c r="AB114" s="299" t="s">
        <v>712</v>
      </c>
      <c r="AC114" s="299"/>
      <c r="AD114" s="299"/>
      <c r="AE114" s="299"/>
      <c r="AF114" s="299"/>
    </row>
    <row r="115" spans="27:32" hidden="1" x14ac:dyDescent="0.35">
      <c r="AA115" s="299">
        <v>52</v>
      </c>
      <c r="AB115" s="299" t="s">
        <v>273</v>
      </c>
      <c r="AC115" s="299"/>
      <c r="AD115" s="299"/>
      <c r="AE115" s="299"/>
      <c r="AF115" s="299"/>
    </row>
    <row r="116" spans="27:32" hidden="1" x14ac:dyDescent="0.35">
      <c r="AA116" s="299">
        <v>56</v>
      </c>
      <c r="AB116" s="299" t="s">
        <v>274</v>
      </c>
      <c r="AC116" s="299"/>
      <c r="AD116" s="299"/>
      <c r="AE116" s="299"/>
      <c r="AF116" s="299"/>
    </row>
    <row r="117" spans="27:32" hidden="1" x14ac:dyDescent="0.35">
      <c r="AA117" s="299">
        <v>54</v>
      </c>
      <c r="AB117" s="299" t="s">
        <v>275</v>
      </c>
      <c r="AC117" s="299"/>
      <c r="AD117" s="299"/>
      <c r="AE117" s="299"/>
      <c r="AF117" s="299"/>
    </row>
    <row r="118" spans="27:32" hidden="1" x14ac:dyDescent="0.35">
      <c r="AA118" s="299">
        <v>55</v>
      </c>
      <c r="AB118" s="299" t="s">
        <v>276</v>
      </c>
      <c r="AC118" s="299"/>
      <c r="AD118" s="299"/>
      <c r="AE118" s="299"/>
      <c r="AF118" s="299"/>
    </row>
    <row r="119" spans="27:32" hidden="1" x14ac:dyDescent="0.35">
      <c r="AA119" s="299">
        <v>56</v>
      </c>
      <c r="AB119" s="299" t="s">
        <v>277</v>
      </c>
      <c r="AC119" s="299"/>
      <c r="AD119" s="299"/>
      <c r="AE119" s="299"/>
      <c r="AF119" s="299"/>
    </row>
    <row r="120" spans="27:32" hidden="1" x14ac:dyDescent="0.35">
      <c r="AA120" s="299">
        <v>57</v>
      </c>
      <c r="AB120" s="299" t="s">
        <v>278</v>
      </c>
      <c r="AC120" s="299"/>
      <c r="AD120" s="815"/>
      <c r="AE120" s="299"/>
      <c r="AF120" s="299"/>
    </row>
    <row r="121" spans="27:32" hidden="1" x14ac:dyDescent="0.35">
      <c r="AA121" s="299">
        <v>58</v>
      </c>
      <c r="AB121" s="299" t="s">
        <v>279</v>
      </c>
      <c r="AC121" s="299"/>
      <c r="AD121" s="299"/>
      <c r="AE121" s="299"/>
      <c r="AF121" s="299"/>
    </row>
    <row r="122" spans="27:32" hidden="1" x14ac:dyDescent="0.35">
      <c r="AA122" s="299">
        <v>59</v>
      </c>
      <c r="AB122" s="299" t="s">
        <v>280</v>
      </c>
      <c r="AC122" s="299"/>
      <c r="AD122" s="299"/>
      <c r="AE122" s="299"/>
      <c r="AF122" s="299">
        <f>O75</f>
        <v>0</v>
      </c>
    </row>
    <row r="123" spans="27:32" hidden="1" x14ac:dyDescent="0.35">
      <c r="AA123" s="299">
        <v>60</v>
      </c>
      <c r="AB123" s="299" t="s">
        <v>281</v>
      </c>
      <c r="AC123" s="299"/>
      <c r="AD123" s="299"/>
      <c r="AE123" s="299"/>
      <c r="AF123" s="299">
        <f>SUM(O85:P90)-O90</f>
        <v>0</v>
      </c>
    </row>
    <row r="124" spans="27:32" hidden="1" x14ac:dyDescent="0.35">
      <c r="AA124" s="299">
        <v>65</v>
      </c>
      <c r="AB124" s="299" t="s">
        <v>282</v>
      </c>
      <c r="AC124" s="299"/>
      <c r="AD124" s="299"/>
      <c r="AE124" s="299"/>
      <c r="AF124" s="299">
        <f>O90</f>
        <v>0</v>
      </c>
    </row>
    <row r="125" spans="27:32" hidden="1" x14ac:dyDescent="0.35">
      <c r="AA125">
        <v>99</v>
      </c>
      <c r="AB125" t="s">
        <v>893</v>
      </c>
      <c r="AF125" s="382">
        <f>X84</f>
        <v>0</v>
      </c>
    </row>
  </sheetData>
  <mergeCells count="206">
    <mergeCell ref="O5:P5"/>
    <mergeCell ref="J6:N6"/>
    <mergeCell ref="O6:P6"/>
    <mergeCell ref="Q6:R6"/>
    <mergeCell ref="U2:V2"/>
    <mergeCell ref="W2:X2"/>
    <mergeCell ref="B3:E3"/>
    <mergeCell ref="J3:N3"/>
    <mergeCell ref="O3:P3"/>
    <mergeCell ref="B4:E4"/>
    <mergeCell ref="J4:N4"/>
    <mergeCell ref="O4:P4"/>
    <mergeCell ref="D7:E7"/>
    <mergeCell ref="D8:E8"/>
    <mergeCell ref="G8:I8"/>
    <mergeCell ref="J8:N8"/>
    <mergeCell ref="E9:E10"/>
    <mergeCell ref="F9:H9"/>
    <mergeCell ref="I9:K9"/>
    <mergeCell ref="L9:N9"/>
    <mergeCell ref="B5:E5"/>
    <mergeCell ref="J5:N5"/>
    <mergeCell ref="AA9:AA10"/>
    <mergeCell ref="AB9:AB10"/>
    <mergeCell ref="B10:C10"/>
    <mergeCell ref="B11:C11"/>
    <mergeCell ref="B12:C12"/>
    <mergeCell ref="B13:C13"/>
    <mergeCell ref="O9:Q9"/>
    <mergeCell ref="T9:V9"/>
    <mergeCell ref="W9:W10"/>
    <mergeCell ref="X9:X10"/>
    <mergeCell ref="Y9:Y10"/>
    <mergeCell ref="Z9:Z10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P43:S43"/>
    <mergeCell ref="P44:S44"/>
    <mergeCell ref="B46:D46"/>
    <mergeCell ref="E46:F46"/>
    <mergeCell ref="G46:I46"/>
    <mergeCell ref="J46:L46"/>
    <mergeCell ref="M46:N46"/>
    <mergeCell ref="B38:C38"/>
    <mergeCell ref="B39:C39"/>
    <mergeCell ref="B40:C40"/>
    <mergeCell ref="B41:C41"/>
    <mergeCell ref="B42:C42"/>
    <mergeCell ref="F43:I43"/>
    <mergeCell ref="C48:D48"/>
    <mergeCell ref="E48:F48"/>
    <mergeCell ref="G48:H48"/>
    <mergeCell ref="K48:L48"/>
    <mergeCell ref="N48:O48"/>
    <mergeCell ref="U48:V48"/>
    <mergeCell ref="C47:D47"/>
    <mergeCell ref="E47:F47"/>
    <mergeCell ref="H47:I47"/>
    <mergeCell ref="J47:L47"/>
    <mergeCell ref="M47:P47"/>
    <mergeCell ref="U47:V47"/>
    <mergeCell ref="O59:P59"/>
    <mergeCell ref="I60:J60"/>
    <mergeCell ref="L60:M60"/>
    <mergeCell ref="O60:P60"/>
    <mergeCell ref="I61:J61"/>
    <mergeCell ref="L61:M61"/>
    <mergeCell ref="O61:P61"/>
    <mergeCell ref="U54:V54"/>
    <mergeCell ref="C56:P56"/>
    <mergeCell ref="R56:S56"/>
    <mergeCell ref="I57:J59"/>
    <mergeCell ref="K57:K59"/>
    <mergeCell ref="L57:M57"/>
    <mergeCell ref="O57:P57"/>
    <mergeCell ref="L58:M58"/>
    <mergeCell ref="O58:P58"/>
    <mergeCell ref="L59:M59"/>
    <mergeCell ref="J62:K62"/>
    <mergeCell ref="L62:M62"/>
    <mergeCell ref="O62:P62"/>
    <mergeCell ref="I63:J64"/>
    <mergeCell ref="K63:K64"/>
    <mergeCell ref="L63:M63"/>
    <mergeCell ref="O63:P63"/>
    <mergeCell ref="L64:M64"/>
    <mergeCell ref="O64:P64"/>
    <mergeCell ref="I65:J67"/>
    <mergeCell ref="K65:K67"/>
    <mergeCell ref="L65:M65"/>
    <mergeCell ref="O65:P65"/>
    <mergeCell ref="B66:D66"/>
    <mergeCell ref="L66:M66"/>
    <mergeCell ref="O66:P66"/>
    <mergeCell ref="B67:D67"/>
    <mergeCell ref="L67:M67"/>
    <mergeCell ref="O67:P67"/>
    <mergeCell ref="I68:J68"/>
    <mergeCell ref="L68:M68"/>
    <mergeCell ref="O68:P68"/>
    <mergeCell ref="L69:M69"/>
    <mergeCell ref="N69:P69"/>
    <mergeCell ref="E70:F70"/>
    <mergeCell ref="I70:J70"/>
    <mergeCell ref="L70:M70"/>
    <mergeCell ref="O70:P70"/>
    <mergeCell ref="E71:F71"/>
    <mergeCell ref="H71:H73"/>
    <mergeCell ref="I71:J74"/>
    <mergeCell ref="L71:M71"/>
    <mergeCell ref="O71:P71"/>
    <mergeCell ref="E72:F72"/>
    <mergeCell ref="L72:M72"/>
    <mergeCell ref="O72:P72"/>
    <mergeCell ref="E73:F73"/>
    <mergeCell ref="L73:M73"/>
    <mergeCell ref="E76:F76"/>
    <mergeCell ref="I76:J76"/>
    <mergeCell ref="L76:M76"/>
    <mergeCell ref="O76:P76"/>
    <mergeCell ref="E77:F77"/>
    <mergeCell ref="I77:K77"/>
    <mergeCell ref="L77:M77"/>
    <mergeCell ref="O77:P77"/>
    <mergeCell ref="O73:P73"/>
    <mergeCell ref="E74:F74"/>
    <mergeCell ref="L74:M74"/>
    <mergeCell ref="O74:P74"/>
    <mergeCell ref="E75:F75"/>
    <mergeCell ref="I75:J75"/>
    <mergeCell ref="L75:M75"/>
    <mergeCell ref="O75:P75"/>
    <mergeCell ref="B84:P84"/>
    <mergeCell ref="V84:W84"/>
    <mergeCell ref="B85:D85"/>
    <mergeCell ref="O85:P85"/>
    <mergeCell ref="B86:D86"/>
    <mergeCell ref="J86:K86"/>
    <mergeCell ref="M86:N86"/>
    <mergeCell ref="O86:P86"/>
    <mergeCell ref="B78:P78"/>
    <mergeCell ref="M79:N79"/>
    <mergeCell ref="O79:P79"/>
    <mergeCell ref="M80:N80"/>
    <mergeCell ref="O80:P80"/>
    <mergeCell ref="O83:P83"/>
    <mergeCell ref="O81:P81"/>
    <mergeCell ref="O82:P82"/>
    <mergeCell ref="B89:D89"/>
    <mergeCell ref="O89:P89"/>
    <mergeCell ref="B90:D90"/>
    <mergeCell ref="O90:P90"/>
    <mergeCell ref="B91:P91"/>
    <mergeCell ref="B92:D92"/>
    <mergeCell ref="O92:P92"/>
    <mergeCell ref="B87:D87"/>
    <mergeCell ref="J87:K88"/>
    <mergeCell ref="M87:N87"/>
    <mergeCell ref="O87:P87"/>
    <mergeCell ref="B88:D88"/>
    <mergeCell ref="O88:P88"/>
    <mergeCell ref="R95:S95"/>
    <mergeCell ref="B96:D96"/>
    <mergeCell ref="O96:P96"/>
    <mergeCell ref="V96:W96"/>
    <mergeCell ref="B97:D97"/>
    <mergeCell ref="O97:P97"/>
    <mergeCell ref="B93:D93"/>
    <mergeCell ref="O93:P93"/>
    <mergeCell ref="B94:D94"/>
    <mergeCell ref="O94:P94"/>
    <mergeCell ref="B95:D95"/>
    <mergeCell ref="O95:P95"/>
    <mergeCell ref="U100:V100"/>
    <mergeCell ref="B99:D99"/>
    <mergeCell ref="E99:F99"/>
    <mergeCell ref="G99:I99"/>
    <mergeCell ref="J99:L99"/>
    <mergeCell ref="M99:N99"/>
    <mergeCell ref="C100:D100"/>
    <mergeCell ref="E100:F100"/>
    <mergeCell ref="H100:I100"/>
    <mergeCell ref="J100:L100"/>
    <mergeCell ref="M100:P100"/>
  </mergeCells>
  <printOptions gridLines="1"/>
  <pageMargins left="0.25" right="0.21" top="0.6" bottom="0.65" header="0.35" footer="0.5"/>
  <pageSetup paperSize="5" scale="55" orientation="landscape" horizontalDpi="1200" verticalDpi="1200" r:id="rId1"/>
  <headerFooter alignWithMargins="0">
    <oddHeader>&amp;L&amp;16           &amp;A&amp;C&amp;20&amp;F&amp;R&amp;16&amp;D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B406-173D-480F-8E46-9E71206AB64B}">
  <dimension ref="B1:BO119"/>
  <sheetViews>
    <sheetView topLeftCell="A50" zoomScale="85" zoomScaleNormal="85" workbookViewId="0">
      <selection activeCell="F14" sqref="F14:H16"/>
    </sheetView>
  </sheetViews>
  <sheetFormatPr defaultColWidth="6.1796875" defaultRowHeight="15.5" zeroHeight="1" x14ac:dyDescent="0.35"/>
  <cols>
    <col min="1" max="1" width="2.453125" customWidth="1"/>
    <col min="2" max="2" width="9.54296875" style="42" customWidth="1"/>
    <col min="3" max="3" width="10.453125" style="42" customWidth="1"/>
    <col min="4" max="4" width="7" style="42" customWidth="1"/>
    <col min="5" max="5" width="10.81640625" style="42" customWidth="1"/>
    <col min="6" max="6" width="13.81640625" style="42" customWidth="1"/>
    <col min="7" max="7" width="13" style="42" customWidth="1"/>
    <col min="8" max="18" width="9.7265625" style="42" customWidth="1"/>
    <col min="19" max="19" width="14" style="42" customWidth="1"/>
    <col min="20" max="20" width="10.7265625" style="42" customWidth="1"/>
    <col min="21" max="21" width="9.453125" style="42" customWidth="1"/>
    <col min="22" max="22" width="12.453125" style="42" customWidth="1"/>
    <col min="23" max="23" width="12.1796875" style="42" customWidth="1"/>
    <col min="24" max="24" width="15.1796875" style="42" customWidth="1"/>
    <col min="25" max="25" width="16.54296875" bestFit="1" customWidth="1"/>
    <col min="26" max="26" width="17.90625" bestFit="1" customWidth="1"/>
    <col min="27" max="27" width="10.6328125" bestFit="1" customWidth="1"/>
    <col min="28" max="28" width="25.453125" bestFit="1" customWidth="1"/>
    <col min="32" max="32" width="11.81640625" bestFit="1" customWidth="1"/>
    <col min="35" max="35" width="6.6328125" bestFit="1" customWidth="1"/>
    <col min="36" max="36" width="18.81640625" bestFit="1" customWidth="1"/>
    <col min="37" max="38" width="6.6328125" bestFit="1" customWidth="1"/>
    <col min="39" max="39" width="6.08984375" bestFit="1" customWidth="1"/>
    <col min="40" max="40" width="6.6328125" bestFit="1" customWidth="1"/>
    <col min="41" max="41" width="11.81640625" bestFit="1" customWidth="1"/>
    <col min="42" max="42" width="16.453125" bestFit="1" customWidth="1"/>
    <col min="43" max="44" width="6.6328125" bestFit="1" customWidth="1"/>
    <col min="45" max="45" width="6.08984375" bestFit="1" customWidth="1"/>
    <col min="46" max="46" width="6.6328125" bestFit="1" customWidth="1"/>
    <col min="47" max="47" width="20.1796875" bestFit="1" customWidth="1"/>
    <col min="48" max="48" width="24" bestFit="1" customWidth="1"/>
    <col min="49" max="49" width="12.90625" bestFit="1" customWidth="1"/>
    <col min="50" max="50" width="12.08984375" bestFit="1" customWidth="1"/>
    <col min="51" max="51" width="8.26953125" bestFit="1" customWidth="1"/>
    <col min="52" max="52" width="14.36328125" bestFit="1" customWidth="1"/>
    <col min="53" max="54" width="1.90625" bestFit="1" customWidth="1"/>
    <col min="55" max="55" width="11.81640625" bestFit="1" customWidth="1"/>
    <col min="56" max="56" width="16.36328125" bestFit="1" customWidth="1"/>
    <col min="57" max="57" width="15" bestFit="1" customWidth="1"/>
    <col min="58" max="58" width="14.54296875" bestFit="1" customWidth="1"/>
    <col min="59" max="59" width="13.1796875" bestFit="1" customWidth="1"/>
    <col min="60" max="60" width="17.08984375" bestFit="1" customWidth="1"/>
    <col min="61" max="61" width="21.08984375" bestFit="1" customWidth="1"/>
    <col min="62" max="62" width="11.81640625" bestFit="1" customWidth="1"/>
    <col min="63" max="63" width="14" bestFit="1" customWidth="1"/>
    <col min="64" max="64" width="1.90625" bestFit="1" customWidth="1"/>
    <col min="65" max="65" width="12.7265625" bestFit="1" customWidth="1"/>
    <col min="66" max="67" width="11.81640625" bestFit="1" customWidth="1"/>
    <col min="16384" max="16384" width="15.81640625" customWidth="1"/>
  </cols>
  <sheetData>
    <row r="1" spans="2:67" ht="16" thickBot="1" x14ac:dyDescent="0.4"/>
    <row r="2" spans="2:67" s="299" customFormat="1" ht="15.75" customHeight="1" thickBot="1" x14ac:dyDescent="0.4">
      <c r="B2" s="937" t="s">
        <v>303</v>
      </c>
      <c r="C2" s="897"/>
      <c r="D2" s="897"/>
      <c r="E2" s="897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48"/>
      <c r="U2" s="2615" t="s">
        <v>305</v>
      </c>
      <c r="V2" s="2615"/>
      <c r="W2" s="2648">
        <v>37456</v>
      </c>
      <c r="X2" s="2649"/>
      <c r="AF2" s="299">
        <f>SUM(AF65:AF119)</f>
        <v>0</v>
      </c>
    </row>
    <row r="3" spans="2:67" s="299" customFormat="1" ht="26.25" customHeight="1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S3" s="298"/>
      <c r="T3" s="298"/>
      <c r="U3" s="792" t="s">
        <v>304</v>
      </c>
      <c r="V3" s="942"/>
      <c r="W3" s="1765" t="str">
        <f>Information!C8</f>
        <v>Chad McKinney</v>
      </c>
      <c r="X3" s="1768"/>
    </row>
    <row r="4" spans="2:67" s="299" customFormat="1" ht="18" customHeight="1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2223">
        <f>Summary!K3</f>
        <v>0</v>
      </c>
      <c r="K4" s="2224"/>
      <c r="L4" s="2224"/>
      <c r="M4" s="2224"/>
      <c r="N4" s="2224"/>
      <c r="O4" s="2523">
        <f>Summary!O3</f>
        <v>0</v>
      </c>
      <c r="P4" s="2523"/>
      <c r="Q4" s="1964">
        <f>Summary!P3</f>
        <v>0</v>
      </c>
      <c r="R4" s="1965"/>
      <c r="S4" s="298"/>
      <c r="T4" s="298"/>
      <c r="U4" s="790"/>
      <c r="V4" s="770"/>
      <c r="W4" s="1769"/>
      <c r="X4" s="1770"/>
    </row>
    <row r="5" spans="2:67" s="299" customFormat="1" ht="18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2273">
        <f>Summary!K4</f>
        <v>0</v>
      </c>
      <c r="K5" s="2274"/>
      <c r="L5" s="2274"/>
      <c r="M5" s="2274"/>
      <c r="N5" s="2274"/>
      <c r="O5" s="1969">
        <f>Summary!O4</f>
        <v>0</v>
      </c>
      <c r="P5" s="1969"/>
      <c r="Q5" s="1927">
        <f>Summary!P4</f>
        <v>0</v>
      </c>
      <c r="R5" s="1928"/>
      <c r="S5" s="298"/>
      <c r="T5" s="298"/>
      <c r="U5" s="790" t="str">
        <f>Information!H5</f>
        <v>Approved by Chad:</v>
      </c>
      <c r="V5" s="770"/>
      <c r="W5" s="1766"/>
      <c r="X5" s="1771"/>
    </row>
    <row r="6" spans="2:67" s="299" customFormat="1" ht="18" customHeight="1" x14ac:dyDescent="0.35">
      <c r="B6" s="92" t="s">
        <v>115</v>
      </c>
      <c r="C6" s="298"/>
      <c r="D6" s="57" t="s">
        <v>125</v>
      </c>
      <c r="E6" s="42"/>
      <c r="F6" s="298"/>
      <c r="G6" s="298"/>
      <c r="H6" s="938"/>
      <c r="I6" s="939" t="s">
        <v>134</v>
      </c>
      <c r="J6" s="2273">
        <f>Summary!K5</f>
        <v>0</v>
      </c>
      <c r="K6" s="2274"/>
      <c r="L6" s="2274"/>
      <c r="M6" s="2274"/>
      <c r="N6" s="2274"/>
      <c r="O6" s="1969">
        <f>Summary!O5</f>
        <v>0</v>
      </c>
      <c r="P6" s="1969"/>
      <c r="Q6" s="1927">
        <f>Summary!P5</f>
        <v>0</v>
      </c>
      <c r="R6" s="1928"/>
      <c r="S6" s="298"/>
      <c r="T6" s="298"/>
      <c r="U6" s="790"/>
      <c r="V6" s="770"/>
      <c r="W6" s="1769"/>
      <c r="X6" s="1770"/>
    </row>
    <row r="7" spans="2:67" s="299" customFormat="1" ht="18" customHeight="1" thickBot="1" x14ac:dyDescent="0.4">
      <c r="B7" s="816">
        <v>0</v>
      </c>
      <c r="C7" s="298"/>
      <c r="D7" s="2650">
        <v>0</v>
      </c>
      <c r="E7" s="2651"/>
      <c r="F7" s="298"/>
      <c r="G7" s="298"/>
      <c r="H7" s="889"/>
      <c r="I7" s="940" t="s">
        <v>135</v>
      </c>
      <c r="J7" s="2228">
        <f>Summary!K6</f>
        <v>0</v>
      </c>
      <c r="K7" s="2229"/>
      <c r="L7" s="2229"/>
      <c r="M7" s="2229"/>
      <c r="N7" s="2229"/>
      <c r="O7" s="2519">
        <f>Summary!O6</f>
        <v>0</v>
      </c>
      <c r="P7" s="2519"/>
      <c r="Q7" s="1970">
        <f>Summary!P6</f>
        <v>0</v>
      </c>
      <c r="R7" s="1971"/>
      <c r="S7" s="298"/>
      <c r="T7" s="298"/>
      <c r="U7" s="791" t="str">
        <f>Information!H6</f>
        <v>Approved by Edward:</v>
      </c>
      <c r="V7" s="947"/>
      <c r="W7" s="1767"/>
      <c r="X7" s="1772"/>
    </row>
    <row r="8" spans="2:67" s="299" customFormat="1" ht="18" customHeight="1" thickBot="1" x14ac:dyDescent="0.4">
      <c r="B8" s="817">
        <v>0</v>
      </c>
      <c r="C8" s="298"/>
      <c r="D8" s="2652">
        <v>0</v>
      </c>
      <c r="E8" s="2653"/>
      <c r="F8" s="298"/>
      <c r="G8" s="1962" t="s">
        <v>308</v>
      </c>
      <c r="H8" s="1962"/>
      <c r="I8" s="1962"/>
      <c r="J8" s="2308" t="str">
        <f>Pricing!A2</f>
        <v>Martin Marrieta</v>
      </c>
      <c r="K8" s="2308"/>
      <c r="L8" s="2308"/>
      <c r="M8" s="2308"/>
      <c r="N8" s="2308"/>
      <c r="O8" s="306"/>
      <c r="P8" s="306"/>
      <c r="Q8" s="306"/>
      <c r="R8" s="306"/>
      <c r="S8" s="306"/>
      <c r="T8" s="298"/>
      <c r="U8" s="298"/>
      <c r="V8" s="298"/>
      <c r="W8" s="298"/>
      <c r="X8" s="310"/>
    </row>
    <row r="9" spans="2:67" s="299" customFormat="1" ht="25.5" customHeight="1" thickBot="1" x14ac:dyDescent="0.4">
      <c r="B9" s="798"/>
      <c r="C9" s="799"/>
      <c r="D9" s="1132"/>
      <c r="E9" s="2506" t="s">
        <v>35</v>
      </c>
      <c r="F9" s="1917" t="s">
        <v>1049</v>
      </c>
      <c r="G9" s="2236"/>
      <c r="H9" s="2642"/>
      <c r="I9" s="2643" t="s">
        <v>1047</v>
      </c>
      <c r="J9" s="2236"/>
      <c r="K9" s="2642"/>
      <c r="L9" s="2643" t="s">
        <v>1048</v>
      </c>
      <c r="M9" s="2236"/>
      <c r="N9" s="2236"/>
      <c r="O9" s="2644" t="s">
        <v>1052</v>
      </c>
      <c r="P9" s="2645"/>
      <c r="Q9" s="2645"/>
      <c r="R9" s="2645"/>
      <c r="S9" s="1133"/>
      <c r="T9" s="1917" t="s">
        <v>333</v>
      </c>
      <c r="U9" s="1917"/>
      <c r="V9" s="1982"/>
      <c r="W9" s="2501" t="s">
        <v>296</v>
      </c>
      <c r="X9" s="2503" t="s">
        <v>64</v>
      </c>
      <c r="Y9" s="2510" t="s">
        <v>1062</v>
      </c>
      <c r="Z9" s="2503" t="s">
        <v>1063</v>
      </c>
      <c r="AJ9" s="299" t="s">
        <v>548</v>
      </c>
      <c r="AP9" s="299" t="s">
        <v>547</v>
      </c>
    </row>
    <row r="10" spans="2:67" s="299" customFormat="1" ht="33" customHeight="1" thickBot="1" x14ac:dyDescent="0.4">
      <c r="B10" s="2640" t="s">
        <v>1042</v>
      </c>
      <c r="C10" s="2638"/>
      <c r="D10" s="1134" t="s">
        <v>52</v>
      </c>
      <c r="E10" s="2641"/>
      <c r="F10" s="1073" t="s">
        <v>61</v>
      </c>
      <c r="G10" s="1078" t="s">
        <v>1051</v>
      </c>
      <c r="H10" s="1071" t="s">
        <v>538</v>
      </c>
      <c r="I10" s="1078" t="s">
        <v>29</v>
      </c>
      <c r="J10" s="1078" t="s">
        <v>28</v>
      </c>
      <c r="K10" s="1073" t="s">
        <v>540</v>
      </c>
      <c r="L10" s="1078" t="s">
        <v>29</v>
      </c>
      <c r="M10" s="1076" t="s">
        <v>28</v>
      </c>
      <c r="N10" s="1078" t="s">
        <v>539</v>
      </c>
      <c r="O10" s="2646"/>
      <c r="P10" s="2647"/>
      <c r="Q10" s="2647"/>
      <c r="R10" s="2647"/>
      <c r="S10" s="1077"/>
      <c r="T10" s="1135" t="s">
        <v>52</v>
      </c>
      <c r="U10" s="1076" t="s">
        <v>506</v>
      </c>
      <c r="V10" s="1073" t="s">
        <v>501</v>
      </c>
      <c r="W10" s="2638"/>
      <c r="X10" s="2639"/>
      <c r="Y10" s="2511"/>
      <c r="Z10" s="2504"/>
      <c r="AI10" s="299" t="s">
        <v>227</v>
      </c>
      <c r="AJ10" s="299" t="s">
        <v>228</v>
      </c>
      <c r="AK10" s="299" t="s">
        <v>229</v>
      </c>
      <c r="AL10" s="299" t="s">
        <v>230</v>
      </c>
      <c r="AM10" s="299" t="s">
        <v>231</v>
      </c>
      <c r="AN10" s="299" t="s">
        <v>232</v>
      </c>
      <c r="AO10" s="299" t="s">
        <v>227</v>
      </c>
      <c r="AP10" s="299" t="s">
        <v>228</v>
      </c>
      <c r="AQ10" s="299" t="s">
        <v>229</v>
      </c>
      <c r="AR10" s="299" t="s">
        <v>230</v>
      </c>
      <c r="AS10" s="299" t="s">
        <v>231</v>
      </c>
      <c r="AT10" s="299" t="s">
        <v>232</v>
      </c>
      <c r="AU10" s="299" t="s">
        <v>550</v>
      </c>
      <c r="AV10" s="299" t="s">
        <v>549</v>
      </c>
      <c r="AW10" s="299" t="s">
        <v>82</v>
      </c>
      <c r="AX10" s="299" t="s">
        <v>330</v>
      </c>
      <c r="AY10" s="299" t="s">
        <v>331</v>
      </c>
      <c r="AZ10" s="299" t="s">
        <v>542</v>
      </c>
      <c r="BC10" s="299" t="s">
        <v>10</v>
      </c>
      <c r="BD10" s="299" t="s">
        <v>337</v>
      </c>
      <c r="BE10" s="299" t="s">
        <v>338</v>
      </c>
      <c r="BF10" s="299" t="s">
        <v>543</v>
      </c>
      <c r="BG10" s="299" t="s">
        <v>340</v>
      </c>
      <c r="BH10" s="299" t="s">
        <v>341</v>
      </c>
      <c r="BI10" s="299" t="s">
        <v>342</v>
      </c>
      <c r="BK10" s="299" t="s">
        <v>546</v>
      </c>
      <c r="BM10" s="299" t="s">
        <v>551</v>
      </c>
      <c r="BN10" s="299" t="s">
        <v>545</v>
      </c>
      <c r="BO10" s="299" t="s">
        <v>552</v>
      </c>
    </row>
    <row r="11" spans="2:67" s="299" customFormat="1" ht="18" customHeight="1" thickTop="1" x14ac:dyDescent="0.35">
      <c r="B11" s="2547" t="s">
        <v>1131</v>
      </c>
      <c r="C11" s="1980"/>
      <c r="D11" s="625"/>
      <c r="E11" s="626">
        <v>1</v>
      </c>
      <c r="F11" s="1139"/>
      <c r="G11" s="176"/>
      <c r="H11" s="126"/>
      <c r="I11" s="125"/>
      <c r="J11" s="176"/>
      <c r="K11" s="126"/>
      <c r="L11" s="125"/>
      <c r="M11" s="176"/>
      <c r="N11" s="176"/>
      <c r="O11" s="234"/>
      <c r="P11" s="176"/>
      <c r="Q11" s="176"/>
      <c r="R11" s="184"/>
      <c r="S11" s="185"/>
      <c r="T11" s="1138">
        <v>0</v>
      </c>
      <c r="U11" s="106"/>
      <c r="V11" s="427"/>
      <c r="W11" s="1136">
        <f>((F11*J11/16*J11/16*10.680159*K11*2)*IF(I11=0,0,((G11*12)/I11))+((G11)*M11/16*M11/16*10.680159*N11*2)*IF(L11=0,0,(F11*12/L11))+(F11*IF(Q11=0,0,(O11*12)/Q11)*R11/16*R11/16*10.680159*S11)+(IF(Q11=0,0,F11/Q11*(O11*12))*R11/16*R11/16*10.680159*S11)+((U11+V11)/12+4)*IF(I11=0,0,((G11*12)/I11))*J11/16*J11/16*10.680159)*(1+K$54)*D11</f>
        <v>0</v>
      </c>
      <c r="X11" s="1137">
        <f>((F11*G11*H11/324)+ROUNDUP(T11*U11*V11*H11/46656,0)+(F11*O11*P11/324))*(1+K$51)*D11</f>
        <v>0</v>
      </c>
      <c r="Y11" s="1591" t="e">
        <f>BN11*(1+M$41+Summary!P$64)</f>
        <v>#DIV/0!</v>
      </c>
      <c r="Z11" s="1592" t="e">
        <f>Y11/D11</f>
        <v>#DIV/0!</v>
      </c>
      <c r="AI11" s="299">
        <f t="shared" ref="AI11:AI36" si="0">IF($S$9=1,$O11*$P11*$F11/3888*(1+$K$51),0)</f>
        <v>0</v>
      </c>
      <c r="AJ11" s="299">
        <f t="shared" ref="AJ11:AJ36" si="1">IF($S$9=2,$O11*$P11*$F11/3888*(1+$K$51),0)</f>
        <v>0</v>
      </c>
      <c r="AK11" s="299">
        <f t="shared" ref="AK11:AK36" si="2">IF($S$9=3,$O11*$P11*$F11/3888*(1+$K$51),0)</f>
        <v>0</v>
      </c>
      <c r="AL11" s="299">
        <f t="shared" ref="AL11:AL36" si="3">IF($S$9=4,$O11*$P11*$F11/3888*(1+$K$51),0)</f>
        <v>0</v>
      </c>
      <c r="AM11" s="299">
        <f t="shared" ref="AM11:AM36" si="4">IF($S$9=5,$O11*$P11*$F11/3888*(1+$K$51),0)</f>
        <v>0</v>
      </c>
      <c r="AN11" s="299">
        <f t="shared" ref="AN11:AN36" si="5">IF($S$9=6,$O11*$P11*$F11/3888*(1+$K$51),0)</f>
        <v>0</v>
      </c>
      <c r="AO11" s="299">
        <f>IF($E11=1,$X11-SUM($AI11:$AN11),0)</f>
        <v>0</v>
      </c>
      <c r="AP11" s="299">
        <f>IF($E11=2,X11-SUM($AI11:$AN11),0)</f>
        <v>0</v>
      </c>
      <c r="AQ11" s="299">
        <f>IF($E11=3,X11-SUM($AI11:$AN11),0)</f>
        <v>0</v>
      </c>
      <c r="AR11" s="299">
        <f>IF($E11=4,X11-SUM($AI11:$AN11),0)</f>
        <v>0</v>
      </c>
      <c r="AS11" s="299">
        <f>IF($E11=5,X11-SUM($AI11:$AN11),0)</f>
        <v>0</v>
      </c>
      <c r="AT11" s="299">
        <f>IF($E11=6,X11-SUM($AI11:$AN11),0)</f>
        <v>0</v>
      </c>
      <c r="AU11" s="299">
        <f>SUM(AI11:AN11)</f>
        <v>0</v>
      </c>
      <c r="AV11" s="299">
        <f>SUM(AO11:AT11)</f>
        <v>0</v>
      </c>
      <c r="AW11" s="510">
        <f>W11</f>
        <v>0</v>
      </c>
      <c r="AX11" s="299">
        <f>(F11*H11/12*2+(V11*V11*H11/1728*T11))*D11</f>
        <v>0</v>
      </c>
      <c r="AY11" s="299">
        <f>AX11/2</f>
        <v>0</v>
      </c>
      <c r="AZ11" s="299">
        <f>(O11*F11/12)*D11</f>
        <v>0</v>
      </c>
      <c r="BC11" s="299">
        <f t="shared" ref="BC11:BC36" si="6">W11*G$54*IF(U$40="N",(1+W$40),1)</f>
        <v>0</v>
      </c>
      <c r="BD11" s="299">
        <f>(AO11*Pricing!F$2+AP11*Pricing!G$2+AQ11*Pricing!H$2+AR11*Pricing!I$2+AS11*Pricing!J$2+AT11*Pricing!K$2+AI11*Pricing!F$2+AJ11*Pricing!G$2+AK11*Pricing!H$2+AL11*Pricing!I$2+AM11*Pricing!J$2+AN11*Pricing!K$2)*IF(U$40="N",(1+W$40),1)</f>
        <v>0</v>
      </c>
      <c r="BE11" s="299">
        <f t="shared" ref="BE11:BE36" si="7">AY11*(H$65+E$68)</f>
        <v>0</v>
      </c>
      <c r="BF11" s="299">
        <f t="shared" ref="BF11:BF36" si="8">AZ11*E$64</f>
        <v>0</v>
      </c>
      <c r="BG11" s="299">
        <f t="shared" ref="BG11:BG36" si="9">W11/2000*E$69</f>
        <v>0</v>
      </c>
      <c r="BH11" s="511" t="e">
        <f>I$70/E$37*F11*E$70</f>
        <v>#DIV/0!</v>
      </c>
      <c r="BI11" s="299">
        <f t="shared" ref="BI11:BI36" si="10">IF(SUM(AY$37:AZ$37)=0,0,(SUM(O$73:P$77)+SUM(O$79:P$84)+SUM(O$86:P$91)+X$91)/SUM(AY$37:AZ$37)*(AY11+AZ11))</f>
        <v>0</v>
      </c>
      <c r="BK11" s="299">
        <f t="shared" ref="BK11:BK33" si="11">IF(SUM(AY$37:AZ$37)=0,0,(BI$37-X$56-O$62-X52-(M$74*0.15))/SUM(AY$37:AZ$37)*AZ11+BF11)</f>
        <v>0</v>
      </c>
      <c r="BL11" s="299">
        <f>(AI11*Pricing!F$2+AJ11*Pricing!G$2+AK11*Pricing!H$2+AL11*Pricing!I$2+AM11*Pricing!J$2+AN11*Pricing!K$2)*IF(U$40="N",(1+W$40),1)</f>
        <v>0</v>
      </c>
      <c r="BM11" s="299">
        <f>IF(AZ11=0,0,(BK11+BL11)/AZ11)</f>
        <v>0</v>
      </c>
      <c r="BN11" s="299" t="e">
        <f>SUM(BC11:BI11)-BK11-BL11</f>
        <v>#DIV/0!</v>
      </c>
      <c r="BO11" s="299">
        <f>IF(AX11=0,0,BN11/AY11)</f>
        <v>0</v>
      </c>
    </row>
    <row r="12" spans="2:67" s="299" customFormat="1" ht="18" customHeight="1" x14ac:dyDescent="0.35">
      <c r="B12" s="2547" t="s">
        <v>1132</v>
      </c>
      <c r="C12" s="1980"/>
      <c r="D12" s="625"/>
      <c r="E12" s="626">
        <v>1</v>
      </c>
      <c r="F12" s="1139"/>
      <c r="G12" s="176"/>
      <c r="H12" s="126"/>
      <c r="I12" s="125"/>
      <c r="J12" s="176"/>
      <c r="K12" s="126"/>
      <c r="L12" s="125"/>
      <c r="M12" s="176"/>
      <c r="N12" s="176"/>
      <c r="O12" s="234"/>
      <c r="P12" s="176"/>
      <c r="Q12" s="176"/>
      <c r="R12" s="184"/>
      <c r="S12" s="185"/>
      <c r="T12" s="1138"/>
      <c r="U12" s="106"/>
      <c r="V12" s="140"/>
      <c r="W12" s="1136">
        <f>((F12*J12/16*J12/16*10.680159*K12*2)*IF(I12=0,0,((G12*12)/I12))+((G12)*M12/16*M12/16*10.680159*N12*2)*IF(L12=0,0,(F12*12/L12))+(F12*IF(Q12=0,0,O12/Q12)*R12/16*R12/16*10.680159*S12)+(IF(Q12=0,0,F12/Q12*O12)*R12/16*R12/16*10.680159*S12)+((U12+V12)/12+4)*IF(I12=0,0,((G12*12)/I12))*J12/16*J12/16*10.680159)*(1+K$54)*D12</f>
        <v>0</v>
      </c>
      <c r="X12" s="1137">
        <f t="shared" ref="X12:X36" si="12">((F12*G12*H12/324)+ROUNDUP(T12*U12*V12*H12/46656,0)+(F12*O12*P12/324))*(1+K$51)*D12</f>
        <v>0</v>
      </c>
      <c r="Y12" s="1593" t="e">
        <f>BN12*(1+M$41+Summary!P$64)</f>
        <v>#DIV/0!</v>
      </c>
      <c r="Z12" s="1594" t="e">
        <f>Y12/D12</f>
        <v>#DIV/0!</v>
      </c>
      <c r="AI12" s="299">
        <f t="shared" si="0"/>
        <v>0</v>
      </c>
      <c r="AJ12" s="299">
        <f t="shared" si="1"/>
        <v>0</v>
      </c>
      <c r="AK12" s="299">
        <f t="shared" si="2"/>
        <v>0</v>
      </c>
      <c r="AL12" s="299">
        <f t="shared" si="3"/>
        <v>0</v>
      </c>
      <c r="AM12" s="299">
        <f t="shared" si="4"/>
        <v>0</v>
      </c>
      <c r="AN12" s="299">
        <f t="shared" si="5"/>
        <v>0</v>
      </c>
      <c r="AO12" s="299">
        <f t="shared" ref="AO12:AO36" si="13">IF($E12=1,$X12-SUM($AI12:$AN12),0)</f>
        <v>0</v>
      </c>
      <c r="AP12" s="299">
        <f t="shared" ref="AP12:AP36" si="14">IF($E12=2,X12-SUM($AI12:$AN12),0)</f>
        <v>0</v>
      </c>
      <c r="AQ12" s="299">
        <f t="shared" ref="AQ12:AQ36" si="15">IF($E12=3,X12-SUM($AI12:$AN12),0)</f>
        <v>0</v>
      </c>
      <c r="AR12" s="299">
        <f t="shared" ref="AR12:AR36" si="16">IF($E12=4,X12-SUM($AI12:$AN12),0)</f>
        <v>0</v>
      </c>
      <c r="AS12" s="299">
        <f t="shared" ref="AS12:AS36" si="17">IF($E12=5,X12-SUM($AI12:$AN12),0)</f>
        <v>0</v>
      </c>
      <c r="AT12" s="299">
        <f t="shared" ref="AT12:AT36" si="18">IF($E12=6,X12-SUM($AI12:$AN12),0)</f>
        <v>0</v>
      </c>
      <c r="AU12" s="299">
        <f t="shared" ref="AU12:AU36" si="19">SUM(AI12:AN12)</f>
        <v>0</v>
      </c>
      <c r="AV12" s="299">
        <f t="shared" ref="AV12:AV36" si="20">SUM(AO12:AT12)</f>
        <v>0</v>
      </c>
      <c r="AW12" s="510">
        <f t="shared" ref="AW12:AW36" si="21">W12</f>
        <v>0</v>
      </c>
      <c r="AX12" s="299">
        <f>(F12*H12/12*2+(V12*V12*H12/1728*T12))*D12</f>
        <v>0</v>
      </c>
      <c r="AY12" s="299">
        <f t="shared" ref="AY12:AY36" si="22">AX12/2</f>
        <v>0</v>
      </c>
      <c r="AZ12" s="299">
        <f t="shared" ref="AZ12:AZ36" si="23">O12*F12/12</f>
        <v>0</v>
      </c>
      <c r="BC12" s="299">
        <f t="shared" si="6"/>
        <v>0</v>
      </c>
      <c r="BD12" s="299">
        <f>(AO12*Pricing!F$2+AP12*Pricing!G$2+AQ12*Pricing!H$2+AR12*Pricing!I$2+AS12*Pricing!J$2+AT12*Pricing!K$2+AI12*Pricing!F$2+AJ12*Pricing!G$2+AK12*Pricing!H$2+AL12*Pricing!I$2+AM12*Pricing!J$2+AN12*Pricing!K$2)*IF(U$40="N",(1+W$40),1)</f>
        <v>0</v>
      </c>
      <c r="BE12" s="299">
        <f t="shared" si="7"/>
        <v>0</v>
      </c>
      <c r="BF12" s="299">
        <f t="shared" si="8"/>
        <v>0</v>
      </c>
      <c r="BG12" s="299">
        <f t="shared" si="9"/>
        <v>0</v>
      </c>
      <c r="BH12" s="511" t="e">
        <f t="shared" ref="BH12:BH36" si="24">I$70/E$37*F12*E$70</f>
        <v>#DIV/0!</v>
      </c>
      <c r="BI12" s="299">
        <f t="shared" si="10"/>
        <v>0</v>
      </c>
      <c r="BK12" s="299">
        <f t="shared" si="11"/>
        <v>0</v>
      </c>
      <c r="BL12" s="299">
        <f>(AI12*Pricing!F$2+AJ12*Pricing!G$2+AK12*Pricing!H$2+AL12*Pricing!I$2+AM12*Pricing!J$2+AN12*Pricing!K$2)*IF(U$40="N",(1+W$40),1)</f>
        <v>0</v>
      </c>
      <c r="BM12" s="299">
        <f t="shared" ref="BM12:BM36" si="25">IF(AZ12=0,0,(BK12+BL12)/AZ12)</f>
        <v>0</v>
      </c>
      <c r="BN12" s="299" t="e">
        <f t="shared" ref="BN12:BN36" si="26">SUM(BC12:BI12)-BK12-BL12</f>
        <v>#DIV/0!</v>
      </c>
      <c r="BO12" s="299">
        <f t="shared" ref="BO12:BO36" si="27">IF(AX12=0,0,BN12/AY12)</f>
        <v>0</v>
      </c>
    </row>
    <row r="13" spans="2:67" s="299" customFormat="1" ht="18" customHeight="1" x14ac:dyDescent="0.35">
      <c r="B13" s="2547" t="s">
        <v>1133</v>
      </c>
      <c r="C13" s="1980"/>
      <c r="D13" s="625"/>
      <c r="E13" s="626">
        <v>1</v>
      </c>
      <c r="F13" s="1139"/>
      <c r="G13" s="176"/>
      <c r="H13" s="126"/>
      <c r="I13" s="125"/>
      <c r="J13" s="176"/>
      <c r="K13" s="126"/>
      <c r="L13" s="125"/>
      <c r="M13" s="176"/>
      <c r="N13" s="176"/>
      <c r="O13" s="234"/>
      <c r="P13" s="176"/>
      <c r="Q13" s="176"/>
      <c r="R13" s="184"/>
      <c r="S13" s="185"/>
      <c r="T13" s="1138"/>
      <c r="U13" s="106"/>
      <c r="V13" s="140"/>
      <c r="W13" s="1136">
        <f t="shared" ref="W13:W36" si="28">((F13*J13/16*J13/16*10.680159*K13*2)*IF(I13=0,0,((G13*12)/I13))+((G13)*M13/16*M13/16*10.680159*N13*2)*IF(L13=0,0,(F13*12/L13))+(F13*IF(Q13=0,0,O13/Q13)*R13/16*R13/16*10.680159*S13)+(IF(Q13=0,0,F13/Q13*O13)*R13/16*R13/16*10.680159*S13)+((U13+V13)/12+4)*IF(I13=0,0,((G13*12)/I13))*J13/16*J13/16*10.680159)*(1+K$54)*D13</f>
        <v>0</v>
      </c>
      <c r="X13" s="1137">
        <f t="shared" si="12"/>
        <v>0</v>
      </c>
      <c r="Y13" s="1593" t="e">
        <f>BN13*(1+M$41+Summary!P$64)</f>
        <v>#DIV/0!</v>
      </c>
      <c r="Z13" s="1594" t="e">
        <f t="shared" ref="Z13:Z36" si="29">Y13/D13</f>
        <v>#DIV/0!</v>
      </c>
      <c r="AI13" s="299">
        <f t="shared" si="0"/>
        <v>0</v>
      </c>
      <c r="AJ13" s="299">
        <f t="shared" si="1"/>
        <v>0</v>
      </c>
      <c r="AK13" s="299">
        <f t="shared" si="2"/>
        <v>0</v>
      </c>
      <c r="AL13" s="299">
        <f t="shared" si="3"/>
        <v>0</v>
      </c>
      <c r="AM13" s="299">
        <f t="shared" si="4"/>
        <v>0</v>
      </c>
      <c r="AN13" s="299">
        <f t="shared" si="5"/>
        <v>0</v>
      </c>
      <c r="AO13" s="299">
        <f t="shared" si="13"/>
        <v>0</v>
      </c>
      <c r="AP13" s="299">
        <f t="shared" si="14"/>
        <v>0</v>
      </c>
      <c r="AQ13" s="299">
        <f t="shared" si="15"/>
        <v>0</v>
      </c>
      <c r="AR13" s="299">
        <f t="shared" si="16"/>
        <v>0</v>
      </c>
      <c r="AS13" s="299">
        <f t="shared" si="17"/>
        <v>0</v>
      </c>
      <c r="AT13" s="299">
        <f t="shared" si="18"/>
        <v>0</v>
      </c>
      <c r="AU13" s="299">
        <f t="shared" si="19"/>
        <v>0</v>
      </c>
      <c r="AV13" s="299">
        <f t="shared" si="20"/>
        <v>0</v>
      </c>
      <c r="AW13" s="510">
        <f t="shared" si="21"/>
        <v>0</v>
      </c>
      <c r="AX13" s="299">
        <f>(F13*H13/12*2+(V13*V13*H13/1728*T13))*D13</f>
        <v>0</v>
      </c>
      <c r="AY13" s="299">
        <f t="shared" si="22"/>
        <v>0</v>
      </c>
      <c r="AZ13" s="299">
        <f t="shared" si="23"/>
        <v>0</v>
      </c>
      <c r="BC13" s="299">
        <f t="shared" si="6"/>
        <v>0</v>
      </c>
      <c r="BD13" s="299">
        <f>(AO13*Pricing!F$2+AP13*Pricing!G$2+AQ13*Pricing!H$2+AR13*Pricing!I$2+AS13*Pricing!J$2+AT13*Pricing!K$2+AI13*Pricing!F$2+AJ13*Pricing!G$2+AK13*Pricing!H$2+AL13*Pricing!I$2+AM13*Pricing!J$2+AN13*Pricing!K$2)*IF(U$40="N",(1+W$40),1)</f>
        <v>0</v>
      </c>
      <c r="BE13" s="299">
        <f t="shared" si="7"/>
        <v>0</v>
      </c>
      <c r="BF13" s="299">
        <f t="shared" si="8"/>
        <v>0</v>
      </c>
      <c r="BG13" s="299">
        <f t="shared" si="9"/>
        <v>0</v>
      </c>
      <c r="BH13" s="511" t="e">
        <f t="shared" si="24"/>
        <v>#DIV/0!</v>
      </c>
      <c r="BI13" s="299">
        <f t="shared" si="10"/>
        <v>0</v>
      </c>
      <c r="BK13" s="299">
        <f t="shared" si="11"/>
        <v>0</v>
      </c>
      <c r="BL13" s="299">
        <f>(AI13*Pricing!F$2+AJ13*Pricing!G$2+AK13*Pricing!H$2+AL13*Pricing!I$2+AM13*Pricing!J$2+AN13*Pricing!K$2)*IF(U$40="N",(1+W$40),1)</f>
        <v>0</v>
      </c>
      <c r="BM13" s="299">
        <f t="shared" si="25"/>
        <v>0</v>
      </c>
      <c r="BN13" s="299" t="e">
        <f t="shared" si="26"/>
        <v>#DIV/0!</v>
      </c>
      <c r="BO13" s="299">
        <f t="shared" si="27"/>
        <v>0</v>
      </c>
    </row>
    <row r="14" spans="2:67" s="299" customFormat="1" ht="18" customHeight="1" x14ac:dyDescent="0.35">
      <c r="B14" s="2547" t="s">
        <v>1134</v>
      </c>
      <c r="C14" s="1980"/>
      <c r="D14" s="625"/>
      <c r="E14" s="626">
        <v>1</v>
      </c>
      <c r="F14" s="1139"/>
      <c r="G14" s="176"/>
      <c r="H14" s="126"/>
      <c r="I14" s="125"/>
      <c r="J14" s="176"/>
      <c r="K14" s="126"/>
      <c r="L14" s="125"/>
      <c r="M14" s="176"/>
      <c r="N14" s="176"/>
      <c r="O14" s="234"/>
      <c r="P14" s="176"/>
      <c r="Q14" s="176"/>
      <c r="R14" s="184"/>
      <c r="S14" s="185"/>
      <c r="T14" s="1138"/>
      <c r="U14" s="106"/>
      <c r="V14" s="140"/>
      <c r="W14" s="1136">
        <f t="shared" si="28"/>
        <v>0</v>
      </c>
      <c r="X14" s="1137">
        <f t="shared" si="12"/>
        <v>0</v>
      </c>
      <c r="Y14" s="1593" t="e">
        <f>BN14*(1+M$41+Summary!P$64)</f>
        <v>#DIV/0!</v>
      </c>
      <c r="Z14" s="1594" t="e">
        <f t="shared" si="29"/>
        <v>#DIV/0!</v>
      </c>
      <c r="AI14" s="299">
        <f t="shared" si="0"/>
        <v>0</v>
      </c>
      <c r="AJ14" s="299">
        <f t="shared" si="1"/>
        <v>0</v>
      </c>
      <c r="AK14" s="299">
        <f t="shared" si="2"/>
        <v>0</v>
      </c>
      <c r="AL14" s="299">
        <f t="shared" si="3"/>
        <v>0</v>
      </c>
      <c r="AM14" s="299">
        <f t="shared" si="4"/>
        <v>0</v>
      </c>
      <c r="AN14" s="299">
        <f t="shared" si="5"/>
        <v>0</v>
      </c>
      <c r="AO14" s="299">
        <f t="shared" si="13"/>
        <v>0</v>
      </c>
      <c r="AP14" s="299">
        <f t="shared" si="14"/>
        <v>0</v>
      </c>
      <c r="AQ14" s="299">
        <f t="shared" si="15"/>
        <v>0</v>
      </c>
      <c r="AR14" s="299">
        <f t="shared" si="16"/>
        <v>0</v>
      </c>
      <c r="AS14" s="299">
        <f t="shared" si="17"/>
        <v>0</v>
      </c>
      <c r="AT14" s="299">
        <f t="shared" si="18"/>
        <v>0</v>
      </c>
      <c r="AU14" s="299">
        <f t="shared" si="19"/>
        <v>0</v>
      </c>
      <c r="AV14" s="299">
        <f t="shared" si="20"/>
        <v>0</v>
      </c>
      <c r="AW14" s="510">
        <f t="shared" si="21"/>
        <v>0</v>
      </c>
      <c r="AX14" s="299">
        <f>(F14*H14/12*2+(V14*V14*H14/1728*T14))*D14</f>
        <v>0</v>
      </c>
      <c r="AY14" s="299">
        <f t="shared" si="22"/>
        <v>0</v>
      </c>
      <c r="AZ14" s="299">
        <f t="shared" si="23"/>
        <v>0</v>
      </c>
      <c r="BC14" s="299">
        <f t="shared" si="6"/>
        <v>0</v>
      </c>
      <c r="BD14" s="299">
        <f>(AO14*Pricing!F$2+AP14*Pricing!G$2+AQ14*Pricing!H$2+AR14*Pricing!I$2+AS14*Pricing!J$2+AT14*Pricing!K$2+AI14*Pricing!F$2+AJ14*Pricing!G$2+AK14*Pricing!H$2+AL14*Pricing!I$2+AM14*Pricing!J$2+AN14*Pricing!K$2)*IF(U$40="N",(1+W$40),1)</f>
        <v>0</v>
      </c>
      <c r="BE14" s="299">
        <f t="shared" si="7"/>
        <v>0</v>
      </c>
      <c r="BF14" s="299">
        <f t="shared" si="8"/>
        <v>0</v>
      </c>
      <c r="BG14" s="299">
        <f t="shared" si="9"/>
        <v>0</v>
      </c>
      <c r="BH14" s="511" t="e">
        <f t="shared" si="24"/>
        <v>#DIV/0!</v>
      </c>
      <c r="BI14" s="299">
        <f t="shared" si="10"/>
        <v>0</v>
      </c>
      <c r="BK14" s="299">
        <f t="shared" si="11"/>
        <v>0</v>
      </c>
      <c r="BL14" s="299">
        <f>(AI14*Pricing!F$2+AJ14*Pricing!G$2+AK14*Pricing!H$2+AL14*Pricing!I$2+AM14*Pricing!J$2+AN14*Pricing!K$2)*IF(U$40="N",(1+W$40),1)</f>
        <v>0</v>
      </c>
      <c r="BM14" s="299">
        <f t="shared" si="25"/>
        <v>0</v>
      </c>
      <c r="BN14" s="299" t="e">
        <f t="shared" si="26"/>
        <v>#DIV/0!</v>
      </c>
      <c r="BO14" s="299">
        <f t="shared" si="27"/>
        <v>0</v>
      </c>
    </row>
    <row r="15" spans="2:67" s="299" customFormat="1" ht="18" customHeight="1" x14ac:dyDescent="0.35">
      <c r="B15" s="2547" t="s">
        <v>1135</v>
      </c>
      <c r="C15" s="1980"/>
      <c r="D15" s="625"/>
      <c r="E15" s="626">
        <v>1</v>
      </c>
      <c r="F15" s="1139"/>
      <c r="G15" s="176"/>
      <c r="H15" s="126"/>
      <c r="I15" s="125"/>
      <c r="J15" s="176"/>
      <c r="K15" s="126"/>
      <c r="L15" s="125"/>
      <c r="M15" s="176"/>
      <c r="N15" s="176"/>
      <c r="O15" s="234"/>
      <c r="P15" s="176"/>
      <c r="Q15" s="176"/>
      <c r="R15" s="184"/>
      <c r="S15" s="185"/>
      <c r="T15" s="1138"/>
      <c r="U15" s="106"/>
      <c r="V15" s="140"/>
      <c r="W15" s="1136">
        <f t="shared" si="28"/>
        <v>0</v>
      </c>
      <c r="X15" s="1137">
        <f t="shared" si="12"/>
        <v>0</v>
      </c>
      <c r="Y15" s="1593" t="e">
        <f>BN15*(1+M$41+Summary!P$64)</f>
        <v>#DIV/0!</v>
      </c>
      <c r="Z15" s="1594" t="e">
        <f t="shared" si="29"/>
        <v>#DIV/0!</v>
      </c>
      <c r="AI15" s="299">
        <f t="shared" si="0"/>
        <v>0</v>
      </c>
      <c r="AJ15" s="299">
        <f t="shared" si="1"/>
        <v>0</v>
      </c>
      <c r="AK15" s="299">
        <f t="shared" si="2"/>
        <v>0</v>
      </c>
      <c r="AL15" s="299">
        <f t="shared" si="3"/>
        <v>0</v>
      </c>
      <c r="AM15" s="299">
        <f t="shared" si="4"/>
        <v>0</v>
      </c>
      <c r="AN15" s="299">
        <f t="shared" si="5"/>
        <v>0</v>
      </c>
      <c r="AO15" s="299">
        <f t="shared" si="13"/>
        <v>0</v>
      </c>
      <c r="AP15" s="299">
        <f t="shared" si="14"/>
        <v>0</v>
      </c>
      <c r="AQ15" s="299">
        <f t="shared" si="15"/>
        <v>0</v>
      </c>
      <c r="AR15" s="299">
        <f t="shared" si="16"/>
        <v>0</v>
      </c>
      <c r="AS15" s="299">
        <f t="shared" si="17"/>
        <v>0</v>
      </c>
      <c r="AT15" s="299">
        <f t="shared" si="18"/>
        <v>0</v>
      </c>
      <c r="AU15" s="299">
        <f t="shared" si="19"/>
        <v>0</v>
      </c>
      <c r="AV15" s="299">
        <f t="shared" si="20"/>
        <v>0</v>
      </c>
      <c r="AW15" s="510">
        <f t="shared" si="21"/>
        <v>0</v>
      </c>
      <c r="AX15" s="299">
        <f t="shared" ref="AX15:AX36" si="30">(F15*H15/12*2+(V15*V15*H15/1728*T15))*D15</f>
        <v>0</v>
      </c>
      <c r="AY15" s="299">
        <f t="shared" si="22"/>
        <v>0</v>
      </c>
      <c r="AZ15" s="299">
        <f t="shared" si="23"/>
        <v>0</v>
      </c>
      <c r="BC15" s="299">
        <f t="shared" si="6"/>
        <v>0</v>
      </c>
      <c r="BD15" s="299">
        <f>(AO15*Pricing!F$2+AP15*Pricing!G$2+AQ15*Pricing!H$2+AR15*Pricing!I$2+AS15*Pricing!J$2+AT15*Pricing!K$2+AI15*Pricing!F$2+AJ15*Pricing!G$2+AK15*Pricing!H$2+AL15*Pricing!I$2+AM15*Pricing!J$2+AN15*Pricing!K$2)*IF(U$40="N",(1+W$40),1)</f>
        <v>0</v>
      </c>
      <c r="BE15" s="299">
        <f t="shared" si="7"/>
        <v>0</v>
      </c>
      <c r="BF15" s="299">
        <f t="shared" si="8"/>
        <v>0</v>
      </c>
      <c r="BG15" s="299">
        <f t="shared" si="9"/>
        <v>0</v>
      </c>
      <c r="BH15" s="511" t="e">
        <f t="shared" si="24"/>
        <v>#DIV/0!</v>
      </c>
      <c r="BI15" s="299">
        <f t="shared" si="10"/>
        <v>0</v>
      </c>
      <c r="BK15" s="299">
        <f t="shared" si="11"/>
        <v>0</v>
      </c>
      <c r="BL15" s="299">
        <f>(AI15*Pricing!F$2+AJ15*Pricing!G$2+AK15*Pricing!H$2+AL15*Pricing!I$2+AM15*Pricing!J$2+AN15*Pricing!K$2)*IF(U$40="N",(1+W$40),1)</f>
        <v>0</v>
      </c>
      <c r="BM15" s="299">
        <f t="shared" si="25"/>
        <v>0</v>
      </c>
      <c r="BN15" s="299" t="e">
        <f t="shared" si="26"/>
        <v>#DIV/0!</v>
      </c>
      <c r="BO15" s="299">
        <f t="shared" si="27"/>
        <v>0</v>
      </c>
    </row>
    <row r="16" spans="2:67" s="299" customFormat="1" ht="18" customHeight="1" x14ac:dyDescent="0.35">
      <c r="B16" s="2547" t="s">
        <v>1136</v>
      </c>
      <c r="C16" s="1980"/>
      <c r="D16" s="625"/>
      <c r="E16" s="626">
        <v>1</v>
      </c>
      <c r="F16" s="1139"/>
      <c r="G16" s="176"/>
      <c r="H16" s="126"/>
      <c r="I16" s="125"/>
      <c r="J16" s="176"/>
      <c r="K16" s="126"/>
      <c r="L16" s="125"/>
      <c r="M16" s="176"/>
      <c r="N16" s="176"/>
      <c r="O16" s="234"/>
      <c r="P16" s="176"/>
      <c r="Q16" s="176"/>
      <c r="R16" s="184"/>
      <c r="S16" s="185"/>
      <c r="T16" s="1138"/>
      <c r="U16" s="106"/>
      <c r="V16" s="140"/>
      <c r="W16" s="1136">
        <f t="shared" si="28"/>
        <v>0</v>
      </c>
      <c r="X16" s="1137">
        <f t="shared" si="12"/>
        <v>0</v>
      </c>
      <c r="Y16" s="1593" t="e">
        <f>BN16*(1+M$41+Summary!P$64)</f>
        <v>#DIV/0!</v>
      </c>
      <c r="Z16" s="1594" t="e">
        <f t="shared" si="29"/>
        <v>#DIV/0!</v>
      </c>
      <c r="AI16" s="299">
        <f t="shared" si="0"/>
        <v>0</v>
      </c>
      <c r="AJ16" s="299">
        <f t="shared" si="1"/>
        <v>0</v>
      </c>
      <c r="AK16" s="299">
        <f t="shared" si="2"/>
        <v>0</v>
      </c>
      <c r="AL16" s="299">
        <f t="shared" si="3"/>
        <v>0</v>
      </c>
      <c r="AM16" s="299">
        <f t="shared" si="4"/>
        <v>0</v>
      </c>
      <c r="AN16" s="299">
        <f t="shared" si="5"/>
        <v>0</v>
      </c>
      <c r="AO16" s="299">
        <f t="shared" si="13"/>
        <v>0</v>
      </c>
      <c r="AP16" s="299">
        <f t="shared" si="14"/>
        <v>0</v>
      </c>
      <c r="AQ16" s="299">
        <f t="shared" si="15"/>
        <v>0</v>
      </c>
      <c r="AR16" s="299">
        <f t="shared" si="16"/>
        <v>0</v>
      </c>
      <c r="AS16" s="299">
        <f t="shared" si="17"/>
        <v>0</v>
      </c>
      <c r="AT16" s="299">
        <f t="shared" si="18"/>
        <v>0</v>
      </c>
      <c r="AU16" s="299">
        <f t="shared" si="19"/>
        <v>0</v>
      </c>
      <c r="AV16" s="299">
        <f t="shared" si="20"/>
        <v>0</v>
      </c>
      <c r="AW16" s="510">
        <f t="shared" si="21"/>
        <v>0</v>
      </c>
      <c r="AX16" s="299">
        <f t="shared" si="30"/>
        <v>0</v>
      </c>
      <c r="AY16" s="299">
        <f t="shared" si="22"/>
        <v>0</v>
      </c>
      <c r="AZ16" s="299">
        <f t="shared" si="23"/>
        <v>0</v>
      </c>
      <c r="BC16" s="299">
        <f t="shared" si="6"/>
        <v>0</v>
      </c>
      <c r="BD16" s="299">
        <f>(AO16*Pricing!F$2+AP16*Pricing!G$2+AQ16*Pricing!H$2+AR16*Pricing!I$2+AS16*Pricing!J$2+AT16*Pricing!K$2+AI16*Pricing!F$2+AJ16*Pricing!G$2+AK16*Pricing!H$2+AL16*Pricing!I$2+AM16*Pricing!J$2+AN16*Pricing!K$2)*IF(U$40="N",(1+W$40),1)</f>
        <v>0</v>
      </c>
      <c r="BE16" s="299">
        <f t="shared" si="7"/>
        <v>0</v>
      </c>
      <c r="BF16" s="299">
        <f t="shared" si="8"/>
        <v>0</v>
      </c>
      <c r="BG16" s="299">
        <f t="shared" si="9"/>
        <v>0</v>
      </c>
      <c r="BH16" s="511" t="e">
        <f t="shared" si="24"/>
        <v>#DIV/0!</v>
      </c>
      <c r="BI16" s="299">
        <f t="shared" si="10"/>
        <v>0</v>
      </c>
      <c r="BK16" s="299">
        <f t="shared" si="11"/>
        <v>0</v>
      </c>
      <c r="BL16" s="299">
        <f>(AI16*Pricing!F$2+AJ16*Pricing!G$2+AK16*Pricing!H$2+AL16*Pricing!I$2+AM16*Pricing!J$2+AN16*Pricing!K$2)*IF(U$40="N",(1+W$40),1)</f>
        <v>0</v>
      </c>
      <c r="BM16" s="299">
        <f t="shared" si="25"/>
        <v>0</v>
      </c>
      <c r="BN16" s="299" t="e">
        <f t="shared" si="26"/>
        <v>#DIV/0!</v>
      </c>
      <c r="BO16" s="299">
        <f t="shared" si="27"/>
        <v>0</v>
      </c>
    </row>
    <row r="17" spans="2:67" s="299" customFormat="1" ht="18" customHeight="1" x14ac:dyDescent="0.35">
      <c r="B17" s="2547" t="s">
        <v>1137</v>
      </c>
      <c r="C17" s="1980"/>
      <c r="D17" s="625"/>
      <c r="E17" s="626">
        <v>1</v>
      </c>
      <c r="F17" s="1139"/>
      <c r="G17" s="176"/>
      <c r="H17" s="126"/>
      <c r="I17" s="125"/>
      <c r="J17" s="176"/>
      <c r="K17" s="126"/>
      <c r="L17" s="125"/>
      <c r="M17" s="176"/>
      <c r="N17" s="176"/>
      <c r="O17" s="234"/>
      <c r="P17" s="176"/>
      <c r="Q17" s="176"/>
      <c r="R17" s="184"/>
      <c r="S17" s="185"/>
      <c r="T17" s="1138"/>
      <c r="U17" s="106"/>
      <c r="V17" s="140"/>
      <c r="W17" s="1136">
        <f t="shared" si="28"/>
        <v>0</v>
      </c>
      <c r="X17" s="1137">
        <f t="shared" si="12"/>
        <v>0</v>
      </c>
      <c r="Y17" s="1593" t="e">
        <f>BN17*(1+M$41+Summary!P$64)</f>
        <v>#DIV/0!</v>
      </c>
      <c r="Z17" s="1594" t="e">
        <f t="shared" si="29"/>
        <v>#DIV/0!</v>
      </c>
      <c r="AI17" s="299">
        <f t="shared" si="0"/>
        <v>0</v>
      </c>
      <c r="AJ17" s="299">
        <f t="shared" si="1"/>
        <v>0</v>
      </c>
      <c r="AK17" s="299">
        <f t="shared" si="2"/>
        <v>0</v>
      </c>
      <c r="AL17" s="299">
        <f t="shared" si="3"/>
        <v>0</v>
      </c>
      <c r="AM17" s="299">
        <f t="shared" si="4"/>
        <v>0</v>
      </c>
      <c r="AN17" s="299">
        <f t="shared" si="5"/>
        <v>0</v>
      </c>
      <c r="AO17" s="299">
        <f t="shared" si="13"/>
        <v>0</v>
      </c>
      <c r="AP17" s="299">
        <f t="shared" si="14"/>
        <v>0</v>
      </c>
      <c r="AQ17" s="299">
        <f t="shared" si="15"/>
        <v>0</v>
      </c>
      <c r="AR17" s="299">
        <f t="shared" si="16"/>
        <v>0</v>
      </c>
      <c r="AS17" s="299">
        <f t="shared" si="17"/>
        <v>0</v>
      </c>
      <c r="AT17" s="299">
        <f t="shared" si="18"/>
        <v>0</v>
      </c>
      <c r="AU17" s="299">
        <f t="shared" si="19"/>
        <v>0</v>
      </c>
      <c r="AV17" s="299">
        <f t="shared" si="20"/>
        <v>0</v>
      </c>
      <c r="AW17" s="510">
        <f t="shared" si="21"/>
        <v>0</v>
      </c>
      <c r="AX17" s="299">
        <f t="shared" si="30"/>
        <v>0</v>
      </c>
      <c r="AY17" s="299">
        <f t="shared" si="22"/>
        <v>0</v>
      </c>
      <c r="AZ17" s="299">
        <f t="shared" si="23"/>
        <v>0</v>
      </c>
      <c r="BC17" s="299">
        <f t="shared" si="6"/>
        <v>0</v>
      </c>
      <c r="BD17" s="299">
        <f>(AO17*Pricing!F$2+AP17*Pricing!G$2+AQ17*Pricing!H$2+AR17*Pricing!I$2+AS17*Pricing!J$2+AT17*Pricing!K$2+AI17*Pricing!F$2+AJ17*Pricing!G$2+AK17*Pricing!H$2+AL17*Pricing!I$2+AM17*Pricing!J$2+AN17*Pricing!K$2)*IF(U$40="N",(1+W$40),1)</f>
        <v>0</v>
      </c>
      <c r="BE17" s="299">
        <f t="shared" si="7"/>
        <v>0</v>
      </c>
      <c r="BF17" s="299">
        <f t="shared" si="8"/>
        <v>0</v>
      </c>
      <c r="BG17" s="299">
        <f t="shared" si="9"/>
        <v>0</v>
      </c>
      <c r="BH17" s="511" t="e">
        <f t="shared" si="24"/>
        <v>#DIV/0!</v>
      </c>
      <c r="BI17" s="299">
        <f t="shared" si="10"/>
        <v>0</v>
      </c>
      <c r="BK17" s="299">
        <f t="shared" si="11"/>
        <v>0</v>
      </c>
      <c r="BL17" s="299">
        <f>(AI17*Pricing!F$2+AJ17*Pricing!G$2+AK17*Pricing!H$2+AL17*Pricing!I$2+AM17*Pricing!J$2+AN17*Pricing!K$2)*IF(U$40="N",(1+W$40),1)</f>
        <v>0</v>
      </c>
      <c r="BM17" s="299">
        <f t="shared" si="25"/>
        <v>0</v>
      </c>
      <c r="BN17" s="299" t="e">
        <f t="shared" si="26"/>
        <v>#DIV/0!</v>
      </c>
      <c r="BO17" s="299">
        <f t="shared" si="27"/>
        <v>0</v>
      </c>
    </row>
    <row r="18" spans="2:67" s="299" customFormat="1" ht="18" customHeight="1" x14ac:dyDescent="0.35">
      <c r="B18" s="2547" t="s">
        <v>1138</v>
      </c>
      <c r="C18" s="1980"/>
      <c r="D18" s="625"/>
      <c r="E18" s="626">
        <v>1</v>
      </c>
      <c r="F18" s="1139"/>
      <c r="G18" s="176"/>
      <c r="H18" s="126"/>
      <c r="I18" s="125"/>
      <c r="J18" s="176"/>
      <c r="K18" s="126"/>
      <c r="L18" s="125"/>
      <c r="M18" s="176"/>
      <c r="N18" s="176"/>
      <c r="O18" s="234"/>
      <c r="P18" s="176"/>
      <c r="Q18" s="176"/>
      <c r="R18" s="184"/>
      <c r="S18" s="185"/>
      <c r="T18" s="1138"/>
      <c r="U18" s="106"/>
      <c r="V18" s="140"/>
      <c r="W18" s="1136">
        <f t="shared" si="28"/>
        <v>0</v>
      </c>
      <c r="X18" s="1137">
        <f t="shared" si="12"/>
        <v>0</v>
      </c>
      <c r="Y18" s="1593" t="e">
        <f>BN18*(1+M$41+Summary!P$64)</f>
        <v>#DIV/0!</v>
      </c>
      <c r="Z18" s="1594" t="e">
        <f t="shared" si="29"/>
        <v>#DIV/0!</v>
      </c>
      <c r="AI18" s="299">
        <f t="shared" si="0"/>
        <v>0</v>
      </c>
      <c r="AJ18" s="299">
        <f t="shared" si="1"/>
        <v>0</v>
      </c>
      <c r="AK18" s="299">
        <f t="shared" si="2"/>
        <v>0</v>
      </c>
      <c r="AL18" s="299">
        <f t="shared" si="3"/>
        <v>0</v>
      </c>
      <c r="AM18" s="299">
        <f t="shared" si="4"/>
        <v>0</v>
      </c>
      <c r="AN18" s="299">
        <f t="shared" si="5"/>
        <v>0</v>
      </c>
      <c r="AO18" s="299">
        <f t="shared" si="13"/>
        <v>0</v>
      </c>
      <c r="AP18" s="299">
        <f t="shared" si="14"/>
        <v>0</v>
      </c>
      <c r="AQ18" s="299">
        <f t="shared" si="15"/>
        <v>0</v>
      </c>
      <c r="AR18" s="299">
        <f t="shared" si="16"/>
        <v>0</v>
      </c>
      <c r="AS18" s="299">
        <f t="shared" si="17"/>
        <v>0</v>
      </c>
      <c r="AT18" s="299">
        <f t="shared" si="18"/>
        <v>0</v>
      </c>
      <c r="AU18" s="299">
        <f t="shared" si="19"/>
        <v>0</v>
      </c>
      <c r="AV18" s="299">
        <f t="shared" si="20"/>
        <v>0</v>
      </c>
      <c r="AW18" s="510">
        <f t="shared" si="21"/>
        <v>0</v>
      </c>
      <c r="AX18" s="299">
        <f t="shared" si="30"/>
        <v>0</v>
      </c>
      <c r="AY18" s="299">
        <f t="shared" si="22"/>
        <v>0</v>
      </c>
      <c r="AZ18" s="299">
        <f t="shared" si="23"/>
        <v>0</v>
      </c>
      <c r="BC18" s="299">
        <f t="shared" si="6"/>
        <v>0</v>
      </c>
      <c r="BD18" s="299">
        <f>(AO18*Pricing!F$2+AP18*Pricing!G$2+AQ18*Pricing!H$2+AR18*Pricing!I$2+AS18*Pricing!J$2+AT18*Pricing!K$2+AI18*Pricing!F$2+AJ18*Pricing!G$2+AK18*Pricing!H$2+AL18*Pricing!I$2+AM18*Pricing!J$2+AN18*Pricing!K$2)*IF(U$40="N",(1+W$40),1)</f>
        <v>0</v>
      </c>
      <c r="BE18" s="299">
        <f t="shared" si="7"/>
        <v>0</v>
      </c>
      <c r="BF18" s="299">
        <f t="shared" si="8"/>
        <v>0</v>
      </c>
      <c r="BG18" s="299">
        <f t="shared" si="9"/>
        <v>0</v>
      </c>
      <c r="BH18" s="511" t="e">
        <f t="shared" si="24"/>
        <v>#DIV/0!</v>
      </c>
      <c r="BI18" s="299">
        <f t="shared" si="10"/>
        <v>0</v>
      </c>
      <c r="BK18" s="299">
        <f t="shared" si="11"/>
        <v>0</v>
      </c>
      <c r="BL18" s="299">
        <f>(AI18*Pricing!F$2+AJ18*Pricing!G$2+AK18*Pricing!H$2+AL18*Pricing!I$2+AM18*Pricing!J$2+AN18*Pricing!K$2)*IF(U$40="N",(1+W$40),1)</f>
        <v>0</v>
      </c>
      <c r="BM18" s="299">
        <f t="shared" si="25"/>
        <v>0</v>
      </c>
      <c r="BN18" s="299" t="e">
        <f t="shared" si="26"/>
        <v>#DIV/0!</v>
      </c>
      <c r="BO18" s="299">
        <f t="shared" si="27"/>
        <v>0</v>
      </c>
    </row>
    <row r="19" spans="2:67" s="299" customFormat="1" ht="18" customHeight="1" x14ac:dyDescent="0.35">
      <c r="B19" s="2547" t="s">
        <v>1139</v>
      </c>
      <c r="C19" s="1980"/>
      <c r="D19" s="625"/>
      <c r="E19" s="626">
        <v>1</v>
      </c>
      <c r="F19" s="1139"/>
      <c r="G19" s="176"/>
      <c r="H19" s="126"/>
      <c r="I19" s="125"/>
      <c r="J19" s="176"/>
      <c r="K19" s="126"/>
      <c r="L19" s="125"/>
      <c r="M19" s="176"/>
      <c r="N19" s="176"/>
      <c r="O19" s="234"/>
      <c r="P19" s="176"/>
      <c r="Q19" s="176"/>
      <c r="R19" s="184"/>
      <c r="S19" s="185"/>
      <c r="T19" s="1138"/>
      <c r="U19" s="106"/>
      <c r="V19" s="140"/>
      <c r="W19" s="1136">
        <f t="shared" si="28"/>
        <v>0</v>
      </c>
      <c r="X19" s="1137">
        <f t="shared" si="12"/>
        <v>0</v>
      </c>
      <c r="Y19" s="1593" t="e">
        <f>BN19*(1+M$41+Summary!P$64)</f>
        <v>#DIV/0!</v>
      </c>
      <c r="Z19" s="1594" t="e">
        <f t="shared" si="29"/>
        <v>#DIV/0!</v>
      </c>
      <c r="AI19" s="299">
        <f t="shared" si="0"/>
        <v>0</v>
      </c>
      <c r="AJ19" s="299">
        <f t="shared" si="1"/>
        <v>0</v>
      </c>
      <c r="AK19" s="299">
        <f t="shared" si="2"/>
        <v>0</v>
      </c>
      <c r="AL19" s="299">
        <f t="shared" si="3"/>
        <v>0</v>
      </c>
      <c r="AM19" s="299">
        <f t="shared" si="4"/>
        <v>0</v>
      </c>
      <c r="AN19" s="299">
        <f t="shared" si="5"/>
        <v>0</v>
      </c>
      <c r="AO19" s="299">
        <f t="shared" si="13"/>
        <v>0</v>
      </c>
      <c r="AP19" s="299">
        <f t="shared" si="14"/>
        <v>0</v>
      </c>
      <c r="AQ19" s="299">
        <f t="shared" si="15"/>
        <v>0</v>
      </c>
      <c r="AR19" s="299">
        <f t="shared" si="16"/>
        <v>0</v>
      </c>
      <c r="AS19" s="299">
        <f t="shared" si="17"/>
        <v>0</v>
      </c>
      <c r="AT19" s="299">
        <f t="shared" si="18"/>
        <v>0</v>
      </c>
      <c r="AU19" s="299">
        <f t="shared" si="19"/>
        <v>0</v>
      </c>
      <c r="AV19" s="299">
        <f t="shared" si="20"/>
        <v>0</v>
      </c>
      <c r="AW19" s="510">
        <f t="shared" si="21"/>
        <v>0</v>
      </c>
      <c r="AX19" s="299">
        <f t="shared" si="30"/>
        <v>0</v>
      </c>
      <c r="AY19" s="299">
        <f t="shared" si="22"/>
        <v>0</v>
      </c>
      <c r="AZ19" s="299">
        <f t="shared" si="23"/>
        <v>0</v>
      </c>
      <c r="BC19" s="299">
        <f t="shared" si="6"/>
        <v>0</v>
      </c>
      <c r="BD19" s="299">
        <f>(AO19*Pricing!F$2+AP19*Pricing!G$2+AQ19*Pricing!H$2+AR19*Pricing!I$2+AS19*Pricing!J$2+AT19*Pricing!K$2+AI19*Pricing!F$2+AJ19*Pricing!G$2+AK19*Pricing!H$2+AL19*Pricing!I$2+AM19*Pricing!J$2+AN19*Pricing!K$2)*IF(U$40="N",(1+W$40),1)</f>
        <v>0</v>
      </c>
      <c r="BE19" s="299">
        <f t="shared" si="7"/>
        <v>0</v>
      </c>
      <c r="BF19" s="299">
        <f t="shared" si="8"/>
        <v>0</v>
      </c>
      <c r="BG19" s="299">
        <f t="shared" si="9"/>
        <v>0</v>
      </c>
      <c r="BH19" s="511" t="e">
        <f t="shared" si="24"/>
        <v>#DIV/0!</v>
      </c>
      <c r="BI19" s="299">
        <f t="shared" si="10"/>
        <v>0</v>
      </c>
      <c r="BK19" s="299">
        <f t="shared" si="11"/>
        <v>0</v>
      </c>
      <c r="BL19" s="299">
        <f>(AI19*Pricing!F$2+AJ19*Pricing!G$2+AK19*Pricing!H$2+AL19*Pricing!I$2+AM19*Pricing!J$2+AN19*Pricing!K$2)*IF(U$40="N",(1+W$40),1)</f>
        <v>0</v>
      </c>
      <c r="BM19" s="299">
        <f t="shared" si="25"/>
        <v>0</v>
      </c>
      <c r="BN19" s="299" t="e">
        <f t="shared" si="26"/>
        <v>#DIV/0!</v>
      </c>
      <c r="BO19" s="299">
        <f t="shared" si="27"/>
        <v>0</v>
      </c>
    </row>
    <row r="20" spans="2:67" s="299" customFormat="1" ht="18" customHeight="1" x14ac:dyDescent="0.35">
      <c r="B20" s="2547" t="s">
        <v>1140</v>
      </c>
      <c r="C20" s="1980"/>
      <c r="D20" s="625"/>
      <c r="E20" s="626">
        <v>1</v>
      </c>
      <c r="F20" s="1139"/>
      <c r="G20" s="176"/>
      <c r="H20" s="126"/>
      <c r="I20" s="125"/>
      <c r="J20" s="176"/>
      <c r="K20" s="126"/>
      <c r="L20" s="125"/>
      <c r="M20" s="176"/>
      <c r="N20" s="176"/>
      <c r="O20" s="234"/>
      <c r="P20" s="176"/>
      <c r="Q20" s="176"/>
      <c r="R20" s="184"/>
      <c r="S20" s="185"/>
      <c r="T20" s="1138"/>
      <c r="U20" s="106"/>
      <c r="V20" s="140"/>
      <c r="W20" s="1136">
        <f t="shared" si="28"/>
        <v>0</v>
      </c>
      <c r="X20" s="1137">
        <f t="shared" si="12"/>
        <v>0</v>
      </c>
      <c r="Y20" s="1593" t="e">
        <f>BN20*(1+M$41+Summary!P$64)</f>
        <v>#DIV/0!</v>
      </c>
      <c r="Z20" s="1594" t="e">
        <f t="shared" si="29"/>
        <v>#DIV/0!</v>
      </c>
      <c r="AI20" s="299">
        <f t="shared" si="0"/>
        <v>0</v>
      </c>
      <c r="AJ20" s="299">
        <f t="shared" si="1"/>
        <v>0</v>
      </c>
      <c r="AK20" s="299">
        <f t="shared" si="2"/>
        <v>0</v>
      </c>
      <c r="AL20" s="299">
        <f t="shared" si="3"/>
        <v>0</v>
      </c>
      <c r="AM20" s="299">
        <f t="shared" si="4"/>
        <v>0</v>
      </c>
      <c r="AN20" s="299">
        <f t="shared" si="5"/>
        <v>0</v>
      </c>
      <c r="AO20" s="299">
        <f t="shared" si="13"/>
        <v>0</v>
      </c>
      <c r="AP20" s="299">
        <f t="shared" si="14"/>
        <v>0</v>
      </c>
      <c r="AQ20" s="299">
        <f t="shared" si="15"/>
        <v>0</v>
      </c>
      <c r="AR20" s="299">
        <f t="shared" si="16"/>
        <v>0</v>
      </c>
      <c r="AS20" s="299">
        <f t="shared" si="17"/>
        <v>0</v>
      </c>
      <c r="AT20" s="299">
        <f t="shared" si="18"/>
        <v>0</v>
      </c>
      <c r="AU20" s="299">
        <f t="shared" si="19"/>
        <v>0</v>
      </c>
      <c r="AV20" s="299">
        <f t="shared" si="20"/>
        <v>0</v>
      </c>
      <c r="AW20" s="510">
        <f t="shared" si="21"/>
        <v>0</v>
      </c>
      <c r="AX20" s="299">
        <f t="shared" si="30"/>
        <v>0</v>
      </c>
      <c r="AY20" s="299">
        <f t="shared" si="22"/>
        <v>0</v>
      </c>
      <c r="AZ20" s="299">
        <f t="shared" si="23"/>
        <v>0</v>
      </c>
      <c r="BC20" s="299">
        <f t="shared" si="6"/>
        <v>0</v>
      </c>
      <c r="BD20" s="299">
        <f>(AO20*Pricing!F$2+AP20*Pricing!G$2+AQ20*Pricing!H$2+AR20*Pricing!I$2+AS20*Pricing!J$2+AT20*Pricing!K$2+AI20*Pricing!F$2+AJ20*Pricing!G$2+AK20*Pricing!H$2+AL20*Pricing!I$2+AM20*Pricing!J$2+AN20*Pricing!K$2)*IF(U$40="N",(1+W$40),1)</f>
        <v>0</v>
      </c>
      <c r="BE20" s="299">
        <f t="shared" si="7"/>
        <v>0</v>
      </c>
      <c r="BF20" s="299">
        <f t="shared" si="8"/>
        <v>0</v>
      </c>
      <c r="BG20" s="299">
        <f t="shared" si="9"/>
        <v>0</v>
      </c>
      <c r="BH20" s="511" t="e">
        <f t="shared" si="24"/>
        <v>#DIV/0!</v>
      </c>
      <c r="BI20" s="299">
        <f t="shared" si="10"/>
        <v>0</v>
      </c>
      <c r="BK20" s="299">
        <f t="shared" si="11"/>
        <v>0</v>
      </c>
      <c r="BL20" s="299">
        <f>(AI20*Pricing!F$2+AJ20*Pricing!G$2+AK20*Pricing!H$2+AL20*Pricing!I$2+AM20*Pricing!J$2+AN20*Pricing!K$2)*IF(U$40="N",(1+W$40),1)</f>
        <v>0</v>
      </c>
      <c r="BM20" s="299">
        <f t="shared" si="25"/>
        <v>0</v>
      </c>
      <c r="BN20" s="299" t="e">
        <f t="shared" si="26"/>
        <v>#DIV/0!</v>
      </c>
      <c r="BO20" s="299">
        <f t="shared" si="27"/>
        <v>0</v>
      </c>
    </row>
    <row r="21" spans="2:67" s="299" customFormat="1" ht="18" customHeight="1" x14ac:dyDescent="0.35">
      <c r="B21" s="2547" t="s">
        <v>1141</v>
      </c>
      <c r="C21" s="1980"/>
      <c r="D21" s="625"/>
      <c r="E21" s="626">
        <v>1</v>
      </c>
      <c r="F21" s="1139"/>
      <c r="G21" s="176"/>
      <c r="H21" s="126"/>
      <c r="I21" s="125"/>
      <c r="J21" s="176"/>
      <c r="K21" s="126"/>
      <c r="L21" s="125"/>
      <c r="M21" s="176"/>
      <c r="N21" s="176"/>
      <c r="O21" s="234"/>
      <c r="P21" s="176"/>
      <c r="Q21" s="176"/>
      <c r="R21" s="184"/>
      <c r="S21" s="185"/>
      <c r="T21" s="1138"/>
      <c r="U21" s="106"/>
      <c r="V21" s="140"/>
      <c r="W21" s="1136">
        <f t="shared" si="28"/>
        <v>0</v>
      </c>
      <c r="X21" s="1137">
        <f t="shared" si="12"/>
        <v>0</v>
      </c>
      <c r="Y21" s="1593" t="e">
        <f>BN21*(1+M$41+Summary!P$64)</f>
        <v>#DIV/0!</v>
      </c>
      <c r="Z21" s="1594" t="e">
        <f t="shared" si="29"/>
        <v>#DIV/0!</v>
      </c>
      <c r="AI21" s="299">
        <f t="shared" si="0"/>
        <v>0</v>
      </c>
      <c r="AJ21" s="299">
        <f t="shared" si="1"/>
        <v>0</v>
      </c>
      <c r="AK21" s="299">
        <f t="shared" si="2"/>
        <v>0</v>
      </c>
      <c r="AL21" s="299">
        <f t="shared" si="3"/>
        <v>0</v>
      </c>
      <c r="AM21" s="299">
        <f t="shared" si="4"/>
        <v>0</v>
      </c>
      <c r="AN21" s="299">
        <f t="shared" si="5"/>
        <v>0</v>
      </c>
      <c r="AO21" s="299">
        <f t="shared" si="13"/>
        <v>0</v>
      </c>
      <c r="AP21" s="299">
        <f t="shared" si="14"/>
        <v>0</v>
      </c>
      <c r="AQ21" s="299">
        <f t="shared" si="15"/>
        <v>0</v>
      </c>
      <c r="AR21" s="299">
        <f t="shared" si="16"/>
        <v>0</v>
      </c>
      <c r="AS21" s="299">
        <f t="shared" si="17"/>
        <v>0</v>
      </c>
      <c r="AT21" s="299">
        <f t="shared" si="18"/>
        <v>0</v>
      </c>
      <c r="AU21" s="299">
        <f t="shared" si="19"/>
        <v>0</v>
      </c>
      <c r="AV21" s="299">
        <f t="shared" si="20"/>
        <v>0</v>
      </c>
      <c r="AW21" s="510">
        <f t="shared" si="21"/>
        <v>0</v>
      </c>
      <c r="AX21" s="299">
        <f t="shared" si="30"/>
        <v>0</v>
      </c>
      <c r="AY21" s="299">
        <f t="shared" si="22"/>
        <v>0</v>
      </c>
      <c r="AZ21" s="299">
        <f t="shared" si="23"/>
        <v>0</v>
      </c>
      <c r="BC21" s="299">
        <f t="shared" si="6"/>
        <v>0</v>
      </c>
      <c r="BD21" s="299">
        <f>(AO21*Pricing!F$2+AP21*Pricing!G$2+AQ21*Pricing!H$2+AR21*Pricing!I$2+AS21*Pricing!J$2+AT21*Pricing!K$2+AI21*Pricing!F$2+AJ21*Pricing!G$2+AK21*Pricing!H$2+AL21*Pricing!I$2+AM21*Pricing!J$2+AN21*Pricing!K$2)*IF(U$40="N",(1+W$40),1)</f>
        <v>0</v>
      </c>
      <c r="BE21" s="299">
        <f t="shared" si="7"/>
        <v>0</v>
      </c>
      <c r="BF21" s="299">
        <f t="shared" si="8"/>
        <v>0</v>
      </c>
      <c r="BG21" s="299">
        <f t="shared" si="9"/>
        <v>0</v>
      </c>
      <c r="BH21" s="511" t="e">
        <f t="shared" si="24"/>
        <v>#DIV/0!</v>
      </c>
      <c r="BI21" s="299">
        <f t="shared" si="10"/>
        <v>0</v>
      </c>
      <c r="BK21" s="299">
        <f t="shared" si="11"/>
        <v>0</v>
      </c>
      <c r="BL21" s="299">
        <f>(AI21*Pricing!F$2+AJ21*Pricing!G$2+AK21*Pricing!H$2+AL21*Pricing!I$2+AM21*Pricing!J$2+AN21*Pricing!K$2)*IF(U$40="N",(1+W$40),1)</f>
        <v>0</v>
      </c>
      <c r="BM21" s="299">
        <f t="shared" si="25"/>
        <v>0</v>
      </c>
      <c r="BN21" s="299" t="e">
        <f t="shared" si="26"/>
        <v>#DIV/0!</v>
      </c>
      <c r="BO21" s="299">
        <f t="shared" si="27"/>
        <v>0</v>
      </c>
    </row>
    <row r="22" spans="2:67" s="299" customFormat="1" ht="18" customHeight="1" x14ac:dyDescent="0.35">
      <c r="B22" s="2547" t="s">
        <v>1154</v>
      </c>
      <c r="C22" s="1980"/>
      <c r="D22" s="625"/>
      <c r="E22" s="626">
        <v>1</v>
      </c>
      <c r="F22" s="1139"/>
      <c r="G22" s="176"/>
      <c r="H22" s="126"/>
      <c r="I22" s="125"/>
      <c r="J22" s="176"/>
      <c r="K22" s="126"/>
      <c r="L22" s="125"/>
      <c r="M22" s="176"/>
      <c r="N22" s="176"/>
      <c r="O22" s="234"/>
      <c r="P22" s="176"/>
      <c r="Q22" s="176"/>
      <c r="R22" s="184"/>
      <c r="S22" s="185"/>
      <c r="T22" s="1138"/>
      <c r="U22" s="106"/>
      <c r="V22" s="140"/>
      <c r="W22" s="1136">
        <f t="shared" si="28"/>
        <v>0</v>
      </c>
      <c r="X22" s="1137">
        <f t="shared" si="12"/>
        <v>0</v>
      </c>
      <c r="Y22" s="1593" t="e">
        <f>BN22*(1+M$41+Summary!P$64)</f>
        <v>#DIV/0!</v>
      </c>
      <c r="Z22" s="1594" t="e">
        <f t="shared" si="29"/>
        <v>#DIV/0!</v>
      </c>
      <c r="AI22" s="299">
        <f t="shared" si="0"/>
        <v>0</v>
      </c>
      <c r="AJ22" s="299">
        <f t="shared" si="1"/>
        <v>0</v>
      </c>
      <c r="AK22" s="299">
        <f t="shared" si="2"/>
        <v>0</v>
      </c>
      <c r="AL22" s="299">
        <f t="shared" si="3"/>
        <v>0</v>
      </c>
      <c r="AM22" s="299">
        <f t="shared" si="4"/>
        <v>0</v>
      </c>
      <c r="AN22" s="299">
        <f t="shared" si="5"/>
        <v>0</v>
      </c>
      <c r="AO22" s="299">
        <f t="shared" si="13"/>
        <v>0</v>
      </c>
      <c r="AP22" s="299">
        <f t="shared" si="14"/>
        <v>0</v>
      </c>
      <c r="AQ22" s="299">
        <f t="shared" si="15"/>
        <v>0</v>
      </c>
      <c r="AR22" s="299">
        <f t="shared" si="16"/>
        <v>0</v>
      </c>
      <c r="AS22" s="299">
        <f t="shared" si="17"/>
        <v>0</v>
      </c>
      <c r="AT22" s="299">
        <f t="shared" si="18"/>
        <v>0</v>
      </c>
      <c r="AU22" s="299">
        <f t="shared" si="19"/>
        <v>0</v>
      </c>
      <c r="AV22" s="299">
        <f t="shared" si="20"/>
        <v>0</v>
      </c>
      <c r="AW22" s="510">
        <f t="shared" si="21"/>
        <v>0</v>
      </c>
      <c r="AX22" s="299">
        <f t="shared" si="30"/>
        <v>0</v>
      </c>
      <c r="AY22" s="299">
        <f t="shared" si="22"/>
        <v>0</v>
      </c>
      <c r="AZ22" s="299">
        <f t="shared" si="23"/>
        <v>0</v>
      </c>
      <c r="BC22" s="299">
        <f t="shared" si="6"/>
        <v>0</v>
      </c>
      <c r="BD22" s="299">
        <f>(AO22*Pricing!F$2+AP22*Pricing!G$2+AQ22*Pricing!H$2+AR22*Pricing!I$2+AS22*Pricing!J$2+AT22*Pricing!K$2+AI22*Pricing!F$2+AJ22*Pricing!G$2+AK22*Pricing!H$2+AL22*Pricing!I$2+AM22*Pricing!J$2+AN22*Pricing!K$2)*IF(U$40="N",(1+W$40),1)</f>
        <v>0</v>
      </c>
      <c r="BE22" s="299">
        <f t="shared" si="7"/>
        <v>0</v>
      </c>
      <c r="BF22" s="299">
        <f t="shared" si="8"/>
        <v>0</v>
      </c>
      <c r="BG22" s="299">
        <f t="shared" si="9"/>
        <v>0</v>
      </c>
      <c r="BH22" s="511" t="e">
        <f t="shared" si="24"/>
        <v>#DIV/0!</v>
      </c>
      <c r="BI22" s="299">
        <f t="shared" si="10"/>
        <v>0</v>
      </c>
      <c r="BK22" s="299">
        <f t="shared" si="11"/>
        <v>0</v>
      </c>
      <c r="BL22" s="299">
        <f>(AI22*Pricing!F$2+AJ22*Pricing!G$2+AK22*Pricing!H$2+AL22*Pricing!I$2+AM22*Pricing!J$2+AN22*Pricing!K$2)*IF(U$40="N",(1+W$40),1)</f>
        <v>0</v>
      </c>
      <c r="BM22" s="299">
        <f t="shared" si="25"/>
        <v>0</v>
      </c>
      <c r="BN22" s="299" t="e">
        <f t="shared" si="26"/>
        <v>#DIV/0!</v>
      </c>
      <c r="BO22" s="299">
        <f t="shared" si="27"/>
        <v>0</v>
      </c>
    </row>
    <row r="23" spans="2:67" s="299" customFormat="1" ht="18" customHeight="1" x14ac:dyDescent="0.35">
      <c r="B23" s="2547" t="s">
        <v>1155</v>
      </c>
      <c r="C23" s="1980"/>
      <c r="D23" s="625"/>
      <c r="E23" s="626">
        <v>1</v>
      </c>
      <c r="F23" s="1139"/>
      <c r="G23" s="176"/>
      <c r="H23" s="126"/>
      <c r="I23" s="125"/>
      <c r="J23" s="380"/>
      <c r="K23" s="126"/>
      <c r="L23" s="125"/>
      <c r="M23" s="176"/>
      <c r="N23" s="176"/>
      <c r="O23" s="234"/>
      <c r="P23" s="176"/>
      <c r="Q23" s="176"/>
      <c r="R23" s="184"/>
      <c r="S23" s="185"/>
      <c r="T23" s="1138"/>
      <c r="U23" s="106"/>
      <c r="V23" s="140"/>
      <c r="W23" s="1136">
        <f t="shared" si="28"/>
        <v>0</v>
      </c>
      <c r="X23" s="1137">
        <f t="shared" si="12"/>
        <v>0</v>
      </c>
      <c r="Y23" s="1593" t="e">
        <f>BN23*(1+M$41+Summary!P$64)</f>
        <v>#DIV/0!</v>
      </c>
      <c r="Z23" s="1594" t="e">
        <f t="shared" si="29"/>
        <v>#DIV/0!</v>
      </c>
      <c r="AI23" s="299">
        <f t="shared" si="0"/>
        <v>0</v>
      </c>
      <c r="AJ23" s="299">
        <f t="shared" si="1"/>
        <v>0</v>
      </c>
      <c r="AK23" s="299">
        <f t="shared" si="2"/>
        <v>0</v>
      </c>
      <c r="AL23" s="299">
        <f t="shared" si="3"/>
        <v>0</v>
      </c>
      <c r="AM23" s="299">
        <f t="shared" si="4"/>
        <v>0</v>
      </c>
      <c r="AN23" s="299">
        <f t="shared" si="5"/>
        <v>0</v>
      </c>
      <c r="AO23" s="299">
        <f t="shared" si="13"/>
        <v>0</v>
      </c>
      <c r="AP23" s="299">
        <f t="shared" si="14"/>
        <v>0</v>
      </c>
      <c r="AQ23" s="299">
        <f t="shared" si="15"/>
        <v>0</v>
      </c>
      <c r="AR23" s="299">
        <f t="shared" si="16"/>
        <v>0</v>
      </c>
      <c r="AS23" s="299">
        <f t="shared" si="17"/>
        <v>0</v>
      </c>
      <c r="AT23" s="299">
        <f t="shared" si="18"/>
        <v>0</v>
      </c>
      <c r="AU23" s="299">
        <f t="shared" si="19"/>
        <v>0</v>
      </c>
      <c r="AV23" s="299">
        <f t="shared" si="20"/>
        <v>0</v>
      </c>
      <c r="AW23" s="510">
        <f t="shared" si="21"/>
        <v>0</v>
      </c>
      <c r="AX23" s="299">
        <f t="shared" si="30"/>
        <v>0</v>
      </c>
      <c r="AY23" s="299">
        <f t="shared" si="22"/>
        <v>0</v>
      </c>
      <c r="AZ23" s="299">
        <f t="shared" si="23"/>
        <v>0</v>
      </c>
      <c r="BC23" s="299">
        <f t="shared" si="6"/>
        <v>0</v>
      </c>
      <c r="BD23" s="299">
        <f>(AO23*Pricing!F$2+AP23*Pricing!G$2+AQ23*Pricing!H$2+AR23*Pricing!I$2+AS23*Pricing!J$2+AT23*Pricing!K$2+AI23*Pricing!F$2+AJ23*Pricing!G$2+AK23*Pricing!H$2+AL23*Pricing!I$2+AM23*Pricing!J$2+AN23*Pricing!K$2)*IF(U$40="N",(1+W$40),1)</f>
        <v>0</v>
      </c>
      <c r="BE23" s="299">
        <f t="shared" si="7"/>
        <v>0</v>
      </c>
      <c r="BF23" s="299">
        <f t="shared" si="8"/>
        <v>0</v>
      </c>
      <c r="BG23" s="299">
        <f t="shared" si="9"/>
        <v>0</v>
      </c>
      <c r="BH23" s="511" t="e">
        <f t="shared" si="24"/>
        <v>#DIV/0!</v>
      </c>
      <c r="BI23" s="299">
        <f t="shared" si="10"/>
        <v>0</v>
      </c>
      <c r="BK23" s="299">
        <f t="shared" si="11"/>
        <v>0</v>
      </c>
      <c r="BL23" s="299">
        <f>(AI23*Pricing!F$2+AJ23*Pricing!G$2+AK23*Pricing!H$2+AL23*Pricing!I$2+AM23*Pricing!J$2+AN23*Pricing!K$2)*IF(U$40="N",(1+W$40),1)</f>
        <v>0</v>
      </c>
      <c r="BM23" s="299">
        <f t="shared" si="25"/>
        <v>0</v>
      </c>
      <c r="BN23" s="299" t="e">
        <f t="shared" si="26"/>
        <v>#DIV/0!</v>
      </c>
      <c r="BO23" s="299">
        <f t="shared" si="27"/>
        <v>0</v>
      </c>
    </row>
    <row r="24" spans="2:67" s="299" customFormat="1" ht="18" customHeight="1" x14ac:dyDescent="0.35">
      <c r="B24" s="2547" t="s">
        <v>1156</v>
      </c>
      <c r="C24" s="1980"/>
      <c r="D24" s="625"/>
      <c r="E24" s="626">
        <v>1</v>
      </c>
      <c r="F24" s="1139"/>
      <c r="G24" s="176"/>
      <c r="H24" s="126"/>
      <c r="I24" s="125"/>
      <c r="J24" s="176"/>
      <c r="K24" s="126"/>
      <c r="L24" s="125"/>
      <c r="M24" s="176"/>
      <c r="N24" s="176"/>
      <c r="O24" s="234"/>
      <c r="P24" s="176"/>
      <c r="Q24" s="176"/>
      <c r="R24" s="184"/>
      <c r="S24" s="185"/>
      <c r="T24" s="1138"/>
      <c r="U24" s="106"/>
      <c r="V24" s="140"/>
      <c r="W24" s="1136">
        <f t="shared" si="28"/>
        <v>0</v>
      </c>
      <c r="X24" s="1137">
        <f t="shared" si="12"/>
        <v>0</v>
      </c>
      <c r="Y24" s="1593" t="e">
        <f>BN24*(1+M$41+Summary!P$64)</f>
        <v>#DIV/0!</v>
      </c>
      <c r="Z24" s="1594" t="e">
        <f t="shared" si="29"/>
        <v>#DIV/0!</v>
      </c>
      <c r="AI24" s="299">
        <f t="shared" si="0"/>
        <v>0</v>
      </c>
      <c r="AJ24" s="299">
        <f t="shared" si="1"/>
        <v>0</v>
      </c>
      <c r="AK24" s="299">
        <f t="shared" si="2"/>
        <v>0</v>
      </c>
      <c r="AL24" s="299">
        <f t="shared" si="3"/>
        <v>0</v>
      </c>
      <c r="AM24" s="299">
        <f t="shared" si="4"/>
        <v>0</v>
      </c>
      <c r="AN24" s="299">
        <f t="shared" si="5"/>
        <v>0</v>
      </c>
      <c r="AO24" s="299">
        <f t="shared" si="13"/>
        <v>0</v>
      </c>
      <c r="AP24" s="299">
        <f t="shared" si="14"/>
        <v>0</v>
      </c>
      <c r="AQ24" s="299">
        <f t="shared" si="15"/>
        <v>0</v>
      </c>
      <c r="AR24" s="299">
        <f t="shared" si="16"/>
        <v>0</v>
      </c>
      <c r="AS24" s="299">
        <f t="shared" si="17"/>
        <v>0</v>
      </c>
      <c r="AT24" s="299">
        <f t="shared" si="18"/>
        <v>0</v>
      </c>
      <c r="AU24" s="299">
        <f t="shared" si="19"/>
        <v>0</v>
      </c>
      <c r="AV24" s="299">
        <f t="shared" si="20"/>
        <v>0</v>
      </c>
      <c r="AW24" s="510">
        <f t="shared" si="21"/>
        <v>0</v>
      </c>
      <c r="AX24" s="299">
        <f t="shared" si="30"/>
        <v>0</v>
      </c>
      <c r="AY24" s="299">
        <f t="shared" si="22"/>
        <v>0</v>
      </c>
      <c r="AZ24" s="299">
        <f t="shared" si="23"/>
        <v>0</v>
      </c>
      <c r="BC24" s="299">
        <f t="shared" si="6"/>
        <v>0</v>
      </c>
      <c r="BD24" s="299">
        <f>(AO24*Pricing!F$2+AP24*Pricing!G$2+AQ24*Pricing!H$2+AR24*Pricing!I$2+AS24*Pricing!J$2+AT24*Pricing!K$2+AI24*Pricing!F$2+AJ24*Pricing!G$2+AK24*Pricing!H$2+AL24*Pricing!I$2+AM24*Pricing!J$2+AN24*Pricing!K$2)*IF(U$40="N",(1+W$40),1)</f>
        <v>0</v>
      </c>
      <c r="BE24" s="299">
        <f t="shared" si="7"/>
        <v>0</v>
      </c>
      <c r="BF24" s="299">
        <f t="shared" si="8"/>
        <v>0</v>
      </c>
      <c r="BG24" s="299">
        <f t="shared" si="9"/>
        <v>0</v>
      </c>
      <c r="BH24" s="511" t="e">
        <f t="shared" si="24"/>
        <v>#DIV/0!</v>
      </c>
      <c r="BI24" s="299">
        <f t="shared" si="10"/>
        <v>0</v>
      </c>
      <c r="BK24" s="299">
        <f t="shared" si="11"/>
        <v>0</v>
      </c>
      <c r="BL24" s="299">
        <f>(AI24*Pricing!F$2+AJ24*Pricing!G$2+AK24*Pricing!H$2+AL24*Pricing!I$2+AM24*Pricing!J$2+AN24*Pricing!K$2)*IF(U$40="N",(1+W$40),1)</f>
        <v>0</v>
      </c>
      <c r="BM24" s="299">
        <f t="shared" si="25"/>
        <v>0</v>
      </c>
      <c r="BN24" s="299" t="e">
        <f t="shared" si="26"/>
        <v>#DIV/0!</v>
      </c>
      <c r="BO24" s="299">
        <f t="shared" si="27"/>
        <v>0</v>
      </c>
    </row>
    <row r="25" spans="2:67" s="299" customFormat="1" ht="18" customHeight="1" x14ac:dyDescent="0.35">
      <c r="B25" s="2547" t="s">
        <v>1157</v>
      </c>
      <c r="C25" s="1980"/>
      <c r="D25" s="625"/>
      <c r="E25" s="626">
        <v>1</v>
      </c>
      <c r="F25" s="1139"/>
      <c r="G25" s="176"/>
      <c r="H25" s="126"/>
      <c r="I25" s="125"/>
      <c r="J25" s="176"/>
      <c r="K25" s="126"/>
      <c r="L25" s="125"/>
      <c r="M25" s="176"/>
      <c r="N25" s="176"/>
      <c r="O25" s="234"/>
      <c r="P25" s="176"/>
      <c r="Q25" s="176"/>
      <c r="R25" s="184"/>
      <c r="S25" s="185"/>
      <c r="T25" s="1138"/>
      <c r="U25" s="106"/>
      <c r="V25" s="140"/>
      <c r="W25" s="1136">
        <f t="shared" si="28"/>
        <v>0</v>
      </c>
      <c r="X25" s="1137">
        <f t="shared" si="12"/>
        <v>0</v>
      </c>
      <c r="Y25" s="1593" t="e">
        <f>BN25*(1+M$41+Summary!P$64)</f>
        <v>#DIV/0!</v>
      </c>
      <c r="Z25" s="1594" t="e">
        <f t="shared" si="29"/>
        <v>#DIV/0!</v>
      </c>
      <c r="AI25" s="299">
        <f t="shared" si="0"/>
        <v>0</v>
      </c>
      <c r="AJ25" s="299">
        <f t="shared" si="1"/>
        <v>0</v>
      </c>
      <c r="AK25" s="299">
        <f t="shared" si="2"/>
        <v>0</v>
      </c>
      <c r="AL25" s="299">
        <f t="shared" si="3"/>
        <v>0</v>
      </c>
      <c r="AM25" s="299">
        <f t="shared" si="4"/>
        <v>0</v>
      </c>
      <c r="AN25" s="299">
        <f t="shared" si="5"/>
        <v>0</v>
      </c>
      <c r="AO25" s="299">
        <f t="shared" si="13"/>
        <v>0</v>
      </c>
      <c r="AP25" s="299">
        <f t="shared" si="14"/>
        <v>0</v>
      </c>
      <c r="AQ25" s="299">
        <f t="shared" si="15"/>
        <v>0</v>
      </c>
      <c r="AR25" s="299">
        <f t="shared" si="16"/>
        <v>0</v>
      </c>
      <c r="AS25" s="299">
        <f t="shared" si="17"/>
        <v>0</v>
      </c>
      <c r="AT25" s="299">
        <f t="shared" si="18"/>
        <v>0</v>
      </c>
      <c r="AU25" s="299">
        <f t="shared" si="19"/>
        <v>0</v>
      </c>
      <c r="AV25" s="299">
        <f t="shared" si="20"/>
        <v>0</v>
      </c>
      <c r="AW25" s="510">
        <f t="shared" si="21"/>
        <v>0</v>
      </c>
      <c r="AX25" s="299">
        <f t="shared" si="30"/>
        <v>0</v>
      </c>
      <c r="AY25" s="299">
        <f t="shared" si="22"/>
        <v>0</v>
      </c>
      <c r="AZ25" s="299">
        <f t="shared" si="23"/>
        <v>0</v>
      </c>
      <c r="BC25" s="299">
        <f t="shared" si="6"/>
        <v>0</v>
      </c>
      <c r="BD25" s="299">
        <f>(AO25*Pricing!F$2+AP25*Pricing!G$2+AQ25*Pricing!H$2+AR25*Pricing!I$2+AS25*Pricing!J$2+AT25*Pricing!K$2+AI25*Pricing!F$2+AJ25*Pricing!G$2+AK25*Pricing!H$2+AL25*Pricing!I$2+AM25*Pricing!J$2+AN25*Pricing!K$2)*IF(U$40="N",(1+W$40),1)</f>
        <v>0</v>
      </c>
      <c r="BE25" s="299">
        <f t="shared" si="7"/>
        <v>0</v>
      </c>
      <c r="BF25" s="299">
        <f t="shared" si="8"/>
        <v>0</v>
      </c>
      <c r="BG25" s="299">
        <f t="shared" si="9"/>
        <v>0</v>
      </c>
      <c r="BH25" s="511" t="e">
        <f t="shared" si="24"/>
        <v>#DIV/0!</v>
      </c>
      <c r="BI25" s="299">
        <f t="shared" si="10"/>
        <v>0</v>
      </c>
      <c r="BK25" s="299">
        <f t="shared" si="11"/>
        <v>0</v>
      </c>
      <c r="BL25" s="299">
        <f>(AI25*Pricing!F$2+AJ25*Pricing!G$2+AK25*Pricing!H$2+AL25*Pricing!I$2+AM25*Pricing!J$2+AN25*Pricing!K$2)*IF(U$40="N",(1+W$40),1)</f>
        <v>0</v>
      </c>
      <c r="BM25" s="299">
        <f t="shared" si="25"/>
        <v>0</v>
      </c>
      <c r="BN25" s="299" t="e">
        <f t="shared" si="26"/>
        <v>#DIV/0!</v>
      </c>
      <c r="BO25" s="299">
        <f t="shared" si="27"/>
        <v>0</v>
      </c>
    </row>
    <row r="26" spans="2:67" s="299" customFormat="1" ht="18" customHeight="1" x14ac:dyDescent="0.35">
      <c r="B26" s="2547" t="s">
        <v>1158</v>
      </c>
      <c r="C26" s="1980"/>
      <c r="D26" s="625"/>
      <c r="E26" s="626">
        <v>1</v>
      </c>
      <c r="F26" s="1139"/>
      <c r="G26" s="176"/>
      <c r="H26" s="126"/>
      <c r="I26" s="125"/>
      <c r="J26" s="176"/>
      <c r="K26" s="126"/>
      <c r="L26" s="125"/>
      <c r="M26" s="176"/>
      <c r="N26" s="176"/>
      <c r="O26" s="234"/>
      <c r="P26" s="176"/>
      <c r="Q26" s="176"/>
      <c r="R26" s="176"/>
      <c r="S26" s="185"/>
      <c r="T26" s="1138"/>
      <c r="U26" s="106"/>
      <c r="V26" s="140"/>
      <c r="W26" s="1136">
        <f t="shared" si="28"/>
        <v>0</v>
      </c>
      <c r="X26" s="1137">
        <f t="shared" si="12"/>
        <v>0</v>
      </c>
      <c r="Y26" s="1593" t="e">
        <f>BN26*(1+M$41+Summary!P$64)</f>
        <v>#DIV/0!</v>
      </c>
      <c r="Z26" s="1594" t="e">
        <f t="shared" si="29"/>
        <v>#DIV/0!</v>
      </c>
      <c r="AI26" s="299">
        <f t="shared" si="0"/>
        <v>0</v>
      </c>
      <c r="AJ26" s="299">
        <f t="shared" si="1"/>
        <v>0</v>
      </c>
      <c r="AK26" s="299">
        <f t="shared" si="2"/>
        <v>0</v>
      </c>
      <c r="AL26" s="299">
        <f t="shared" si="3"/>
        <v>0</v>
      </c>
      <c r="AM26" s="299">
        <f t="shared" si="4"/>
        <v>0</v>
      </c>
      <c r="AN26" s="299">
        <f t="shared" si="5"/>
        <v>0</v>
      </c>
      <c r="AO26" s="299">
        <f t="shared" si="13"/>
        <v>0</v>
      </c>
      <c r="AP26" s="299">
        <f t="shared" si="14"/>
        <v>0</v>
      </c>
      <c r="AQ26" s="299">
        <f t="shared" si="15"/>
        <v>0</v>
      </c>
      <c r="AR26" s="299">
        <f t="shared" si="16"/>
        <v>0</v>
      </c>
      <c r="AS26" s="299">
        <f t="shared" si="17"/>
        <v>0</v>
      </c>
      <c r="AT26" s="299">
        <f t="shared" si="18"/>
        <v>0</v>
      </c>
      <c r="AU26" s="299">
        <f t="shared" si="19"/>
        <v>0</v>
      </c>
      <c r="AV26" s="299">
        <f t="shared" si="20"/>
        <v>0</v>
      </c>
      <c r="AW26" s="510">
        <f t="shared" si="21"/>
        <v>0</v>
      </c>
      <c r="AX26" s="299">
        <f t="shared" si="30"/>
        <v>0</v>
      </c>
      <c r="AY26" s="299">
        <f t="shared" si="22"/>
        <v>0</v>
      </c>
      <c r="AZ26" s="299">
        <f t="shared" si="23"/>
        <v>0</v>
      </c>
      <c r="BC26" s="299">
        <f t="shared" si="6"/>
        <v>0</v>
      </c>
      <c r="BD26" s="299">
        <f>(AO26*Pricing!F$2+AP26*Pricing!G$2+AQ26*Pricing!H$2+AR26*Pricing!I$2+AS26*Pricing!J$2+AT26*Pricing!K$2+AI26*Pricing!F$2+AJ26*Pricing!G$2+AK26*Pricing!H$2+AL26*Pricing!I$2+AM26*Pricing!J$2+AN26*Pricing!K$2)*IF(U$40="N",(1+W$40),1)</f>
        <v>0</v>
      </c>
      <c r="BE26" s="299">
        <f t="shared" si="7"/>
        <v>0</v>
      </c>
      <c r="BF26" s="299">
        <f t="shared" si="8"/>
        <v>0</v>
      </c>
      <c r="BG26" s="299">
        <f t="shared" si="9"/>
        <v>0</v>
      </c>
      <c r="BH26" s="511" t="e">
        <f t="shared" si="24"/>
        <v>#DIV/0!</v>
      </c>
      <c r="BI26" s="299">
        <f t="shared" si="10"/>
        <v>0</v>
      </c>
      <c r="BK26" s="299">
        <f t="shared" si="11"/>
        <v>0</v>
      </c>
      <c r="BL26" s="299">
        <f>(AI26*Pricing!F$2+AJ26*Pricing!G$2+AK26*Pricing!H$2+AL26*Pricing!I$2+AM26*Pricing!J$2+AN26*Pricing!K$2)*IF(U$40="N",(1+W$40),1)</f>
        <v>0</v>
      </c>
      <c r="BM26" s="299">
        <f t="shared" si="25"/>
        <v>0</v>
      </c>
      <c r="BN26" s="299" t="e">
        <f t="shared" si="26"/>
        <v>#DIV/0!</v>
      </c>
      <c r="BO26" s="299">
        <f t="shared" si="27"/>
        <v>0</v>
      </c>
    </row>
    <row r="27" spans="2:67" s="299" customFormat="1" ht="18" customHeight="1" x14ac:dyDescent="0.35">
      <c r="B27" s="1979"/>
      <c r="C27" s="1980"/>
      <c r="D27" s="625"/>
      <c r="E27" s="626"/>
      <c r="F27" s="740"/>
      <c r="G27" s="176"/>
      <c r="H27" s="126"/>
      <c r="I27" s="125"/>
      <c r="J27" s="176"/>
      <c r="K27" s="126"/>
      <c r="L27" s="125"/>
      <c r="M27" s="176"/>
      <c r="N27" s="176"/>
      <c r="O27" s="234"/>
      <c r="P27" s="176"/>
      <c r="Q27" s="176"/>
      <c r="R27" s="176"/>
      <c r="S27" s="185"/>
      <c r="T27" s="1138"/>
      <c r="U27" s="106"/>
      <c r="V27" s="140"/>
      <c r="W27" s="1136">
        <f t="shared" si="28"/>
        <v>0</v>
      </c>
      <c r="X27" s="1137">
        <f t="shared" si="12"/>
        <v>0</v>
      </c>
      <c r="Y27" s="1593" t="e">
        <f>BN27*(1+M$41+Summary!P$64)</f>
        <v>#DIV/0!</v>
      </c>
      <c r="Z27" s="1594" t="e">
        <f t="shared" si="29"/>
        <v>#DIV/0!</v>
      </c>
      <c r="AI27" s="299">
        <f t="shared" si="0"/>
        <v>0</v>
      </c>
      <c r="AJ27" s="299">
        <f t="shared" si="1"/>
        <v>0</v>
      </c>
      <c r="AK27" s="299">
        <f t="shared" si="2"/>
        <v>0</v>
      </c>
      <c r="AL27" s="299">
        <f t="shared" si="3"/>
        <v>0</v>
      </c>
      <c r="AM27" s="299">
        <f t="shared" si="4"/>
        <v>0</v>
      </c>
      <c r="AN27" s="299">
        <f t="shared" si="5"/>
        <v>0</v>
      </c>
      <c r="AO27" s="299">
        <f t="shared" si="13"/>
        <v>0</v>
      </c>
      <c r="AP27" s="299">
        <f t="shared" si="14"/>
        <v>0</v>
      </c>
      <c r="AQ27" s="299">
        <f t="shared" si="15"/>
        <v>0</v>
      </c>
      <c r="AR27" s="299">
        <f t="shared" si="16"/>
        <v>0</v>
      </c>
      <c r="AS27" s="299">
        <f t="shared" si="17"/>
        <v>0</v>
      </c>
      <c r="AT27" s="299">
        <f t="shared" si="18"/>
        <v>0</v>
      </c>
      <c r="AU27" s="299">
        <f t="shared" si="19"/>
        <v>0</v>
      </c>
      <c r="AV27" s="299">
        <f t="shared" si="20"/>
        <v>0</v>
      </c>
      <c r="AW27" s="510">
        <f t="shared" si="21"/>
        <v>0</v>
      </c>
      <c r="AX27" s="299">
        <f t="shared" si="30"/>
        <v>0</v>
      </c>
      <c r="AY27" s="299">
        <f t="shared" si="22"/>
        <v>0</v>
      </c>
      <c r="AZ27" s="299">
        <f t="shared" si="23"/>
        <v>0</v>
      </c>
      <c r="BC27" s="299">
        <f t="shared" si="6"/>
        <v>0</v>
      </c>
      <c r="BD27" s="299">
        <f>(AO27*Pricing!F$2+AP27*Pricing!G$2+AQ27*Pricing!H$2+AR27*Pricing!I$2+AS27*Pricing!J$2+AT27*Pricing!K$2+AI27*Pricing!F$2+AJ27*Pricing!G$2+AK27*Pricing!H$2+AL27*Pricing!I$2+AM27*Pricing!J$2+AN27*Pricing!K$2)*IF(U$40="N",(1+W$40),1)</f>
        <v>0</v>
      </c>
      <c r="BE27" s="299">
        <f t="shared" si="7"/>
        <v>0</v>
      </c>
      <c r="BF27" s="299">
        <f t="shared" si="8"/>
        <v>0</v>
      </c>
      <c r="BG27" s="299">
        <f t="shared" si="9"/>
        <v>0</v>
      </c>
      <c r="BH27" s="511" t="e">
        <f t="shared" si="24"/>
        <v>#DIV/0!</v>
      </c>
      <c r="BI27" s="299">
        <f t="shared" si="10"/>
        <v>0</v>
      </c>
      <c r="BK27" s="299">
        <f t="shared" si="11"/>
        <v>0</v>
      </c>
      <c r="BL27" s="299">
        <f>(AI27*Pricing!F$2+AJ27*Pricing!G$2+AK27*Pricing!H$2+AL27*Pricing!I$2+AM27*Pricing!J$2+AN27*Pricing!K$2)*IF(U$40="N",(1+W$40),1)</f>
        <v>0</v>
      </c>
      <c r="BM27" s="299">
        <f t="shared" si="25"/>
        <v>0</v>
      </c>
      <c r="BN27" s="299" t="e">
        <f t="shared" si="26"/>
        <v>#DIV/0!</v>
      </c>
      <c r="BO27" s="299">
        <f t="shared" si="27"/>
        <v>0</v>
      </c>
    </row>
    <row r="28" spans="2:67" s="299" customFormat="1" ht="18" customHeight="1" x14ac:dyDescent="0.35">
      <c r="B28" s="1979"/>
      <c r="C28" s="1980"/>
      <c r="D28" s="625"/>
      <c r="E28" s="626"/>
      <c r="F28" s="740"/>
      <c r="G28" s="176"/>
      <c r="H28" s="126"/>
      <c r="I28" s="125"/>
      <c r="J28" s="176"/>
      <c r="K28" s="126"/>
      <c r="L28" s="125"/>
      <c r="M28" s="176"/>
      <c r="N28" s="176"/>
      <c r="O28" s="234"/>
      <c r="P28" s="176"/>
      <c r="Q28" s="176"/>
      <c r="R28" s="176"/>
      <c r="S28" s="185"/>
      <c r="T28" s="1138"/>
      <c r="U28" s="106"/>
      <c r="V28" s="140"/>
      <c r="W28" s="1136">
        <f t="shared" si="28"/>
        <v>0</v>
      </c>
      <c r="X28" s="1137">
        <f t="shared" si="12"/>
        <v>0</v>
      </c>
      <c r="Y28" s="1593" t="e">
        <f>BN28*(1+M$41+Summary!P$64)</f>
        <v>#DIV/0!</v>
      </c>
      <c r="Z28" s="1594" t="e">
        <f t="shared" si="29"/>
        <v>#DIV/0!</v>
      </c>
      <c r="AI28" s="299">
        <f t="shared" si="0"/>
        <v>0</v>
      </c>
      <c r="AJ28" s="299">
        <f t="shared" si="1"/>
        <v>0</v>
      </c>
      <c r="AK28" s="299">
        <f t="shared" si="2"/>
        <v>0</v>
      </c>
      <c r="AL28" s="299">
        <f t="shared" si="3"/>
        <v>0</v>
      </c>
      <c r="AM28" s="299">
        <f t="shared" si="4"/>
        <v>0</v>
      </c>
      <c r="AN28" s="299">
        <f t="shared" si="5"/>
        <v>0</v>
      </c>
      <c r="AO28" s="299">
        <f t="shared" si="13"/>
        <v>0</v>
      </c>
      <c r="AP28" s="299">
        <f t="shared" si="14"/>
        <v>0</v>
      </c>
      <c r="AQ28" s="299">
        <f t="shared" si="15"/>
        <v>0</v>
      </c>
      <c r="AR28" s="299">
        <f t="shared" si="16"/>
        <v>0</v>
      </c>
      <c r="AS28" s="299">
        <f t="shared" si="17"/>
        <v>0</v>
      </c>
      <c r="AT28" s="299">
        <f t="shared" si="18"/>
        <v>0</v>
      </c>
      <c r="AU28" s="299">
        <f t="shared" si="19"/>
        <v>0</v>
      </c>
      <c r="AV28" s="299">
        <f t="shared" si="20"/>
        <v>0</v>
      </c>
      <c r="AW28" s="510">
        <f t="shared" si="21"/>
        <v>0</v>
      </c>
      <c r="AX28" s="299">
        <f t="shared" si="30"/>
        <v>0</v>
      </c>
      <c r="AY28" s="299">
        <f t="shared" si="22"/>
        <v>0</v>
      </c>
      <c r="AZ28" s="299">
        <f t="shared" si="23"/>
        <v>0</v>
      </c>
      <c r="BC28" s="299">
        <f t="shared" si="6"/>
        <v>0</v>
      </c>
      <c r="BD28" s="299">
        <f>(AO28*Pricing!F$2+AP28*Pricing!G$2+AQ28*Pricing!H$2+AR28*Pricing!I$2+AS28*Pricing!J$2+AT28*Pricing!K$2+AI28*Pricing!F$2+AJ28*Pricing!G$2+AK28*Pricing!H$2+AL28*Pricing!I$2+AM28*Pricing!J$2+AN28*Pricing!K$2)*IF(U$40="N",(1+W$40),1)</f>
        <v>0</v>
      </c>
      <c r="BE28" s="299">
        <f t="shared" si="7"/>
        <v>0</v>
      </c>
      <c r="BF28" s="299">
        <f t="shared" si="8"/>
        <v>0</v>
      </c>
      <c r="BG28" s="299">
        <f t="shared" si="9"/>
        <v>0</v>
      </c>
      <c r="BH28" s="511" t="e">
        <f t="shared" si="24"/>
        <v>#DIV/0!</v>
      </c>
      <c r="BI28" s="299">
        <f t="shared" si="10"/>
        <v>0</v>
      </c>
      <c r="BK28" s="299">
        <f t="shared" si="11"/>
        <v>0</v>
      </c>
      <c r="BL28" s="299">
        <f>(AI28*Pricing!F$2+AJ28*Pricing!G$2+AK28*Pricing!H$2+AL28*Pricing!I$2+AM28*Pricing!J$2+AN28*Pricing!K$2)*IF(U$40="N",(1+W$40),1)</f>
        <v>0</v>
      </c>
      <c r="BM28" s="299">
        <f t="shared" si="25"/>
        <v>0</v>
      </c>
      <c r="BN28" s="299" t="e">
        <f t="shared" si="26"/>
        <v>#DIV/0!</v>
      </c>
      <c r="BO28" s="299">
        <f t="shared" si="27"/>
        <v>0</v>
      </c>
    </row>
    <row r="29" spans="2:67" s="299" customFormat="1" ht="18" customHeight="1" x14ac:dyDescent="0.35">
      <c r="B29" s="1979"/>
      <c r="C29" s="1980"/>
      <c r="D29" s="625"/>
      <c r="E29" s="626"/>
      <c r="F29" s="740"/>
      <c r="G29" s="176"/>
      <c r="H29" s="126"/>
      <c r="I29" s="125"/>
      <c r="J29" s="176"/>
      <c r="K29" s="126"/>
      <c r="L29" s="125"/>
      <c r="M29" s="176"/>
      <c r="N29" s="176"/>
      <c r="O29" s="234"/>
      <c r="P29" s="176"/>
      <c r="Q29" s="176"/>
      <c r="R29" s="176"/>
      <c r="S29" s="185"/>
      <c r="T29" s="1138"/>
      <c r="U29" s="106"/>
      <c r="V29" s="140"/>
      <c r="W29" s="1136">
        <f t="shared" si="28"/>
        <v>0</v>
      </c>
      <c r="X29" s="1137">
        <f t="shared" si="12"/>
        <v>0</v>
      </c>
      <c r="Y29" s="1593" t="e">
        <f>BN29*(1+M$41+Summary!P$64)</f>
        <v>#DIV/0!</v>
      </c>
      <c r="Z29" s="1594" t="e">
        <f t="shared" si="29"/>
        <v>#DIV/0!</v>
      </c>
      <c r="AI29" s="299">
        <f t="shared" si="0"/>
        <v>0</v>
      </c>
      <c r="AJ29" s="299">
        <f t="shared" si="1"/>
        <v>0</v>
      </c>
      <c r="AK29" s="299">
        <f t="shared" si="2"/>
        <v>0</v>
      </c>
      <c r="AL29" s="299">
        <f t="shared" si="3"/>
        <v>0</v>
      </c>
      <c r="AM29" s="299">
        <f t="shared" si="4"/>
        <v>0</v>
      </c>
      <c r="AN29" s="299">
        <f t="shared" si="5"/>
        <v>0</v>
      </c>
      <c r="AO29" s="299">
        <f t="shared" si="13"/>
        <v>0</v>
      </c>
      <c r="AP29" s="299">
        <f t="shared" si="14"/>
        <v>0</v>
      </c>
      <c r="AQ29" s="299">
        <f t="shared" si="15"/>
        <v>0</v>
      </c>
      <c r="AR29" s="299">
        <f t="shared" si="16"/>
        <v>0</v>
      </c>
      <c r="AS29" s="299">
        <f t="shared" si="17"/>
        <v>0</v>
      </c>
      <c r="AT29" s="299">
        <f t="shared" si="18"/>
        <v>0</v>
      </c>
      <c r="AU29" s="299">
        <f t="shared" si="19"/>
        <v>0</v>
      </c>
      <c r="AV29" s="299">
        <f t="shared" si="20"/>
        <v>0</v>
      </c>
      <c r="AW29" s="510">
        <f t="shared" si="21"/>
        <v>0</v>
      </c>
      <c r="AX29" s="299">
        <f t="shared" si="30"/>
        <v>0</v>
      </c>
      <c r="AY29" s="299">
        <f t="shared" si="22"/>
        <v>0</v>
      </c>
      <c r="AZ29" s="299">
        <f t="shared" si="23"/>
        <v>0</v>
      </c>
      <c r="BC29" s="299">
        <f t="shared" si="6"/>
        <v>0</v>
      </c>
      <c r="BD29" s="299">
        <f>(AO29*Pricing!F$2+AP29*Pricing!G$2+AQ29*Pricing!H$2+AR29*Pricing!I$2+AS29*Pricing!J$2+AT29*Pricing!K$2+AI29*Pricing!F$2+AJ29*Pricing!G$2+AK29*Pricing!H$2+AL29*Pricing!I$2+AM29*Pricing!J$2+AN29*Pricing!K$2)*IF(U$40="N",(1+W$40),1)</f>
        <v>0</v>
      </c>
      <c r="BE29" s="299">
        <f t="shared" si="7"/>
        <v>0</v>
      </c>
      <c r="BF29" s="299">
        <f t="shared" si="8"/>
        <v>0</v>
      </c>
      <c r="BG29" s="299">
        <f t="shared" si="9"/>
        <v>0</v>
      </c>
      <c r="BH29" s="511" t="e">
        <f t="shared" si="24"/>
        <v>#DIV/0!</v>
      </c>
      <c r="BI29" s="299">
        <f t="shared" si="10"/>
        <v>0</v>
      </c>
      <c r="BK29" s="299">
        <f t="shared" si="11"/>
        <v>0</v>
      </c>
      <c r="BL29" s="299">
        <f>(AI29*Pricing!F$2+AJ29*Pricing!G$2+AK29*Pricing!H$2+AL29*Pricing!I$2+AM29*Pricing!J$2+AN29*Pricing!K$2)*IF(U$40="N",(1+W$40),1)</f>
        <v>0</v>
      </c>
      <c r="BM29" s="299">
        <f t="shared" si="25"/>
        <v>0</v>
      </c>
      <c r="BN29" s="299" t="e">
        <f t="shared" si="26"/>
        <v>#DIV/0!</v>
      </c>
      <c r="BO29" s="299">
        <f t="shared" si="27"/>
        <v>0</v>
      </c>
    </row>
    <row r="30" spans="2:67" s="299" customFormat="1" ht="18" customHeight="1" x14ac:dyDescent="0.35">
      <c r="B30" s="1979"/>
      <c r="C30" s="1980"/>
      <c r="D30" s="625"/>
      <c r="E30" s="626"/>
      <c r="F30" s="740"/>
      <c r="G30" s="176"/>
      <c r="H30" s="126"/>
      <c r="I30" s="125"/>
      <c r="J30" s="176"/>
      <c r="K30" s="126"/>
      <c r="L30" s="125"/>
      <c r="M30" s="176"/>
      <c r="N30" s="176"/>
      <c r="O30" s="234"/>
      <c r="P30" s="176"/>
      <c r="Q30" s="176"/>
      <c r="R30" s="176"/>
      <c r="S30" s="185"/>
      <c r="T30" s="1138"/>
      <c r="U30" s="106"/>
      <c r="V30" s="140"/>
      <c r="W30" s="1136">
        <f t="shared" si="28"/>
        <v>0</v>
      </c>
      <c r="X30" s="1137">
        <f t="shared" si="12"/>
        <v>0</v>
      </c>
      <c r="Y30" s="1593" t="e">
        <f>BN30*(1+M$41+Summary!P$64)</f>
        <v>#DIV/0!</v>
      </c>
      <c r="Z30" s="1594" t="e">
        <f t="shared" si="29"/>
        <v>#DIV/0!</v>
      </c>
      <c r="AI30" s="299">
        <f t="shared" si="0"/>
        <v>0</v>
      </c>
      <c r="AJ30" s="299">
        <f t="shared" si="1"/>
        <v>0</v>
      </c>
      <c r="AK30" s="299">
        <f t="shared" si="2"/>
        <v>0</v>
      </c>
      <c r="AL30" s="299">
        <f t="shared" si="3"/>
        <v>0</v>
      </c>
      <c r="AM30" s="299">
        <f t="shared" si="4"/>
        <v>0</v>
      </c>
      <c r="AN30" s="299">
        <f t="shared" si="5"/>
        <v>0</v>
      </c>
      <c r="AO30" s="299">
        <f t="shared" si="13"/>
        <v>0</v>
      </c>
      <c r="AP30" s="299">
        <f t="shared" si="14"/>
        <v>0</v>
      </c>
      <c r="AQ30" s="299">
        <f t="shared" si="15"/>
        <v>0</v>
      </c>
      <c r="AR30" s="299">
        <f t="shared" si="16"/>
        <v>0</v>
      </c>
      <c r="AS30" s="299">
        <f t="shared" si="17"/>
        <v>0</v>
      </c>
      <c r="AT30" s="299">
        <f t="shared" si="18"/>
        <v>0</v>
      </c>
      <c r="AU30" s="299">
        <f t="shared" si="19"/>
        <v>0</v>
      </c>
      <c r="AV30" s="299">
        <f t="shared" si="20"/>
        <v>0</v>
      </c>
      <c r="AW30" s="510">
        <f t="shared" si="21"/>
        <v>0</v>
      </c>
      <c r="AX30" s="299">
        <f t="shared" si="30"/>
        <v>0</v>
      </c>
      <c r="AY30" s="299">
        <f t="shared" si="22"/>
        <v>0</v>
      </c>
      <c r="AZ30" s="299">
        <f t="shared" si="23"/>
        <v>0</v>
      </c>
      <c r="BC30" s="299">
        <f t="shared" si="6"/>
        <v>0</v>
      </c>
      <c r="BD30" s="299">
        <f>(AO30*Pricing!F$2+AP30*Pricing!G$2+AQ30*Pricing!H$2+AR30*Pricing!I$2+AS30*Pricing!J$2+AT30*Pricing!K$2+AI30*Pricing!F$2+AJ30*Pricing!G$2+AK30*Pricing!H$2+AL30*Pricing!I$2+AM30*Pricing!J$2+AN30*Pricing!K$2)*IF(U$40="N",(1+W$40),1)</f>
        <v>0</v>
      </c>
      <c r="BE30" s="299">
        <f t="shared" si="7"/>
        <v>0</v>
      </c>
      <c r="BF30" s="299">
        <f t="shared" si="8"/>
        <v>0</v>
      </c>
      <c r="BG30" s="299">
        <f t="shared" si="9"/>
        <v>0</v>
      </c>
      <c r="BH30" s="511" t="e">
        <f t="shared" si="24"/>
        <v>#DIV/0!</v>
      </c>
      <c r="BI30" s="299">
        <f t="shared" si="10"/>
        <v>0</v>
      </c>
      <c r="BK30" s="299">
        <f t="shared" si="11"/>
        <v>0</v>
      </c>
      <c r="BL30" s="299">
        <f>(AI30*Pricing!F$2+AJ30*Pricing!G$2+AK30*Pricing!H$2+AL30*Pricing!I$2+AM30*Pricing!J$2+AN30*Pricing!K$2)*IF(U$40="N",(1+W$40),1)</f>
        <v>0</v>
      </c>
      <c r="BM30" s="299">
        <f t="shared" si="25"/>
        <v>0</v>
      </c>
      <c r="BN30" s="299" t="e">
        <f t="shared" si="26"/>
        <v>#DIV/0!</v>
      </c>
      <c r="BO30" s="299">
        <f t="shared" si="27"/>
        <v>0</v>
      </c>
    </row>
    <row r="31" spans="2:67" s="299" customFormat="1" ht="18" customHeight="1" x14ac:dyDescent="0.35">
      <c r="B31" s="1979"/>
      <c r="C31" s="1980"/>
      <c r="D31" s="625"/>
      <c r="E31" s="626"/>
      <c r="F31" s="740"/>
      <c r="G31" s="176"/>
      <c r="H31" s="126"/>
      <c r="I31" s="125"/>
      <c r="J31" s="176"/>
      <c r="K31" s="126"/>
      <c r="L31" s="125"/>
      <c r="M31" s="176"/>
      <c r="N31" s="176"/>
      <c r="O31" s="234"/>
      <c r="P31" s="176"/>
      <c r="Q31" s="176"/>
      <c r="R31" s="176"/>
      <c r="S31" s="185"/>
      <c r="T31" s="1138"/>
      <c r="U31" s="106"/>
      <c r="V31" s="140"/>
      <c r="W31" s="1136">
        <f t="shared" si="28"/>
        <v>0</v>
      </c>
      <c r="X31" s="1137">
        <f t="shared" si="12"/>
        <v>0</v>
      </c>
      <c r="Y31" s="1593" t="e">
        <f>BN31*(1+M$41+Summary!P$64)</f>
        <v>#DIV/0!</v>
      </c>
      <c r="Z31" s="1594" t="e">
        <f t="shared" si="29"/>
        <v>#DIV/0!</v>
      </c>
      <c r="AI31" s="299">
        <f t="shared" si="0"/>
        <v>0</v>
      </c>
      <c r="AJ31" s="299">
        <f t="shared" si="1"/>
        <v>0</v>
      </c>
      <c r="AK31" s="299">
        <f t="shared" si="2"/>
        <v>0</v>
      </c>
      <c r="AL31" s="299">
        <f t="shared" si="3"/>
        <v>0</v>
      </c>
      <c r="AM31" s="299">
        <f t="shared" si="4"/>
        <v>0</v>
      </c>
      <c r="AN31" s="299">
        <f t="shared" si="5"/>
        <v>0</v>
      </c>
      <c r="AO31" s="299">
        <f t="shared" si="13"/>
        <v>0</v>
      </c>
      <c r="AP31" s="299">
        <f t="shared" si="14"/>
        <v>0</v>
      </c>
      <c r="AQ31" s="299">
        <f t="shared" si="15"/>
        <v>0</v>
      </c>
      <c r="AR31" s="299">
        <f t="shared" si="16"/>
        <v>0</v>
      </c>
      <c r="AS31" s="299">
        <f t="shared" si="17"/>
        <v>0</v>
      </c>
      <c r="AT31" s="299">
        <f t="shared" si="18"/>
        <v>0</v>
      </c>
      <c r="AU31" s="299">
        <f t="shared" si="19"/>
        <v>0</v>
      </c>
      <c r="AV31" s="299">
        <f t="shared" si="20"/>
        <v>0</v>
      </c>
      <c r="AW31" s="510">
        <f t="shared" si="21"/>
        <v>0</v>
      </c>
      <c r="AX31" s="299">
        <f t="shared" si="30"/>
        <v>0</v>
      </c>
      <c r="AY31" s="299">
        <f t="shared" si="22"/>
        <v>0</v>
      </c>
      <c r="AZ31" s="299">
        <f t="shared" si="23"/>
        <v>0</v>
      </c>
      <c r="BC31" s="299">
        <f t="shared" si="6"/>
        <v>0</v>
      </c>
      <c r="BD31" s="299">
        <f>(AO31*Pricing!F$2+AP31*Pricing!G$2+AQ31*Pricing!H$2+AR31*Pricing!I$2+AS31*Pricing!J$2+AT31*Pricing!K$2+AI31*Pricing!F$2+AJ31*Pricing!G$2+AK31*Pricing!H$2+AL31*Pricing!I$2+AM31*Pricing!J$2+AN31*Pricing!K$2)*IF(U$40="N",(1+W$40),1)</f>
        <v>0</v>
      </c>
      <c r="BE31" s="299">
        <f t="shared" si="7"/>
        <v>0</v>
      </c>
      <c r="BF31" s="299">
        <f t="shared" si="8"/>
        <v>0</v>
      </c>
      <c r="BG31" s="299">
        <f t="shared" si="9"/>
        <v>0</v>
      </c>
      <c r="BH31" s="511" t="e">
        <f t="shared" si="24"/>
        <v>#DIV/0!</v>
      </c>
      <c r="BI31" s="299">
        <f t="shared" si="10"/>
        <v>0</v>
      </c>
      <c r="BK31" s="299">
        <f t="shared" si="11"/>
        <v>0</v>
      </c>
      <c r="BL31" s="299">
        <f>(AI31*Pricing!F$2+AJ31*Pricing!G$2+AK31*Pricing!H$2+AL31*Pricing!I$2+AM31*Pricing!J$2+AN31*Pricing!K$2)*IF(U$40="N",(1+W$40),1)</f>
        <v>0</v>
      </c>
      <c r="BM31" s="299">
        <f t="shared" si="25"/>
        <v>0</v>
      </c>
      <c r="BN31" s="299" t="e">
        <f t="shared" si="26"/>
        <v>#DIV/0!</v>
      </c>
      <c r="BO31" s="299">
        <f t="shared" si="27"/>
        <v>0</v>
      </c>
    </row>
    <row r="32" spans="2:67" s="299" customFormat="1" ht="18" customHeight="1" x14ac:dyDescent="0.35">
      <c r="B32" s="1979"/>
      <c r="C32" s="1980"/>
      <c r="D32" s="625"/>
      <c r="E32" s="626"/>
      <c r="F32" s="740"/>
      <c r="G32" s="176"/>
      <c r="H32" s="126"/>
      <c r="I32" s="125"/>
      <c r="J32" s="176"/>
      <c r="K32" s="126"/>
      <c r="L32" s="125"/>
      <c r="M32" s="176"/>
      <c r="N32" s="176"/>
      <c r="O32" s="234"/>
      <c r="P32" s="176"/>
      <c r="Q32" s="176"/>
      <c r="R32" s="176"/>
      <c r="S32" s="185"/>
      <c r="T32" s="1138"/>
      <c r="U32" s="106"/>
      <c r="V32" s="140"/>
      <c r="W32" s="1136">
        <f t="shared" si="28"/>
        <v>0</v>
      </c>
      <c r="X32" s="1137">
        <f t="shared" si="12"/>
        <v>0</v>
      </c>
      <c r="Y32" s="1593" t="e">
        <f>BN32*(1+M$41+Summary!P$64)</f>
        <v>#DIV/0!</v>
      </c>
      <c r="Z32" s="1594" t="e">
        <f t="shared" si="29"/>
        <v>#DIV/0!</v>
      </c>
      <c r="AI32" s="299">
        <f t="shared" si="0"/>
        <v>0</v>
      </c>
      <c r="AJ32" s="299">
        <f t="shared" si="1"/>
        <v>0</v>
      </c>
      <c r="AK32" s="299">
        <f t="shared" si="2"/>
        <v>0</v>
      </c>
      <c r="AL32" s="299">
        <f t="shared" si="3"/>
        <v>0</v>
      </c>
      <c r="AM32" s="299">
        <f t="shared" si="4"/>
        <v>0</v>
      </c>
      <c r="AN32" s="299">
        <f t="shared" si="5"/>
        <v>0</v>
      </c>
      <c r="AO32" s="299">
        <f t="shared" si="13"/>
        <v>0</v>
      </c>
      <c r="AP32" s="299">
        <f t="shared" si="14"/>
        <v>0</v>
      </c>
      <c r="AQ32" s="299">
        <f t="shared" si="15"/>
        <v>0</v>
      </c>
      <c r="AR32" s="299">
        <f t="shared" si="16"/>
        <v>0</v>
      </c>
      <c r="AS32" s="299">
        <f t="shared" si="17"/>
        <v>0</v>
      </c>
      <c r="AT32" s="299">
        <f t="shared" si="18"/>
        <v>0</v>
      </c>
      <c r="AU32" s="299">
        <f t="shared" si="19"/>
        <v>0</v>
      </c>
      <c r="AV32" s="299">
        <f t="shared" si="20"/>
        <v>0</v>
      </c>
      <c r="AW32" s="510">
        <f t="shared" si="21"/>
        <v>0</v>
      </c>
      <c r="AX32" s="299">
        <f t="shared" si="30"/>
        <v>0</v>
      </c>
      <c r="AY32" s="299">
        <f t="shared" si="22"/>
        <v>0</v>
      </c>
      <c r="AZ32" s="299">
        <f t="shared" si="23"/>
        <v>0</v>
      </c>
      <c r="BC32" s="299">
        <f t="shared" si="6"/>
        <v>0</v>
      </c>
      <c r="BD32" s="299">
        <f>(AO32*Pricing!F$2+AP32*Pricing!G$2+AQ32*Pricing!H$2+AR32*Pricing!I$2+AS32*Pricing!J$2+AT32*Pricing!K$2+AI32*Pricing!F$2+AJ32*Pricing!G$2+AK32*Pricing!H$2+AL32*Pricing!I$2+AM32*Pricing!J$2+AN32*Pricing!K$2)*IF(U$40="N",(1+W$40),1)</f>
        <v>0</v>
      </c>
      <c r="BE32" s="299">
        <f t="shared" si="7"/>
        <v>0</v>
      </c>
      <c r="BF32" s="299">
        <f t="shared" si="8"/>
        <v>0</v>
      </c>
      <c r="BG32" s="299">
        <f t="shared" si="9"/>
        <v>0</v>
      </c>
      <c r="BH32" s="511" t="e">
        <f t="shared" si="24"/>
        <v>#DIV/0!</v>
      </c>
      <c r="BI32" s="299">
        <f t="shared" si="10"/>
        <v>0</v>
      </c>
      <c r="BK32" s="299">
        <f t="shared" si="11"/>
        <v>0</v>
      </c>
      <c r="BL32" s="299">
        <f>(AI32*Pricing!F$2+AJ32*Pricing!G$2+AK32*Pricing!H$2+AL32*Pricing!I$2+AM32*Pricing!J$2+AN32*Pricing!K$2)*IF(U$40="N",(1+W$40),1)</f>
        <v>0</v>
      </c>
      <c r="BM32" s="299">
        <f t="shared" si="25"/>
        <v>0</v>
      </c>
      <c r="BN32" s="299" t="e">
        <f t="shared" si="26"/>
        <v>#DIV/0!</v>
      </c>
      <c r="BO32" s="299">
        <f t="shared" si="27"/>
        <v>0</v>
      </c>
    </row>
    <row r="33" spans="2:67" s="299" customFormat="1" ht="18" customHeight="1" x14ac:dyDescent="0.35">
      <c r="B33" s="1979"/>
      <c r="C33" s="1980"/>
      <c r="D33" s="625"/>
      <c r="E33" s="626"/>
      <c r="F33" s="740"/>
      <c r="G33" s="176"/>
      <c r="H33" s="126"/>
      <c r="I33" s="125"/>
      <c r="J33" s="176"/>
      <c r="K33" s="126"/>
      <c r="L33" s="125"/>
      <c r="M33" s="176"/>
      <c r="N33" s="176"/>
      <c r="O33" s="234"/>
      <c r="P33" s="176"/>
      <c r="Q33" s="176"/>
      <c r="R33" s="176"/>
      <c r="S33" s="185"/>
      <c r="T33" s="1138"/>
      <c r="U33" s="106"/>
      <c r="V33" s="140"/>
      <c r="W33" s="1136">
        <f t="shared" si="28"/>
        <v>0</v>
      </c>
      <c r="X33" s="1137">
        <f t="shared" si="12"/>
        <v>0</v>
      </c>
      <c r="Y33" s="1593" t="e">
        <f>BN33*(1+M$41+Summary!P$64)</f>
        <v>#DIV/0!</v>
      </c>
      <c r="Z33" s="1594" t="e">
        <f t="shared" si="29"/>
        <v>#DIV/0!</v>
      </c>
      <c r="AI33" s="299">
        <f t="shared" si="0"/>
        <v>0</v>
      </c>
      <c r="AJ33" s="299">
        <f t="shared" si="1"/>
        <v>0</v>
      </c>
      <c r="AK33" s="299">
        <f t="shared" si="2"/>
        <v>0</v>
      </c>
      <c r="AL33" s="299">
        <f t="shared" si="3"/>
        <v>0</v>
      </c>
      <c r="AM33" s="299">
        <f t="shared" si="4"/>
        <v>0</v>
      </c>
      <c r="AN33" s="299">
        <f t="shared" si="5"/>
        <v>0</v>
      </c>
      <c r="AO33" s="299">
        <f t="shared" si="13"/>
        <v>0</v>
      </c>
      <c r="AP33" s="299">
        <f t="shared" si="14"/>
        <v>0</v>
      </c>
      <c r="AQ33" s="299">
        <f t="shared" si="15"/>
        <v>0</v>
      </c>
      <c r="AR33" s="299">
        <f t="shared" si="16"/>
        <v>0</v>
      </c>
      <c r="AS33" s="299">
        <f t="shared" si="17"/>
        <v>0</v>
      </c>
      <c r="AT33" s="299">
        <f t="shared" si="18"/>
        <v>0</v>
      </c>
      <c r="AU33" s="299">
        <f t="shared" si="19"/>
        <v>0</v>
      </c>
      <c r="AV33" s="299">
        <f t="shared" si="20"/>
        <v>0</v>
      </c>
      <c r="AW33" s="510">
        <f t="shared" si="21"/>
        <v>0</v>
      </c>
      <c r="AX33" s="299">
        <f t="shared" si="30"/>
        <v>0</v>
      </c>
      <c r="AY33" s="299">
        <f t="shared" si="22"/>
        <v>0</v>
      </c>
      <c r="AZ33" s="299">
        <f t="shared" si="23"/>
        <v>0</v>
      </c>
      <c r="BC33" s="299">
        <f t="shared" si="6"/>
        <v>0</v>
      </c>
      <c r="BD33" s="299">
        <f>(AO33*Pricing!F$2+AP33*Pricing!G$2+AQ33*Pricing!H$2+AR33*Pricing!I$2+AS33*Pricing!J$2+AT33*Pricing!K$2+AI33*Pricing!F$2+AJ33*Pricing!G$2+AK33*Pricing!H$2+AL33*Pricing!I$2+AM33*Pricing!J$2+AN33*Pricing!K$2)*IF(U$40="N",(1+W$40),1)</f>
        <v>0</v>
      </c>
      <c r="BE33" s="299">
        <f t="shared" si="7"/>
        <v>0</v>
      </c>
      <c r="BF33" s="299">
        <f t="shared" si="8"/>
        <v>0</v>
      </c>
      <c r="BG33" s="299">
        <f t="shared" si="9"/>
        <v>0</v>
      </c>
      <c r="BH33" s="511" t="e">
        <f t="shared" si="24"/>
        <v>#DIV/0!</v>
      </c>
      <c r="BI33" s="299">
        <f t="shared" si="10"/>
        <v>0</v>
      </c>
      <c r="BK33" s="299">
        <f t="shared" si="11"/>
        <v>0</v>
      </c>
      <c r="BL33" s="299">
        <f>(AI33*Pricing!F$2+AJ33*Pricing!G$2+AK33*Pricing!H$2+AL33*Pricing!I$2+AM33*Pricing!J$2+AN33*Pricing!K$2)*IF(U$40="N",(1+W$40),1)</f>
        <v>0</v>
      </c>
      <c r="BM33" s="299">
        <f t="shared" si="25"/>
        <v>0</v>
      </c>
      <c r="BN33" s="299" t="e">
        <f t="shared" si="26"/>
        <v>#DIV/0!</v>
      </c>
      <c r="BO33" s="299">
        <f t="shared" si="27"/>
        <v>0</v>
      </c>
    </row>
    <row r="34" spans="2:67" s="299" customFormat="1" ht="18" customHeight="1" x14ac:dyDescent="0.35">
      <c r="B34" s="2606"/>
      <c r="C34" s="1980"/>
      <c r="D34" s="625"/>
      <c r="E34" s="626"/>
      <c r="F34" s="740"/>
      <c r="G34" s="176"/>
      <c r="H34" s="126"/>
      <c r="I34" s="125"/>
      <c r="J34" s="176"/>
      <c r="K34" s="126"/>
      <c r="L34" s="125"/>
      <c r="M34" s="176"/>
      <c r="N34" s="176"/>
      <c r="O34" s="234"/>
      <c r="P34" s="176"/>
      <c r="Q34" s="176"/>
      <c r="R34" s="176"/>
      <c r="S34" s="185"/>
      <c r="T34" s="1138"/>
      <c r="U34" s="106"/>
      <c r="V34" s="140"/>
      <c r="W34" s="1136">
        <f t="shared" si="28"/>
        <v>0</v>
      </c>
      <c r="X34" s="1137">
        <f t="shared" si="12"/>
        <v>0</v>
      </c>
      <c r="Y34" s="1593" t="e">
        <f>BN34*(1+M$41+Summary!P$64)</f>
        <v>#DIV/0!</v>
      </c>
      <c r="Z34" s="1594" t="e">
        <f t="shared" si="29"/>
        <v>#DIV/0!</v>
      </c>
      <c r="AI34" s="299">
        <f t="shared" si="0"/>
        <v>0</v>
      </c>
      <c r="AJ34" s="299">
        <f t="shared" si="1"/>
        <v>0</v>
      </c>
      <c r="AK34" s="299">
        <f t="shared" si="2"/>
        <v>0</v>
      </c>
      <c r="AL34" s="299">
        <f t="shared" si="3"/>
        <v>0</v>
      </c>
      <c r="AM34" s="299">
        <f t="shared" si="4"/>
        <v>0</v>
      </c>
      <c r="AN34" s="299">
        <f t="shared" si="5"/>
        <v>0</v>
      </c>
      <c r="AO34" s="299">
        <f t="shared" si="13"/>
        <v>0</v>
      </c>
      <c r="AP34" s="299">
        <f t="shared" si="14"/>
        <v>0</v>
      </c>
      <c r="AQ34" s="299">
        <f t="shared" si="15"/>
        <v>0</v>
      </c>
      <c r="AR34" s="299">
        <f t="shared" si="16"/>
        <v>0</v>
      </c>
      <c r="AS34" s="299">
        <f t="shared" si="17"/>
        <v>0</v>
      </c>
      <c r="AT34" s="299">
        <f t="shared" si="18"/>
        <v>0</v>
      </c>
      <c r="AU34" s="299">
        <f t="shared" si="19"/>
        <v>0</v>
      </c>
      <c r="AV34" s="299">
        <f t="shared" si="20"/>
        <v>0</v>
      </c>
      <c r="AW34" s="510">
        <f t="shared" si="21"/>
        <v>0</v>
      </c>
      <c r="AX34" s="299">
        <f t="shared" si="30"/>
        <v>0</v>
      </c>
      <c r="AY34" s="299">
        <f t="shared" si="22"/>
        <v>0</v>
      </c>
      <c r="AZ34" s="299">
        <f t="shared" si="23"/>
        <v>0</v>
      </c>
      <c r="BC34" s="299">
        <f t="shared" si="6"/>
        <v>0</v>
      </c>
      <c r="BD34" s="299">
        <f>(AO34*Pricing!F$2+AP34*Pricing!G$2+AQ34*Pricing!H$2+AR34*Pricing!I$2+AS34*Pricing!J$2+AT34*Pricing!K$2+AI34*Pricing!F$2+AJ34*Pricing!G$2+AK34*Pricing!H$2+AL34*Pricing!I$2+AM34*Pricing!J$2+AN34*Pricing!K$2)*IF(U$40="N",(1+W$40),1)</f>
        <v>0</v>
      </c>
      <c r="BE34" s="299">
        <f t="shared" si="7"/>
        <v>0</v>
      </c>
      <c r="BF34" s="299">
        <f t="shared" si="8"/>
        <v>0</v>
      </c>
      <c r="BG34" s="299">
        <f t="shared" si="9"/>
        <v>0</v>
      </c>
      <c r="BH34" s="511" t="e">
        <f t="shared" si="24"/>
        <v>#DIV/0!</v>
      </c>
      <c r="BI34" s="299">
        <f t="shared" si="10"/>
        <v>0</v>
      </c>
      <c r="BK34" s="299">
        <f>IF(SUM(AY$37:AZ$37)=0,0,(BI$37-X$56-O$62-X77-(M$74*0.15))/SUM(AY$37:AZ$37)*AZ34+BF34)</f>
        <v>0</v>
      </c>
      <c r="BL34" s="299">
        <f>(AI34*Pricing!F$2+AJ34*Pricing!G$2+AK34*Pricing!H$2+AL34*Pricing!I$2+AM34*Pricing!J$2+AN34*Pricing!K$2)*IF(U$40="N",(1+W$40),1)</f>
        <v>0</v>
      </c>
      <c r="BM34" s="299">
        <f t="shared" si="25"/>
        <v>0</v>
      </c>
      <c r="BN34" s="299" t="e">
        <f t="shared" si="26"/>
        <v>#DIV/0!</v>
      </c>
      <c r="BO34" s="299">
        <f t="shared" si="27"/>
        <v>0</v>
      </c>
    </row>
    <row r="35" spans="2:67" s="299" customFormat="1" ht="18" customHeight="1" x14ac:dyDescent="0.35">
      <c r="B35" s="1979">
        <f>I64*G42</f>
        <v>0</v>
      </c>
      <c r="C35" s="1980"/>
      <c r="D35" s="625"/>
      <c r="E35" s="626"/>
      <c r="F35" s="740"/>
      <c r="G35" s="176"/>
      <c r="H35" s="126"/>
      <c r="I35" s="125"/>
      <c r="J35" s="176"/>
      <c r="K35" s="126"/>
      <c r="L35" s="125"/>
      <c r="M35" s="176"/>
      <c r="N35" s="176"/>
      <c r="O35" s="234"/>
      <c r="P35" s="176"/>
      <c r="Q35" s="176"/>
      <c r="R35" s="176"/>
      <c r="S35" s="185"/>
      <c r="T35" s="1138"/>
      <c r="U35" s="106"/>
      <c r="V35" s="140"/>
      <c r="W35" s="1136">
        <f t="shared" si="28"/>
        <v>0</v>
      </c>
      <c r="X35" s="1137">
        <f t="shared" si="12"/>
        <v>0</v>
      </c>
      <c r="Y35" s="1593" t="e">
        <f>BN35*(1+M$41+Summary!P$64)</f>
        <v>#DIV/0!</v>
      </c>
      <c r="Z35" s="1594" t="e">
        <f t="shared" si="29"/>
        <v>#DIV/0!</v>
      </c>
      <c r="AI35" s="299">
        <f t="shared" si="0"/>
        <v>0</v>
      </c>
      <c r="AJ35" s="299">
        <f t="shared" si="1"/>
        <v>0</v>
      </c>
      <c r="AK35" s="299">
        <f t="shared" si="2"/>
        <v>0</v>
      </c>
      <c r="AL35" s="299">
        <f t="shared" si="3"/>
        <v>0</v>
      </c>
      <c r="AM35" s="299">
        <f t="shared" si="4"/>
        <v>0</v>
      </c>
      <c r="AN35" s="299">
        <f t="shared" si="5"/>
        <v>0</v>
      </c>
      <c r="AO35" s="299">
        <f t="shared" si="13"/>
        <v>0</v>
      </c>
      <c r="AP35" s="299">
        <f t="shared" si="14"/>
        <v>0</v>
      </c>
      <c r="AQ35" s="299">
        <f t="shared" si="15"/>
        <v>0</v>
      </c>
      <c r="AR35" s="299">
        <f t="shared" si="16"/>
        <v>0</v>
      </c>
      <c r="AS35" s="299">
        <f t="shared" si="17"/>
        <v>0</v>
      </c>
      <c r="AT35" s="299">
        <f t="shared" si="18"/>
        <v>0</v>
      </c>
      <c r="AU35" s="299">
        <f t="shared" si="19"/>
        <v>0</v>
      </c>
      <c r="AV35" s="299">
        <f t="shared" si="20"/>
        <v>0</v>
      </c>
      <c r="AW35" s="510">
        <f t="shared" si="21"/>
        <v>0</v>
      </c>
      <c r="AX35" s="299">
        <f t="shared" si="30"/>
        <v>0</v>
      </c>
      <c r="AY35" s="299">
        <f t="shared" si="22"/>
        <v>0</v>
      </c>
      <c r="AZ35" s="299">
        <f t="shared" si="23"/>
        <v>0</v>
      </c>
      <c r="BC35" s="299">
        <f t="shared" si="6"/>
        <v>0</v>
      </c>
      <c r="BD35" s="299">
        <f>(AO35*Pricing!F$2+AP35*Pricing!G$2+AQ35*Pricing!H$2+AR35*Pricing!I$2+AS35*Pricing!J$2+AT35*Pricing!K$2+AI35*Pricing!F$2+AJ35*Pricing!G$2+AK35*Pricing!H$2+AL35*Pricing!I$2+AM35*Pricing!J$2+AN35*Pricing!K$2)*IF(U$40="N",(1+W$40),1)</f>
        <v>0</v>
      </c>
      <c r="BE35" s="299">
        <f t="shared" si="7"/>
        <v>0</v>
      </c>
      <c r="BF35" s="299">
        <f t="shared" si="8"/>
        <v>0</v>
      </c>
      <c r="BG35" s="299">
        <f t="shared" si="9"/>
        <v>0</v>
      </c>
      <c r="BH35" s="511" t="e">
        <f t="shared" si="24"/>
        <v>#DIV/0!</v>
      </c>
      <c r="BI35" s="299">
        <f t="shared" si="10"/>
        <v>0</v>
      </c>
      <c r="BK35" s="299">
        <f>IF(SUM(AY$37:AZ$37)=0,0,(BI$37-X$56-O$62-X78-(M$74*0.15))/SUM(AY$37:AZ$37)*AZ35+BF35)</f>
        <v>0</v>
      </c>
      <c r="BL35" s="299">
        <f>(AI35*Pricing!F$2+AJ35*Pricing!G$2+AK35*Pricing!H$2+AL35*Pricing!I$2+AM35*Pricing!J$2+AN35*Pricing!K$2)*IF(U$40="N",(1+W$40),1)</f>
        <v>0</v>
      </c>
      <c r="BM35" s="299">
        <f t="shared" si="25"/>
        <v>0</v>
      </c>
      <c r="BN35" s="299" t="e">
        <f t="shared" si="26"/>
        <v>#DIV/0!</v>
      </c>
      <c r="BO35" s="299">
        <f t="shared" si="27"/>
        <v>0</v>
      </c>
    </row>
    <row r="36" spans="2:67" s="299" customFormat="1" ht="18" customHeight="1" thickBot="1" x14ac:dyDescent="0.4">
      <c r="B36" s="2069"/>
      <c r="C36" s="2070"/>
      <c r="D36" s="627"/>
      <c r="E36" s="628"/>
      <c r="F36" s="743"/>
      <c r="G36" s="33"/>
      <c r="H36" s="181"/>
      <c r="I36" s="130"/>
      <c r="J36" s="182"/>
      <c r="K36" s="181"/>
      <c r="L36" s="130"/>
      <c r="M36" s="182"/>
      <c r="N36" s="182"/>
      <c r="O36" s="235"/>
      <c r="P36" s="182"/>
      <c r="Q36" s="182"/>
      <c r="R36" s="182"/>
      <c r="S36" s="222"/>
      <c r="T36" s="782"/>
      <c r="U36" s="188"/>
      <c r="V36" s="430"/>
      <c r="W36" s="1136">
        <f t="shared" si="28"/>
        <v>0</v>
      </c>
      <c r="X36" s="1137">
        <f t="shared" si="12"/>
        <v>0</v>
      </c>
      <c r="Y36" s="1595" t="e">
        <f>BN36*(1+M$41+Summary!P$64)</f>
        <v>#DIV/0!</v>
      </c>
      <c r="Z36" s="1596" t="e">
        <f t="shared" si="29"/>
        <v>#DIV/0!</v>
      </c>
      <c r="AI36" s="299">
        <f t="shared" si="0"/>
        <v>0</v>
      </c>
      <c r="AJ36" s="299">
        <f t="shared" si="1"/>
        <v>0</v>
      </c>
      <c r="AK36" s="299">
        <f t="shared" si="2"/>
        <v>0</v>
      </c>
      <c r="AL36" s="299">
        <f t="shared" si="3"/>
        <v>0</v>
      </c>
      <c r="AM36" s="299">
        <f t="shared" si="4"/>
        <v>0</v>
      </c>
      <c r="AN36" s="299">
        <f t="shared" si="5"/>
        <v>0</v>
      </c>
      <c r="AO36" s="299">
        <f t="shared" si="13"/>
        <v>0</v>
      </c>
      <c r="AP36" s="299">
        <f t="shared" si="14"/>
        <v>0</v>
      </c>
      <c r="AQ36" s="299">
        <f t="shared" si="15"/>
        <v>0</v>
      </c>
      <c r="AR36" s="299">
        <f t="shared" si="16"/>
        <v>0</v>
      </c>
      <c r="AS36" s="299">
        <f t="shared" si="17"/>
        <v>0</v>
      </c>
      <c r="AT36" s="299">
        <f t="shared" si="18"/>
        <v>0</v>
      </c>
      <c r="AU36" s="299">
        <f t="shared" si="19"/>
        <v>0</v>
      </c>
      <c r="AV36" s="299">
        <f t="shared" si="20"/>
        <v>0</v>
      </c>
      <c r="AW36" s="510">
        <f t="shared" si="21"/>
        <v>0</v>
      </c>
      <c r="AX36" s="299">
        <f t="shared" si="30"/>
        <v>0</v>
      </c>
      <c r="AY36" s="299">
        <f t="shared" si="22"/>
        <v>0</v>
      </c>
      <c r="AZ36" s="299">
        <f t="shared" si="23"/>
        <v>0</v>
      </c>
      <c r="BC36" s="299">
        <f t="shared" si="6"/>
        <v>0</v>
      </c>
      <c r="BD36" s="299">
        <f>(AO36*Pricing!F$2+AP36*Pricing!G$2+AQ36*Pricing!H$2+AR36*Pricing!I$2+AS36*Pricing!J$2+AT36*Pricing!K$2+AI36*Pricing!F$2+AJ36*Pricing!G$2+AK36*Pricing!H$2+AL36*Pricing!I$2+AM36*Pricing!J$2+AN36*Pricing!K$2)*IF(U$40="N",(1+W$40),1)</f>
        <v>0</v>
      </c>
      <c r="BE36" s="299">
        <f t="shared" si="7"/>
        <v>0</v>
      </c>
      <c r="BF36" s="299">
        <f t="shared" si="8"/>
        <v>0</v>
      </c>
      <c r="BG36" s="299">
        <f t="shared" si="9"/>
        <v>0</v>
      </c>
      <c r="BH36" s="511" t="e">
        <f t="shared" si="24"/>
        <v>#DIV/0!</v>
      </c>
      <c r="BI36" s="299">
        <f t="shared" si="10"/>
        <v>0</v>
      </c>
      <c r="BK36" s="299">
        <f>IF(SUM(AY$37:AZ$37)=0,0,(BI$37-X$56-O$62-X79-(M$74*0.15))/SUM(AY$37:AZ$37)*AZ36+BF36)</f>
        <v>0</v>
      </c>
      <c r="BL36" s="299">
        <f>(AI36*Pricing!F$2+AJ36*Pricing!G$2+AK36*Pricing!H$2+AL36*Pricing!I$2+AM36*Pricing!J$2+AN36*Pricing!K$2)*IF(U$40="N",(1+W$40),1)</f>
        <v>0</v>
      </c>
      <c r="BM36" s="299">
        <f t="shared" si="25"/>
        <v>0</v>
      </c>
      <c r="BN36" s="299" t="e">
        <f t="shared" si="26"/>
        <v>#DIV/0!</v>
      </c>
      <c r="BO36" s="299">
        <f t="shared" si="27"/>
        <v>0</v>
      </c>
    </row>
    <row r="37" spans="2:67" s="299" customFormat="1" ht="15" customHeight="1" x14ac:dyDescent="0.35">
      <c r="B37" s="313"/>
      <c r="C37" s="298"/>
      <c r="D37" s="298"/>
      <c r="E37" s="587">
        <f>SUM(F11:F36)</f>
        <v>0</v>
      </c>
      <c r="F37" s="2605" t="s">
        <v>55</v>
      </c>
      <c r="G37" s="2605"/>
      <c r="H37" s="2605"/>
      <c r="I37" s="2605"/>
      <c r="J37" s="298"/>
      <c r="K37" s="298"/>
      <c r="L37" s="298"/>
      <c r="M37" s="298"/>
      <c r="N37" s="298"/>
      <c r="O37" s="298"/>
      <c r="P37" s="2620" t="s">
        <v>54</v>
      </c>
      <c r="Q37" s="2621"/>
      <c r="R37" s="2621"/>
      <c r="S37" s="2621"/>
      <c r="T37" s="309"/>
      <c r="U37" s="309"/>
      <c r="V37" s="322">
        <f>SUM(W11:W36)</f>
        <v>0</v>
      </c>
      <c r="W37" s="327"/>
      <c r="X37" s="323">
        <f>SUM(X11:X36)</f>
        <v>0</v>
      </c>
      <c r="AI37" s="299">
        <f t="shared" ref="AI37:BH37" si="31">SUM(AI11:AI36)</f>
        <v>0</v>
      </c>
      <c r="AJ37" s="299">
        <f t="shared" si="31"/>
        <v>0</v>
      </c>
      <c r="AK37" s="299">
        <f t="shared" si="31"/>
        <v>0</v>
      </c>
      <c r="AL37" s="299">
        <f t="shared" si="31"/>
        <v>0</v>
      </c>
      <c r="AM37" s="299">
        <f t="shared" si="31"/>
        <v>0</v>
      </c>
      <c r="AN37" s="299">
        <f t="shared" si="31"/>
        <v>0</v>
      </c>
      <c r="AO37" s="299">
        <f t="shared" si="31"/>
        <v>0</v>
      </c>
      <c r="AP37" s="299">
        <f t="shared" si="31"/>
        <v>0</v>
      </c>
      <c r="AQ37" s="299">
        <f t="shared" si="31"/>
        <v>0</v>
      </c>
      <c r="AR37" s="299">
        <f t="shared" si="31"/>
        <v>0</v>
      </c>
      <c r="AS37" s="299">
        <f t="shared" si="31"/>
        <v>0</v>
      </c>
      <c r="AT37" s="299">
        <f t="shared" si="31"/>
        <v>0</v>
      </c>
      <c r="AU37" s="299">
        <f>SUM(AU11:AU36)</f>
        <v>0</v>
      </c>
      <c r="AV37" s="299">
        <f t="shared" si="31"/>
        <v>0</v>
      </c>
      <c r="AW37" s="299">
        <f t="shared" si="31"/>
        <v>0</v>
      </c>
      <c r="AX37" s="299">
        <f t="shared" si="31"/>
        <v>0</v>
      </c>
      <c r="AY37" s="299">
        <f t="shared" si="31"/>
        <v>0</v>
      </c>
      <c r="AZ37" s="299">
        <f t="shared" si="31"/>
        <v>0</v>
      </c>
      <c r="BA37" s="299">
        <f t="shared" si="31"/>
        <v>0</v>
      </c>
      <c r="BB37" s="299">
        <f t="shared" si="31"/>
        <v>0</v>
      </c>
      <c r="BC37" s="299">
        <f t="shared" si="31"/>
        <v>0</v>
      </c>
      <c r="BD37" s="299">
        <f t="shared" si="31"/>
        <v>0</v>
      </c>
      <c r="BE37" s="299">
        <f t="shared" si="31"/>
        <v>0</v>
      </c>
      <c r="BF37" s="299">
        <f t="shared" si="31"/>
        <v>0</v>
      </c>
      <c r="BG37" s="299">
        <f t="shared" si="31"/>
        <v>0</v>
      </c>
      <c r="BH37" s="299" t="e">
        <f t="shared" si="31"/>
        <v>#DIV/0!</v>
      </c>
      <c r="BI37" s="299">
        <f>SUM(BI11:BI36)</f>
        <v>0</v>
      </c>
      <c r="BJ37" s="299" t="e">
        <f>SUM(BC37:BI37)</f>
        <v>#DIV/0!</v>
      </c>
      <c r="BK37" s="299">
        <f>SUM(BK11:BK36)</f>
        <v>0</v>
      </c>
      <c r="BL37" s="299">
        <f>SUM(BL11:BL36)</f>
        <v>0</v>
      </c>
      <c r="BN37" s="299" t="e">
        <f>SUM(BN11:BN36)</f>
        <v>#DIV/0!</v>
      </c>
      <c r="BO37" s="299" t="e">
        <f>SUM(BK37:BN37)</f>
        <v>#DIV/0!</v>
      </c>
    </row>
    <row r="38" spans="2:67" s="299" customFormat="1" ht="15" customHeight="1" thickBot="1" x14ac:dyDescent="0.4">
      <c r="B38" s="314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2618" t="s">
        <v>56</v>
      </c>
      <c r="Q38" s="2619"/>
      <c r="R38" s="2619"/>
      <c r="S38" s="2619"/>
      <c r="T38" s="306"/>
      <c r="U38" s="306"/>
      <c r="V38" s="324">
        <f>ROUNDUP(V37/2000,0)</f>
        <v>0</v>
      </c>
      <c r="W38" s="325"/>
      <c r="X38" s="325"/>
    </row>
    <row r="39" spans="2:67" s="299" customFormat="1" ht="21.75" customHeight="1" thickBot="1" x14ac:dyDescent="0.4">
      <c r="B39" s="898"/>
      <c r="C39" s="899"/>
      <c r="D39" s="899"/>
      <c r="E39" s="899"/>
      <c r="F39" s="899"/>
      <c r="G39" s="899"/>
      <c r="H39" s="899"/>
      <c r="I39" s="899"/>
      <c r="J39" s="899"/>
      <c r="K39" s="899"/>
      <c r="L39" s="900"/>
      <c r="M39" s="899"/>
      <c r="N39" s="899"/>
      <c r="O39" s="899"/>
      <c r="P39" s="899"/>
      <c r="Q39" s="899"/>
      <c r="R39" s="899"/>
      <c r="S39" s="899"/>
      <c r="T39" s="899"/>
      <c r="U39" s="899"/>
      <c r="V39" s="899"/>
      <c r="W39" s="899"/>
      <c r="X39" s="1115"/>
    </row>
    <row r="40" spans="2:67" s="299" customFormat="1" ht="15" customHeight="1" x14ac:dyDescent="0.35">
      <c r="B40" s="1987" t="s">
        <v>185</v>
      </c>
      <c r="C40" s="2041"/>
      <c r="D40" s="1988"/>
      <c r="E40" s="1987" t="s">
        <v>140</v>
      </c>
      <c r="F40" s="1988"/>
      <c r="G40" s="1987" t="s">
        <v>178</v>
      </c>
      <c r="H40" s="2041"/>
      <c r="I40" s="1988"/>
      <c r="J40" s="1935" t="s">
        <v>184</v>
      </c>
      <c r="K40" s="1936"/>
      <c r="L40" s="1937"/>
      <c r="M40" s="2044" t="s">
        <v>179</v>
      </c>
      <c r="N40" s="2045"/>
      <c r="O40" s="132"/>
      <c r="P40" s="133"/>
      <c r="Q40" s="897"/>
      <c r="R40" s="43" t="s">
        <v>34</v>
      </c>
      <c r="S40" s="42"/>
      <c r="T40" s="42" t="s">
        <v>758</v>
      </c>
      <c r="U40" s="822" t="str">
        <f>Summary!P65</f>
        <v>n</v>
      </c>
      <c r="V40" s="73" t="s">
        <v>298</v>
      </c>
      <c r="W40" s="823">
        <f>Summary!R65</f>
        <v>8.2500000000000004E-2</v>
      </c>
      <c r="X40" s="1113"/>
    </row>
    <row r="41" spans="2:67" s="299" customFormat="1" ht="27" customHeight="1" thickBot="1" x14ac:dyDescent="0.4">
      <c r="B41" s="11" t="s">
        <v>180</v>
      </c>
      <c r="C41" s="1999">
        <f>IF(AY37=0,0,E41/AY37)</f>
        <v>0</v>
      </c>
      <c r="D41" s="2000"/>
      <c r="E41" s="2602">
        <f>U41*(1+M41+Summary!P64)</f>
        <v>0</v>
      </c>
      <c r="F41" s="2004"/>
      <c r="G41" s="15">
        <f>IF(E41=0,0,H41/E41)</f>
        <v>0</v>
      </c>
      <c r="H41" s="2042">
        <f>E41-U41</f>
        <v>0</v>
      </c>
      <c r="I41" s="2043"/>
      <c r="J41" s="2064">
        <f>IF(AY37=0,0,U41/AY37)</f>
        <v>0</v>
      </c>
      <c r="K41" s="2065"/>
      <c r="L41" s="2066"/>
      <c r="M41" s="2302">
        <f>Summary!P63</f>
        <v>0.18</v>
      </c>
      <c r="N41" s="2303"/>
      <c r="O41" s="2303"/>
      <c r="P41" s="2304"/>
      <c r="Q41" s="902"/>
      <c r="R41" s="86" t="s">
        <v>50</v>
      </c>
      <c r="S41" s="42"/>
      <c r="T41" s="42"/>
      <c r="U41" s="1932">
        <f>SUM(O51:P61)+SUM(O64:P70)+SUM(O73:P77)+SUM(O79:P84)+SUM(O86:P91)+X91+O62+SUM(L64:M70)</f>
        <v>0</v>
      </c>
      <c r="V41" s="1932"/>
      <c r="W41" s="42"/>
      <c r="X41" s="1113"/>
    </row>
    <row r="42" spans="2:67" s="299" customFormat="1" ht="26.25" customHeight="1" thickBot="1" x14ac:dyDescent="0.4">
      <c r="B42" s="1129" t="s">
        <v>1060</v>
      </c>
      <c r="C42" s="2614">
        <f>IF(G42=0,C41,IF(AY37=0,0,BN37/AY37)*(1+M41))</f>
        <v>0</v>
      </c>
      <c r="D42" s="2614"/>
      <c r="E42" s="2615" t="s">
        <v>553</v>
      </c>
      <c r="F42" s="2615"/>
      <c r="G42" s="2614">
        <f>IF(AZ37=0,0,(BL37+BK37)/AZ37)*(1+M41)</f>
        <v>0</v>
      </c>
      <c r="H42" s="2614"/>
      <c r="I42" s="891" t="s">
        <v>891</v>
      </c>
      <c r="J42" s="892"/>
      <c r="K42" s="2036"/>
      <c r="L42" s="2037"/>
      <c r="M42" s="893"/>
      <c r="N42" s="1899">
        <f>IF(K42&gt;0,(K42-E41)/(1+M41),0)</f>
        <v>0</v>
      </c>
      <c r="O42" s="1900"/>
      <c r="P42" s="890"/>
      <c r="Q42" s="890"/>
      <c r="R42" s="890"/>
      <c r="S42" s="890"/>
      <c r="T42" s="890"/>
      <c r="U42" s="2245">
        <f>AF2</f>
        <v>0</v>
      </c>
      <c r="V42" s="2622"/>
      <c r="W42" s="890"/>
      <c r="X42" s="896"/>
    </row>
    <row r="43" spans="2:67" s="299" customFormat="1" x14ac:dyDescent="0.35"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</row>
    <row r="44" spans="2:67" s="299" customFormat="1" x14ac:dyDescent="0.35">
      <c r="B44" s="42" t="s">
        <v>632</v>
      </c>
      <c r="C44" s="824"/>
      <c r="D44" s="824"/>
      <c r="E44" s="824"/>
      <c r="F44" s="824"/>
      <c r="G44" s="824"/>
      <c r="H44" s="824"/>
      <c r="I44" s="824"/>
      <c r="J44" s="824"/>
      <c r="K44" s="739"/>
      <c r="L44" s="739"/>
      <c r="M44" s="739"/>
      <c r="N44" s="739"/>
      <c r="O44" s="739"/>
      <c r="P44" s="739"/>
      <c r="Q44" s="298"/>
      <c r="R44" s="298"/>
      <c r="S44" s="298"/>
      <c r="T44" s="298"/>
      <c r="U44" s="298"/>
      <c r="V44" s="298"/>
      <c r="W44" s="298"/>
      <c r="X44" s="298"/>
    </row>
    <row r="45" spans="2:67" s="299" customFormat="1" ht="32.25" customHeight="1" x14ac:dyDescent="0.35">
      <c r="B45" s="298"/>
      <c r="C45" s="825"/>
      <c r="D45" s="824"/>
      <c r="E45" s="824"/>
      <c r="F45" s="824"/>
      <c r="G45" s="824"/>
      <c r="H45" s="824"/>
      <c r="I45" s="824"/>
      <c r="J45" s="824"/>
      <c r="K45" s="739"/>
      <c r="L45" s="739"/>
      <c r="M45" s="739"/>
      <c r="N45" s="739"/>
      <c r="O45" s="739"/>
      <c r="P45" s="739"/>
      <c r="Q45" s="298"/>
      <c r="R45" s="298"/>
      <c r="S45" s="298"/>
      <c r="T45" s="298"/>
      <c r="U45" s="298"/>
      <c r="V45" s="298"/>
      <c r="W45" s="298"/>
      <c r="X45" s="298"/>
    </row>
    <row r="46" spans="2:67" s="299" customFormat="1" ht="19" customHeight="1" x14ac:dyDescent="0.35">
      <c r="B46" s="298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298"/>
      <c r="R46" s="298"/>
      <c r="S46" s="298"/>
      <c r="T46" s="298"/>
      <c r="U46" s="298"/>
      <c r="V46" s="298"/>
      <c r="W46" s="298"/>
      <c r="X46" s="298"/>
    </row>
    <row r="47" spans="2:67" s="299" customFormat="1" ht="19" customHeight="1" x14ac:dyDescent="0.35">
      <c r="B47" s="298"/>
      <c r="C47" s="739"/>
      <c r="D47" s="739"/>
      <c r="E47" s="739"/>
      <c r="F47" s="739"/>
      <c r="G47" s="739"/>
      <c r="H47" s="739"/>
      <c r="I47" s="739"/>
      <c r="J47" s="739"/>
      <c r="K47" s="739"/>
      <c r="L47" s="739"/>
      <c r="M47" s="739"/>
      <c r="N47" s="739"/>
      <c r="O47" s="739"/>
      <c r="P47" s="739"/>
      <c r="Q47" s="298"/>
      <c r="R47" s="298"/>
      <c r="S47" s="298"/>
      <c r="T47" s="298"/>
      <c r="U47" s="298"/>
      <c r="V47" s="298"/>
      <c r="W47" s="298"/>
      <c r="X47" s="298"/>
    </row>
    <row r="48" spans="2:67" s="299" customFormat="1" ht="19" customHeight="1" x14ac:dyDescent="0.35">
      <c r="B48" s="42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298"/>
      <c r="R48" s="298"/>
      <c r="S48" s="298"/>
      <c r="T48" s="298"/>
      <c r="U48" s="2589"/>
      <c r="V48" s="2589"/>
    </row>
    <row r="49" spans="2:32" s="299" customFormat="1" ht="19" customHeight="1" thickBot="1" x14ac:dyDescent="0.4"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306"/>
      <c r="U49" s="306"/>
      <c r="V49" s="306"/>
      <c r="W49" s="306"/>
      <c r="X49" s="298"/>
    </row>
    <row r="50" spans="2:32" s="299" customFormat="1" ht="37.5" customHeight="1" thickBot="1" x14ac:dyDescent="0.4">
      <c r="B50" s="926" t="s">
        <v>226</v>
      </c>
      <c r="C50" s="2309" t="s">
        <v>167</v>
      </c>
      <c r="D50" s="2370"/>
      <c r="E50" s="2370"/>
      <c r="F50" s="2370"/>
      <c r="G50" s="2370"/>
      <c r="H50" s="2370"/>
      <c r="I50" s="2370"/>
      <c r="J50" s="2370"/>
      <c r="K50" s="2370"/>
      <c r="L50" s="2370"/>
      <c r="M50" s="2370"/>
      <c r="N50" s="2370"/>
      <c r="O50" s="2370"/>
      <c r="P50" s="2371"/>
      <c r="Q50" s="926" t="s">
        <v>284</v>
      </c>
      <c r="R50" s="2250" t="s">
        <v>196</v>
      </c>
      <c r="S50" s="2251"/>
      <c r="T50" s="927" t="s">
        <v>52</v>
      </c>
      <c r="U50" s="1123"/>
      <c r="V50" s="1124" t="s">
        <v>7</v>
      </c>
      <c r="W50" s="1123"/>
      <c r="X50" s="1125"/>
    </row>
    <row r="51" spans="2:32" s="299" customFormat="1" ht="20.149999999999999" customHeight="1" thickTop="1" x14ac:dyDescent="0.35">
      <c r="B51" s="442">
        <v>1</v>
      </c>
      <c r="C51" s="190" t="str">
        <f>IF(B51=1,Pricing!F$1,IF(B51=2,Pricing!G$1,IF(B51=3,Pricing!H$1,IF(B51=4,Pricing!I$1,IF(B51=5,Pricing!J$1,IF(B51=6,Pricing!K$1,0))))))</f>
        <v>3000 PSI W/ ASH PIERS, SOG</v>
      </c>
      <c r="D51" s="190"/>
      <c r="E51" s="190"/>
      <c r="F51" s="190"/>
      <c r="G51" s="1140">
        <f>IF(B51=1,Pricing!F$2,IF(B51=2,Pricing!G$2,IF(B51=3,Pricing!H$2,IF(B51=4,Pricing!I$2,IF(B51=5,Pricing!J$2,IF(B51=6,Pricing!K$2,0))))))</f>
        <v>147</v>
      </c>
      <c r="H51" s="88" t="s">
        <v>168</v>
      </c>
      <c r="I51" s="2032" t="s">
        <v>323</v>
      </c>
      <c r="J51" s="2033"/>
      <c r="K51" s="2039">
        <v>0.1</v>
      </c>
      <c r="L51" s="1908">
        <f>IF(B51=1,AO$37,IF(B51=2,AP$37,IF(B51=3,AQ$37,IF(B51=4,AR$37,IF(B51=5,AS$37,IF(B51=6,AT$37))))))+IF(B51=1,AI$37,IF(B51=2,AJ$37,IF(B51=3,AK$37,IF(B51=4,AL$37,IF(B51=5,AM$37,IF(B51=6,AN$37))))))</f>
        <v>0</v>
      </c>
      <c r="M51" s="1909"/>
      <c r="N51" s="58" t="s">
        <v>102</v>
      </c>
      <c r="O51" s="2457">
        <f>L51*G51*(IF(U$40="N",1+W$40,1))</f>
        <v>0</v>
      </c>
      <c r="P51" s="2458"/>
      <c r="Q51" s="166">
        <v>2</v>
      </c>
      <c r="R51" s="193" t="s">
        <v>466</v>
      </c>
      <c r="S51" s="106"/>
      <c r="T51" s="827">
        <v>1</v>
      </c>
      <c r="U51" s="106"/>
      <c r="V51" s="195">
        <f>BC69</f>
        <v>0</v>
      </c>
      <c r="W51" s="106"/>
      <c r="X51" s="118">
        <f>V51*T51</f>
        <v>0</v>
      </c>
    </row>
    <row r="52" spans="2:32" s="299" customFormat="1" ht="20.149999999999999" customHeight="1" x14ac:dyDescent="0.35">
      <c r="B52" s="443">
        <v>2</v>
      </c>
      <c r="C52" s="42" t="str">
        <f>IF(B52=1,Pricing!F$1,IF(B52=2,Pricing!G$1,IF(B52=3,Pricing!H$1,IF(B52=4,Pricing!I$1,IF(B52=5,Pricing!J$1,IF(B52=6,Pricing!K$1,0))))))</f>
        <v>3500 Psi</v>
      </c>
      <c r="D52" s="42"/>
      <c r="E52" s="42"/>
      <c r="F52" s="42"/>
      <c r="G52" s="1140">
        <f>IF(B52=1,Pricing!F$2,IF(B52=2,Pricing!G$2,IF(B52=3,Pricing!H$2,IF(B52=4,Pricing!I$2,IF(B52=5,Pricing!J$2,IF(B52=6,Pricing!K$2,0))))))</f>
        <v>152</v>
      </c>
      <c r="H52" s="88" t="s">
        <v>168</v>
      </c>
      <c r="I52" s="2032"/>
      <c r="J52" s="2033"/>
      <c r="K52" s="2039"/>
      <c r="L52" s="1908">
        <f>IF(B52=1,AO$37,IF(B52=2,AP$37,IF(B52=3,AQ$37,IF(B52=4,AR$37,IF(B52=5,AS$37,IF(B52=6,AT$37))))))+IF(B52=1,AI$37,IF(B52=2,AJ$37,IF(B52=3,AK$37,IF(B52=4,AL$37,IF(B52=5,AM$37,IF(B52=6,AN$37))))))</f>
        <v>0</v>
      </c>
      <c r="M52" s="1909"/>
      <c r="N52" s="58" t="s">
        <v>102</v>
      </c>
      <c r="O52" s="2457">
        <f>L52*G52*(IF(U$40="N",1+W$40,1))</f>
        <v>0</v>
      </c>
      <c r="P52" s="2458"/>
      <c r="Q52" s="166">
        <v>2</v>
      </c>
      <c r="R52" s="193" t="s">
        <v>203</v>
      </c>
      <c r="S52" s="106"/>
      <c r="T52" s="194">
        <f>I65*3.6*T51</f>
        <v>0</v>
      </c>
      <c r="U52" s="387" t="s">
        <v>759</v>
      </c>
      <c r="V52" s="195">
        <f>Pricing!N3</f>
        <v>0.5625</v>
      </c>
      <c r="W52" s="401" t="s">
        <v>787</v>
      </c>
      <c r="X52" s="118">
        <f t="shared" ref="X52:X63" si="32">IF(U$40="Y",T52*V52,T52*V52*(1+W$40))</f>
        <v>0</v>
      </c>
    </row>
    <row r="53" spans="2:32" s="299" customFormat="1" ht="20.149999999999999" customHeight="1" thickBot="1" x14ac:dyDescent="0.4">
      <c r="B53" s="444">
        <v>4</v>
      </c>
      <c r="C53" s="75" t="str">
        <f>IF(B53=1,Pricing!F$1,IF(B53=2,Pricing!G$1,IF(B53=3,Pricing!H$1,IF(B53=4,Pricing!I$1,IF(B53=5,Pricing!J$1,IF(B53=6,Pricing!K$1,0))))))</f>
        <v>4500 psi</v>
      </c>
      <c r="D53" s="75"/>
      <c r="E53" s="75"/>
      <c r="F53" s="75"/>
      <c r="G53" s="1140">
        <f>IF(B53=1,Pricing!F$2,IF(B53=2,Pricing!G$2,IF(B53=3,Pricing!H$2,IF(B53=4,Pricing!I$2,IF(B53=5,Pricing!J$2,IF(B53=6,Pricing!K$2,0))))))</f>
        <v>162</v>
      </c>
      <c r="H53" s="90" t="s">
        <v>168</v>
      </c>
      <c r="I53" s="2034"/>
      <c r="J53" s="2035"/>
      <c r="K53" s="2040"/>
      <c r="L53" s="1908">
        <f>IF(B53=1,AO$37,IF(B53=2,AP$37,IF(B53=3,AQ$37,IF(B53=4,AR$37,IF(B53=5,AS$37,IF(B53=6,AT$37))))))+IF(B53=1,AI$37,IF(B53=2,AJ$37,IF(B53=3,AK$37,IF(B53=4,AL$37,IF(B53=5,AM$37,IF(B53=6,AN$37))))))</f>
        <v>0</v>
      </c>
      <c r="M53" s="1909"/>
      <c r="N53" s="91" t="s">
        <v>102</v>
      </c>
      <c r="O53" s="2457">
        <f>L53*G53*(IF(U$40="N",1+W$40,1))</f>
        <v>0</v>
      </c>
      <c r="P53" s="2458"/>
      <c r="Q53" s="166">
        <v>2</v>
      </c>
      <c r="R53" s="193" t="s">
        <v>204</v>
      </c>
      <c r="S53" s="106"/>
      <c r="T53" s="194">
        <v>0</v>
      </c>
      <c r="U53" s="387" t="s">
        <v>759</v>
      </c>
      <c r="V53" s="195">
        <f>Pricing!N4</f>
        <v>0.65625</v>
      </c>
      <c r="W53" s="401" t="s">
        <v>787</v>
      </c>
      <c r="X53" s="118">
        <f t="shared" si="32"/>
        <v>0</v>
      </c>
    </row>
    <row r="54" spans="2:32" s="299" customFormat="1" ht="20.149999999999999" customHeight="1" thickTop="1" x14ac:dyDescent="0.35">
      <c r="B54" s="43"/>
      <c r="C54" s="92" t="s">
        <v>104</v>
      </c>
      <c r="D54" s="42"/>
      <c r="E54" s="42"/>
      <c r="F54" s="42"/>
      <c r="G54" s="1140">
        <f>Pricing!D22</f>
        <v>0.6</v>
      </c>
      <c r="H54" s="88" t="s">
        <v>88</v>
      </c>
      <c r="I54" s="2616" t="s">
        <v>202</v>
      </c>
      <c r="J54" s="2617"/>
      <c r="K54" s="826">
        <v>0.1</v>
      </c>
      <c r="L54" s="2062">
        <f>V37</f>
        <v>0</v>
      </c>
      <c r="M54" s="2063"/>
      <c r="N54" s="42" t="s">
        <v>32</v>
      </c>
      <c r="O54" s="2450">
        <f>G54*L54*(IF(U40="N",1+W40,1))</f>
        <v>0</v>
      </c>
      <c r="P54" s="2451"/>
      <c r="Q54" s="166">
        <v>2</v>
      </c>
      <c r="R54" s="193" t="s">
        <v>206</v>
      </c>
      <c r="S54" s="106"/>
      <c r="T54" s="194">
        <v>0</v>
      </c>
      <c r="U54" s="387" t="s">
        <v>759</v>
      </c>
      <c r="V54" s="195">
        <f>Pricing!N5</f>
        <v>1</v>
      </c>
      <c r="W54" s="401" t="s">
        <v>787</v>
      </c>
      <c r="X54" s="118">
        <f t="shared" si="32"/>
        <v>0</v>
      </c>
    </row>
    <row r="55" spans="2:32" s="299" customFormat="1" ht="20.149999999999999" customHeight="1" x14ac:dyDescent="0.35">
      <c r="B55" s="43"/>
      <c r="C55" s="92"/>
      <c r="D55" s="42"/>
      <c r="E55" s="42"/>
      <c r="F55" s="42"/>
      <c r="G55" s="1140">
        <f>Pricing!F5</f>
        <v>0</v>
      </c>
      <c r="H55" s="88" t="s">
        <v>69</v>
      </c>
      <c r="I55" s="2625" t="s">
        <v>202</v>
      </c>
      <c r="J55" s="2626"/>
      <c r="K55" s="748">
        <v>0.05</v>
      </c>
      <c r="L55" s="1908"/>
      <c r="M55" s="1909"/>
      <c r="N55" s="42" t="s">
        <v>95</v>
      </c>
      <c r="O55" s="2457">
        <f>L55*G55*(IF(U40="N",1+W40,1))*(K55+1)</f>
        <v>0</v>
      </c>
      <c r="P55" s="2458"/>
      <c r="Q55" s="166">
        <v>2</v>
      </c>
      <c r="R55" s="193" t="s">
        <v>205</v>
      </c>
      <c r="S55" s="106"/>
      <c r="T55" s="194">
        <f>E37*2</f>
        <v>0</v>
      </c>
      <c r="U55" s="387" t="s">
        <v>759</v>
      </c>
      <c r="V55" s="195">
        <f>Pricing!N6</f>
        <v>1.25</v>
      </c>
      <c r="W55" s="401" t="s">
        <v>787</v>
      </c>
      <c r="X55" s="118">
        <f t="shared" si="32"/>
        <v>0</v>
      </c>
    </row>
    <row r="56" spans="2:32" s="299" customFormat="1" ht="20.149999999999999" customHeight="1" thickBot="1" x14ac:dyDescent="0.4">
      <c r="B56" s="43"/>
      <c r="C56" s="93" t="s">
        <v>302</v>
      </c>
      <c r="D56" s="75"/>
      <c r="E56" s="75"/>
      <c r="F56" s="75"/>
      <c r="G56" s="1141">
        <v>0.35</v>
      </c>
      <c r="H56" s="90" t="s">
        <v>69</v>
      </c>
      <c r="I56" s="199" t="s">
        <v>199</v>
      </c>
      <c r="J56" s="2375">
        <v>0</v>
      </c>
      <c r="K56" s="2375"/>
      <c r="L56" s="2061"/>
      <c r="M56" s="2061"/>
      <c r="N56" s="75" t="s">
        <v>95</v>
      </c>
      <c r="O56" s="2442">
        <f>IF(M36="y",IF(J56=0,L56*G56,J56),0)*(IF(T$63="N",1+V$63,1))</f>
        <v>0</v>
      </c>
      <c r="P56" s="2443"/>
      <c r="Q56" s="166">
        <v>2</v>
      </c>
      <c r="R56" s="193" t="s">
        <v>207</v>
      </c>
      <c r="S56" s="106"/>
      <c r="T56" s="194">
        <f>ROUNDUP(I65*2/32*T51*1.1,0)</f>
        <v>0</v>
      </c>
      <c r="U56" s="106" t="s">
        <v>209</v>
      </c>
      <c r="V56" s="195">
        <f>Pricing!N7</f>
        <v>50</v>
      </c>
      <c r="W56" s="401" t="s">
        <v>290</v>
      </c>
      <c r="X56" s="118">
        <f t="shared" si="32"/>
        <v>0</v>
      </c>
    </row>
    <row r="57" spans="2:32" s="299" customFormat="1" ht="20.149999999999999" customHeight="1" thickTop="1" x14ac:dyDescent="0.35">
      <c r="B57" s="94"/>
      <c r="C57" s="58" t="s">
        <v>103</v>
      </c>
      <c r="D57" s="42"/>
      <c r="E57" s="42"/>
      <c r="F57" s="42"/>
      <c r="G57" s="1142">
        <f>Pricing!D18</f>
        <v>25</v>
      </c>
      <c r="H57" s="88" t="s">
        <v>169</v>
      </c>
      <c r="I57" s="2444" t="s">
        <v>202</v>
      </c>
      <c r="J57" s="2445"/>
      <c r="K57" s="2603">
        <v>0.05</v>
      </c>
      <c r="L57" s="1909"/>
      <c r="M57" s="1909"/>
      <c r="N57" s="42" t="s">
        <v>102</v>
      </c>
      <c r="O57" s="2450">
        <f>L57*G57*IF(R24="N",1+U24,1)</f>
        <v>0</v>
      </c>
      <c r="P57" s="2451"/>
      <c r="Q57" s="166">
        <v>2</v>
      </c>
      <c r="R57" s="193" t="s">
        <v>757</v>
      </c>
      <c r="S57" s="106"/>
      <c r="T57" s="194">
        <f>ROUNDUP(E37*2/25,0)</f>
        <v>0</v>
      </c>
      <c r="U57" s="106" t="s">
        <v>786</v>
      </c>
      <c r="V57" s="195">
        <f>Pricing!N14</f>
        <v>18</v>
      </c>
      <c r="W57" s="401" t="s">
        <v>291</v>
      </c>
      <c r="X57" s="118">
        <f t="shared" si="32"/>
        <v>0</v>
      </c>
    </row>
    <row r="58" spans="2:32" s="299" customFormat="1" ht="20.149999999999999" customHeight="1" thickBot="1" x14ac:dyDescent="0.4">
      <c r="B58" s="43"/>
      <c r="C58" s="134" t="s">
        <v>344</v>
      </c>
      <c r="D58" s="75"/>
      <c r="E58" s="95"/>
      <c r="F58" s="75"/>
      <c r="G58" s="1143">
        <v>15</v>
      </c>
      <c r="H58" s="90" t="s">
        <v>124</v>
      </c>
      <c r="I58" s="2446"/>
      <c r="J58" s="2447"/>
      <c r="K58" s="2604"/>
      <c r="L58" s="2061"/>
      <c r="M58" s="2061"/>
      <c r="N58" s="75" t="s">
        <v>95</v>
      </c>
      <c r="O58" s="2452">
        <f>L58*G58</f>
        <v>0</v>
      </c>
      <c r="P58" s="2453"/>
      <c r="Q58" s="166">
        <v>2</v>
      </c>
      <c r="R58" s="193" t="s">
        <v>0</v>
      </c>
      <c r="S58" s="106"/>
      <c r="T58" s="194">
        <f>ROUNDUP(I65/1800,0)</f>
        <v>0</v>
      </c>
      <c r="U58" s="106" t="s">
        <v>626</v>
      </c>
      <c r="V58" s="195">
        <f>Pricing!N15</f>
        <v>42</v>
      </c>
      <c r="W58" s="401" t="s">
        <v>292</v>
      </c>
      <c r="X58" s="118">
        <f t="shared" si="32"/>
        <v>0</v>
      </c>
    </row>
    <row r="59" spans="2:32" s="299" customFormat="1" ht="20.149999999999999" customHeight="1" thickTop="1" x14ac:dyDescent="0.35">
      <c r="B59" s="43"/>
      <c r="C59" s="92"/>
      <c r="D59" s="42"/>
      <c r="E59" s="73"/>
      <c r="F59" s="42"/>
      <c r="G59" s="1144">
        <v>0.17</v>
      </c>
      <c r="H59" s="42" t="s">
        <v>171</v>
      </c>
      <c r="I59" s="2444" t="s">
        <v>202</v>
      </c>
      <c r="J59" s="2445"/>
      <c r="K59" s="2611">
        <v>0.1</v>
      </c>
      <c r="L59" s="1908"/>
      <c r="M59" s="1909"/>
      <c r="N59" s="42" t="s">
        <v>95</v>
      </c>
      <c r="O59" s="2388">
        <f>G59*L59</f>
        <v>0</v>
      </c>
      <c r="P59" s="2389"/>
      <c r="Q59" s="166">
        <v>2</v>
      </c>
      <c r="R59" s="193" t="s">
        <v>2</v>
      </c>
      <c r="S59" s="106"/>
      <c r="T59" s="194">
        <f>ROUNDUP(I65/1000,0)</f>
        <v>0</v>
      </c>
      <c r="U59" s="106" t="s">
        <v>626</v>
      </c>
      <c r="V59" s="195">
        <f>Pricing!N16</f>
        <v>42</v>
      </c>
      <c r="W59" s="401" t="s">
        <v>292</v>
      </c>
      <c r="X59" s="118">
        <f t="shared" si="32"/>
        <v>0</v>
      </c>
      <c r="AA59" s="299" t="s">
        <v>237</v>
      </c>
    </row>
    <row r="60" spans="2:32" s="299" customFormat="1" ht="20.149999999999999" customHeight="1" x14ac:dyDescent="0.35">
      <c r="B60" s="2259" t="s">
        <v>192</v>
      </c>
      <c r="C60" s="1972"/>
      <c r="D60" s="1972"/>
      <c r="E60" s="73" t="s">
        <v>301</v>
      </c>
      <c r="F60" s="842" t="s">
        <v>198</v>
      </c>
      <c r="G60" s="757">
        <v>1.75</v>
      </c>
      <c r="H60" s="88" t="s">
        <v>69</v>
      </c>
      <c r="I60" s="2607"/>
      <c r="J60" s="2608"/>
      <c r="K60" s="2603"/>
      <c r="L60" s="1908">
        <f>IF(F60="Y",E37*(1+K59),0)</f>
        <v>0</v>
      </c>
      <c r="M60" s="1909"/>
      <c r="N60" s="42" t="s">
        <v>42</v>
      </c>
      <c r="O60" s="2388">
        <f>L60*G60</f>
        <v>0</v>
      </c>
      <c r="P60" s="2389"/>
      <c r="Q60" s="166">
        <v>2</v>
      </c>
      <c r="R60" s="193" t="s">
        <v>1</v>
      </c>
      <c r="S60" s="106"/>
      <c r="T60" s="194">
        <f>T59</f>
        <v>0</v>
      </c>
      <c r="U60" s="106" t="s">
        <v>626</v>
      </c>
      <c r="V60" s="195">
        <f>Pricing!N17</f>
        <v>42</v>
      </c>
      <c r="W60" s="401" t="s">
        <v>292</v>
      </c>
      <c r="X60" s="118">
        <f t="shared" si="32"/>
        <v>0</v>
      </c>
      <c r="AA60" s="299" t="s">
        <v>126</v>
      </c>
      <c r="AB60" s="299">
        <v>0</v>
      </c>
    </row>
    <row r="61" spans="2:32" s="299" customFormat="1" ht="20.149999999999999" customHeight="1" thickBot="1" x14ac:dyDescent="0.4">
      <c r="B61" s="2259" t="s">
        <v>201</v>
      </c>
      <c r="C61" s="1972"/>
      <c r="D61" s="1972"/>
      <c r="E61" s="95" t="s">
        <v>301</v>
      </c>
      <c r="F61" s="1168" t="s">
        <v>198</v>
      </c>
      <c r="G61" s="1145">
        <v>1.8</v>
      </c>
      <c r="H61" s="90" t="s">
        <v>170</v>
      </c>
      <c r="I61" s="2446"/>
      <c r="J61" s="2447"/>
      <c r="K61" s="2604"/>
      <c r="L61" s="2060">
        <f>IF(F61="Y",,0)*E37*2*(1+K59)</f>
        <v>0</v>
      </c>
      <c r="M61" s="2061"/>
      <c r="N61" s="75" t="s">
        <v>42</v>
      </c>
      <c r="O61" s="2442">
        <f>L61*G61</f>
        <v>0</v>
      </c>
      <c r="P61" s="2443"/>
      <c r="Q61" s="166">
        <v>2</v>
      </c>
      <c r="R61" s="193" t="s">
        <v>210</v>
      </c>
      <c r="S61" s="106"/>
      <c r="T61" s="194">
        <f>AM29*12/48/50</f>
        <v>0</v>
      </c>
      <c r="U61" s="106" t="s">
        <v>626</v>
      </c>
      <c r="V61" s="195">
        <f>Pricing!N33</f>
        <v>25.5</v>
      </c>
      <c r="W61" s="401" t="s">
        <v>292</v>
      </c>
      <c r="X61" s="118">
        <f t="shared" si="32"/>
        <v>0</v>
      </c>
      <c r="AA61" s="299" t="s">
        <v>238</v>
      </c>
      <c r="AB61" s="299">
        <v>0</v>
      </c>
    </row>
    <row r="62" spans="2:32" s="299" customFormat="1" ht="20.149999999999999" customHeight="1" thickTop="1" thickBot="1" x14ac:dyDescent="0.4">
      <c r="B62" s="47"/>
      <c r="C62" s="47" t="s">
        <v>70</v>
      </c>
      <c r="D62" s="49"/>
      <c r="E62" s="49"/>
      <c r="F62" s="49"/>
      <c r="G62" s="1146"/>
      <c r="H62" s="96" t="s">
        <v>193</v>
      </c>
      <c r="I62" s="2360" t="s">
        <v>793</v>
      </c>
      <c r="J62" s="2361"/>
      <c r="K62" s="828">
        <v>0.4</v>
      </c>
      <c r="L62" s="2634">
        <f>AX37</f>
        <v>0</v>
      </c>
      <c r="M62" s="2635"/>
      <c r="N62" s="49" t="s">
        <v>95</v>
      </c>
      <c r="O62" s="2429">
        <f>G62*K62*L62</f>
        <v>0</v>
      </c>
      <c r="P62" s="2430"/>
      <c r="Q62" s="166">
        <v>2</v>
      </c>
      <c r="R62" s="193" t="s">
        <v>236</v>
      </c>
      <c r="S62" s="106"/>
      <c r="T62" s="194">
        <f>BF51+AE114</f>
        <v>0</v>
      </c>
      <c r="U62" s="387" t="s">
        <v>759</v>
      </c>
      <c r="V62" s="195">
        <f>Pricing!N18</f>
        <v>0.78</v>
      </c>
      <c r="W62" s="106" t="s">
        <v>787</v>
      </c>
      <c r="X62" s="118">
        <f t="shared" si="32"/>
        <v>0</v>
      </c>
      <c r="AA62" s="299" t="s">
        <v>283</v>
      </c>
      <c r="AB62" s="299">
        <v>0</v>
      </c>
    </row>
    <row r="63" spans="2:32" s="299" customFormat="1" ht="20.149999999999999" customHeight="1" thickBot="1" x14ac:dyDescent="0.4">
      <c r="B63" s="835" t="s">
        <v>221</v>
      </c>
      <c r="C63" s="834"/>
      <c r="D63" s="834" t="s">
        <v>299</v>
      </c>
      <c r="E63" s="834"/>
      <c r="F63" s="834"/>
      <c r="G63" s="836"/>
      <c r="H63" s="834"/>
      <c r="I63" s="834"/>
      <c r="J63" s="834"/>
      <c r="K63" s="834"/>
      <c r="L63" s="2306" t="s">
        <v>45</v>
      </c>
      <c r="M63" s="2306"/>
      <c r="N63" s="2306" t="s">
        <v>300</v>
      </c>
      <c r="O63" s="2306"/>
      <c r="P63" s="2307"/>
      <c r="Q63" s="166">
        <v>2</v>
      </c>
      <c r="R63" s="193" t="s">
        <v>119</v>
      </c>
      <c r="S63" s="106"/>
      <c r="T63" s="194">
        <v>0</v>
      </c>
      <c r="U63" s="387" t="s">
        <v>759</v>
      </c>
      <c r="V63" s="195">
        <f>Pricing!N19</f>
        <v>0.16</v>
      </c>
      <c r="W63" s="106" t="s">
        <v>787</v>
      </c>
      <c r="X63" s="118">
        <f t="shared" si="32"/>
        <v>0</v>
      </c>
      <c r="AA63" s="299" t="s">
        <v>239</v>
      </c>
      <c r="AB63" s="299" t="s">
        <v>240</v>
      </c>
      <c r="AF63" s="299" t="s">
        <v>92</v>
      </c>
    </row>
    <row r="64" spans="2:32" s="299" customFormat="1" ht="20.149999999999999" customHeight="1" x14ac:dyDescent="0.35">
      <c r="B64" s="250"/>
      <c r="C64" s="48"/>
      <c r="D64" s="246" t="s">
        <v>200</v>
      </c>
      <c r="E64" s="2636">
        <v>10</v>
      </c>
      <c r="F64" s="2636"/>
      <c r="G64" s="419" t="s">
        <v>191</v>
      </c>
      <c r="H64" s="48"/>
      <c r="I64" s="2637">
        <f>AZ37</f>
        <v>0</v>
      </c>
      <c r="J64" s="1959"/>
      <c r="K64" s="48" t="s">
        <v>95</v>
      </c>
      <c r="L64" s="1853">
        <f>IF(D64="N",E64*I64,0)</f>
        <v>0</v>
      </c>
      <c r="M64" s="1853"/>
      <c r="N64" s="247"/>
      <c r="O64" s="2412">
        <f>IF(D64="y",E64*I64,0)</f>
        <v>0</v>
      </c>
      <c r="P64" s="2413"/>
      <c r="Q64" s="166">
        <v>2</v>
      </c>
      <c r="R64" s="193" t="s">
        <v>218</v>
      </c>
      <c r="S64" s="106"/>
      <c r="T64" s="194"/>
      <c r="U64" s="106" t="s">
        <v>762</v>
      </c>
      <c r="V64" s="195">
        <f>Pricing!N20</f>
        <v>45</v>
      </c>
      <c r="W64" s="401" t="s">
        <v>292</v>
      </c>
      <c r="X64" s="118">
        <f>IF(U$40="Y",T64*V64,T64*V64*(1+W$40))</f>
        <v>0</v>
      </c>
    </row>
    <row r="65" spans="2:32" s="299" customFormat="1" ht="20.149999999999999" customHeight="1" x14ac:dyDescent="0.35">
      <c r="B65" s="193" t="s">
        <v>329</v>
      </c>
      <c r="C65" s="57"/>
      <c r="D65" s="97" t="s">
        <v>200</v>
      </c>
      <c r="E65" s="2099">
        <v>4</v>
      </c>
      <c r="F65" s="2633"/>
      <c r="G65" s="401" t="s">
        <v>191</v>
      </c>
      <c r="H65" s="2431">
        <f>SUM(E65:F67)</f>
        <v>9</v>
      </c>
      <c r="I65" s="2557">
        <f>AY37</f>
        <v>0</v>
      </c>
      <c r="J65" s="2558"/>
      <c r="K65" s="42" t="s">
        <v>332</v>
      </c>
      <c r="L65" s="1886">
        <f>IF(D65="N",E65*I$65,0)</f>
        <v>0</v>
      </c>
      <c r="M65" s="1886"/>
      <c r="N65"/>
      <c r="O65" s="2388">
        <f>IF(D65="y",I$65*E65,0)</f>
        <v>0</v>
      </c>
      <c r="P65" s="2389"/>
      <c r="Q65" s="166">
        <v>2</v>
      </c>
      <c r="R65" s="193" t="s">
        <v>839</v>
      </c>
      <c r="S65" s="106"/>
      <c r="T65" s="194">
        <v>0</v>
      </c>
      <c r="U65" s="106" t="s">
        <v>42</v>
      </c>
      <c r="V65" s="195">
        <v>1</v>
      </c>
      <c r="W65" s="401" t="s">
        <v>788</v>
      </c>
      <c r="X65" s="118">
        <f>IF(U$40="Y",T65*V65,T65*V65*(1+W$40))</f>
        <v>0</v>
      </c>
      <c r="AA65" s="299">
        <v>0</v>
      </c>
      <c r="AB65" s="299" t="s">
        <v>241</v>
      </c>
    </row>
    <row r="66" spans="2:32" s="299" customFormat="1" ht="20.149999999999999" customHeight="1" x14ac:dyDescent="0.35">
      <c r="B66" s="196" t="s">
        <v>162</v>
      </c>
      <c r="C66" s="57"/>
      <c r="D66" s="98" t="s">
        <v>200</v>
      </c>
      <c r="E66" s="2099">
        <v>4</v>
      </c>
      <c r="F66" s="2633"/>
      <c r="G66" s="401" t="s">
        <v>191</v>
      </c>
      <c r="H66" s="2431"/>
      <c r="I66" s="2559"/>
      <c r="J66" s="2560"/>
      <c r="K66" s="42" t="s">
        <v>332</v>
      </c>
      <c r="L66" s="1886">
        <f>IF(D66="N",E66*I$65,0)</f>
        <v>0</v>
      </c>
      <c r="M66" s="1886"/>
      <c r="N66"/>
      <c r="O66" s="2388">
        <f>IF(D66="y",I$65*E66,0)</f>
        <v>0</v>
      </c>
      <c r="P66" s="2389"/>
      <c r="Q66" s="166">
        <v>2</v>
      </c>
      <c r="R66" s="193" t="s">
        <v>123</v>
      </c>
      <c r="S66" s="106"/>
      <c r="T66" s="194">
        <v>0</v>
      </c>
      <c r="U66" s="106" t="s">
        <v>498</v>
      </c>
      <c r="V66" s="195">
        <f>Pricing!N41</f>
        <v>100</v>
      </c>
      <c r="W66" s="401" t="s">
        <v>294</v>
      </c>
      <c r="X66" s="118">
        <f>V66*T66</f>
        <v>0</v>
      </c>
      <c r="AA66" s="299">
        <v>1</v>
      </c>
      <c r="AB66" s="299" t="s">
        <v>242</v>
      </c>
    </row>
    <row r="67" spans="2:32" s="299" customFormat="1" ht="20.149999999999999" customHeight="1" x14ac:dyDescent="0.35">
      <c r="B67" s="196" t="s">
        <v>84</v>
      </c>
      <c r="C67" s="57"/>
      <c r="D67" s="98" t="s">
        <v>200</v>
      </c>
      <c r="E67" s="2099">
        <v>1</v>
      </c>
      <c r="F67" s="2633"/>
      <c r="G67" s="401" t="s">
        <v>191</v>
      </c>
      <c r="H67" s="2431"/>
      <c r="I67" s="2559"/>
      <c r="J67" s="2560"/>
      <c r="K67" s="42" t="s">
        <v>332</v>
      </c>
      <c r="L67" s="1886">
        <f>IF(D67="N",E67*I$65,0)</f>
        <v>0</v>
      </c>
      <c r="M67" s="1886"/>
      <c r="N67"/>
      <c r="O67" s="2388">
        <f>IF(D67="y",I$65*E67,0)</f>
        <v>0</v>
      </c>
      <c r="P67" s="2389"/>
      <c r="Q67" s="166">
        <v>2</v>
      </c>
      <c r="R67" s="193" t="s">
        <v>834</v>
      </c>
      <c r="S67" s="106"/>
      <c r="T67" s="194">
        <v>0</v>
      </c>
      <c r="U67" s="106"/>
      <c r="V67" s="195">
        <v>2</v>
      </c>
      <c r="W67" s="106"/>
      <c r="X67" s="118">
        <f>V67*T67</f>
        <v>0</v>
      </c>
      <c r="AA67" s="299">
        <v>2</v>
      </c>
      <c r="AB67" s="299" t="s">
        <v>243</v>
      </c>
      <c r="AF67" s="343">
        <f>SUM(X52:X77)+O55+O59+O89</f>
        <v>0</v>
      </c>
    </row>
    <row r="68" spans="2:32" s="299" customFormat="1" ht="20.149999999999999" customHeight="1" x14ac:dyDescent="0.35">
      <c r="B68" s="196" t="s">
        <v>322</v>
      </c>
      <c r="C68" s="57"/>
      <c r="D68" s="98" t="s">
        <v>661</v>
      </c>
      <c r="E68" s="2099">
        <v>0.5</v>
      </c>
      <c r="F68" s="2633"/>
      <c r="G68" s="401" t="s">
        <v>191</v>
      </c>
      <c r="H68" s="42"/>
      <c r="I68" s="2561"/>
      <c r="J68" s="2562"/>
      <c r="K68" s="42" t="s">
        <v>332</v>
      </c>
      <c r="L68" s="1886">
        <f>IF(D68="N",E68*I$65,0)</f>
        <v>0</v>
      </c>
      <c r="M68" s="1886"/>
      <c r="N68"/>
      <c r="O68" s="2388">
        <f>IF(D68="y",I$65*E68,0)</f>
        <v>0</v>
      </c>
      <c r="P68" s="2389"/>
      <c r="Q68" s="166">
        <v>2</v>
      </c>
      <c r="R68" s="193"/>
      <c r="S68" s="106"/>
      <c r="T68" s="194"/>
      <c r="U68" s="106"/>
      <c r="V68" s="195"/>
      <c r="W68" s="106"/>
      <c r="X68" s="118"/>
      <c r="AA68" s="299">
        <v>3</v>
      </c>
      <c r="AB68" s="299" t="s">
        <v>244</v>
      </c>
      <c r="AF68" s="299">
        <f>O57</f>
        <v>0</v>
      </c>
    </row>
    <row r="69" spans="2:32" s="299" customFormat="1" ht="20.149999999999999" customHeight="1" x14ac:dyDescent="0.35">
      <c r="B69" s="196" t="s">
        <v>33</v>
      </c>
      <c r="C69" s="57"/>
      <c r="D69" s="98" t="s">
        <v>200</v>
      </c>
      <c r="E69" s="2099">
        <v>400</v>
      </c>
      <c r="F69" s="2633"/>
      <c r="G69" s="401" t="s">
        <v>89</v>
      </c>
      <c r="H69" s="42"/>
      <c r="I69" s="1909">
        <f>(L54/2000)</f>
        <v>0</v>
      </c>
      <c r="J69" s="1909"/>
      <c r="K69" s="42" t="s">
        <v>183</v>
      </c>
      <c r="L69" s="1886">
        <f>IF(D69="N",E69*I69,0)</f>
        <v>0</v>
      </c>
      <c r="M69" s="1886"/>
      <c r="N69"/>
      <c r="O69" s="2388">
        <f>IF(D69="y",I69*E69,0)</f>
        <v>0</v>
      </c>
      <c r="P69" s="2389"/>
      <c r="Q69" s="166">
        <v>2</v>
      </c>
      <c r="R69" s="193"/>
      <c r="S69" s="106"/>
      <c r="T69" s="194"/>
      <c r="U69" s="106"/>
      <c r="V69" s="195"/>
      <c r="W69" s="106"/>
      <c r="X69" s="118"/>
      <c r="AA69" s="299">
        <v>4</v>
      </c>
      <c r="AB69" s="299" t="s">
        <v>245</v>
      </c>
      <c r="AF69" s="299">
        <f>O58</f>
        <v>0</v>
      </c>
    </row>
    <row r="70" spans="2:32" s="299" customFormat="1" ht="20.149999999999999" customHeight="1" x14ac:dyDescent="0.35">
      <c r="B70" s="209" t="s">
        <v>664</v>
      </c>
      <c r="C70" s="79"/>
      <c r="D70" s="98" t="s">
        <v>200</v>
      </c>
      <c r="E70" s="2630">
        <v>20</v>
      </c>
      <c r="F70" s="2631"/>
      <c r="G70" s="445" t="s">
        <v>327</v>
      </c>
      <c r="H70" s="52"/>
      <c r="I70" s="2257">
        <f>AV37*1.3</f>
        <v>0</v>
      </c>
      <c r="J70" s="2257"/>
      <c r="K70" s="52" t="s">
        <v>328</v>
      </c>
      <c r="L70" s="2118">
        <f>IF(D70="N",E70*I70,0)</f>
        <v>0</v>
      </c>
      <c r="M70" s="2118"/>
      <c r="N70"/>
      <c r="O70" s="2632">
        <f>IF(D70="y",I70*E70,0)</f>
        <v>0</v>
      </c>
      <c r="P70" s="2546"/>
      <c r="Q70" s="166">
        <v>2</v>
      </c>
      <c r="R70" s="193"/>
      <c r="S70" s="106"/>
      <c r="T70" s="194"/>
      <c r="U70" s="106"/>
      <c r="V70" s="195"/>
      <c r="W70" s="106"/>
      <c r="X70" s="118"/>
      <c r="AA70" s="299">
        <v>5</v>
      </c>
      <c r="AB70" s="299" t="s">
        <v>246</v>
      </c>
      <c r="AF70" s="299">
        <f>O54</f>
        <v>0</v>
      </c>
    </row>
    <row r="71" spans="2:32" s="299" customFormat="1" ht="20.149999999999999" customHeight="1" thickBot="1" x14ac:dyDescent="0.4">
      <c r="B71" s="6" t="s">
        <v>223</v>
      </c>
      <c r="C71" s="4"/>
      <c r="D71" s="5"/>
      <c r="E71" s="2263">
        <f>IF(I65=0,0,(O71+L71)/I65)</f>
        <v>0</v>
      </c>
      <c r="F71" s="2264"/>
      <c r="G71" s="76"/>
      <c r="H71" s="49"/>
      <c r="I71" s="2017" t="s">
        <v>50</v>
      </c>
      <c r="J71" s="2017"/>
      <c r="K71" s="2017"/>
      <c r="L71" s="2124">
        <f>SUM(L64:M70)</f>
        <v>0</v>
      </c>
      <c r="M71" s="2124"/>
      <c r="N71" s="248"/>
      <c r="O71" s="2402">
        <f>SUM(O64:P70)</f>
        <v>0</v>
      </c>
      <c r="P71" s="2403"/>
      <c r="Q71" s="166">
        <v>2</v>
      </c>
      <c r="R71" s="193"/>
      <c r="S71" s="106"/>
      <c r="T71" s="194"/>
      <c r="U71" s="402"/>
      <c r="V71" s="195"/>
      <c r="W71" s="106"/>
      <c r="X71" s="118"/>
      <c r="AA71" s="299">
        <v>6</v>
      </c>
      <c r="AB71" s="299" t="s">
        <v>248</v>
      </c>
      <c r="AF71" s="299">
        <f>SUM(X79:X84)</f>
        <v>0</v>
      </c>
    </row>
    <row r="72" spans="2:32" s="299" customFormat="1" ht="20.149999999999999" customHeight="1" thickBot="1" x14ac:dyDescent="0.4">
      <c r="B72" s="2395" t="s">
        <v>194</v>
      </c>
      <c r="C72" s="2236"/>
      <c r="D72" s="2236"/>
      <c r="E72" s="2236"/>
      <c r="F72" s="2236"/>
      <c r="G72" s="2236"/>
      <c r="H72" s="2236"/>
      <c r="I72" s="2236"/>
      <c r="J72" s="2236"/>
      <c r="K72" s="2236"/>
      <c r="L72" s="2236"/>
      <c r="M72" s="2236"/>
      <c r="N72" s="2236"/>
      <c r="O72" s="2236"/>
      <c r="P72" s="2236"/>
      <c r="Q72" s="166">
        <v>2</v>
      </c>
      <c r="R72" s="193" t="s">
        <v>219</v>
      </c>
      <c r="S72" s="106"/>
      <c r="T72" s="194">
        <f>ROUNDUP(L62*0.55*T51,0)</f>
        <v>0</v>
      </c>
      <c r="U72" s="106" t="s">
        <v>18</v>
      </c>
      <c r="V72" s="195">
        <f>Pricing!N25</f>
        <v>0.25</v>
      </c>
      <c r="W72" s="106" t="s">
        <v>121</v>
      </c>
      <c r="X72" s="118">
        <f>T72*V72</f>
        <v>0</v>
      </c>
      <c r="AA72" s="299">
        <v>7</v>
      </c>
      <c r="AB72" s="299" t="s">
        <v>247</v>
      </c>
      <c r="AF72" s="299">
        <f>O56</f>
        <v>0</v>
      </c>
    </row>
    <row r="73" spans="2:32" s="299" customFormat="1" ht="20.149999999999999" customHeight="1" x14ac:dyDescent="0.35">
      <c r="B73" s="100" t="s">
        <v>1164</v>
      </c>
      <c r="C73" s="48"/>
      <c r="D73" s="101"/>
      <c r="E73" s="752">
        <v>0</v>
      </c>
      <c r="F73" s="48" t="s">
        <v>187</v>
      </c>
      <c r="G73" s="807">
        <v>295</v>
      </c>
      <c r="H73" s="102" t="s">
        <v>68</v>
      </c>
      <c r="I73" s="48"/>
      <c r="J73" s="48"/>
      <c r="K73" s="48"/>
      <c r="L73" s="48"/>
      <c r="M73" s="2214">
        <f>IF(E45=0,0,(SUM(O73:P77))/E45)</f>
        <v>0</v>
      </c>
      <c r="N73" s="2215"/>
      <c r="O73" s="1897">
        <f>E73*G73</f>
        <v>0</v>
      </c>
      <c r="P73" s="1898"/>
      <c r="Q73" s="166">
        <v>2</v>
      </c>
      <c r="R73" s="193" t="s">
        <v>233</v>
      </c>
      <c r="S73" s="106"/>
      <c r="T73" s="194">
        <v>0</v>
      </c>
      <c r="U73" s="106" t="s">
        <v>18</v>
      </c>
      <c r="V73" s="195">
        <f>Pricing!N26</f>
        <v>0.75</v>
      </c>
      <c r="W73" s="106" t="s">
        <v>18</v>
      </c>
      <c r="X73" s="118">
        <f>T73*V73</f>
        <v>0</v>
      </c>
      <c r="AA73" s="299">
        <v>8</v>
      </c>
      <c r="AB73" s="299" t="s">
        <v>249</v>
      </c>
      <c r="AF73" s="299">
        <f>SUM(O51:P53)</f>
        <v>0</v>
      </c>
    </row>
    <row r="74" spans="2:32" s="299" customFormat="1" ht="20.149999999999999" customHeight="1" x14ac:dyDescent="0.35">
      <c r="B74" s="92" t="s">
        <v>1162</v>
      </c>
      <c r="C74" s="42"/>
      <c r="D74" s="42"/>
      <c r="E74" s="753">
        <f>E73*0.5</f>
        <v>0</v>
      </c>
      <c r="F74" s="103" t="s">
        <v>187</v>
      </c>
      <c r="G74" s="808">
        <v>390</v>
      </c>
      <c r="H74" s="108" t="s">
        <v>68</v>
      </c>
      <c r="I74" s="42"/>
      <c r="J74" s="42"/>
      <c r="K74" s="42"/>
      <c r="L74" s="42"/>
      <c r="M74" s="2076">
        <f>SUM(O73:P77)</f>
        <v>0</v>
      </c>
      <c r="N74" s="2108"/>
      <c r="O74" s="1895">
        <f>E74*G74</f>
        <v>0</v>
      </c>
      <c r="P74" s="1896"/>
      <c r="Q74" s="166">
        <v>2</v>
      </c>
      <c r="R74" s="193" t="s">
        <v>785</v>
      </c>
      <c r="S74" s="106"/>
      <c r="T74" s="194">
        <v>0</v>
      </c>
      <c r="U74" s="106" t="s">
        <v>288</v>
      </c>
      <c r="V74" s="195">
        <f>Pricing!N27</f>
        <v>15</v>
      </c>
      <c r="W74" s="401" t="s">
        <v>293</v>
      </c>
      <c r="X74" s="118">
        <f>T74*V74</f>
        <v>0</v>
      </c>
      <c r="AA74" s="299">
        <v>9</v>
      </c>
      <c r="AB74" s="299" t="s">
        <v>234</v>
      </c>
      <c r="AF74" s="299">
        <f>SUM(O60:P61)</f>
        <v>0</v>
      </c>
    </row>
    <row r="75" spans="2:32" s="299" customFormat="1" ht="20.149999999999999" customHeight="1" x14ac:dyDescent="0.35">
      <c r="B75" s="196" t="s">
        <v>1165</v>
      </c>
      <c r="C75" s="42"/>
      <c r="D75" s="42"/>
      <c r="E75" s="1408"/>
      <c r="F75" s="103" t="s">
        <v>187</v>
      </c>
      <c r="G75" s="1414">
        <v>200</v>
      </c>
      <c r="H75" s="108" t="s">
        <v>68</v>
      </c>
      <c r="I75" s="42"/>
      <c r="J75" s="42"/>
      <c r="K75" s="42"/>
      <c r="L75" s="42"/>
      <c r="M75" s="1814"/>
      <c r="N75" s="1814"/>
      <c r="O75" s="1895">
        <f t="shared" ref="O75:O76" si="33">E75*G75</f>
        <v>0</v>
      </c>
      <c r="P75" s="1896"/>
      <c r="Q75" s="166"/>
      <c r="R75" s="193"/>
      <c r="S75" s="106"/>
      <c r="T75" s="194"/>
      <c r="U75" s="106"/>
      <c r="V75" s="195"/>
      <c r="W75" s="401"/>
      <c r="X75" s="118"/>
    </row>
    <row r="76" spans="2:32" s="299" customFormat="1" ht="20.149999999999999" customHeight="1" x14ac:dyDescent="0.35">
      <c r="B76" s="196" t="s">
        <v>1168</v>
      </c>
      <c r="C76" s="42"/>
      <c r="D76" s="42"/>
      <c r="E76" s="1408">
        <f>E73*0.5</f>
        <v>0</v>
      </c>
      <c r="F76" s="103" t="s">
        <v>187</v>
      </c>
      <c r="G76" s="1414">
        <v>200</v>
      </c>
      <c r="H76" s="88"/>
      <c r="I76" s="42"/>
      <c r="J76" s="42"/>
      <c r="K76" s="42"/>
      <c r="L76" s="42"/>
      <c r="M76" s="1814"/>
      <c r="N76" s="1814"/>
      <c r="O76" s="1895">
        <f t="shared" si="33"/>
        <v>0</v>
      </c>
      <c r="P76" s="1896"/>
      <c r="Q76" s="166"/>
      <c r="R76" s="193"/>
      <c r="S76" s="106"/>
      <c r="T76" s="194"/>
      <c r="U76" s="106"/>
      <c r="V76" s="195"/>
      <c r="W76" s="401"/>
      <c r="X76" s="118"/>
    </row>
    <row r="77" spans="2:32" s="299" customFormat="1" ht="20.149999999999999" customHeight="1" thickBot="1" x14ac:dyDescent="0.4">
      <c r="B77" s="219" t="s">
        <v>188</v>
      </c>
      <c r="C77" s="49"/>
      <c r="D77" s="49"/>
      <c r="E77" s="754">
        <f>IF(E73=0,E74,E73)</f>
        <v>0</v>
      </c>
      <c r="F77" s="49" t="s">
        <v>187</v>
      </c>
      <c r="G77" s="809">
        <v>100</v>
      </c>
      <c r="H77" s="96" t="s">
        <v>68</v>
      </c>
      <c r="I77" s="49"/>
      <c r="J77" s="49"/>
      <c r="K77" s="49"/>
      <c r="L77" s="49"/>
      <c r="M77" s="49"/>
      <c r="N77" s="49"/>
      <c r="O77" s="2072">
        <f>E77*G77</f>
        <v>0</v>
      </c>
      <c r="P77" s="2073"/>
      <c r="Q77" s="166">
        <v>2</v>
      </c>
      <c r="R77" s="193"/>
      <c r="S77" s="106"/>
      <c r="T77" s="194"/>
      <c r="U77" s="106"/>
      <c r="V77" s="195"/>
      <c r="W77" s="106"/>
      <c r="X77" s="118"/>
      <c r="AA77" s="299">
        <v>10</v>
      </c>
      <c r="AB77" s="299" t="s">
        <v>250</v>
      </c>
      <c r="AF77" s="299">
        <f>SUM(X85:X87)</f>
        <v>0</v>
      </c>
    </row>
    <row r="78" spans="2:32" s="299" customFormat="1" ht="20.149999999999999" customHeight="1" thickBot="1" x14ac:dyDescent="0.4">
      <c r="B78" s="2395" t="s">
        <v>44</v>
      </c>
      <c r="C78" s="2236"/>
      <c r="D78" s="2236"/>
      <c r="E78" s="2236"/>
      <c r="F78" s="2236"/>
      <c r="G78" s="2236"/>
      <c r="H78" s="2236"/>
      <c r="I78" s="2236"/>
      <c r="J78" s="2236"/>
      <c r="K78" s="2236"/>
      <c r="L78" s="2236"/>
      <c r="M78" s="2236"/>
      <c r="N78" s="2236"/>
      <c r="O78" s="2236"/>
      <c r="P78" s="2236"/>
      <c r="Q78" s="166">
        <v>2</v>
      </c>
      <c r="R78" s="851" t="s">
        <v>892</v>
      </c>
      <c r="S78" s="852"/>
      <c r="T78" s="851"/>
      <c r="U78" s="853"/>
      <c r="V78" s="2243"/>
      <c r="W78" s="2244"/>
      <c r="X78" s="850">
        <f>V78</f>
        <v>0</v>
      </c>
      <c r="AA78" s="299">
        <v>11</v>
      </c>
      <c r="AB78" s="299" t="s">
        <v>251</v>
      </c>
    </row>
    <row r="79" spans="2:32" s="299" customFormat="1" ht="20.149999999999999" customHeight="1" thickTop="1" x14ac:dyDescent="0.35">
      <c r="B79" s="2052" t="s">
        <v>90</v>
      </c>
      <c r="C79" s="2053"/>
      <c r="D79" s="2054"/>
      <c r="E79" s="1150">
        <f>IF(E$73&gt;0,IF(E$73&lt;=3,E$73,7),0)+IF(E$73&gt;5,IF(E$73&lt;=10,7,0),0)+IF(E$73&gt;10,IF(E$73&lt;=15,14,0),0)+IF(E$73&gt;15,IF(E$73&lt;=20,23,0),0)+IF(E$73&gt;20,IF(E$73&lt;=40,53,0),0)+IF(E$73&gt;40,IF(E$73&lt;=60,83,0),0)+IF(E$73&gt;60,IF(E$73&lt;=80,113,0),0)+IF(E$73&gt;80,IF(E$73&lt;=100,143,0),0)</f>
        <v>0</v>
      </c>
      <c r="F79" s="421" t="s">
        <v>107</v>
      </c>
      <c r="G79" s="1160">
        <f>Pricing!D31</f>
        <v>385</v>
      </c>
      <c r="H79" s="419" t="s">
        <v>172</v>
      </c>
      <c r="I79" s="48"/>
      <c r="J79" s="48"/>
      <c r="K79" s="48"/>
      <c r="L79" s="48"/>
      <c r="M79" s="48"/>
      <c r="N79" s="48"/>
      <c r="O79" s="2412">
        <f>(IF(AND(E79&gt;0,E79&lt;4),E79*G79,0)+IF(AND(E79&gt;3,E79&lt;8),G79*3,0)+IF(AND(E79&gt;7,E79&lt;21),E79/7*G79*3,0)+IF(AND(E79&gt;20,E79&lt;30),G79*9,0)+IF(E79&gt;29,E79/30*G79*9,0))*(1+W$40+J$81)</f>
        <v>0</v>
      </c>
      <c r="P79" s="2413"/>
      <c r="Q79" s="166">
        <v>6</v>
      </c>
      <c r="R79" s="193" t="s">
        <v>287</v>
      </c>
      <c r="S79" s="106"/>
      <c r="T79" s="194"/>
      <c r="U79" s="106" t="s">
        <v>288</v>
      </c>
      <c r="V79" s="195">
        <f>Pricing!N30</f>
        <v>27</v>
      </c>
      <c r="W79" s="401" t="s">
        <v>293</v>
      </c>
      <c r="X79" s="111">
        <f>T79*V79</f>
        <v>0</v>
      </c>
      <c r="AA79" s="299">
        <v>12</v>
      </c>
      <c r="AB79" s="299" t="s">
        <v>252</v>
      </c>
    </row>
    <row r="80" spans="2:32" s="299" customFormat="1" ht="20.149999999999999" customHeight="1" thickBot="1" x14ac:dyDescent="0.4">
      <c r="B80" s="1979" t="s">
        <v>789</v>
      </c>
      <c r="C80" s="1980"/>
      <c r="D80" s="1981"/>
      <c r="E80" s="1153">
        <f>E79</f>
        <v>0</v>
      </c>
      <c r="F80" s="106" t="s">
        <v>107</v>
      </c>
      <c r="G80" s="1161">
        <f>Pricing!D33</f>
        <v>350</v>
      </c>
      <c r="H80" s="401" t="s">
        <v>172</v>
      </c>
      <c r="I80" s="42"/>
      <c r="J80" s="2083" t="s">
        <v>469</v>
      </c>
      <c r="K80" s="2084"/>
      <c r="L80" s="42"/>
      <c r="M80" s="2404">
        <f>IF(E41=0,0,(SUM(O79:P84))/E41)</f>
        <v>0</v>
      </c>
      <c r="N80" s="2405"/>
      <c r="O80" s="2388">
        <f>(IF(AND(E80&gt;0,E80&lt;4),E80*G80,0)+IF(AND(E80&gt;3,E80&lt;8),G80*3,0)+IF(AND(E80&gt;7,E80&lt;21),E80/7*G80*3,0)+IF(AND(E80&gt;20,E80&lt;30),G80*9,0)+IF(E80&gt;29,E80/30*G80*9,0))*(1+W$40+J$81)</f>
        <v>0</v>
      </c>
      <c r="P80" s="2389"/>
      <c r="Q80" s="166">
        <v>6</v>
      </c>
      <c r="R80" s="193" t="s">
        <v>286</v>
      </c>
      <c r="S80" s="106"/>
      <c r="T80" s="194">
        <v>0</v>
      </c>
      <c r="U80" s="106" t="s">
        <v>788</v>
      </c>
      <c r="V80" s="195">
        <f>Pricing!N31</f>
        <v>1.25</v>
      </c>
      <c r="W80" s="401" t="s">
        <v>99</v>
      </c>
      <c r="X80" s="118">
        <f>V80*T80</f>
        <v>0</v>
      </c>
      <c r="AA80" s="299">
        <v>15</v>
      </c>
      <c r="AB80" s="299" t="s">
        <v>253</v>
      </c>
    </row>
    <row r="81" spans="2:32" s="299" customFormat="1" ht="20.149999999999999" customHeight="1" thickTop="1" x14ac:dyDescent="0.35">
      <c r="B81" s="1979" t="s">
        <v>662</v>
      </c>
      <c r="C81" s="1980"/>
      <c r="D81" s="1981"/>
      <c r="E81" s="1153">
        <f>E79</f>
        <v>0</v>
      </c>
      <c r="F81" s="106" t="s">
        <v>107</v>
      </c>
      <c r="G81" s="1161">
        <f>Pricing!D42</f>
        <v>200</v>
      </c>
      <c r="H81" s="401" t="s">
        <v>172</v>
      </c>
      <c r="I81" s="42"/>
      <c r="J81" s="2565">
        <v>0.5</v>
      </c>
      <c r="K81" s="2566"/>
      <c r="L81" s="42"/>
      <c r="M81" s="2410">
        <f>SUM(O79:P84)</f>
        <v>0</v>
      </c>
      <c r="N81" s="2411"/>
      <c r="O81" s="2388">
        <f>(IF(AND(E81&gt;0,E81&lt;4),E81*G81,0)+IF(AND(E81&gt;3,E81&lt;8),G81*3,0)+IF(AND(E81&gt;7,E81&lt;21),E81/7*G81*3,0)+IF(AND(E81&gt;20,E81&lt;30),G81*9,0)+IF(E81&gt;29,E81/30*G81*9,0))*(1+W$40+J$81)</f>
        <v>0</v>
      </c>
      <c r="P81" s="2389"/>
      <c r="Q81" s="166">
        <v>6</v>
      </c>
      <c r="R81" s="193" t="s">
        <v>285</v>
      </c>
      <c r="S81" s="106"/>
      <c r="T81" s="194">
        <f>L54</f>
        <v>0</v>
      </c>
      <c r="U81" s="106" t="s">
        <v>32</v>
      </c>
      <c r="V81" s="195">
        <v>0.04</v>
      </c>
      <c r="W81" s="401" t="s">
        <v>88</v>
      </c>
      <c r="X81" s="118">
        <f>V81*T81</f>
        <v>0</v>
      </c>
      <c r="AA81" s="299">
        <v>16</v>
      </c>
      <c r="AB81" s="299" t="s">
        <v>841</v>
      </c>
    </row>
    <row r="82" spans="2:32" s="299" customFormat="1" ht="20.149999999999999" customHeight="1" x14ac:dyDescent="0.35">
      <c r="B82" s="1979" t="s">
        <v>160</v>
      </c>
      <c r="C82" s="1980"/>
      <c r="D82" s="1981"/>
      <c r="E82" s="1153">
        <f>E80</f>
        <v>0</v>
      </c>
      <c r="F82" s="106" t="s">
        <v>107</v>
      </c>
      <c r="G82" s="1161">
        <f>Pricing!D37</f>
        <v>65</v>
      </c>
      <c r="H82" s="401" t="s">
        <v>172</v>
      </c>
      <c r="I82" s="42"/>
      <c r="J82" s="2567"/>
      <c r="K82" s="2568"/>
      <c r="L82" s="42"/>
      <c r="M82" s="42"/>
      <c r="N82" s="42"/>
      <c r="O82" s="2388">
        <f>(IF(AND(E82&gt;0,E82&lt;4),E82*G82,0)+IF(AND(E82&gt;3,E82&lt;8),G82*3,0)+IF(AND(E82&gt;7,E82&lt;21),E82/7*G82*3,0)+IF(AND(E82&gt;20,E82&lt;30),G82*9,0)+IF(E82&gt;29,E82/30*G82*9,0))*(1+W$40+J$81)</f>
        <v>0</v>
      </c>
      <c r="P82" s="2389"/>
      <c r="Q82" s="166">
        <v>6</v>
      </c>
      <c r="R82" s="193"/>
      <c r="S82" s="106"/>
      <c r="T82" s="194"/>
      <c r="U82" s="106"/>
      <c r="V82" s="195"/>
      <c r="W82" s="106"/>
      <c r="X82" s="118"/>
      <c r="AA82" s="299">
        <v>17</v>
      </c>
      <c r="AB82" s="299" t="s">
        <v>842</v>
      </c>
    </row>
    <row r="83" spans="2:32" s="299" customFormat="1" ht="20.149999999999999" customHeight="1" x14ac:dyDescent="0.35">
      <c r="B83" s="1979" t="s">
        <v>175</v>
      </c>
      <c r="C83" s="1980"/>
      <c r="D83" s="1981"/>
      <c r="E83" s="1153"/>
      <c r="F83" s="106" t="s">
        <v>107</v>
      </c>
      <c r="G83" s="1161">
        <f>Pricing!D39</f>
        <v>420</v>
      </c>
      <c r="H83" s="401" t="s">
        <v>172</v>
      </c>
      <c r="I83" s="42"/>
      <c r="J83" s="42"/>
      <c r="K83" s="42"/>
      <c r="L83" s="42"/>
      <c r="M83" s="42"/>
      <c r="N83" s="42"/>
      <c r="O83" s="2388">
        <f>(IF(AND(E83&gt;0,E83&lt;4),E83*G83,0)+IF(AND(E83&gt;3,E83&lt;8),G83*3,0)+IF(AND(E83&gt;7,E83&lt;21),E83/7*G83*3,0)+IF(AND(E83&gt;20,E83&lt;30),G83*9,0)+IF(E83&gt;29,E83/30*G83*9,0))*(1+W$40+J$81)</f>
        <v>0</v>
      </c>
      <c r="P83" s="2389"/>
      <c r="Q83" s="166">
        <v>6</v>
      </c>
      <c r="R83" s="193"/>
      <c r="S83" s="106"/>
      <c r="T83" s="194"/>
      <c r="U83" s="106"/>
      <c r="V83" s="195"/>
      <c r="W83" s="106"/>
      <c r="X83" s="118"/>
      <c r="AA83" s="299">
        <v>18</v>
      </c>
      <c r="AB83" s="299" t="s">
        <v>843</v>
      </c>
      <c r="AF83" s="343">
        <f>O62</f>
        <v>0</v>
      </c>
    </row>
    <row r="84" spans="2:32" s="299" customFormat="1" ht="20.149999999999999" customHeight="1" thickBot="1" x14ac:dyDescent="0.4">
      <c r="B84" s="2069" t="s">
        <v>108</v>
      </c>
      <c r="C84" s="2070"/>
      <c r="D84" s="2071"/>
      <c r="E84" s="1154">
        <f>IF(E$77&gt;0,IF(E$77&lt;=3,E$77,7),0)+IF(E$77&gt;5,IF(E$77&lt;=10,7,0),0)+IF(E$77&gt;10,IF(E$77&lt;=15,14,0),0)+IF(E$77&gt;15,IF(E$77&lt;=20,23,0),0)+IF(E$77&gt;20,IF(E$77&lt;=40,53,0),0)+IF(E$77&gt;40,IF(E$77&lt;=60,83,0),0)+IF(E$77&gt;60,IF(E$77&lt;=80,113,0),0)+IF(E$77&gt;80,IF(E$77&lt;=100,143,0),0)</f>
        <v>0</v>
      </c>
      <c r="F84" s="188" t="s">
        <v>107</v>
      </c>
      <c r="G84" s="1162">
        <v>35</v>
      </c>
      <c r="H84" s="422" t="s">
        <v>172</v>
      </c>
      <c r="I84" s="49"/>
      <c r="J84" s="49"/>
      <c r="K84" s="49"/>
      <c r="L84" s="49"/>
      <c r="M84" s="117"/>
      <c r="N84" s="49"/>
      <c r="O84" s="2402">
        <f>(IF(AND(E84&gt;0,E84&lt;4),E84*G84,0)+IF(AND(E84&gt;3,E84&lt;8),G84*3,0)+IF(AND(E84&gt;7,E84&lt;21),E84/7*G84*3,0)+IF(AND(E84&gt;20,E84&lt;30),G84*9,0)+IF(E84&gt;29,E84/30*G84*9,0))</f>
        <v>0</v>
      </c>
      <c r="P84" s="2403"/>
      <c r="Q84" s="166">
        <v>6</v>
      </c>
      <c r="R84" s="198"/>
      <c r="S84" s="199"/>
      <c r="T84" s="200"/>
      <c r="U84" s="199"/>
      <c r="V84" s="201"/>
      <c r="W84" s="199"/>
      <c r="X84" s="119"/>
      <c r="AA84" s="299">
        <v>20</v>
      </c>
      <c r="AB84" s="299" t="s">
        <v>93</v>
      </c>
      <c r="AF84" s="299">
        <f>SUM(O73:P74)</f>
        <v>0</v>
      </c>
    </row>
    <row r="85" spans="2:32" s="299" customFormat="1" ht="20.149999999999999" customHeight="1" thickTop="1" thickBot="1" x14ac:dyDescent="0.4">
      <c r="B85" s="2395" t="s">
        <v>174</v>
      </c>
      <c r="C85" s="2236"/>
      <c r="D85" s="2236"/>
      <c r="E85" s="2236"/>
      <c r="F85" s="2236"/>
      <c r="G85" s="2236"/>
      <c r="H85" s="2236"/>
      <c r="I85" s="2236"/>
      <c r="J85" s="2236"/>
      <c r="K85" s="2236"/>
      <c r="L85" s="2236"/>
      <c r="M85" s="2236"/>
      <c r="N85" s="2236"/>
      <c r="O85" s="2236"/>
      <c r="P85" s="2236"/>
      <c r="Q85" s="166">
        <v>10</v>
      </c>
      <c r="R85" s="43"/>
      <c r="S85" s="42"/>
      <c r="T85" s="89"/>
      <c r="U85" s="42"/>
      <c r="V85" s="34"/>
      <c r="W85" s="42"/>
      <c r="X85" s="111"/>
      <c r="AA85" s="299">
        <v>21</v>
      </c>
      <c r="AB85" s="299" t="s">
        <v>254</v>
      </c>
      <c r="AF85" s="299">
        <f>O77</f>
        <v>0</v>
      </c>
    </row>
    <row r="86" spans="2:32" s="299" customFormat="1" ht="20.149999999999999" customHeight="1" x14ac:dyDescent="0.35">
      <c r="B86" s="2627" t="s">
        <v>85</v>
      </c>
      <c r="C86" s="2628"/>
      <c r="D86" s="2629"/>
      <c r="E86" s="1155">
        <f>Pricing!D41</f>
        <v>16</v>
      </c>
      <c r="F86" s="451" t="s">
        <v>117</v>
      </c>
      <c r="G86" s="1163">
        <f>SUM(L51:M53)</f>
        <v>0</v>
      </c>
      <c r="H86" s="419" t="s">
        <v>190</v>
      </c>
      <c r="I86" s="48"/>
      <c r="J86" s="48"/>
      <c r="K86" s="48"/>
      <c r="L86" s="48"/>
      <c r="M86" s="48"/>
      <c r="N86" s="48"/>
      <c r="O86" s="2399">
        <f t="shared" ref="O86:O91" si="34">E86*G86</f>
        <v>0</v>
      </c>
      <c r="P86" s="2400"/>
      <c r="Q86" s="166">
        <v>10</v>
      </c>
      <c r="R86" s="43" t="s">
        <v>211</v>
      </c>
      <c r="S86" s="42"/>
      <c r="T86" s="89">
        <f>ROUNDUP(I65/300/55,0)</f>
        <v>0</v>
      </c>
      <c r="U86" s="42" t="s">
        <v>784</v>
      </c>
      <c r="V86" s="34">
        <f>Pricing!N42</f>
        <v>540</v>
      </c>
      <c r="W86" s="88" t="s">
        <v>295</v>
      </c>
      <c r="X86" s="118">
        <f>V86*T86</f>
        <v>0</v>
      </c>
      <c r="AA86" s="299">
        <v>22</v>
      </c>
      <c r="AB86" s="299" t="s">
        <v>255</v>
      </c>
      <c r="AF86" s="299">
        <f>SUM(L64:M70)</f>
        <v>0</v>
      </c>
    </row>
    <row r="87" spans="2:32" s="299" customFormat="1" ht="20.149999999999999" customHeight="1" thickBot="1" x14ac:dyDescent="0.4">
      <c r="B87" s="2114" t="s">
        <v>560</v>
      </c>
      <c r="C87" s="2115"/>
      <c r="D87" s="2571"/>
      <c r="E87" s="1156">
        <v>3</v>
      </c>
      <c r="F87" s="401" t="s">
        <v>69</v>
      </c>
      <c r="G87" s="1164"/>
      <c r="H87" s="401" t="s">
        <v>69</v>
      </c>
      <c r="I87" s="42"/>
      <c r="J87" s="42"/>
      <c r="K87" s="42"/>
      <c r="L87" s="42"/>
      <c r="M87" s="42"/>
      <c r="N87" s="42"/>
      <c r="O87" s="2377">
        <f t="shared" si="34"/>
        <v>0</v>
      </c>
      <c r="P87" s="2378"/>
      <c r="Q87" s="166">
        <v>10</v>
      </c>
      <c r="R87" s="93" t="s">
        <v>212</v>
      </c>
      <c r="S87" s="75"/>
      <c r="T87" s="107">
        <f>BF64</f>
        <v>0</v>
      </c>
      <c r="U87" s="75" t="s">
        <v>784</v>
      </c>
      <c r="V87" s="530">
        <f>Pricing!N43</f>
        <v>542</v>
      </c>
      <c r="W87" s="90" t="s">
        <v>295</v>
      </c>
      <c r="X87" s="119">
        <f>V87*T87</f>
        <v>0</v>
      </c>
      <c r="AA87" s="299">
        <v>23</v>
      </c>
      <c r="AB87" s="299" t="s">
        <v>256</v>
      </c>
      <c r="AF87" s="299">
        <f>O91</f>
        <v>0</v>
      </c>
    </row>
    <row r="88" spans="2:32" s="299" customFormat="1" ht="20.149999999999999" customHeight="1" thickTop="1" x14ac:dyDescent="0.35">
      <c r="B88" s="2114" t="s">
        <v>176</v>
      </c>
      <c r="C88" s="2115"/>
      <c r="D88" s="2571"/>
      <c r="E88" s="1156">
        <v>0.25</v>
      </c>
      <c r="F88" s="452" t="s">
        <v>118</v>
      </c>
      <c r="G88" s="1164"/>
      <c r="H88" s="401" t="s">
        <v>118</v>
      </c>
      <c r="I88" s="42"/>
      <c r="J88" s="42"/>
      <c r="K88" s="42"/>
      <c r="L88" s="42"/>
      <c r="M88" s="42"/>
      <c r="N88" s="42"/>
      <c r="O88" s="2377">
        <f t="shared" si="34"/>
        <v>0</v>
      </c>
      <c r="P88" s="2378"/>
      <c r="Q88" s="298"/>
      <c r="R88" s="43"/>
      <c r="S88" s="42"/>
      <c r="T88" s="42"/>
      <c r="U88" s="42"/>
      <c r="V88" s="154"/>
      <c r="W88" s="42"/>
      <c r="X88" s="111"/>
      <c r="AA88" s="299">
        <v>24</v>
      </c>
      <c r="AB88" s="299" t="s">
        <v>257</v>
      </c>
    </row>
    <row r="89" spans="2:32" s="299" customFormat="1" ht="20.149999999999999" customHeight="1" x14ac:dyDescent="0.35">
      <c r="B89" s="2574" t="s">
        <v>108</v>
      </c>
      <c r="C89" s="2575"/>
      <c r="D89" s="2576"/>
      <c r="E89" s="1157"/>
      <c r="F89" s="453" t="s">
        <v>137</v>
      </c>
      <c r="G89" s="1165">
        <v>1000</v>
      </c>
      <c r="H89" s="454" t="s">
        <v>794</v>
      </c>
      <c r="I89" s="42"/>
      <c r="J89" s="42"/>
      <c r="K89" s="42"/>
      <c r="L89" s="42"/>
      <c r="M89" s="42"/>
      <c r="N89" s="42"/>
      <c r="O89" s="2377">
        <f t="shared" si="34"/>
        <v>0</v>
      </c>
      <c r="P89" s="2378"/>
      <c r="Q89" s="298"/>
      <c r="R89" s="2314" t="s">
        <v>216</v>
      </c>
      <c r="S89" s="2315"/>
      <c r="T89" s="770">
        <v>18</v>
      </c>
      <c r="U89" s="770" t="s">
        <v>217</v>
      </c>
      <c r="V89" s="42"/>
      <c r="W89" s="42"/>
      <c r="X89" s="534"/>
      <c r="AA89" s="299">
        <v>25</v>
      </c>
      <c r="AB89" s="299" t="s">
        <v>258</v>
      </c>
    </row>
    <row r="90" spans="2:32" s="299" customFormat="1" ht="20.149999999999999" customHeight="1" thickBot="1" x14ac:dyDescent="0.4">
      <c r="B90" s="2114" t="s">
        <v>307</v>
      </c>
      <c r="C90" s="2115"/>
      <c r="D90" s="2571"/>
      <c r="E90" s="1158"/>
      <c r="F90" s="425" t="s">
        <v>124</v>
      </c>
      <c r="G90" s="1166">
        <v>525</v>
      </c>
      <c r="H90" s="106" t="s">
        <v>31</v>
      </c>
      <c r="I90" s="42"/>
      <c r="J90" s="42"/>
      <c r="K90" s="42"/>
      <c r="L90" s="42"/>
      <c r="M90" s="42"/>
      <c r="N90" s="42"/>
      <c r="O90" s="2377">
        <f t="shared" si="34"/>
        <v>0</v>
      </c>
      <c r="P90" s="2378"/>
      <c r="Q90" s="298"/>
      <c r="R90" s="47" t="s">
        <v>214</v>
      </c>
      <c r="S90" s="49"/>
      <c r="T90" s="49">
        <f>T62*12/T89</f>
        <v>0</v>
      </c>
      <c r="U90" s="49" t="s">
        <v>215</v>
      </c>
      <c r="V90" s="2313">
        <f>Pricing!D29</f>
        <v>1.75</v>
      </c>
      <c r="W90" s="2313"/>
      <c r="X90" s="22">
        <f>V90*T90</f>
        <v>0</v>
      </c>
      <c r="AA90" s="299">
        <v>30</v>
      </c>
      <c r="AB90" s="299" t="s">
        <v>259</v>
      </c>
      <c r="AF90" s="299">
        <f>O86</f>
        <v>0</v>
      </c>
    </row>
    <row r="91" spans="2:32" s="299" customFormat="1" ht="20.149999999999999" customHeight="1" thickBot="1" x14ac:dyDescent="0.4">
      <c r="B91" s="2577" t="s">
        <v>186</v>
      </c>
      <c r="C91" s="2233"/>
      <c r="D91" s="2578"/>
      <c r="E91" s="1159"/>
      <c r="F91" s="455" t="s">
        <v>97</v>
      </c>
      <c r="G91" s="1167">
        <v>250</v>
      </c>
      <c r="H91" s="422" t="s">
        <v>68</v>
      </c>
      <c r="I91" s="49"/>
      <c r="J91" s="49"/>
      <c r="K91" s="49"/>
      <c r="L91" s="49"/>
      <c r="M91" s="49"/>
      <c r="N91" s="49"/>
      <c r="O91" s="2383">
        <f t="shared" si="34"/>
        <v>0</v>
      </c>
      <c r="P91" s="2384"/>
      <c r="Q91" s="298"/>
      <c r="R91" s="298"/>
      <c r="S91" s="298"/>
      <c r="T91" s="298"/>
      <c r="U91" s="298"/>
      <c r="V91" s="298"/>
      <c r="W91" s="298"/>
      <c r="X91" s="120">
        <f>SUM(X52:X90)</f>
        <v>0</v>
      </c>
      <c r="AA91" s="299">
        <v>31</v>
      </c>
      <c r="AB91" s="299" t="s">
        <v>744</v>
      </c>
    </row>
    <row r="92" spans="2:32" s="299" customFormat="1" ht="16" thickBot="1" x14ac:dyDescent="0.4">
      <c r="B92" s="898"/>
      <c r="C92" s="899"/>
      <c r="D92" s="899"/>
      <c r="E92" s="899"/>
      <c r="F92" s="899"/>
      <c r="G92" s="899"/>
      <c r="H92" s="899"/>
      <c r="I92" s="899"/>
      <c r="J92" s="899"/>
      <c r="K92" s="899"/>
      <c r="L92" s="900"/>
      <c r="M92" s="899"/>
      <c r="N92" s="899"/>
      <c r="O92" s="899"/>
      <c r="P92" s="899"/>
      <c r="Q92" s="899"/>
      <c r="R92" s="899"/>
      <c r="S92" s="899"/>
      <c r="T92" s="899"/>
      <c r="U92" s="899"/>
      <c r="V92" s="899"/>
      <c r="W92" s="899"/>
      <c r="X92" s="1115"/>
      <c r="AA92" s="299">
        <v>32</v>
      </c>
      <c r="AB92" s="299" t="s">
        <v>260</v>
      </c>
    </row>
    <row r="93" spans="2:32" s="299" customFormat="1" x14ac:dyDescent="0.35">
      <c r="B93" s="1987" t="s">
        <v>185</v>
      </c>
      <c r="C93" s="2041"/>
      <c r="D93" s="1988"/>
      <c r="E93" s="1987" t="s">
        <v>140</v>
      </c>
      <c r="F93" s="1988"/>
      <c r="G93" s="1987" t="s">
        <v>178</v>
      </c>
      <c r="H93" s="2041"/>
      <c r="I93" s="1988"/>
      <c r="J93" s="1935" t="s">
        <v>184</v>
      </c>
      <c r="K93" s="1936"/>
      <c r="L93" s="1937"/>
      <c r="M93" s="2044" t="s">
        <v>179</v>
      </c>
      <c r="N93" s="2045"/>
      <c r="O93" s="132"/>
      <c r="P93" s="133"/>
      <c r="Q93" s="897"/>
      <c r="R93" s="43" t="s">
        <v>34</v>
      </c>
      <c r="S93" s="42"/>
      <c r="T93" s="42" t="s">
        <v>758</v>
      </c>
      <c r="U93" s="728" t="str">
        <f>U40</f>
        <v>n</v>
      </c>
      <c r="V93" s="73" t="s">
        <v>298</v>
      </c>
      <c r="W93" s="729">
        <f>W40</f>
        <v>8.2500000000000004E-2</v>
      </c>
      <c r="X93" s="1113"/>
      <c r="AA93" s="299">
        <v>33</v>
      </c>
      <c r="AB93" s="299" t="s">
        <v>261</v>
      </c>
      <c r="AF93" s="299">
        <f>O90</f>
        <v>0</v>
      </c>
    </row>
    <row r="94" spans="2:32" s="299" customFormat="1" ht="16" thickBot="1" x14ac:dyDescent="0.4">
      <c r="B94" s="11" t="s">
        <v>180</v>
      </c>
      <c r="C94" s="1999">
        <f>C41</f>
        <v>0</v>
      </c>
      <c r="D94" s="2000"/>
      <c r="E94" s="2003">
        <f>E41</f>
        <v>0</v>
      </c>
      <c r="F94" s="2004"/>
      <c r="G94" s="15">
        <f>G41</f>
        <v>0</v>
      </c>
      <c r="H94" s="2042">
        <f>H41</f>
        <v>0</v>
      </c>
      <c r="I94" s="2043"/>
      <c r="J94" s="2064">
        <f>J41</f>
        <v>0</v>
      </c>
      <c r="K94" s="2065"/>
      <c r="L94" s="2066"/>
      <c r="M94" s="1879">
        <f>M41</f>
        <v>0.18</v>
      </c>
      <c r="N94" s="1880"/>
      <c r="O94" s="1880"/>
      <c r="P94" s="1881"/>
      <c r="Q94" s="902"/>
      <c r="R94" s="86" t="s">
        <v>50</v>
      </c>
      <c r="S94" s="42"/>
      <c r="T94" s="42"/>
      <c r="U94" s="1932">
        <f>U41</f>
        <v>0</v>
      </c>
      <c r="V94" s="1932"/>
      <c r="W94" s="42"/>
      <c r="X94" s="1113"/>
      <c r="AA94" s="299">
        <v>34</v>
      </c>
      <c r="AB94" s="299" t="s">
        <v>262</v>
      </c>
      <c r="AF94" s="299">
        <f>O88+O87</f>
        <v>0</v>
      </c>
    </row>
    <row r="95" spans="2:32" s="299" customFormat="1" ht="16" thickBot="1" x14ac:dyDescent="0.4">
      <c r="B95" s="889"/>
      <c r="C95" s="890"/>
      <c r="D95" s="890"/>
      <c r="E95" s="890"/>
      <c r="F95" s="890"/>
      <c r="G95" s="890"/>
      <c r="H95" s="890"/>
      <c r="I95" s="890"/>
      <c r="J95" s="890"/>
      <c r="K95" s="890"/>
      <c r="L95" s="890"/>
      <c r="M95" s="890"/>
      <c r="N95" s="890"/>
      <c r="O95" s="890"/>
      <c r="P95" s="890"/>
      <c r="Q95" s="890"/>
      <c r="R95" s="890"/>
      <c r="S95" s="890"/>
      <c r="T95" s="890"/>
      <c r="U95" s="890"/>
      <c r="V95" s="890"/>
      <c r="W95" s="890"/>
      <c r="X95" s="896"/>
      <c r="AA95" s="299">
        <v>35</v>
      </c>
      <c r="AB95" s="299" t="s">
        <v>263</v>
      </c>
    </row>
    <row r="96" spans="2:32" s="299" customFormat="1" x14ac:dyDescent="0.35"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AA96" s="299">
        <v>36</v>
      </c>
      <c r="AB96" s="299" t="s">
        <v>745</v>
      </c>
    </row>
    <row r="97" spans="2:32" s="299" customFormat="1" hidden="1" x14ac:dyDescent="0.35"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AA97" s="299">
        <v>39</v>
      </c>
      <c r="AB97" s="299" t="s">
        <v>264</v>
      </c>
    </row>
    <row r="98" spans="2:32" s="299" customFormat="1" hidden="1" x14ac:dyDescent="0.35"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AA98" s="299">
        <v>40</v>
      </c>
      <c r="AB98" s="299" t="s">
        <v>222</v>
      </c>
    </row>
    <row r="99" spans="2:32" s="299" customFormat="1" hidden="1" x14ac:dyDescent="0.35"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AA99" s="299">
        <v>41</v>
      </c>
      <c r="AB99" s="299" t="s">
        <v>265</v>
      </c>
    </row>
    <row r="100" spans="2:32" hidden="1" x14ac:dyDescent="0.35">
      <c r="AA100" s="299">
        <v>42</v>
      </c>
      <c r="AB100" s="299" t="s">
        <v>266</v>
      </c>
      <c r="AC100" s="299"/>
      <c r="AD100" s="299"/>
      <c r="AE100" s="299"/>
      <c r="AF100" s="299"/>
    </row>
    <row r="101" spans="2:32" hidden="1" x14ac:dyDescent="0.35">
      <c r="AA101" s="299">
        <v>44</v>
      </c>
      <c r="AB101" s="299" t="s">
        <v>267</v>
      </c>
      <c r="AC101" s="299"/>
      <c r="AD101" s="299"/>
      <c r="AE101" s="299"/>
      <c r="AF101" s="299"/>
    </row>
    <row r="102" spans="2:32" hidden="1" x14ac:dyDescent="0.35">
      <c r="AA102" s="299">
        <v>45</v>
      </c>
      <c r="AB102" s="299" t="s">
        <v>268</v>
      </c>
      <c r="AC102" s="299"/>
      <c r="AD102" s="299"/>
      <c r="AE102" s="299"/>
      <c r="AF102" s="299"/>
    </row>
    <row r="103" spans="2:32" hidden="1" x14ac:dyDescent="0.35">
      <c r="AA103" s="299">
        <v>46</v>
      </c>
      <c r="AB103" s="299" t="s">
        <v>269</v>
      </c>
      <c r="AC103" s="299"/>
      <c r="AD103" s="299"/>
      <c r="AE103" s="299"/>
      <c r="AF103" s="299"/>
    </row>
    <row r="104" spans="2:32" hidden="1" x14ac:dyDescent="0.35">
      <c r="AA104" s="299">
        <v>47</v>
      </c>
      <c r="AB104" s="299" t="s">
        <v>270</v>
      </c>
      <c r="AC104" s="299"/>
      <c r="AD104" s="299"/>
      <c r="AE104" s="299"/>
      <c r="AF104" s="299"/>
    </row>
    <row r="105" spans="2:32" hidden="1" x14ac:dyDescent="0.35">
      <c r="AA105" s="299">
        <v>48</v>
      </c>
      <c r="AB105" s="299" t="s">
        <v>271</v>
      </c>
      <c r="AC105" s="299"/>
      <c r="AD105" s="299"/>
      <c r="AE105" s="299"/>
      <c r="AF105" s="299"/>
    </row>
    <row r="106" spans="2:32" hidden="1" x14ac:dyDescent="0.35">
      <c r="AA106" s="299">
        <v>49</v>
      </c>
      <c r="AB106" s="299" t="s">
        <v>272</v>
      </c>
      <c r="AC106" s="299"/>
      <c r="AD106" s="299"/>
      <c r="AE106" s="299"/>
      <c r="AF106" s="299"/>
    </row>
    <row r="107" spans="2:32" hidden="1" x14ac:dyDescent="0.35">
      <c r="AA107" s="299">
        <v>50</v>
      </c>
      <c r="AB107" s="299" t="s">
        <v>718</v>
      </c>
      <c r="AC107" s="299"/>
      <c r="AD107" s="299"/>
      <c r="AE107" s="299"/>
      <c r="AF107" s="511">
        <f>SUM(O64:P70)-O69</f>
        <v>0</v>
      </c>
    </row>
    <row r="108" spans="2:32" hidden="1" x14ac:dyDescent="0.35">
      <c r="AA108" s="299">
        <v>51</v>
      </c>
      <c r="AB108" s="299" t="s">
        <v>712</v>
      </c>
      <c r="AC108" s="299"/>
      <c r="AD108" s="299"/>
      <c r="AE108" s="299"/>
      <c r="AF108" s="299"/>
    </row>
    <row r="109" spans="2:32" hidden="1" x14ac:dyDescent="0.35">
      <c r="AA109" s="299">
        <v>52</v>
      </c>
      <c r="AB109" s="299" t="s">
        <v>273</v>
      </c>
      <c r="AC109" s="299"/>
      <c r="AD109" s="299"/>
      <c r="AE109" s="299"/>
      <c r="AF109" s="299"/>
    </row>
    <row r="110" spans="2:32" hidden="1" x14ac:dyDescent="0.35">
      <c r="AA110" s="299">
        <v>56</v>
      </c>
      <c r="AB110" s="299" t="s">
        <v>274</v>
      </c>
      <c r="AC110" s="299"/>
      <c r="AD110" s="299"/>
      <c r="AE110" s="299"/>
      <c r="AF110" s="299"/>
    </row>
    <row r="111" spans="2:32" hidden="1" x14ac:dyDescent="0.35">
      <c r="AA111" s="299">
        <v>54</v>
      </c>
      <c r="AB111" s="299" t="s">
        <v>275</v>
      </c>
      <c r="AC111" s="299"/>
      <c r="AD111" s="299"/>
      <c r="AE111" s="299"/>
      <c r="AF111" s="299"/>
    </row>
    <row r="112" spans="2:32" hidden="1" x14ac:dyDescent="0.35">
      <c r="AA112" s="299">
        <v>55</v>
      </c>
      <c r="AB112" s="299" t="s">
        <v>276</v>
      </c>
      <c r="AC112" s="299"/>
      <c r="AD112" s="299"/>
      <c r="AE112" s="299"/>
      <c r="AF112" s="299"/>
    </row>
    <row r="113" spans="27:32" hidden="1" x14ac:dyDescent="0.35">
      <c r="AA113" s="299">
        <v>56</v>
      </c>
      <c r="AB113" s="299" t="s">
        <v>277</v>
      </c>
      <c r="AC113" s="299"/>
      <c r="AD113" s="299"/>
      <c r="AE113" s="299"/>
      <c r="AF113" s="299"/>
    </row>
    <row r="114" spans="27:32" hidden="1" x14ac:dyDescent="0.35">
      <c r="AA114" s="299">
        <v>57</v>
      </c>
      <c r="AB114" s="299" t="s">
        <v>278</v>
      </c>
      <c r="AC114" s="299"/>
      <c r="AD114" s="299"/>
      <c r="AE114" s="299"/>
      <c r="AF114" s="299"/>
    </row>
    <row r="115" spans="27:32" hidden="1" x14ac:dyDescent="0.35">
      <c r="AA115" s="299">
        <v>58</v>
      </c>
      <c r="AB115" s="299" t="s">
        <v>279</v>
      </c>
      <c r="AC115" s="299"/>
      <c r="AD115" s="299"/>
      <c r="AE115" s="299"/>
      <c r="AF115" s="299"/>
    </row>
    <row r="116" spans="27:32" hidden="1" x14ac:dyDescent="0.35">
      <c r="AA116" s="299">
        <v>59</v>
      </c>
      <c r="AB116" s="299" t="s">
        <v>280</v>
      </c>
      <c r="AC116" s="299"/>
      <c r="AD116" s="299"/>
      <c r="AE116" s="299"/>
      <c r="AF116" s="299">
        <f>O69</f>
        <v>0</v>
      </c>
    </row>
    <row r="117" spans="27:32" hidden="1" x14ac:dyDescent="0.35">
      <c r="AA117" s="299">
        <v>60</v>
      </c>
      <c r="AB117" s="299" t="s">
        <v>281</v>
      </c>
      <c r="AC117" s="299"/>
      <c r="AD117" s="299"/>
      <c r="AE117" s="299"/>
      <c r="AF117" s="299">
        <f>SUM(O79:P84)-O84</f>
        <v>0</v>
      </c>
    </row>
    <row r="118" spans="27:32" hidden="1" x14ac:dyDescent="0.35">
      <c r="AA118" s="299">
        <v>65</v>
      </c>
      <c r="AB118" s="299" t="s">
        <v>282</v>
      </c>
      <c r="AC118" s="299"/>
      <c r="AD118" s="299"/>
      <c r="AE118" s="299"/>
      <c r="AF118" s="299">
        <f>O84</f>
        <v>0</v>
      </c>
    </row>
    <row r="119" spans="27:32" hidden="1" x14ac:dyDescent="0.35">
      <c r="AA119">
        <v>99</v>
      </c>
      <c r="AB119" t="s">
        <v>893</v>
      </c>
      <c r="AF119" s="382">
        <f>X78</f>
        <v>0</v>
      </c>
    </row>
  </sheetData>
  <mergeCells count="203">
    <mergeCell ref="Y9:Y10"/>
    <mergeCell ref="Z9:Z10"/>
    <mergeCell ref="U2:V2"/>
    <mergeCell ref="W2:X2"/>
    <mergeCell ref="B3:E3"/>
    <mergeCell ref="O3:P3"/>
    <mergeCell ref="Q3:R3"/>
    <mergeCell ref="B4:E4"/>
    <mergeCell ref="J4:N4"/>
    <mergeCell ref="O4:P4"/>
    <mergeCell ref="Q4:R4"/>
    <mergeCell ref="D7:E7"/>
    <mergeCell ref="J7:N7"/>
    <mergeCell ref="O7:P7"/>
    <mergeCell ref="Q7:R7"/>
    <mergeCell ref="D8:E8"/>
    <mergeCell ref="G8:I8"/>
    <mergeCell ref="J8:N8"/>
    <mergeCell ref="B5:E5"/>
    <mergeCell ref="J5:N5"/>
    <mergeCell ref="O5:P5"/>
    <mergeCell ref="Q5:R5"/>
    <mergeCell ref="J6:N6"/>
    <mergeCell ref="O6:P6"/>
    <mergeCell ref="Q6:R6"/>
    <mergeCell ref="B14:C14"/>
    <mergeCell ref="B15:C15"/>
    <mergeCell ref="B16:C16"/>
    <mergeCell ref="B17:C17"/>
    <mergeCell ref="B18:C18"/>
    <mergeCell ref="B19:C19"/>
    <mergeCell ref="W9:W10"/>
    <mergeCell ref="X9:X10"/>
    <mergeCell ref="B10:C10"/>
    <mergeCell ref="B11:C11"/>
    <mergeCell ref="B12:C12"/>
    <mergeCell ref="B13:C13"/>
    <mergeCell ref="E9:E10"/>
    <mergeCell ref="F9:H9"/>
    <mergeCell ref="I9:K9"/>
    <mergeCell ref="L9:N9"/>
    <mergeCell ref="T9:V9"/>
    <mergeCell ref="O9:R10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P37:S37"/>
    <mergeCell ref="P38:S38"/>
    <mergeCell ref="B40:D40"/>
    <mergeCell ref="E40:F40"/>
    <mergeCell ref="G40:I40"/>
    <mergeCell ref="J40:L40"/>
    <mergeCell ref="M40:N40"/>
    <mergeCell ref="B32:C32"/>
    <mergeCell ref="B33:C33"/>
    <mergeCell ref="B34:C34"/>
    <mergeCell ref="B35:C35"/>
    <mergeCell ref="B36:C36"/>
    <mergeCell ref="F37:I37"/>
    <mergeCell ref="C42:D42"/>
    <mergeCell ref="E42:F42"/>
    <mergeCell ref="G42:H42"/>
    <mergeCell ref="K42:L42"/>
    <mergeCell ref="N42:O42"/>
    <mergeCell ref="U42:V42"/>
    <mergeCell ref="C41:D41"/>
    <mergeCell ref="E41:F41"/>
    <mergeCell ref="H41:I41"/>
    <mergeCell ref="J41:L41"/>
    <mergeCell ref="M41:P41"/>
    <mergeCell ref="U41:V41"/>
    <mergeCell ref="O53:P53"/>
    <mergeCell ref="I54:J54"/>
    <mergeCell ref="L54:M54"/>
    <mergeCell ref="O54:P54"/>
    <mergeCell ref="I55:J55"/>
    <mergeCell ref="L55:M55"/>
    <mergeCell ref="O55:P55"/>
    <mergeCell ref="U48:V48"/>
    <mergeCell ref="C50:P50"/>
    <mergeCell ref="R50:S50"/>
    <mergeCell ref="I51:J53"/>
    <mergeCell ref="K51:K53"/>
    <mergeCell ref="L51:M51"/>
    <mergeCell ref="O51:P51"/>
    <mergeCell ref="L52:M52"/>
    <mergeCell ref="O52:P52"/>
    <mergeCell ref="L53:M53"/>
    <mergeCell ref="J56:K56"/>
    <mergeCell ref="L56:M56"/>
    <mergeCell ref="O56:P56"/>
    <mergeCell ref="I57:J58"/>
    <mergeCell ref="K57:K58"/>
    <mergeCell ref="L57:M57"/>
    <mergeCell ref="O57:P57"/>
    <mergeCell ref="L58:M58"/>
    <mergeCell ref="O58:P58"/>
    <mergeCell ref="I59:J61"/>
    <mergeCell ref="K59:K61"/>
    <mergeCell ref="L59:M59"/>
    <mergeCell ref="O59:P59"/>
    <mergeCell ref="B60:D60"/>
    <mergeCell ref="L60:M60"/>
    <mergeCell ref="O60:P60"/>
    <mergeCell ref="B61:D61"/>
    <mergeCell ref="L61:M61"/>
    <mergeCell ref="O61:P61"/>
    <mergeCell ref="I62:J62"/>
    <mergeCell ref="L62:M62"/>
    <mergeCell ref="O62:P62"/>
    <mergeCell ref="L63:M63"/>
    <mergeCell ref="N63:P63"/>
    <mergeCell ref="E64:F64"/>
    <mergeCell ref="I64:J64"/>
    <mergeCell ref="L64:M64"/>
    <mergeCell ref="O64:P64"/>
    <mergeCell ref="E65:F65"/>
    <mergeCell ref="H65:H67"/>
    <mergeCell ref="I65:J68"/>
    <mergeCell ref="L65:M65"/>
    <mergeCell ref="O65:P65"/>
    <mergeCell ref="E66:F66"/>
    <mergeCell ref="L66:M66"/>
    <mergeCell ref="O66:P66"/>
    <mergeCell ref="E67:F67"/>
    <mergeCell ref="L67:M67"/>
    <mergeCell ref="E70:F70"/>
    <mergeCell ref="I70:J70"/>
    <mergeCell ref="L70:M70"/>
    <mergeCell ref="O70:P70"/>
    <mergeCell ref="E71:F71"/>
    <mergeCell ref="I71:K71"/>
    <mergeCell ref="L71:M71"/>
    <mergeCell ref="O71:P71"/>
    <mergeCell ref="O67:P67"/>
    <mergeCell ref="E68:F68"/>
    <mergeCell ref="L68:M68"/>
    <mergeCell ref="O68:P68"/>
    <mergeCell ref="E69:F69"/>
    <mergeCell ref="I69:J69"/>
    <mergeCell ref="L69:M69"/>
    <mergeCell ref="O69:P69"/>
    <mergeCell ref="B78:P78"/>
    <mergeCell ref="V78:W78"/>
    <mergeCell ref="B79:D79"/>
    <mergeCell ref="O79:P79"/>
    <mergeCell ref="B80:D80"/>
    <mergeCell ref="J80:K80"/>
    <mergeCell ref="M80:N80"/>
    <mergeCell ref="O80:P80"/>
    <mergeCell ref="B72:P72"/>
    <mergeCell ref="M73:N73"/>
    <mergeCell ref="O73:P73"/>
    <mergeCell ref="M74:N74"/>
    <mergeCell ref="O74:P74"/>
    <mergeCell ref="O77:P77"/>
    <mergeCell ref="O75:P75"/>
    <mergeCell ref="O76:P76"/>
    <mergeCell ref="B83:D83"/>
    <mergeCell ref="O83:P83"/>
    <mergeCell ref="B84:D84"/>
    <mergeCell ref="O84:P84"/>
    <mergeCell ref="B85:P85"/>
    <mergeCell ref="B86:D86"/>
    <mergeCell ref="O86:P86"/>
    <mergeCell ref="B81:D81"/>
    <mergeCell ref="J81:K82"/>
    <mergeCell ref="M81:N81"/>
    <mergeCell ref="O81:P81"/>
    <mergeCell ref="B82:D82"/>
    <mergeCell ref="O82:P82"/>
    <mergeCell ref="R89:S89"/>
    <mergeCell ref="B90:D90"/>
    <mergeCell ref="O90:P90"/>
    <mergeCell ref="V90:W90"/>
    <mergeCell ref="B91:D91"/>
    <mergeCell ref="O91:P91"/>
    <mergeCell ref="B87:D87"/>
    <mergeCell ref="O87:P87"/>
    <mergeCell ref="B88:D88"/>
    <mergeCell ref="O88:P88"/>
    <mergeCell ref="B89:D89"/>
    <mergeCell ref="O89:P89"/>
    <mergeCell ref="U94:V94"/>
    <mergeCell ref="B93:D93"/>
    <mergeCell ref="E93:F93"/>
    <mergeCell ref="G93:I93"/>
    <mergeCell ref="J93:L93"/>
    <mergeCell ref="M93:N93"/>
    <mergeCell ref="C94:D94"/>
    <mergeCell ref="E94:F94"/>
    <mergeCell ref="H94:I94"/>
    <mergeCell ref="J94:L94"/>
    <mergeCell ref="M94:P94"/>
  </mergeCells>
  <phoneticPr fontId="33" type="noConversion"/>
  <printOptions gridLines="1"/>
  <pageMargins left="0.25" right="0.21" top="0.6" bottom="0.65" header="0.35" footer="0.5"/>
  <pageSetup paperSize="5" scale="55" orientation="landscape" horizontalDpi="1200" verticalDpi="1200" r:id="rId1"/>
  <headerFooter alignWithMargins="0">
    <oddHeader>&amp;L&amp;16           &amp;A&amp;C&amp;20&amp;F&amp;R&amp;16&amp;D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7692-EC25-45D3-85F9-4F7393539203}">
  <dimension ref="B1:BO119"/>
  <sheetViews>
    <sheetView topLeftCell="A40" zoomScale="85" zoomScaleNormal="85" workbookViewId="0">
      <selection activeCell="B73" sqref="B73:P77"/>
    </sheetView>
  </sheetViews>
  <sheetFormatPr defaultColWidth="6.1796875" defaultRowHeight="15.5" zeroHeight="1" x14ac:dyDescent="0.35"/>
  <cols>
    <col min="1" max="1" width="2.453125" customWidth="1"/>
    <col min="2" max="2" width="9.54296875" style="42" customWidth="1"/>
    <col min="3" max="3" width="10.453125" style="42" customWidth="1"/>
    <col min="4" max="4" width="7" style="42" customWidth="1"/>
    <col min="5" max="5" width="10.81640625" style="42" customWidth="1"/>
    <col min="6" max="6" width="13.81640625" style="42" customWidth="1"/>
    <col min="7" max="7" width="13" style="42" customWidth="1"/>
    <col min="8" max="18" width="9.7265625" style="42" customWidth="1"/>
    <col min="19" max="19" width="14" style="42" customWidth="1"/>
    <col min="20" max="20" width="10.7265625" style="42" customWidth="1"/>
    <col min="21" max="21" width="9.453125" style="42" customWidth="1"/>
    <col min="22" max="22" width="12.453125" style="42" customWidth="1"/>
    <col min="23" max="23" width="12.1796875" style="42" customWidth="1"/>
    <col min="24" max="24" width="15.1796875" style="42" customWidth="1"/>
    <col min="25" max="25" width="16.54296875" bestFit="1" customWidth="1"/>
    <col min="26" max="26" width="17.90625" bestFit="1" customWidth="1"/>
    <col min="27" max="27" width="10.6328125" bestFit="1" customWidth="1"/>
    <col min="28" max="28" width="25.453125" bestFit="1" customWidth="1"/>
    <col min="32" max="32" width="11.81640625" bestFit="1" customWidth="1"/>
    <col min="35" max="35" width="6.6328125" bestFit="1" customWidth="1"/>
    <col min="36" max="36" width="18.81640625" bestFit="1" customWidth="1"/>
    <col min="37" max="38" width="6.6328125" bestFit="1" customWidth="1"/>
    <col min="39" max="39" width="6.08984375" bestFit="1" customWidth="1"/>
    <col min="40" max="40" width="6.6328125" bestFit="1" customWidth="1"/>
    <col min="41" max="41" width="11.81640625" bestFit="1" customWidth="1"/>
    <col min="42" max="42" width="16.453125" bestFit="1" customWidth="1"/>
    <col min="43" max="44" width="6.6328125" bestFit="1" customWidth="1"/>
    <col min="45" max="45" width="6.08984375" bestFit="1" customWidth="1"/>
    <col min="46" max="46" width="6.6328125" bestFit="1" customWidth="1"/>
    <col min="47" max="47" width="20.1796875" bestFit="1" customWidth="1"/>
    <col min="48" max="48" width="24" bestFit="1" customWidth="1"/>
    <col min="49" max="49" width="12.90625" bestFit="1" customWidth="1"/>
    <col min="50" max="50" width="12.08984375" bestFit="1" customWidth="1"/>
    <col min="51" max="51" width="8.26953125" bestFit="1" customWidth="1"/>
    <col min="52" max="52" width="14.36328125" bestFit="1" customWidth="1"/>
    <col min="53" max="54" width="1.90625" bestFit="1" customWidth="1"/>
    <col min="55" max="55" width="11.81640625" bestFit="1" customWidth="1"/>
    <col min="56" max="56" width="16.36328125" bestFit="1" customWidth="1"/>
    <col min="57" max="57" width="15" bestFit="1" customWidth="1"/>
    <col min="58" max="58" width="14.54296875" bestFit="1" customWidth="1"/>
    <col min="59" max="59" width="13.1796875" bestFit="1" customWidth="1"/>
    <col min="60" max="60" width="17.08984375" bestFit="1" customWidth="1"/>
    <col min="61" max="61" width="21.08984375" bestFit="1" customWidth="1"/>
    <col min="62" max="62" width="11.81640625" bestFit="1" customWidth="1"/>
    <col min="63" max="63" width="14" bestFit="1" customWidth="1"/>
    <col min="64" max="64" width="1.90625" bestFit="1" customWidth="1"/>
    <col min="65" max="65" width="12.7265625" bestFit="1" customWidth="1"/>
    <col min="66" max="67" width="11.81640625" bestFit="1" customWidth="1"/>
    <col min="16384" max="16384" width="15.81640625" customWidth="1"/>
  </cols>
  <sheetData>
    <row r="1" spans="2:67" ht="16" thickBot="1" x14ac:dyDescent="0.4"/>
    <row r="2" spans="2:67" s="299" customFormat="1" ht="15.75" customHeight="1" thickBot="1" x14ac:dyDescent="0.4">
      <c r="B2" s="937" t="s">
        <v>303</v>
      </c>
      <c r="C2" s="897"/>
      <c r="D2" s="897"/>
      <c r="E2" s="897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48"/>
      <c r="U2" s="2615" t="s">
        <v>305</v>
      </c>
      <c r="V2" s="2615"/>
      <c r="W2" s="2648">
        <v>37456</v>
      </c>
      <c r="X2" s="2649"/>
      <c r="AF2" s="299">
        <f>SUM(AF65:AF119)</f>
        <v>0</v>
      </c>
    </row>
    <row r="3" spans="2:67" s="299" customFormat="1" ht="26.25" customHeight="1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S3" s="298"/>
      <c r="T3" s="298"/>
      <c r="U3" s="792" t="s">
        <v>304</v>
      </c>
      <c r="V3" s="942"/>
      <c r="W3" s="1765" t="str">
        <f>Information!C8</f>
        <v>Chad McKinney</v>
      </c>
      <c r="X3" s="1768"/>
    </row>
    <row r="4" spans="2:67" s="299" customFormat="1" ht="18" customHeight="1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2223">
        <f>Summary!K3</f>
        <v>0</v>
      </c>
      <c r="K4" s="2224"/>
      <c r="L4" s="2224"/>
      <c r="M4" s="2224"/>
      <c r="N4" s="2224"/>
      <c r="O4" s="2523">
        <f>Summary!O3</f>
        <v>0</v>
      </c>
      <c r="P4" s="2523"/>
      <c r="Q4" s="1964">
        <f>Summary!P3</f>
        <v>0</v>
      </c>
      <c r="R4" s="1965"/>
      <c r="S4" s="298"/>
      <c r="T4" s="298"/>
      <c r="U4" s="790"/>
      <c r="V4" s="770"/>
      <c r="W4" s="1769"/>
      <c r="X4" s="1770"/>
    </row>
    <row r="5" spans="2:67" s="299" customFormat="1" ht="18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2273">
        <f>Summary!K4</f>
        <v>0</v>
      </c>
      <c r="K5" s="2274"/>
      <c r="L5" s="2274"/>
      <c r="M5" s="2274"/>
      <c r="N5" s="2274"/>
      <c r="O5" s="1969">
        <f>Summary!O4</f>
        <v>0</v>
      </c>
      <c r="P5" s="1969"/>
      <c r="Q5" s="1927">
        <f>Summary!P4</f>
        <v>0</v>
      </c>
      <c r="R5" s="1928"/>
      <c r="S5" s="298"/>
      <c r="T5" s="298"/>
      <c r="U5" s="790" t="str">
        <f>Information!H5</f>
        <v>Approved by Chad:</v>
      </c>
      <c r="V5" s="770"/>
      <c r="W5" s="1766"/>
      <c r="X5" s="1771"/>
    </row>
    <row r="6" spans="2:67" s="299" customFormat="1" ht="18" customHeight="1" x14ac:dyDescent="0.35">
      <c r="B6" s="92" t="s">
        <v>115</v>
      </c>
      <c r="C6" s="298"/>
      <c r="D6" s="57" t="s">
        <v>125</v>
      </c>
      <c r="E6" s="42"/>
      <c r="F6" s="298"/>
      <c r="G6" s="298"/>
      <c r="H6" s="938"/>
      <c r="I6" s="939" t="s">
        <v>134</v>
      </c>
      <c r="J6" s="2273">
        <f>Summary!K5</f>
        <v>0</v>
      </c>
      <c r="K6" s="2274"/>
      <c r="L6" s="2274"/>
      <c r="M6" s="2274"/>
      <c r="N6" s="2274"/>
      <c r="O6" s="1969">
        <f>Summary!O5</f>
        <v>0</v>
      </c>
      <c r="P6" s="1969"/>
      <c r="Q6" s="1927">
        <f>Summary!P5</f>
        <v>0</v>
      </c>
      <c r="R6" s="1928"/>
      <c r="S6" s="298"/>
      <c r="T6" s="298"/>
      <c r="U6" s="790"/>
      <c r="V6" s="770"/>
      <c r="W6" s="1769"/>
      <c r="X6" s="1770"/>
    </row>
    <row r="7" spans="2:67" s="299" customFormat="1" ht="18" customHeight="1" thickBot="1" x14ac:dyDescent="0.4">
      <c r="B7" s="816">
        <v>0</v>
      </c>
      <c r="C7" s="298"/>
      <c r="D7" s="2650">
        <v>0</v>
      </c>
      <c r="E7" s="2651"/>
      <c r="F7" s="298"/>
      <c r="G7" s="298"/>
      <c r="H7" s="889"/>
      <c r="I7" s="940" t="s">
        <v>135</v>
      </c>
      <c r="J7" s="2228">
        <f>Summary!K6</f>
        <v>0</v>
      </c>
      <c r="K7" s="2229"/>
      <c r="L7" s="2229"/>
      <c r="M7" s="2229"/>
      <c r="N7" s="2229"/>
      <c r="O7" s="2519">
        <f>Summary!O6</f>
        <v>0</v>
      </c>
      <c r="P7" s="2519"/>
      <c r="Q7" s="1970">
        <f>Summary!P6</f>
        <v>0</v>
      </c>
      <c r="R7" s="1971"/>
      <c r="S7" s="298"/>
      <c r="T7" s="298"/>
      <c r="U7" s="791" t="str">
        <f>Information!H6</f>
        <v>Approved by Edward:</v>
      </c>
      <c r="V7" s="947"/>
      <c r="W7" s="1767"/>
      <c r="X7" s="1772"/>
    </row>
    <row r="8" spans="2:67" s="299" customFormat="1" ht="18" customHeight="1" thickBot="1" x14ac:dyDescent="0.4">
      <c r="B8" s="817">
        <v>0</v>
      </c>
      <c r="C8" s="298"/>
      <c r="D8" s="2652">
        <v>0</v>
      </c>
      <c r="E8" s="2653"/>
      <c r="F8" s="298"/>
      <c r="G8" s="1962" t="s">
        <v>308</v>
      </c>
      <c r="H8" s="1962"/>
      <c r="I8" s="1962"/>
      <c r="J8" s="2308" t="str">
        <f>Pricing!A2</f>
        <v>Martin Marrieta</v>
      </c>
      <c r="K8" s="2308"/>
      <c r="L8" s="2308"/>
      <c r="M8" s="2308"/>
      <c r="N8" s="2308"/>
      <c r="O8" s="306"/>
      <c r="P8" s="306"/>
      <c r="Q8" s="306"/>
      <c r="R8" s="306"/>
      <c r="S8" s="306"/>
      <c r="T8" s="298"/>
      <c r="U8" s="298"/>
      <c r="V8" s="298"/>
      <c r="W8" s="298"/>
      <c r="X8" s="310"/>
    </row>
    <row r="9" spans="2:67" s="299" customFormat="1" ht="25.5" customHeight="1" thickBot="1" x14ac:dyDescent="0.4">
      <c r="B9" s="798"/>
      <c r="C9" s="799"/>
      <c r="D9" s="1132"/>
      <c r="E9" s="2506" t="s">
        <v>35</v>
      </c>
      <c r="F9" s="1917" t="s">
        <v>1049</v>
      </c>
      <c r="G9" s="2236"/>
      <c r="H9" s="2642"/>
      <c r="I9" s="2643" t="s">
        <v>1047</v>
      </c>
      <c r="J9" s="2236"/>
      <c r="K9" s="2642"/>
      <c r="L9" s="2643" t="s">
        <v>1048</v>
      </c>
      <c r="M9" s="2236"/>
      <c r="N9" s="2236"/>
      <c r="O9" s="2644" t="s">
        <v>1052</v>
      </c>
      <c r="P9" s="2645"/>
      <c r="Q9" s="2645"/>
      <c r="R9" s="2645"/>
      <c r="S9" s="1133"/>
      <c r="T9" s="1917" t="s">
        <v>333</v>
      </c>
      <c r="U9" s="1917"/>
      <c r="V9" s="1982"/>
      <c r="W9" s="2501" t="s">
        <v>296</v>
      </c>
      <c r="X9" s="2503" t="s">
        <v>64</v>
      </c>
      <c r="Y9" s="2510" t="s">
        <v>1062</v>
      </c>
      <c r="Z9" s="2503" t="s">
        <v>1063</v>
      </c>
      <c r="AJ9" s="299" t="s">
        <v>548</v>
      </c>
      <c r="AP9" s="299" t="s">
        <v>547</v>
      </c>
    </row>
    <row r="10" spans="2:67" s="299" customFormat="1" ht="33" customHeight="1" thickBot="1" x14ac:dyDescent="0.4">
      <c r="B10" s="2640" t="s">
        <v>1042</v>
      </c>
      <c r="C10" s="2638"/>
      <c r="D10" s="1134" t="s">
        <v>52</v>
      </c>
      <c r="E10" s="2641"/>
      <c r="F10" s="1073" t="s">
        <v>61</v>
      </c>
      <c r="G10" s="1078" t="s">
        <v>1051</v>
      </c>
      <c r="H10" s="1071" t="s">
        <v>538</v>
      </c>
      <c r="I10" s="1078" t="s">
        <v>29</v>
      </c>
      <c r="J10" s="1078" t="s">
        <v>28</v>
      </c>
      <c r="K10" s="1073" t="s">
        <v>540</v>
      </c>
      <c r="L10" s="1078" t="s">
        <v>29</v>
      </c>
      <c r="M10" s="1076" t="s">
        <v>28</v>
      </c>
      <c r="N10" s="1078" t="s">
        <v>539</v>
      </c>
      <c r="O10" s="2646"/>
      <c r="P10" s="2647"/>
      <c r="Q10" s="2647"/>
      <c r="R10" s="2647"/>
      <c r="S10" s="1077"/>
      <c r="T10" s="1135" t="s">
        <v>52</v>
      </c>
      <c r="U10" s="1076" t="s">
        <v>506</v>
      </c>
      <c r="V10" s="1073" t="s">
        <v>501</v>
      </c>
      <c r="W10" s="2638"/>
      <c r="X10" s="2639"/>
      <c r="Y10" s="2511"/>
      <c r="Z10" s="2504"/>
      <c r="AI10" s="299" t="s">
        <v>227</v>
      </c>
      <c r="AJ10" s="299" t="s">
        <v>228</v>
      </c>
      <c r="AK10" s="299" t="s">
        <v>229</v>
      </c>
      <c r="AL10" s="299" t="s">
        <v>230</v>
      </c>
      <c r="AM10" s="299" t="s">
        <v>231</v>
      </c>
      <c r="AN10" s="299" t="s">
        <v>232</v>
      </c>
      <c r="AO10" s="299" t="s">
        <v>227</v>
      </c>
      <c r="AP10" s="299" t="s">
        <v>228</v>
      </c>
      <c r="AQ10" s="299" t="s">
        <v>229</v>
      </c>
      <c r="AR10" s="299" t="s">
        <v>230</v>
      </c>
      <c r="AS10" s="299" t="s">
        <v>231</v>
      </c>
      <c r="AT10" s="299" t="s">
        <v>232</v>
      </c>
      <c r="AU10" s="299" t="s">
        <v>550</v>
      </c>
      <c r="AV10" s="299" t="s">
        <v>549</v>
      </c>
      <c r="AW10" s="299" t="s">
        <v>82</v>
      </c>
      <c r="AX10" s="299" t="s">
        <v>330</v>
      </c>
      <c r="AY10" s="299" t="s">
        <v>331</v>
      </c>
      <c r="AZ10" s="299" t="s">
        <v>542</v>
      </c>
      <c r="BC10" s="299" t="s">
        <v>10</v>
      </c>
      <c r="BD10" s="299" t="s">
        <v>337</v>
      </c>
      <c r="BE10" s="299" t="s">
        <v>338</v>
      </c>
      <c r="BF10" s="299" t="s">
        <v>543</v>
      </c>
      <c r="BG10" s="299" t="s">
        <v>340</v>
      </c>
      <c r="BH10" s="299" t="s">
        <v>341</v>
      </c>
      <c r="BI10" s="299" t="s">
        <v>342</v>
      </c>
      <c r="BK10" s="299" t="s">
        <v>546</v>
      </c>
      <c r="BM10" s="299" t="s">
        <v>551</v>
      </c>
      <c r="BN10" s="299" t="s">
        <v>545</v>
      </c>
      <c r="BO10" s="299" t="s">
        <v>552</v>
      </c>
    </row>
    <row r="11" spans="2:67" s="299" customFormat="1" ht="18" customHeight="1" thickTop="1" x14ac:dyDescent="0.35">
      <c r="B11" s="2547" t="s">
        <v>1131</v>
      </c>
      <c r="C11" s="1980"/>
      <c r="D11" s="625"/>
      <c r="E11" s="626">
        <v>1</v>
      </c>
      <c r="F11" s="1139"/>
      <c r="G11" s="176"/>
      <c r="H11" s="126"/>
      <c r="I11" s="125"/>
      <c r="J11" s="176"/>
      <c r="K11" s="126"/>
      <c r="L11" s="125"/>
      <c r="M11" s="176"/>
      <c r="N11" s="176"/>
      <c r="O11" s="234"/>
      <c r="P11" s="176"/>
      <c r="Q11" s="176"/>
      <c r="R11" s="184"/>
      <c r="S11" s="185"/>
      <c r="T11" s="1138">
        <v>0</v>
      </c>
      <c r="U11" s="106"/>
      <c r="V11" s="427"/>
      <c r="W11" s="1136">
        <f>((F11*J11/16*J11/16*10.680159*K11*2)*IF(I11=0,0,((G11*12)/I11))+((G11)*M11/16*M11/16*10.680159*N11*2)*IF(L11=0,0,(F11*12/L11))+(F11*IF(Q11=0,0,(O11*12)/Q11)*R11/16*R11/16*10.680159*S11)+(IF(Q11=0,0,F11/Q11*(O11*12))*R11/16*R11/16*10.680159*S11)+((U11+V11)/12+4)*IF(I11=0,0,((G11*12)/I11))*J11/16*J11/16*10.680159)*(1+K$54)*D11</f>
        <v>0</v>
      </c>
      <c r="X11" s="1137">
        <f>((F11*G11*H11/324)+ROUNDUP(T11*U11*V11*H11/46656,0)+(F11*O11*P11/324))*(1+K$51)*D11</f>
        <v>0</v>
      </c>
      <c r="Y11" s="1591" t="e">
        <f>BN11*(1+M$41+Summary!P$64)</f>
        <v>#DIV/0!</v>
      </c>
      <c r="Z11" s="1592" t="e">
        <f>Y11/D11</f>
        <v>#DIV/0!</v>
      </c>
      <c r="AI11" s="299">
        <f t="shared" ref="AI11:AI36" si="0">IF($S$9=1,$O11*$P11*$F11/3888*(1+$K$51),0)</f>
        <v>0</v>
      </c>
      <c r="AJ11" s="299">
        <f t="shared" ref="AJ11:AJ36" si="1">IF($S$9=2,$O11*$P11*$F11/3888*(1+$K$51),0)</f>
        <v>0</v>
      </c>
      <c r="AK11" s="299">
        <f t="shared" ref="AK11:AK36" si="2">IF($S$9=3,$O11*$P11*$F11/3888*(1+$K$51),0)</f>
        <v>0</v>
      </c>
      <c r="AL11" s="299">
        <f t="shared" ref="AL11:AL36" si="3">IF($S$9=4,$O11*$P11*$F11/3888*(1+$K$51),0)</f>
        <v>0</v>
      </c>
      <c r="AM11" s="299">
        <f t="shared" ref="AM11:AM36" si="4">IF($S$9=5,$O11*$P11*$F11/3888*(1+$K$51),0)</f>
        <v>0</v>
      </c>
      <c r="AN11" s="299">
        <f t="shared" ref="AN11:AN36" si="5">IF($S$9=6,$O11*$P11*$F11/3888*(1+$K$51),0)</f>
        <v>0</v>
      </c>
      <c r="AO11" s="299">
        <f>IF($E11=1,$X11-SUM($AI11:$AN11),0)</f>
        <v>0</v>
      </c>
      <c r="AP11" s="299">
        <f>IF($E11=2,X11-SUM($AI11:$AN11),0)</f>
        <v>0</v>
      </c>
      <c r="AQ11" s="299">
        <f>IF($E11=3,X11-SUM($AI11:$AN11),0)</f>
        <v>0</v>
      </c>
      <c r="AR11" s="299">
        <f>IF($E11=4,X11-SUM($AI11:$AN11),0)</f>
        <v>0</v>
      </c>
      <c r="AS11" s="299">
        <f>IF($E11=5,X11-SUM($AI11:$AN11),0)</f>
        <v>0</v>
      </c>
      <c r="AT11" s="299">
        <f>IF($E11=6,X11-SUM($AI11:$AN11),0)</f>
        <v>0</v>
      </c>
      <c r="AU11" s="299">
        <f>SUM(AI11:AN11)</f>
        <v>0</v>
      </c>
      <c r="AV11" s="299">
        <f>SUM(AO11:AT11)</f>
        <v>0</v>
      </c>
      <c r="AW11" s="510">
        <f>W11</f>
        <v>0</v>
      </c>
      <c r="AX11" s="299">
        <f>(F11*H11/12*2+(V11*V11*H11/1728*T11))*D11</f>
        <v>0</v>
      </c>
      <c r="AY11" s="299">
        <f>AX11/2</f>
        <v>0</v>
      </c>
      <c r="AZ11" s="299">
        <f>(O11*F11/12)*D11</f>
        <v>0</v>
      </c>
      <c r="BC11" s="299">
        <f t="shared" ref="BC11:BC36" si="6">W11*G$54*IF(U$40="N",(1+W$40),1)</f>
        <v>0</v>
      </c>
      <c r="BD11" s="299">
        <f>(AO11*Pricing!F$2+AP11*Pricing!G$2+AQ11*Pricing!H$2+AR11*Pricing!I$2+AS11*Pricing!J$2+AT11*Pricing!K$2+AI11*Pricing!F$2+AJ11*Pricing!G$2+AK11*Pricing!H$2+AL11*Pricing!I$2+AM11*Pricing!J$2+AN11*Pricing!K$2)*IF(U$40="N",(1+W$40),1)</f>
        <v>0</v>
      </c>
      <c r="BE11" s="299">
        <f t="shared" ref="BE11:BE36" si="7">AY11*(H$65+E$68)</f>
        <v>0</v>
      </c>
      <c r="BF11" s="299">
        <f t="shared" ref="BF11:BF36" si="8">AZ11*E$64</f>
        <v>0</v>
      </c>
      <c r="BG11" s="299">
        <f t="shared" ref="BG11:BG36" si="9">W11/2000*E$69</f>
        <v>0</v>
      </c>
      <c r="BH11" s="511" t="e">
        <f>I$70/E$37*F11*E$70</f>
        <v>#DIV/0!</v>
      </c>
      <c r="BI11" s="299">
        <f t="shared" ref="BI11:BI36" si="10">IF(SUM(AY$37:AZ$37)=0,0,(SUM(O$73:P$77)+SUM(O$79:P$84)+SUM(O$86:P$91)+X$91)/SUM(AY$37:AZ$37)*(AY11+AZ11))</f>
        <v>0</v>
      </c>
      <c r="BK11" s="299">
        <f t="shared" ref="BK11:BK33" si="11">IF(SUM(AY$37:AZ$37)=0,0,(BI$37-X$56-O$62-X52-(M$74*0.15))/SUM(AY$37:AZ$37)*AZ11+BF11)</f>
        <v>0</v>
      </c>
      <c r="BL11" s="299">
        <f>(AI11*Pricing!F$2+AJ11*Pricing!G$2+AK11*Pricing!H$2+AL11*Pricing!I$2+AM11*Pricing!J$2+AN11*Pricing!K$2)*IF(U$40="N",(1+W$40),1)</f>
        <v>0</v>
      </c>
      <c r="BM11" s="299">
        <f>IF(AZ11=0,0,(BK11+BL11)/AZ11)</f>
        <v>0</v>
      </c>
      <c r="BN11" s="299" t="e">
        <f>SUM(BC11:BI11)-BK11-BL11</f>
        <v>#DIV/0!</v>
      </c>
      <c r="BO11" s="299">
        <f>IF(AX11=0,0,BN11/AY11)</f>
        <v>0</v>
      </c>
    </row>
    <row r="12" spans="2:67" s="299" customFormat="1" ht="18" customHeight="1" x14ac:dyDescent="0.35">
      <c r="B12" s="2547" t="s">
        <v>1132</v>
      </c>
      <c r="C12" s="1980"/>
      <c r="D12" s="625"/>
      <c r="E12" s="626">
        <v>1</v>
      </c>
      <c r="F12" s="1139"/>
      <c r="G12" s="176"/>
      <c r="H12" s="126"/>
      <c r="I12" s="125"/>
      <c r="J12" s="176"/>
      <c r="K12" s="126"/>
      <c r="L12" s="125"/>
      <c r="M12" s="176"/>
      <c r="N12" s="176"/>
      <c r="O12" s="234"/>
      <c r="P12" s="176"/>
      <c r="Q12" s="176"/>
      <c r="R12" s="184"/>
      <c r="S12" s="185"/>
      <c r="T12" s="1138"/>
      <c r="U12" s="106"/>
      <c r="V12" s="140"/>
      <c r="W12" s="1136">
        <f>((F12*J12/16*J12/16*10.680159*K12*2)*IF(I12=0,0,((G12*12)/I12))+((G12)*M12/16*M12/16*10.680159*N12*2)*IF(L12=0,0,(F12*12/L12))+(F12*IF(Q12=0,0,O12/Q12)*R12/16*R12/16*10.680159*S12)+(IF(Q12=0,0,F12/Q12*O12)*R12/16*R12/16*10.680159*S12)+((U12+V12)/12+4)*IF(I12=0,0,((G12*12)/I12))*J12/16*J12/16*10.680159)*(1+K$54)*D12</f>
        <v>0</v>
      </c>
      <c r="X12" s="1137">
        <f t="shared" ref="X12:X36" si="12">((F12*G12*H12/324)+ROUNDUP(T12*U12*V12*H12/46656,0)+(F12*O12*P12/324))*(1+K$51)*D12</f>
        <v>0</v>
      </c>
      <c r="Y12" s="1593" t="e">
        <f>BN12*(1+M$41+Summary!P$64)</f>
        <v>#DIV/0!</v>
      </c>
      <c r="Z12" s="1594" t="e">
        <f>Y12/D12</f>
        <v>#DIV/0!</v>
      </c>
      <c r="AI12" s="299">
        <f t="shared" si="0"/>
        <v>0</v>
      </c>
      <c r="AJ12" s="299">
        <f t="shared" si="1"/>
        <v>0</v>
      </c>
      <c r="AK12" s="299">
        <f t="shared" si="2"/>
        <v>0</v>
      </c>
      <c r="AL12" s="299">
        <f t="shared" si="3"/>
        <v>0</v>
      </c>
      <c r="AM12" s="299">
        <f t="shared" si="4"/>
        <v>0</v>
      </c>
      <c r="AN12" s="299">
        <f t="shared" si="5"/>
        <v>0</v>
      </c>
      <c r="AO12" s="299">
        <f t="shared" ref="AO12:AO36" si="13">IF($E12=1,$X12-SUM($AI12:$AN12),0)</f>
        <v>0</v>
      </c>
      <c r="AP12" s="299">
        <f t="shared" ref="AP12:AP36" si="14">IF($E12=2,X12-SUM($AI12:$AN12),0)</f>
        <v>0</v>
      </c>
      <c r="AQ12" s="299">
        <f t="shared" ref="AQ12:AQ36" si="15">IF($E12=3,X12-SUM($AI12:$AN12),0)</f>
        <v>0</v>
      </c>
      <c r="AR12" s="299">
        <f t="shared" ref="AR12:AR36" si="16">IF($E12=4,X12-SUM($AI12:$AN12),0)</f>
        <v>0</v>
      </c>
      <c r="AS12" s="299">
        <f t="shared" ref="AS12:AS36" si="17">IF($E12=5,X12-SUM($AI12:$AN12),0)</f>
        <v>0</v>
      </c>
      <c r="AT12" s="299">
        <f t="shared" ref="AT12:AT36" si="18">IF($E12=6,X12-SUM($AI12:$AN12),0)</f>
        <v>0</v>
      </c>
      <c r="AU12" s="299">
        <f t="shared" ref="AU12:AU36" si="19">SUM(AI12:AN12)</f>
        <v>0</v>
      </c>
      <c r="AV12" s="299">
        <f t="shared" ref="AV12:AV36" si="20">SUM(AO12:AT12)</f>
        <v>0</v>
      </c>
      <c r="AW12" s="510">
        <f t="shared" ref="AW12:AW36" si="21">W12</f>
        <v>0</v>
      </c>
      <c r="AX12" s="299">
        <f>(F12*H12/12*2+(V12*V12*H12/1728*T12))*D12</f>
        <v>0</v>
      </c>
      <c r="AY12" s="299">
        <f t="shared" ref="AY12:AY36" si="22">AX12/2</f>
        <v>0</v>
      </c>
      <c r="AZ12" s="299">
        <f t="shared" ref="AZ12:AZ36" si="23">O12*F12/12</f>
        <v>0</v>
      </c>
      <c r="BC12" s="299">
        <f t="shared" si="6"/>
        <v>0</v>
      </c>
      <c r="BD12" s="299">
        <f>(AO12*Pricing!F$2+AP12*Pricing!G$2+AQ12*Pricing!H$2+AR12*Pricing!I$2+AS12*Pricing!J$2+AT12*Pricing!K$2+AI12*Pricing!F$2+AJ12*Pricing!G$2+AK12*Pricing!H$2+AL12*Pricing!I$2+AM12*Pricing!J$2+AN12*Pricing!K$2)*IF(U$40="N",(1+W$40),1)</f>
        <v>0</v>
      </c>
      <c r="BE12" s="299">
        <f t="shared" si="7"/>
        <v>0</v>
      </c>
      <c r="BF12" s="299">
        <f t="shared" si="8"/>
        <v>0</v>
      </c>
      <c r="BG12" s="299">
        <f t="shared" si="9"/>
        <v>0</v>
      </c>
      <c r="BH12" s="511" t="e">
        <f t="shared" ref="BH12:BH36" si="24">I$70/E$37*F12*E$70</f>
        <v>#DIV/0!</v>
      </c>
      <c r="BI12" s="299">
        <f t="shared" si="10"/>
        <v>0</v>
      </c>
      <c r="BK12" s="299">
        <f t="shared" si="11"/>
        <v>0</v>
      </c>
      <c r="BL12" s="299">
        <f>(AI12*Pricing!F$2+AJ12*Pricing!G$2+AK12*Pricing!H$2+AL12*Pricing!I$2+AM12*Pricing!J$2+AN12*Pricing!K$2)*IF(U$40="N",(1+W$40),1)</f>
        <v>0</v>
      </c>
      <c r="BM12" s="299">
        <f t="shared" ref="BM12:BM36" si="25">IF(AZ12=0,0,(BK12+BL12)/AZ12)</f>
        <v>0</v>
      </c>
      <c r="BN12" s="299" t="e">
        <f t="shared" ref="BN12:BN36" si="26">SUM(BC12:BI12)-BK12-BL12</f>
        <v>#DIV/0!</v>
      </c>
      <c r="BO12" s="299">
        <f t="shared" ref="BO12:BO36" si="27">IF(AX12=0,0,BN12/AY12)</f>
        <v>0</v>
      </c>
    </row>
    <row r="13" spans="2:67" s="299" customFormat="1" ht="18" customHeight="1" x14ac:dyDescent="0.35">
      <c r="B13" s="2547" t="s">
        <v>1133</v>
      </c>
      <c r="C13" s="1980"/>
      <c r="D13" s="625"/>
      <c r="E13" s="626">
        <v>1</v>
      </c>
      <c r="F13" s="1139"/>
      <c r="G13" s="176"/>
      <c r="H13" s="126"/>
      <c r="I13" s="125"/>
      <c r="J13" s="176"/>
      <c r="K13" s="126"/>
      <c r="L13" s="125"/>
      <c r="M13" s="176"/>
      <c r="N13" s="176"/>
      <c r="O13" s="234"/>
      <c r="P13" s="176"/>
      <c r="Q13" s="176"/>
      <c r="R13" s="184"/>
      <c r="S13" s="185"/>
      <c r="T13" s="1138"/>
      <c r="U13" s="106"/>
      <c r="V13" s="140"/>
      <c r="W13" s="1136">
        <f t="shared" ref="W13:W36" si="28">((F13*J13/16*J13/16*10.680159*K13*2)*IF(I13=0,0,((G13*12)/I13))+((G13)*M13/16*M13/16*10.680159*N13*2)*IF(L13=0,0,(F13*12/L13))+(F13*IF(Q13=0,0,O13/Q13)*R13/16*R13/16*10.680159*S13)+(IF(Q13=0,0,F13/Q13*O13)*R13/16*R13/16*10.680159*S13)+((U13+V13)/12+4)*IF(I13=0,0,((G13*12)/I13))*J13/16*J13/16*10.680159)*(1+K$54)*D13</f>
        <v>0</v>
      </c>
      <c r="X13" s="1137">
        <f t="shared" si="12"/>
        <v>0</v>
      </c>
      <c r="Y13" s="1593" t="e">
        <f>BN13*(1+M$41+Summary!P$64)</f>
        <v>#DIV/0!</v>
      </c>
      <c r="Z13" s="1594" t="e">
        <f t="shared" ref="Z13:Z36" si="29">Y13/D13</f>
        <v>#DIV/0!</v>
      </c>
      <c r="AI13" s="299">
        <f t="shared" si="0"/>
        <v>0</v>
      </c>
      <c r="AJ13" s="299">
        <f t="shared" si="1"/>
        <v>0</v>
      </c>
      <c r="AK13" s="299">
        <f t="shared" si="2"/>
        <v>0</v>
      </c>
      <c r="AL13" s="299">
        <f t="shared" si="3"/>
        <v>0</v>
      </c>
      <c r="AM13" s="299">
        <f t="shared" si="4"/>
        <v>0</v>
      </c>
      <c r="AN13" s="299">
        <f t="shared" si="5"/>
        <v>0</v>
      </c>
      <c r="AO13" s="299">
        <f t="shared" si="13"/>
        <v>0</v>
      </c>
      <c r="AP13" s="299">
        <f t="shared" si="14"/>
        <v>0</v>
      </c>
      <c r="AQ13" s="299">
        <f t="shared" si="15"/>
        <v>0</v>
      </c>
      <c r="AR13" s="299">
        <f t="shared" si="16"/>
        <v>0</v>
      </c>
      <c r="AS13" s="299">
        <f t="shared" si="17"/>
        <v>0</v>
      </c>
      <c r="AT13" s="299">
        <f t="shared" si="18"/>
        <v>0</v>
      </c>
      <c r="AU13" s="299">
        <f t="shared" si="19"/>
        <v>0</v>
      </c>
      <c r="AV13" s="299">
        <f t="shared" si="20"/>
        <v>0</v>
      </c>
      <c r="AW13" s="510">
        <f t="shared" si="21"/>
        <v>0</v>
      </c>
      <c r="AX13" s="299">
        <f>(F13*H13/12*2+(V13*V13*H13/1728*T13))*D13</f>
        <v>0</v>
      </c>
      <c r="AY13" s="299">
        <f t="shared" si="22"/>
        <v>0</v>
      </c>
      <c r="AZ13" s="299">
        <f t="shared" si="23"/>
        <v>0</v>
      </c>
      <c r="BC13" s="299">
        <f t="shared" si="6"/>
        <v>0</v>
      </c>
      <c r="BD13" s="299">
        <f>(AO13*Pricing!F$2+AP13*Pricing!G$2+AQ13*Pricing!H$2+AR13*Pricing!I$2+AS13*Pricing!J$2+AT13*Pricing!K$2+AI13*Pricing!F$2+AJ13*Pricing!G$2+AK13*Pricing!H$2+AL13*Pricing!I$2+AM13*Pricing!J$2+AN13*Pricing!K$2)*IF(U$40="N",(1+W$40),1)</f>
        <v>0</v>
      </c>
      <c r="BE13" s="299">
        <f t="shared" si="7"/>
        <v>0</v>
      </c>
      <c r="BF13" s="299">
        <f t="shared" si="8"/>
        <v>0</v>
      </c>
      <c r="BG13" s="299">
        <f t="shared" si="9"/>
        <v>0</v>
      </c>
      <c r="BH13" s="511" t="e">
        <f t="shared" si="24"/>
        <v>#DIV/0!</v>
      </c>
      <c r="BI13" s="299">
        <f t="shared" si="10"/>
        <v>0</v>
      </c>
      <c r="BK13" s="299">
        <f t="shared" si="11"/>
        <v>0</v>
      </c>
      <c r="BL13" s="299">
        <f>(AI13*Pricing!F$2+AJ13*Pricing!G$2+AK13*Pricing!H$2+AL13*Pricing!I$2+AM13*Pricing!J$2+AN13*Pricing!K$2)*IF(U$40="N",(1+W$40),1)</f>
        <v>0</v>
      </c>
      <c r="BM13" s="299">
        <f t="shared" si="25"/>
        <v>0</v>
      </c>
      <c r="BN13" s="299" t="e">
        <f t="shared" si="26"/>
        <v>#DIV/0!</v>
      </c>
      <c r="BO13" s="299">
        <f t="shared" si="27"/>
        <v>0</v>
      </c>
    </row>
    <row r="14" spans="2:67" s="299" customFormat="1" ht="18" customHeight="1" x14ac:dyDescent="0.35">
      <c r="B14" s="2547" t="s">
        <v>1134</v>
      </c>
      <c r="C14" s="1980"/>
      <c r="D14" s="625"/>
      <c r="E14" s="626">
        <v>1</v>
      </c>
      <c r="F14" s="1139"/>
      <c r="G14" s="176"/>
      <c r="H14" s="126"/>
      <c r="I14" s="125"/>
      <c r="J14" s="176"/>
      <c r="K14" s="126"/>
      <c r="L14" s="125"/>
      <c r="M14" s="176"/>
      <c r="N14" s="176"/>
      <c r="O14" s="234"/>
      <c r="P14" s="176"/>
      <c r="Q14" s="176"/>
      <c r="R14" s="184"/>
      <c r="S14" s="185"/>
      <c r="T14" s="1138"/>
      <c r="U14" s="106"/>
      <c r="V14" s="140"/>
      <c r="W14" s="1136">
        <f t="shared" si="28"/>
        <v>0</v>
      </c>
      <c r="X14" s="1137">
        <f t="shared" si="12"/>
        <v>0</v>
      </c>
      <c r="Y14" s="1593" t="e">
        <f>BN14*(1+M$41+Summary!P$64)</f>
        <v>#DIV/0!</v>
      </c>
      <c r="Z14" s="1594" t="e">
        <f t="shared" si="29"/>
        <v>#DIV/0!</v>
      </c>
      <c r="AI14" s="299">
        <f t="shared" si="0"/>
        <v>0</v>
      </c>
      <c r="AJ14" s="299">
        <f t="shared" si="1"/>
        <v>0</v>
      </c>
      <c r="AK14" s="299">
        <f t="shared" si="2"/>
        <v>0</v>
      </c>
      <c r="AL14" s="299">
        <f t="shared" si="3"/>
        <v>0</v>
      </c>
      <c r="AM14" s="299">
        <f t="shared" si="4"/>
        <v>0</v>
      </c>
      <c r="AN14" s="299">
        <f t="shared" si="5"/>
        <v>0</v>
      </c>
      <c r="AO14" s="299">
        <f t="shared" si="13"/>
        <v>0</v>
      </c>
      <c r="AP14" s="299">
        <f t="shared" si="14"/>
        <v>0</v>
      </c>
      <c r="AQ14" s="299">
        <f t="shared" si="15"/>
        <v>0</v>
      </c>
      <c r="AR14" s="299">
        <f t="shared" si="16"/>
        <v>0</v>
      </c>
      <c r="AS14" s="299">
        <f t="shared" si="17"/>
        <v>0</v>
      </c>
      <c r="AT14" s="299">
        <f t="shared" si="18"/>
        <v>0</v>
      </c>
      <c r="AU14" s="299">
        <f t="shared" si="19"/>
        <v>0</v>
      </c>
      <c r="AV14" s="299">
        <f t="shared" si="20"/>
        <v>0</v>
      </c>
      <c r="AW14" s="510">
        <f t="shared" si="21"/>
        <v>0</v>
      </c>
      <c r="AX14" s="299">
        <f>(F14*H14/12*2+(V14*V14*H14/1728*T14))*D14</f>
        <v>0</v>
      </c>
      <c r="AY14" s="299">
        <f t="shared" si="22"/>
        <v>0</v>
      </c>
      <c r="AZ14" s="299">
        <f t="shared" si="23"/>
        <v>0</v>
      </c>
      <c r="BC14" s="299">
        <f t="shared" si="6"/>
        <v>0</v>
      </c>
      <c r="BD14" s="299">
        <f>(AO14*Pricing!F$2+AP14*Pricing!G$2+AQ14*Pricing!H$2+AR14*Pricing!I$2+AS14*Pricing!J$2+AT14*Pricing!K$2+AI14*Pricing!F$2+AJ14*Pricing!G$2+AK14*Pricing!H$2+AL14*Pricing!I$2+AM14*Pricing!J$2+AN14*Pricing!K$2)*IF(U$40="N",(1+W$40),1)</f>
        <v>0</v>
      </c>
      <c r="BE14" s="299">
        <f t="shared" si="7"/>
        <v>0</v>
      </c>
      <c r="BF14" s="299">
        <f t="shared" si="8"/>
        <v>0</v>
      </c>
      <c r="BG14" s="299">
        <f t="shared" si="9"/>
        <v>0</v>
      </c>
      <c r="BH14" s="511" t="e">
        <f t="shared" si="24"/>
        <v>#DIV/0!</v>
      </c>
      <c r="BI14" s="299">
        <f t="shared" si="10"/>
        <v>0</v>
      </c>
      <c r="BK14" s="299">
        <f t="shared" si="11"/>
        <v>0</v>
      </c>
      <c r="BL14" s="299">
        <f>(AI14*Pricing!F$2+AJ14*Pricing!G$2+AK14*Pricing!H$2+AL14*Pricing!I$2+AM14*Pricing!J$2+AN14*Pricing!K$2)*IF(U$40="N",(1+W$40),1)</f>
        <v>0</v>
      </c>
      <c r="BM14" s="299">
        <f t="shared" si="25"/>
        <v>0</v>
      </c>
      <c r="BN14" s="299" t="e">
        <f t="shared" si="26"/>
        <v>#DIV/0!</v>
      </c>
      <c r="BO14" s="299">
        <f t="shared" si="27"/>
        <v>0</v>
      </c>
    </row>
    <row r="15" spans="2:67" s="299" customFormat="1" ht="18" customHeight="1" x14ac:dyDescent="0.35">
      <c r="B15" s="2547" t="s">
        <v>1135</v>
      </c>
      <c r="C15" s="1980"/>
      <c r="D15" s="625"/>
      <c r="E15" s="626">
        <v>1</v>
      </c>
      <c r="F15" s="1139"/>
      <c r="G15" s="176"/>
      <c r="H15" s="126"/>
      <c r="I15" s="125"/>
      <c r="J15" s="176"/>
      <c r="K15" s="126"/>
      <c r="L15" s="125"/>
      <c r="M15" s="176"/>
      <c r="N15" s="176"/>
      <c r="O15" s="234"/>
      <c r="P15" s="176"/>
      <c r="Q15" s="176"/>
      <c r="R15" s="184"/>
      <c r="S15" s="185"/>
      <c r="T15" s="1138"/>
      <c r="U15" s="106"/>
      <c r="V15" s="140"/>
      <c r="W15" s="1136">
        <f t="shared" si="28"/>
        <v>0</v>
      </c>
      <c r="X15" s="1137">
        <f t="shared" si="12"/>
        <v>0</v>
      </c>
      <c r="Y15" s="1593" t="e">
        <f>BN15*(1+M$41+Summary!P$64)</f>
        <v>#DIV/0!</v>
      </c>
      <c r="Z15" s="1594" t="e">
        <f t="shared" si="29"/>
        <v>#DIV/0!</v>
      </c>
      <c r="AI15" s="299">
        <f t="shared" si="0"/>
        <v>0</v>
      </c>
      <c r="AJ15" s="299">
        <f t="shared" si="1"/>
        <v>0</v>
      </c>
      <c r="AK15" s="299">
        <f t="shared" si="2"/>
        <v>0</v>
      </c>
      <c r="AL15" s="299">
        <f t="shared" si="3"/>
        <v>0</v>
      </c>
      <c r="AM15" s="299">
        <f t="shared" si="4"/>
        <v>0</v>
      </c>
      <c r="AN15" s="299">
        <f t="shared" si="5"/>
        <v>0</v>
      </c>
      <c r="AO15" s="299">
        <f t="shared" si="13"/>
        <v>0</v>
      </c>
      <c r="AP15" s="299">
        <f t="shared" si="14"/>
        <v>0</v>
      </c>
      <c r="AQ15" s="299">
        <f t="shared" si="15"/>
        <v>0</v>
      </c>
      <c r="AR15" s="299">
        <f t="shared" si="16"/>
        <v>0</v>
      </c>
      <c r="AS15" s="299">
        <f t="shared" si="17"/>
        <v>0</v>
      </c>
      <c r="AT15" s="299">
        <f t="shared" si="18"/>
        <v>0</v>
      </c>
      <c r="AU15" s="299">
        <f t="shared" si="19"/>
        <v>0</v>
      </c>
      <c r="AV15" s="299">
        <f t="shared" si="20"/>
        <v>0</v>
      </c>
      <c r="AW15" s="510">
        <f t="shared" si="21"/>
        <v>0</v>
      </c>
      <c r="AX15" s="299">
        <f t="shared" ref="AX15:AX36" si="30">(F15*H15/12*2+(V15*V15*H15/1728*T15))*D15</f>
        <v>0</v>
      </c>
      <c r="AY15" s="299">
        <f t="shared" si="22"/>
        <v>0</v>
      </c>
      <c r="AZ15" s="299">
        <f t="shared" si="23"/>
        <v>0</v>
      </c>
      <c r="BC15" s="299">
        <f t="shared" si="6"/>
        <v>0</v>
      </c>
      <c r="BD15" s="299">
        <f>(AO15*Pricing!F$2+AP15*Pricing!G$2+AQ15*Pricing!H$2+AR15*Pricing!I$2+AS15*Pricing!J$2+AT15*Pricing!K$2+AI15*Pricing!F$2+AJ15*Pricing!G$2+AK15*Pricing!H$2+AL15*Pricing!I$2+AM15*Pricing!J$2+AN15*Pricing!K$2)*IF(U$40="N",(1+W$40),1)</f>
        <v>0</v>
      </c>
      <c r="BE15" s="299">
        <f t="shared" si="7"/>
        <v>0</v>
      </c>
      <c r="BF15" s="299">
        <f t="shared" si="8"/>
        <v>0</v>
      </c>
      <c r="BG15" s="299">
        <f t="shared" si="9"/>
        <v>0</v>
      </c>
      <c r="BH15" s="511" t="e">
        <f t="shared" si="24"/>
        <v>#DIV/0!</v>
      </c>
      <c r="BI15" s="299">
        <f t="shared" si="10"/>
        <v>0</v>
      </c>
      <c r="BK15" s="299">
        <f t="shared" si="11"/>
        <v>0</v>
      </c>
      <c r="BL15" s="299">
        <f>(AI15*Pricing!F$2+AJ15*Pricing!G$2+AK15*Pricing!H$2+AL15*Pricing!I$2+AM15*Pricing!J$2+AN15*Pricing!K$2)*IF(U$40="N",(1+W$40),1)</f>
        <v>0</v>
      </c>
      <c r="BM15" s="299">
        <f t="shared" si="25"/>
        <v>0</v>
      </c>
      <c r="BN15" s="299" t="e">
        <f t="shared" si="26"/>
        <v>#DIV/0!</v>
      </c>
      <c r="BO15" s="299">
        <f t="shared" si="27"/>
        <v>0</v>
      </c>
    </row>
    <row r="16" spans="2:67" s="299" customFormat="1" ht="18" customHeight="1" x14ac:dyDescent="0.35">
      <c r="B16" s="2547" t="s">
        <v>1136</v>
      </c>
      <c r="C16" s="1980"/>
      <c r="D16" s="625"/>
      <c r="E16" s="626">
        <v>1</v>
      </c>
      <c r="F16" s="1139"/>
      <c r="G16" s="176"/>
      <c r="H16" s="126"/>
      <c r="I16" s="125"/>
      <c r="J16" s="176"/>
      <c r="K16" s="126"/>
      <c r="L16" s="125"/>
      <c r="M16" s="176"/>
      <c r="N16" s="176"/>
      <c r="O16" s="234"/>
      <c r="P16" s="176"/>
      <c r="Q16" s="176"/>
      <c r="R16" s="184"/>
      <c r="S16" s="185"/>
      <c r="T16" s="1138"/>
      <c r="U16" s="106"/>
      <c r="V16" s="140"/>
      <c r="W16" s="1136">
        <f t="shared" si="28"/>
        <v>0</v>
      </c>
      <c r="X16" s="1137">
        <f t="shared" si="12"/>
        <v>0</v>
      </c>
      <c r="Y16" s="1593" t="e">
        <f>BN16*(1+M$41+Summary!P$64)</f>
        <v>#DIV/0!</v>
      </c>
      <c r="Z16" s="1594" t="e">
        <f t="shared" si="29"/>
        <v>#DIV/0!</v>
      </c>
      <c r="AI16" s="299">
        <f t="shared" si="0"/>
        <v>0</v>
      </c>
      <c r="AJ16" s="299">
        <f t="shared" si="1"/>
        <v>0</v>
      </c>
      <c r="AK16" s="299">
        <f t="shared" si="2"/>
        <v>0</v>
      </c>
      <c r="AL16" s="299">
        <f t="shared" si="3"/>
        <v>0</v>
      </c>
      <c r="AM16" s="299">
        <f t="shared" si="4"/>
        <v>0</v>
      </c>
      <c r="AN16" s="299">
        <f t="shared" si="5"/>
        <v>0</v>
      </c>
      <c r="AO16" s="299">
        <f t="shared" si="13"/>
        <v>0</v>
      </c>
      <c r="AP16" s="299">
        <f t="shared" si="14"/>
        <v>0</v>
      </c>
      <c r="AQ16" s="299">
        <f t="shared" si="15"/>
        <v>0</v>
      </c>
      <c r="AR16" s="299">
        <f t="shared" si="16"/>
        <v>0</v>
      </c>
      <c r="AS16" s="299">
        <f t="shared" si="17"/>
        <v>0</v>
      </c>
      <c r="AT16" s="299">
        <f t="shared" si="18"/>
        <v>0</v>
      </c>
      <c r="AU16" s="299">
        <f t="shared" si="19"/>
        <v>0</v>
      </c>
      <c r="AV16" s="299">
        <f t="shared" si="20"/>
        <v>0</v>
      </c>
      <c r="AW16" s="510">
        <f t="shared" si="21"/>
        <v>0</v>
      </c>
      <c r="AX16" s="299">
        <f t="shared" si="30"/>
        <v>0</v>
      </c>
      <c r="AY16" s="299">
        <f t="shared" si="22"/>
        <v>0</v>
      </c>
      <c r="AZ16" s="299">
        <f t="shared" si="23"/>
        <v>0</v>
      </c>
      <c r="BC16" s="299">
        <f t="shared" si="6"/>
        <v>0</v>
      </c>
      <c r="BD16" s="299">
        <f>(AO16*Pricing!F$2+AP16*Pricing!G$2+AQ16*Pricing!H$2+AR16*Pricing!I$2+AS16*Pricing!J$2+AT16*Pricing!K$2+AI16*Pricing!F$2+AJ16*Pricing!G$2+AK16*Pricing!H$2+AL16*Pricing!I$2+AM16*Pricing!J$2+AN16*Pricing!K$2)*IF(U$40="N",(1+W$40),1)</f>
        <v>0</v>
      </c>
      <c r="BE16" s="299">
        <f t="shared" si="7"/>
        <v>0</v>
      </c>
      <c r="BF16" s="299">
        <f t="shared" si="8"/>
        <v>0</v>
      </c>
      <c r="BG16" s="299">
        <f t="shared" si="9"/>
        <v>0</v>
      </c>
      <c r="BH16" s="511" t="e">
        <f t="shared" si="24"/>
        <v>#DIV/0!</v>
      </c>
      <c r="BI16" s="299">
        <f t="shared" si="10"/>
        <v>0</v>
      </c>
      <c r="BK16" s="299">
        <f t="shared" si="11"/>
        <v>0</v>
      </c>
      <c r="BL16" s="299">
        <f>(AI16*Pricing!F$2+AJ16*Pricing!G$2+AK16*Pricing!H$2+AL16*Pricing!I$2+AM16*Pricing!J$2+AN16*Pricing!K$2)*IF(U$40="N",(1+W$40),1)</f>
        <v>0</v>
      </c>
      <c r="BM16" s="299">
        <f t="shared" si="25"/>
        <v>0</v>
      </c>
      <c r="BN16" s="299" t="e">
        <f t="shared" si="26"/>
        <v>#DIV/0!</v>
      </c>
      <c r="BO16" s="299">
        <f t="shared" si="27"/>
        <v>0</v>
      </c>
    </row>
    <row r="17" spans="2:67" s="299" customFormat="1" ht="18" customHeight="1" x14ac:dyDescent="0.35">
      <c r="B17" s="2547" t="s">
        <v>1137</v>
      </c>
      <c r="C17" s="1980"/>
      <c r="D17" s="625"/>
      <c r="E17" s="626">
        <v>1</v>
      </c>
      <c r="F17" s="1139"/>
      <c r="G17" s="176"/>
      <c r="H17" s="126"/>
      <c r="I17" s="125"/>
      <c r="J17" s="176"/>
      <c r="K17" s="126"/>
      <c r="L17" s="125"/>
      <c r="M17" s="176"/>
      <c r="N17" s="176"/>
      <c r="O17" s="234"/>
      <c r="P17" s="176"/>
      <c r="Q17" s="176"/>
      <c r="R17" s="184"/>
      <c r="S17" s="185"/>
      <c r="T17" s="1138"/>
      <c r="U17" s="106"/>
      <c r="V17" s="140"/>
      <c r="W17" s="1136">
        <f t="shared" si="28"/>
        <v>0</v>
      </c>
      <c r="X17" s="1137">
        <f t="shared" si="12"/>
        <v>0</v>
      </c>
      <c r="Y17" s="1593" t="e">
        <f>BN17*(1+M$41+Summary!P$64)</f>
        <v>#DIV/0!</v>
      </c>
      <c r="Z17" s="1594" t="e">
        <f t="shared" si="29"/>
        <v>#DIV/0!</v>
      </c>
      <c r="AI17" s="299">
        <f t="shared" si="0"/>
        <v>0</v>
      </c>
      <c r="AJ17" s="299">
        <f t="shared" si="1"/>
        <v>0</v>
      </c>
      <c r="AK17" s="299">
        <f t="shared" si="2"/>
        <v>0</v>
      </c>
      <c r="AL17" s="299">
        <f t="shared" si="3"/>
        <v>0</v>
      </c>
      <c r="AM17" s="299">
        <f t="shared" si="4"/>
        <v>0</v>
      </c>
      <c r="AN17" s="299">
        <f t="shared" si="5"/>
        <v>0</v>
      </c>
      <c r="AO17" s="299">
        <f t="shared" si="13"/>
        <v>0</v>
      </c>
      <c r="AP17" s="299">
        <f t="shared" si="14"/>
        <v>0</v>
      </c>
      <c r="AQ17" s="299">
        <f t="shared" si="15"/>
        <v>0</v>
      </c>
      <c r="AR17" s="299">
        <f t="shared" si="16"/>
        <v>0</v>
      </c>
      <c r="AS17" s="299">
        <f t="shared" si="17"/>
        <v>0</v>
      </c>
      <c r="AT17" s="299">
        <f t="shared" si="18"/>
        <v>0</v>
      </c>
      <c r="AU17" s="299">
        <f t="shared" si="19"/>
        <v>0</v>
      </c>
      <c r="AV17" s="299">
        <f t="shared" si="20"/>
        <v>0</v>
      </c>
      <c r="AW17" s="510">
        <f t="shared" si="21"/>
        <v>0</v>
      </c>
      <c r="AX17" s="299">
        <f t="shared" si="30"/>
        <v>0</v>
      </c>
      <c r="AY17" s="299">
        <f t="shared" si="22"/>
        <v>0</v>
      </c>
      <c r="AZ17" s="299">
        <f t="shared" si="23"/>
        <v>0</v>
      </c>
      <c r="BC17" s="299">
        <f t="shared" si="6"/>
        <v>0</v>
      </c>
      <c r="BD17" s="299">
        <f>(AO17*Pricing!F$2+AP17*Pricing!G$2+AQ17*Pricing!H$2+AR17*Pricing!I$2+AS17*Pricing!J$2+AT17*Pricing!K$2+AI17*Pricing!F$2+AJ17*Pricing!G$2+AK17*Pricing!H$2+AL17*Pricing!I$2+AM17*Pricing!J$2+AN17*Pricing!K$2)*IF(U$40="N",(1+W$40),1)</f>
        <v>0</v>
      </c>
      <c r="BE17" s="299">
        <f t="shared" si="7"/>
        <v>0</v>
      </c>
      <c r="BF17" s="299">
        <f t="shared" si="8"/>
        <v>0</v>
      </c>
      <c r="BG17" s="299">
        <f t="shared" si="9"/>
        <v>0</v>
      </c>
      <c r="BH17" s="511" t="e">
        <f t="shared" si="24"/>
        <v>#DIV/0!</v>
      </c>
      <c r="BI17" s="299">
        <f t="shared" si="10"/>
        <v>0</v>
      </c>
      <c r="BK17" s="299">
        <f t="shared" si="11"/>
        <v>0</v>
      </c>
      <c r="BL17" s="299">
        <f>(AI17*Pricing!F$2+AJ17*Pricing!G$2+AK17*Pricing!H$2+AL17*Pricing!I$2+AM17*Pricing!J$2+AN17*Pricing!K$2)*IF(U$40="N",(1+W$40),1)</f>
        <v>0</v>
      </c>
      <c r="BM17" s="299">
        <f t="shared" si="25"/>
        <v>0</v>
      </c>
      <c r="BN17" s="299" t="e">
        <f t="shared" si="26"/>
        <v>#DIV/0!</v>
      </c>
      <c r="BO17" s="299">
        <f t="shared" si="27"/>
        <v>0</v>
      </c>
    </row>
    <row r="18" spans="2:67" s="299" customFormat="1" ht="18" customHeight="1" x14ac:dyDescent="0.35">
      <c r="B18" s="2547" t="s">
        <v>1138</v>
      </c>
      <c r="C18" s="1980"/>
      <c r="D18" s="625"/>
      <c r="E18" s="626">
        <v>1</v>
      </c>
      <c r="F18" s="1139"/>
      <c r="G18" s="176"/>
      <c r="H18" s="126"/>
      <c r="I18" s="125"/>
      <c r="J18" s="176"/>
      <c r="K18" s="126"/>
      <c r="L18" s="125"/>
      <c r="M18" s="176"/>
      <c r="N18" s="176"/>
      <c r="O18" s="234"/>
      <c r="P18" s="176"/>
      <c r="Q18" s="176"/>
      <c r="R18" s="184"/>
      <c r="S18" s="185"/>
      <c r="T18" s="1138"/>
      <c r="U18" s="106"/>
      <c r="V18" s="140"/>
      <c r="W18" s="1136">
        <f t="shared" si="28"/>
        <v>0</v>
      </c>
      <c r="X18" s="1137">
        <f t="shared" si="12"/>
        <v>0</v>
      </c>
      <c r="Y18" s="1593" t="e">
        <f>BN18*(1+M$41+Summary!P$64)</f>
        <v>#DIV/0!</v>
      </c>
      <c r="Z18" s="1594" t="e">
        <f t="shared" si="29"/>
        <v>#DIV/0!</v>
      </c>
      <c r="AI18" s="299">
        <f t="shared" si="0"/>
        <v>0</v>
      </c>
      <c r="AJ18" s="299">
        <f t="shared" si="1"/>
        <v>0</v>
      </c>
      <c r="AK18" s="299">
        <f t="shared" si="2"/>
        <v>0</v>
      </c>
      <c r="AL18" s="299">
        <f t="shared" si="3"/>
        <v>0</v>
      </c>
      <c r="AM18" s="299">
        <f t="shared" si="4"/>
        <v>0</v>
      </c>
      <c r="AN18" s="299">
        <f t="shared" si="5"/>
        <v>0</v>
      </c>
      <c r="AO18" s="299">
        <f t="shared" si="13"/>
        <v>0</v>
      </c>
      <c r="AP18" s="299">
        <f t="shared" si="14"/>
        <v>0</v>
      </c>
      <c r="AQ18" s="299">
        <f t="shared" si="15"/>
        <v>0</v>
      </c>
      <c r="AR18" s="299">
        <f t="shared" si="16"/>
        <v>0</v>
      </c>
      <c r="AS18" s="299">
        <f t="shared" si="17"/>
        <v>0</v>
      </c>
      <c r="AT18" s="299">
        <f t="shared" si="18"/>
        <v>0</v>
      </c>
      <c r="AU18" s="299">
        <f t="shared" si="19"/>
        <v>0</v>
      </c>
      <c r="AV18" s="299">
        <f t="shared" si="20"/>
        <v>0</v>
      </c>
      <c r="AW18" s="510">
        <f t="shared" si="21"/>
        <v>0</v>
      </c>
      <c r="AX18" s="299">
        <f t="shared" si="30"/>
        <v>0</v>
      </c>
      <c r="AY18" s="299">
        <f t="shared" si="22"/>
        <v>0</v>
      </c>
      <c r="AZ18" s="299">
        <f t="shared" si="23"/>
        <v>0</v>
      </c>
      <c r="BC18" s="299">
        <f t="shared" si="6"/>
        <v>0</v>
      </c>
      <c r="BD18" s="299">
        <f>(AO18*Pricing!F$2+AP18*Pricing!G$2+AQ18*Pricing!H$2+AR18*Pricing!I$2+AS18*Pricing!J$2+AT18*Pricing!K$2+AI18*Pricing!F$2+AJ18*Pricing!G$2+AK18*Pricing!H$2+AL18*Pricing!I$2+AM18*Pricing!J$2+AN18*Pricing!K$2)*IF(U$40="N",(1+W$40),1)</f>
        <v>0</v>
      </c>
      <c r="BE18" s="299">
        <f t="shared" si="7"/>
        <v>0</v>
      </c>
      <c r="BF18" s="299">
        <f t="shared" si="8"/>
        <v>0</v>
      </c>
      <c r="BG18" s="299">
        <f t="shared" si="9"/>
        <v>0</v>
      </c>
      <c r="BH18" s="511" t="e">
        <f t="shared" si="24"/>
        <v>#DIV/0!</v>
      </c>
      <c r="BI18" s="299">
        <f t="shared" si="10"/>
        <v>0</v>
      </c>
      <c r="BK18" s="299">
        <f t="shared" si="11"/>
        <v>0</v>
      </c>
      <c r="BL18" s="299">
        <f>(AI18*Pricing!F$2+AJ18*Pricing!G$2+AK18*Pricing!H$2+AL18*Pricing!I$2+AM18*Pricing!J$2+AN18*Pricing!K$2)*IF(U$40="N",(1+W$40),1)</f>
        <v>0</v>
      </c>
      <c r="BM18" s="299">
        <f t="shared" si="25"/>
        <v>0</v>
      </c>
      <c r="BN18" s="299" t="e">
        <f t="shared" si="26"/>
        <v>#DIV/0!</v>
      </c>
      <c r="BO18" s="299">
        <f t="shared" si="27"/>
        <v>0</v>
      </c>
    </row>
    <row r="19" spans="2:67" s="299" customFormat="1" ht="18" customHeight="1" x14ac:dyDescent="0.35">
      <c r="B19" s="2547" t="s">
        <v>1139</v>
      </c>
      <c r="C19" s="1980"/>
      <c r="D19" s="625"/>
      <c r="E19" s="626">
        <v>1</v>
      </c>
      <c r="F19" s="1139"/>
      <c r="G19" s="176"/>
      <c r="H19" s="126"/>
      <c r="I19" s="125"/>
      <c r="J19" s="176"/>
      <c r="K19" s="126"/>
      <c r="L19" s="125"/>
      <c r="M19" s="176"/>
      <c r="N19" s="176"/>
      <c r="O19" s="234"/>
      <c r="P19" s="176"/>
      <c r="Q19" s="176"/>
      <c r="R19" s="184"/>
      <c r="S19" s="185"/>
      <c r="T19" s="1138"/>
      <c r="U19" s="106"/>
      <c r="V19" s="140"/>
      <c r="W19" s="1136">
        <f t="shared" si="28"/>
        <v>0</v>
      </c>
      <c r="X19" s="1137">
        <f t="shared" si="12"/>
        <v>0</v>
      </c>
      <c r="Y19" s="1593" t="e">
        <f>BN19*(1+M$41+Summary!P$64)</f>
        <v>#DIV/0!</v>
      </c>
      <c r="Z19" s="1594" t="e">
        <f t="shared" si="29"/>
        <v>#DIV/0!</v>
      </c>
      <c r="AI19" s="299">
        <f t="shared" si="0"/>
        <v>0</v>
      </c>
      <c r="AJ19" s="299">
        <f t="shared" si="1"/>
        <v>0</v>
      </c>
      <c r="AK19" s="299">
        <f t="shared" si="2"/>
        <v>0</v>
      </c>
      <c r="AL19" s="299">
        <f t="shared" si="3"/>
        <v>0</v>
      </c>
      <c r="AM19" s="299">
        <f t="shared" si="4"/>
        <v>0</v>
      </c>
      <c r="AN19" s="299">
        <f t="shared" si="5"/>
        <v>0</v>
      </c>
      <c r="AO19" s="299">
        <f t="shared" si="13"/>
        <v>0</v>
      </c>
      <c r="AP19" s="299">
        <f t="shared" si="14"/>
        <v>0</v>
      </c>
      <c r="AQ19" s="299">
        <f t="shared" si="15"/>
        <v>0</v>
      </c>
      <c r="AR19" s="299">
        <f t="shared" si="16"/>
        <v>0</v>
      </c>
      <c r="AS19" s="299">
        <f t="shared" si="17"/>
        <v>0</v>
      </c>
      <c r="AT19" s="299">
        <f t="shared" si="18"/>
        <v>0</v>
      </c>
      <c r="AU19" s="299">
        <f t="shared" si="19"/>
        <v>0</v>
      </c>
      <c r="AV19" s="299">
        <f t="shared" si="20"/>
        <v>0</v>
      </c>
      <c r="AW19" s="510">
        <f t="shared" si="21"/>
        <v>0</v>
      </c>
      <c r="AX19" s="299">
        <f t="shared" si="30"/>
        <v>0</v>
      </c>
      <c r="AY19" s="299">
        <f t="shared" si="22"/>
        <v>0</v>
      </c>
      <c r="AZ19" s="299">
        <f t="shared" si="23"/>
        <v>0</v>
      </c>
      <c r="BC19" s="299">
        <f t="shared" si="6"/>
        <v>0</v>
      </c>
      <c r="BD19" s="299">
        <f>(AO19*Pricing!F$2+AP19*Pricing!G$2+AQ19*Pricing!H$2+AR19*Pricing!I$2+AS19*Pricing!J$2+AT19*Pricing!K$2+AI19*Pricing!F$2+AJ19*Pricing!G$2+AK19*Pricing!H$2+AL19*Pricing!I$2+AM19*Pricing!J$2+AN19*Pricing!K$2)*IF(U$40="N",(1+W$40),1)</f>
        <v>0</v>
      </c>
      <c r="BE19" s="299">
        <f t="shared" si="7"/>
        <v>0</v>
      </c>
      <c r="BF19" s="299">
        <f t="shared" si="8"/>
        <v>0</v>
      </c>
      <c r="BG19" s="299">
        <f t="shared" si="9"/>
        <v>0</v>
      </c>
      <c r="BH19" s="511" t="e">
        <f t="shared" si="24"/>
        <v>#DIV/0!</v>
      </c>
      <c r="BI19" s="299">
        <f t="shared" si="10"/>
        <v>0</v>
      </c>
      <c r="BK19" s="299">
        <f t="shared" si="11"/>
        <v>0</v>
      </c>
      <c r="BL19" s="299">
        <f>(AI19*Pricing!F$2+AJ19*Pricing!G$2+AK19*Pricing!H$2+AL19*Pricing!I$2+AM19*Pricing!J$2+AN19*Pricing!K$2)*IF(U$40="N",(1+W$40),1)</f>
        <v>0</v>
      </c>
      <c r="BM19" s="299">
        <f t="shared" si="25"/>
        <v>0</v>
      </c>
      <c r="BN19" s="299" t="e">
        <f t="shared" si="26"/>
        <v>#DIV/0!</v>
      </c>
      <c r="BO19" s="299">
        <f t="shared" si="27"/>
        <v>0</v>
      </c>
    </row>
    <row r="20" spans="2:67" s="299" customFormat="1" ht="18" customHeight="1" x14ac:dyDescent="0.35">
      <c r="B20" s="2547" t="s">
        <v>1140</v>
      </c>
      <c r="C20" s="1980"/>
      <c r="D20" s="625"/>
      <c r="E20" s="626">
        <v>1</v>
      </c>
      <c r="F20" s="1139"/>
      <c r="G20" s="176"/>
      <c r="H20" s="126"/>
      <c r="I20" s="125"/>
      <c r="J20" s="176"/>
      <c r="K20" s="126"/>
      <c r="L20" s="125"/>
      <c r="M20" s="176"/>
      <c r="N20" s="176"/>
      <c r="O20" s="234"/>
      <c r="P20" s="176"/>
      <c r="Q20" s="176"/>
      <c r="R20" s="184"/>
      <c r="S20" s="185"/>
      <c r="T20" s="1138"/>
      <c r="U20" s="106"/>
      <c r="V20" s="140"/>
      <c r="W20" s="1136">
        <f t="shared" si="28"/>
        <v>0</v>
      </c>
      <c r="X20" s="1137">
        <f t="shared" si="12"/>
        <v>0</v>
      </c>
      <c r="Y20" s="1593" t="e">
        <f>BN20*(1+M$41+Summary!P$64)</f>
        <v>#DIV/0!</v>
      </c>
      <c r="Z20" s="1594" t="e">
        <f t="shared" si="29"/>
        <v>#DIV/0!</v>
      </c>
      <c r="AI20" s="299">
        <f t="shared" si="0"/>
        <v>0</v>
      </c>
      <c r="AJ20" s="299">
        <f t="shared" si="1"/>
        <v>0</v>
      </c>
      <c r="AK20" s="299">
        <f t="shared" si="2"/>
        <v>0</v>
      </c>
      <c r="AL20" s="299">
        <f t="shared" si="3"/>
        <v>0</v>
      </c>
      <c r="AM20" s="299">
        <f t="shared" si="4"/>
        <v>0</v>
      </c>
      <c r="AN20" s="299">
        <f t="shared" si="5"/>
        <v>0</v>
      </c>
      <c r="AO20" s="299">
        <f t="shared" si="13"/>
        <v>0</v>
      </c>
      <c r="AP20" s="299">
        <f t="shared" si="14"/>
        <v>0</v>
      </c>
      <c r="AQ20" s="299">
        <f t="shared" si="15"/>
        <v>0</v>
      </c>
      <c r="AR20" s="299">
        <f t="shared" si="16"/>
        <v>0</v>
      </c>
      <c r="AS20" s="299">
        <f t="shared" si="17"/>
        <v>0</v>
      </c>
      <c r="AT20" s="299">
        <f t="shared" si="18"/>
        <v>0</v>
      </c>
      <c r="AU20" s="299">
        <f t="shared" si="19"/>
        <v>0</v>
      </c>
      <c r="AV20" s="299">
        <f t="shared" si="20"/>
        <v>0</v>
      </c>
      <c r="AW20" s="510">
        <f t="shared" si="21"/>
        <v>0</v>
      </c>
      <c r="AX20" s="299">
        <f t="shared" si="30"/>
        <v>0</v>
      </c>
      <c r="AY20" s="299">
        <f t="shared" si="22"/>
        <v>0</v>
      </c>
      <c r="AZ20" s="299">
        <f t="shared" si="23"/>
        <v>0</v>
      </c>
      <c r="BC20" s="299">
        <f t="shared" si="6"/>
        <v>0</v>
      </c>
      <c r="BD20" s="299">
        <f>(AO20*Pricing!F$2+AP20*Pricing!G$2+AQ20*Pricing!H$2+AR20*Pricing!I$2+AS20*Pricing!J$2+AT20*Pricing!K$2+AI20*Pricing!F$2+AJ20*Pricing!G$2+AK20*Pricing!H$2+AL20*Pricing!I$2+AM20*Pricing!J$2+AN20*Pricing!K$2)*IF(U$40="N",(1+W$40),1)</f>
        <v>0</v>
      </c>
      <c r="BE20" s="299">
        <f t="shared" si="7"/>
        <v>0</v>
      </c>
      <c r="BF20" s="299">
        <f t="shared" si="8"/>
        <v>0</v>
      </c>
      <c r="BG20" s="299">
        <f t="shared" si="9"/>
        <v>0</v>
      </c>
      <c r="BH20" s="511" t="e">
        <f t="shared" si="24"/>
        <v>#DIV/0!</v>
      </c>
      <c r="BI20" s="299">
        <f t="shared" si="10"/>
        <v>0</v>
      </c>
      <c r="BK20" s="299">
        <f t="shared" si="11"/>
        <v>0</v>
      </c>
      <c r="BL20" s="299">
        <f>(AI20*Pricing!F$2+AJ20*Pricing!G$2+AK20*Pricing!H$2+AL20*Pricing!I$2+AM20*Pricing!J$2+AN20*Pricing!K$2)*IF(U$40="N",(1+W$40),1)</f>
        <v>0</v>
      </c>
      <c r="BM20" s="299">
        <f t="shared" si="25"/>
        <v>0</v>
      </c>
      <c r="BN20" s="299" t="e">
        <f t="shared" si="26"/>
        <v>#DIV/0!</v>
      </c>
      <c r="BO20" s="299">
        <f t="shared" si="27"/>
        <v>0</v>
      </c>
    </row>
    <row r="21" spans="2:67" s="299" customFormat="1" ht="18" customHeight="1" x14ac:dyDescent="0.35">
      <c r="B21" s="2547" t="s">
        <v>1141</v>
      </c>
      <c r="C21" s="1980"/>
      <c r="D21" s="625"/>
      <c r="E21" s="626">
        <v>1</v>
      </c>
      <c r="F21" s="1139"/>
      <c r="G21" s="176"/>
      <c r="H21" s="126"/>
      <c r="I21" s="125"/>
      <c r="J21" s="176"/>
      <c r="K21" s="126"/>
      <c r="L21" s="125"/>
      <c r="M21" s="176"/>
      <c r="N21" s="176"/>
      <c r="O21" s="234"/>
      <c r="P21" s="176"/>
      <c r="Q21" s="176"/>
      <c r="R21" s="184"/>
      <c r="S21" s="185"/>
      <c r="T21" s="1138"/>
      <c r="U21" s="106"/>
      <c r="V21" s="140"/>
      <c r="W21" s="1136">
        <f t="shared" si="28"/>
        <v>0</v>
      </c>
      <c r="X21" s="1137">
        <f t="shared" si="12"/>
        <v>0</v>
      </c>
      <c r="Y21" s="1593" t="e">
        <f>BN21*(1+M$41+Summary!P$64)</f>
        <v>#DIV/0!</v>
      </c>
      <c r="Z21" s="1594" t="e">
        <f t="shared" si="29"/>
        <v>#DIV/0!</v>
      </c>
      <c r="AI21" s="299">
        <f t="shared" si="0"/>
        <v>0</v>
      </c>
      <c r="AJ21" s="299">
        <f t="shared" si="1"/>
        <v>0</v>
      </c>
      <c r="AK21" s="299">
        <f t="shared" si="2"/>
        <v>0</v>
      </c>
      <c r="AL21" s="299">
        <f t="shared" si="3"/>
        <v>0</v>
      </c>
      <c r="AM21" s="299">
        <f t="shared" si="4"/>
        <v>0</v>
      </c>
      <c r="AN21" s="299">
        <f t="shared" si="5"/>
        <v>0</v>
      </c>
      <c r="AO21" s="299">
        <f t="shared" si="13"/>
        <v>0</v>
      </c>
      <c r="AP21" s="299">
        <f t="shared" si="14"/>
        <v>0</v>
      </c>
      <c r="AQ21" s="299">
        <f t="shared" si="15"/>
        <v>0</v>
      </c>
      <c r="AR21" s="299">
        <f t="shared" si="16"/>
        <v>0</v>
      </c>
      <c r="AS21" s="299">
        <f t="shared" si="17"/>
        <v>0</v>
      </c>
      <c r="AT21" s="299">
        <f t="shared" si="18"/>
        <v>0</v>
      </c>
      <c r="AU21" s="299">
        <f t="shared" si="19"/>
        <v>0</v>
      </c>
      <c r="AV21" s="299">
        <f t="shared" si="20"/>
        <v>0</v>
      </c>
      <c r="AW21" s="510">
        <f t="shared" si="21"/>
        <v>0</v>
      </c>
      <c r="AX21" s="299">
        <f t="shared" si="30"/>
        <v>0</v>
      </c>
      <c r="AY21" s="299">
        <f t="shared" si="22"/>
        <v>0</v>
      </c>
      <c r="AZ21" s="299">
        <f t="shared" si="23"/>
        <v>0</v>
      </c>
      <c r="BC21" s="299">
        <f t="shared" si="6"/>
        <v>0</v>
      </c>
      <c r="BD21" s="299">
        <f>(AO21*Pricing!F$2+AP21*Pricing!G$2+AQ21*Pricing!H$2+AR21*Pricing!I$2+AS21*Pricing!J$2+AT21*Pricing!K$2+AI21*Pricing!F$2+AJ21*Pricing!G$2+AK21*Pricing!H$2+AL21*Pricing!I$2+AM21*Pricing!J$2+AN21*Pricing!K$2)*IF(U$40="N",(1+W$40),1)</f>
        <v>0</v>
      </c>
      <c r="BE21" s="299">
        <f t="shared" si="7"/>
        <v>0</v>
      </c>
      <c r="BF21" s="299">
        <f t="shared" si="8"/>
        <v>0</v>
      </c>
      <c r="BG21" s="299">
        <f t="shared" si="9"/>
        <v>0</v>
      </c>
      <c r="BH21" s="511" t="e">
        <f t="shared" si="24"/>
        <v>#DIV/0!</v>
      </c>
      <c r="BI21" s="299">
        <f t="shared" si="10"/>
        <v>0</v>
      </c>
      <c r="BK21" s="299">
        <f t="shared" si="11"/>
        <v>0</v>
      </c>
      <c r="BL21" s="299">
        <f>(AI21*Pricing!F$2+AJ21*Pricing!G$2+AK21*Pricing!H$2+AL21*Pricing!I$2+AM21*Pricing!J$2+AN21*Pricing!K$2)*IF(U$40="N",(1+W$40),1)</f>
        <v>0</v>
      </c>
      <c r="BM21" s="299">
        <f t="shared" si="25"/>
        <v>0</v>
      </c>
      <c r="BN21" s="299" t="e">
        <f t="shared" si="26"/>
        <v>#DIV/0!</v>
      </c>
      <c r="BO21" s="299">
        <f t="shared" si="27"/>
        <v>0</v>
      </c>
    </row>
    <row r="22" spans="2:67" s="299" customFormat="1" ht="18" customHeight="1" x14ac:dyDescent="0.35">
      <c r="B22" s="2547" t="s">
        <v>1154</v>
      </c>
      <c r="C22" s="1980"/>
      <c r="D22" s="625"/>
      <c r="E22" s="626">
        <v>1</v>
      </c>
      <c r="F22" s="1139"/>
      <c r="G22" s="176"/>
      <c r="H22" s="126"/>
      <c r="I22" s="125"/>
      <c r="J22" s="176"/>
      <c r="K22" s="126"/>
      <c r="L22" s="125"/>
      <c r="M22" s="176"/>
      <c r="N22" s="176"/>
      <c r="O22" s="234"/>
      <c r="P22" s="176"/>
      <c r="Q22" s="176"/>
      <c r="R22" s="184"/>
      <c r="S22" s="185"/>
      <c r="T22" s="1138"/>
      <c r="U22" s="106"/>
      <c r="V22" s="140"/>
      <c r="W22" s="1136">
        <f t="shared" si="28"/>
        <v>0</v>
      </c>
      <c r="X22" s="1137">
        <f t="shared" si="12"/>
        <v>0</v>
      </c>
      <c r="Y22" s="1593" t="e">
        <f>BN22*(1+M$41+Summary!P$64)</f>
        <v>#DIV/0!</v>
      </c>
      <c r="Z22" s="1594" t="e">
        <f t="shared" si="29"/>
        <v>#DIV/0!</v>
      </c>
      <c r="AI22" s="299">
        <f t="shared" si="0"/>
        <v>0</v>
      </c>
      <c r="AJ22" s="299">
        <f t="shared" si="1"/>
        <v>0</v>
      </c>
      <c r="AK22" s="299">
        <f t="shared" si="2"/>
        <v>0</v>
      </c>
      <c r="AL22" s="299">
        <f t="shared" si="3"/>
        <v>0</v>
      </c>
      <c r="AM22" s="299">
        <f t="shared" si="4"/>
        <v>0</v>
      </c>
      <c r="AN22" s="299">
        <f t="shared" si="5"/>
        <v>0</v>
      </c>
      <c r="AO22" s="299">
        <f t="shared" si="13"/>
        <v>0</v>
      </c>
      <c r="AP22" s="299">
        <f t="shared" si="14"/>
        <v>0</v>
      </c>
      <c r="AQ22" s="299">
        <f t="shared" si="15"/>
        <v>0</v>
      </c>
      <c r="AR22" s="299">
        <f t="shared" si="16"/>
        <v>0</v>
      </c>
      <c r="AS22" s="299">
        <f t="shared" si="17"/>
        <v>0</v>
      </c>
      <c r="AT22" s="299">
        <f t="shared" si="18"/>
        <v>0</v>
      </c>
      <c r="AU22" s="299">
        <f t="shared" si="19"/>
        <v>0</v>
      </c>
      <c r="AV22" s="299">
        <f t="shared" si="20"/>
        <v>0</v>
      </c>
      <c r="AW22" s="510">
        <f t="shared" si="21"/>
        <v>0</v>
      </c>
      <c r="AX22" s="299">
        <f t="shared" si="30"/>
        <v>0</v>
      </c>
      <c r="AY22" s="299">
        <f t="shared" si="22"/>
        <v>0</v>
      </c>
      <c r="AZ22" s="299">
        <f t="shared" si="23"/>
        <v>0</v>
      </c>
      <c r="BC22" s="299">
        <f t="shared" si="6"/>
        <v>0</v>
      </c>
      <c r="BD22" s="299">
        <f>(AO22*Pricing!F$2+AP22*Pricing!G$2+AQ22*Pricing!H$2+AR22*Pricing!I$2+AS22*Pricing!J$2+AT22*Pricing!K$2+AI22*Pricing!F$2+AJ22*Pricing!G$2+AK22*Pricing!H$2+AL22*Pricing!I$2+AM22*Pricing!J$2+AN22*Pricing!K$2)*IF(U$40="N",(1+W$40),1)</f>
        <v>0</v>
      </c>
      <c r="BE22" s="299">
        <f t="shared" si="7"/>
        <v>0</v>
      </c>
      <c r="BF22" s="299">
        <f t="shared" si="8"/>
        <v>0</v>
      </c>
      <c r="BG22" s="299">
        <f t="shared" si="9"/>
        <v>0</v>
      </c>
      <c r="BH22" s="511" t="e">
        <f t="shared" si="24"/>
        <v>#DIV/0!</v>
      </c>
      <c r="BI22" s="299">
        <f t="shared" si="10"/>
        <v>0</v>
      </c>
      <c r="BK22" s="299">
        <f t="shared" si="11"/>
        <v>0</v>
      </c>
      <c r="BL22" s="299">
        <f>(AI22*Pricing!F$2+AJ22*Pricing!G$2+AK22*Pricing!H$2+AL22*Pricing!I$2+AM22*Pricing!J$2+AN22*Pricing!K$2)*IF(U$40="N",(1+W$40),1)</f>
        <v>0</v>
      </c>
      <c r="BM22" s="299">
        <f t="shared" si="25"/>
        <v>0</v>
      </c>
      <c r="BN22" s="299" t="e">
        <f t="shared" si="26"/>
        <v>#DIV/0!</v>
      </c>
      <c r="BO22" s="299">
        <f t="shared" si="27"/>
        <v>0</v>
      </c>
    </row>
    <row r="23" spans="2:67" s="299" customFormat="1" ht="18" customHeight="1" x14ac:dyDescent="0.35">
      <c r="B23" s="2547" t="s">
        <v>1155</v>
      </c>
      <c r="C23" s="1980"/>
      <c r="D23" s="625"/>
      <c r="E23" s="626">
        <v>1</v>
      </c>
      <c r="F23" s="1139"/>
      <c r="G23" s="176"/>
      <c r="H23" s="126"/>
      <c r="I23" s="125"/>
      <c r="J23" s="380"/>
      <c r="K23" s="126"/>
      <c r="L23" s="125"/>
      <c r="M23" s="176"/>
      <c r="N23" s="176"/>
      <c r="O23" s="234"/>
      <c r="P23" s="176"/>
      <c r="Q23" s="176"/>
      <c r="R23" s="184"/>
      <c r="S23" s="185"/>
      <c r="T23" s="1138"/>
      <c r="U23" s="106"/>
      <c r="V23" s="140"/>
      <c r="W23" s="1136">
        <f t="shared" si="28"/>
        <v>0</v>
      </c>
      <c r="X23" s="1137">
        <f t="shared" si="12"/>
        <v>0</v>
      </c>
      <c r="Y23" s="1593" t="e">
        <f>BN23*(1+M$41+Summary!P$64)</f>
        <v>#DIV/0!</v>
      </c>
      <c r="Z23" s="1594" t="e">
        <f t="shared" si="29"/>
        <v>#DIV/0!</v>
      </c>
      <c r="AI23" s="299">
        <f t="shared" si="0"/>
        <v>0</v>
      </c>
      <c r="AJ23" s="299">
        <f t="shared" si="1"/>
        <v>0</v>
      </c>
      <c r="AK23" s="299">
        <f t="shared" si="2"/>
        <v>0</v>
      </c>
      <c r="AL23" s="299">
        <f t="shared" si="3"/>
        <v>0</v>
      </c>
      <c r="AM23" s="299">
        <f t="shared" si="4"/>
        <v>0</v>
      </c>
      <c r="AN23" s="299">
        <f t="shared" si="5"/>
        <v>0</v>
      </c>
      <c r="AO23" s="299">
        <f t="shared" si="13"/>
        <v>0</v>
      </c>
      <c r="AP23" s="299">
        <f t="shared" si="14"/>
        <v>0</v>
      </c>
      <c r="AQ23" s="299">
        <f t="shared" si="15"/>
        <v>0</v>
      </c>
      <c r="AR23" s="299">
        <f t="shared" si="16"/>
        <v>0</v>
      </c>
      <c r="AS23" s="299">
        <f t="shared" si="17"/>
        <v>0</v>
      </c>
      <c r="AT23" s="299">
        <f t="shared" si="18"/>
        <v>0</v>
      </c>
      <c r="AU23" s="299">
        <f t="shared" si="19"/>
        <v>0</v>
      </c>
      <c r="AV23" s="299">
        <f t="shared" si="20"/>
        <v>0</v>
      </c>
      <c r="AW23" s="510">
        <f t="shared" si="21"/>
        <v>0</v>
      </c>
      <c r="AX23" s="299">
        <f t="shared" si="30"/>
        <v>0</v>
      </c>
      <c r="AY23" s="299">
        <f t="shared" si="22"/>
        <v>0</v>
      </c>
      <c r="AZ23" s="299">
        <f t="shared" si="23"/>
        <v>0</v>
      </c>
      <c r="BC23" s="299">
        <f t="shared" si="6"/>
        <v>0</v>
      </c>
      <c r="BD23" s="299">
        <f>(AO23*Pricing!F$2+AP23*Pricing!G$2+AQ23*Pricing!H$2+AR23*Pricing!I$2+AS23*Pricing!J$2+AT23*Pricing!K$2+AI23*Pricing!F$2+AJ23*Pricing!G$2+AK23*Pricing!H$2+AL23*Pricing!I$2+AM23*Pricing!J$2+AN23*Pricing!K$2)*IF(U$40="N",(1+W$40),1)</f>
        <v>0</v>
      </c>
      <c r="BE23" s="299">
        <f t="shared" si="7"/>
        <v>0</v>
      </c>
      <c r="BF23" s="299">
        <f t="shared" si="8"/>
        <v>0</v>
      </c>
      <c r="BG23" s="299">
        <f t="shared" si="9"/>
        <v>0</v>
      </c>
      <c r="BH23" s="511" t="e">
        <f t="shared" si="24"/>
        <v>#DIV/0!</v>
      </c>
      <c r="BI23" s="299">
        <f t="shared" si="10"/>
        <v>0</v>
      </c>
      <c r="BK23" s="299">
        <f t="shared" si="11"/>
        <v>0</v>
      </c>
      <c r="BL23" s="299">
        <f>(AI23*Pricing!F$2+AJ23*Pricing!G$2+AK23*Pricing!H$2+AL23*Pricing!I$2+AM23*Pricing!J$2+AN23*Pricing!K$2)*IF(U$40="N",(1+W$40),1)</f>
        <v>0</v>
      </c>
      <c r="BM23" s="299">
        <f t="shared" si="25"/>
        <v>0</v>
      </c>
      <c r="BN23" s="299" t="e">
        <f t="shared" si="26"/>
        <v>#DIV/0!</v>
      </c>
      <c r="BO23" s="299">
        <f t="shared" si="27"/>
        <v>0</v>
      </c>
    </row>
    <row r="24" spans="2:67" s="299" customFormat="1" ht="18" customHeight="1" x14ac:dyDescent="0.35">
      <c r="B24" s="2547" t="s">
        <v>1156</v>
      </c>
      <c r="C24" s="1980"/>
      <c r="D24" s="625"/>
      <c r="E24" s="626">
        <v>1</v>
      </c>
      <c r="F24" s="1139"/>
      <c r="G24" s="176"/>
      <c r="H24" s="126"/>
      <c r="I24" s="125"/>
      <c r="J24" s="176"/>
      <c r="K24" s="126"/>
      <c r="L24" s="125"/>
      <c r="M24" s="176"/>
      <c r="N24" s="176"/>
      <c r="O24" s="234"/>
      <c r="P24" s="176"/>
      <c r="Q24" s="176"/>
      <c r="R24" s="184"/>
      <c r="S24" s="185"/>
      <c r="T24" s="1138"/>
      <c r="U24" s="106"/>
      <c r="V24" s="140"/>
      <c r="W24" s="1136">
        <f t="shared" si="28"/>
        <v>0</v>
      </c>
      <c r="X24" s="1137">
        <f t="shared" si="12"/>
        <v>0</v>
      </c>
      <c r="Y24" s="1593" t="e">
        <f>BN24*(1+M$41+Summary!P$64)</f>
        <v>#DIV/0!</v>
      </c>
      <c r="Z24" s="1594" t="e">
        <f t="shared" si="29"/>
        <v>#DIV/0!</v>
      </c>
      <c r="AI24" s="299">
        <f t="shared" si="0"/>
        <v>0</v>
      </c>
      <c r="AJ24" s="299">
        <f t="shared" si="1"/>
        <v>0</v>
      </c>
      <c r="AK24" s="299">
        <f t="shared" si="2"/>
        <v>0</v>
      </c>
      <c r="AL24" s="299">
        <f t="shared" si="3"/>
        <v>0</v>
      </c>
      <c r="AM24" s="299">
        <f t="shared" si="4"/>
        <v>0</v>
      </c>
      <c r="AN24" s="299">
        <f t="shared" si="5"/>
        <v>0</v>
      </c>
      <c r="AO24" s="299">
        <f t="shared" si="13"/>
        <v>0</v>
      </c>
      <c r="AP24" s="299">
        <f t="shared" si="14"/>
        <v>0</v>
      </c>
      <c r="AQ24" s="299">
        <f t="shared" si="15"/>
        <v>0</v>
      </c>
      <c r="AR24" s="299">
        <f t="shared" si="16"/>
        <v>0</v>
      </c>
      <c r="AS24" s="299">
        <f t="shared" si="17"/>
        <v>0</v>
      </c>
      <c r="AT24" s="299">
        <f t="shared" si="18"/>
        <v>0</v>
      </c>
      <c r="AU24" s="299">
        <f t="shared" si="19"/>
        <v>0</v>
      </c>
      <c r="AV24" s="299">
        <f t="shared" si="20"/>
        <v>0</v>
      </c>
      <c r="AW24" s="510">
        <f t="shared" si="21"/>
        <v>0</v>
      </c>
      <c r="AX24" s="299">
        <f t="shared" si="30"/>
        <v>0</v>
      </c>
      <c r="AY24" s="299">
        <f t="shared" si="22"/>
        <v>0</v>
      </c>
      <c r="AZ24" s="299">
        <f t="shared" si="23"/>
        <v>0</v>
      </c>
      <c r="BC24" s="299">
        <f t="shared" si="6"/>
        <v>0</v>
      </c>
      <c r="BD24" s="299">
        <f>(AO24*Pricing!F$2+AP24*Pricing!G$2+AQ24*Pricing!H$2+AR24*Pricing!I$2+AS24*Pricing!J$2+AT24*Pricing!K$2+AI24*Pricing!F$2+AJ24*Pricing!G$2+AK24*Pricing!H$2+AL24*Pricing!I$2+AM24*Pricing!J$2+AN24*Pricing!K$2)*IF(U$40="N",(1+W$40),1)</f>
        <v>0</v>
      </c>
      <c r="BE24" s="299">
        <f t="shared" si="7"/>
        <v>0</v>
      </c>
      <c r="BF24" s="299">
        <f t="shared" si="8"/>
        <v>0</v>
      </c>
      <c r="BG24" s="299">
        <f t="shared" si="9"/>
        <v>0</v>
      </c>
      <c r="BH24" s="511" t="e">
        <f t="shared" si="24"/>
        <v>#DIV/0!</v>
      </c>
      <c r="BI24" s="299">
        <f t="shared" si="10"/>
        <v>0</v>
      </c>
      <c r="BK24" s="299">
        <f t="shared" si="11"/>
        <v>0</v>
      </c>
      <c r="BL24" s="299">
        <f>(AI24*Pricing!F$2+AJ24*Pricing!G$2+AK24*Pricing!H$2+AL24*Pricing!I$2+AM24*Pricing!J$2+AN24*Pricing!K$2)*IF(U$40="N",(1+W$40),1)</f>
        <v>0</v>
      </c>
      <c r="BM24" s="299">
        <f t="shared" si="25"/>
        <v>0</v>
      </c>
      <c r="BN24" s="299" t="e">
        <f t="shared" si="26"/>
        <v>#DIV/0!</v>
      </c>
      <c r="BO24" s="299">
        <f t="shared" si="27"/>
        <v>0</v>
      </c>
    </row>
    <row r="25" spans="2:67" s="299" customFormat="1" ht="18" customHeight="1" x14ac:dyDescent="0.35">
      <c r="B25" s="2547" t="s">
        <v>1157</v>
      </c>
      <c r="C25" s="1980"/>
      <c r="D25" s="625"/>
      <c r="E25" s="626">
        <v>1</v>
      </c>
      <c r="F25" s="1139"/>
      <c r="G25" s="176"/>
      <c r="H25" s="126"/>
      <c r="I25" s="125"/>
      <c r="J25" s="176"/>
      <c r="K25" s="126"/>
      <c r="L25" s="125"/>
      <c r="M25" s="176"/>
      <c r="N25" s="176"/>
      <c r="O25" s="234"/>
      <c r="P25" s="176"/>
      <c r="Q25" s="176"/>
      <c r="R25" s="184"/>
      <c r="S25" s="185"/>
      <c r="T25" s="1138"/>
      <c r="U25" s="106"/>
      <c r="V25" s="140"/>
      <c r="W25" s="1136">
        <f t="shared" si="28"/>
        <v>0</v>
      </c>
      <c r="X25" s="1137">
        <f t="shared" si="12"/>
        <v>0</v>
      </c>
      <c r="Y25" s="1593" t="e">
        <f>BN25*(1+M$41+Summary!P$64)</f>
        <v>#DIV/0!</v>
      </c>
      <c r="Z25" s="1594" t="e">
        <f t="shared" si="29"/>
        <v>#DIV/0!</v>
      </c>
      <c r="AI25" s="299">
        <f t="shared" si="0"/>
        <v>0</v>
      </c>
      <c r="AJ25" s="299">
        <f t="shared" si="1"/>
        <v>0</v>
      </c>
      <c r="AK25" s="299">
        <f t="shared" si="2"/>
        <v>0</v>
      </c>
      <c r="AL25" s="299">
        <f t="shared" si="3"/>
        <v>0</v>
      </c>
      <c r="AM25" s="299">
        <f t="shared" si="4"/>
        <v>0</v>
      </c>
      <c r="AN25" s="299">
        <f t="shared" si="5"/>
        <v>0</v>
      </c>
      <c r="AO25" s="299">
        <f t="shared" si="13"/>
        <v>0</v>
      </c>
      <c r="AP25" s="299">
        <f t="shared" si="14"/>
        <v>0</v>
      </c>
      <c r="AQ25" s="299">
        <f t="shared" si="15"/>
        <v>0</v>
      </c>
      <c r="AR25" s="299">
        <f t="shared" si="16"/>
        <v>0</v>
      </c>
      <c r="AS25" s="299">
        <f t="shared" si="17"/>
        <v>0</v>
      </c>
      <c r="AT25" s="299">
        <f t="shared" si="18"/>
        <v>0</v>
      </c>
      <c r="AU25" s="299">
        <f t="shared" si="19"/>
        <v>0</v>
      </c>
      <c r="AV25" s="299">
        <f t="shared" si="20"/>
        <v>0</v>
      </c>
      <c r="AW25" s="510">
        <f t="shared" si="21"/>
        <v>0</v>
      </c>
      <c r="AX25" s="299">
        <f t="shared" si="30"/>
        <v>0</v>
      </c>
      <c r="AY25" s="299">
        <f t="shared" si="22"/>
        <v>0</v>
      </c>
      <c r="AZ25" s="299">
        <f t="shared" si="23"/>
        <v>0</v>
      </c>
      <c r="BC25" s="299">
        <f t="shared" si="6"/>
        <v>0</v>
      </c>
      <c r="BD25" s="299">
        <f>(AO25*Pricing!F$2+AP25*Pricing!G$2+AQ25*Pricing!H$2+AR25*Pricing!I$2+AS25*Pricing!J$2+AT25*Pricing!K$2+AI25*Pricing!F$2+AJ25*Pricing!G$2+AK25*Pricing!H$2+AL25*Pricing!I$2+AM25*Pricing!J$2+AN25*Pricing!K$2)*IF(U$40="N",(1+W$40),1)</f>
        <v>0</v>
      </c>
      <c r="BE25" s="299">
        <f t="shared" si="7"/>
        <v>0</v>
      </c>
      <c r="BF25" s="299">
        <f t="shared" si="8"/>
        <v>0</v>
      </c>
      <c r="BG25" s="299">
        <f t="shared" si="9"/>
        <v>0</v>
      </c>
      <c r="BH25" s="511" t="e">
        <f t="shared" si="24"/>
        <v>#DIV/0!</v>
      </c>
      <c r="BI25" s="299">
        <f t="shared" si="10"/>
        <v>0</v>
      </c>
      <c r="BK25" s="299">
        <f t="shared" si="11"/>
        <v>0</v>
      </c>
      <c r="BL25" s="299">
        <f>(AI25*Pricing!F$2+AJ25*Pricing!G$2+AK25*Pricing!H$2+AL25*Pricing!I$2+AM25*Pricing!J$2+AN25*Pricing!K$2)*IF(U$40="N",(1+W$40),1)</f>
        <v>0</v>
      </c>
      <c r="BM25" s="299">
        <f t="shared" si="25"/>
        <v>0</v>
      </c>
      <c r="BN25" s="299" t="e">
        <f t="shared" si="26"/>
        <v>#DIV/0!</v>
      </c>
      <c r="BO25" s="299">
        <f t="shared" si="27"/>
        <v>0</v>
      </c>
    </row>
    <row r="26" spans="2:67" s="299" customFormat="1" ht="18" customHeight="1" x14ac:dyDescent="0.35">
      <c r="B26" s="2547" t="s">
        <v>1158</v>
      </c>
      <c r="C26" s="1980"/>
      <c r="D26" s="625"/>
      <c r="E26" s="626">
        <v>1</v>
      </c>
      <c r="F26" s="1139"/>
      <c r="G26" s="176"/>
      <c r="H26" s="126"/>
      <c r="I26" s="125"/>
      <c r="J26" s="176"/>
      <c r="K26" s="126"/>
      <c r="L26" s="125"/>
      <c r="M26" s="176"/>
      <c r="N26" s="176"/>
      <c r="O26" s="234"/>
      <c r="P26" s="176"/>
      <c r="Q26" s="176"/>
      <c r="R26" s="176"/>
      <c r="S26" s="185"/>
      <c r="T26" s="1138"/>
      <c r="U26" s="106"/>
      <c r="V26" s="140"/>
      <c r="W26" s="1136">
        <f t="shared" si="28"/>
        <v>0</v>
      </c>
      <c r="X26" s="1137">
        <f t="shared" si="12"/>
        <v>0</v>
      </c>
      <c r="Y26" s="1593" t="e">
        <f>BN26*(1+M$41+Summary!P$64)</f>
        <v>#DIV/0!</v>
      </c>
      <c r="Z26" s="1594" t="e">
        <f t="shared" si="29"/>
        <v>#DIV/0!</v>
      </c>
      <c r="AI26" s="299">
        <f t="shared" si="0"/>
        <v>0</v>
      </c>
      <c r="AJ26" s="299">
        <f t="shared" si="1"/>
        <v>0</v>
      </c>
      <c r="AK26" s="299">
        <f t="shared" si="2"/>
        <v>0</v>
      </c>
      <c r="AL26" s="299">
        <f t="shared" si="3"/>
        <v>0</v>
      </c>
      <c r="AM26" s="299">
        <f t="shared" si="4"/>
        <v>0</v>
      </c>
      <c r="AN26" s="299">
        <f t="shared" si="5"/>
        <v>0</v>
      </c>
      <c r="AO26" s="299">
        <f t="shared" si="13"/>
        <v>0</v>
      </c>
      <c r="AP26" s="299">
        <f t="shared" si="14"/>
        <v>0</v>
      </c>
      <c r="AQ26" s="299">
        <f t="shared" si="15"/>
        <v>0</v>
      </c>
      <c r="AR26" s="299">
        <f t="shared" si="16"/>
        <v>0</v>
      </c>
      <c r="AS26" s="299">
        <f t="shared" si="17"/>
        <v>0</v>
      </c>
      <c r="AT26" s="299">
        <f t="shared" si="18"/>
        <v>0</v>
      </c>
      <c r="AU26" s="299">
        <f t="shared" si="19"/>
        <v>0</v>
      </c>
      <c r="AV26" s="299">
        <f t="shared" si="20"/>
        <v>0</v>
      </c>
      <c r="AW26" s="510">
        <f t="shared" si="21"/>
        <v>0</v>
      </c>
      <c r="AX26" s="299">
        <f t="shared" si="30"/>
        <v>0</v>
      </c>
      <c r="AY26" s="299">
        <f t="shared" si="22"/>
        <v>0</v>
      </c>
      <c r="AZ26" s="299">
        <f t="shared" si="23"/>
        <v>0</v>
      </c>
      <c r="BC26" s="299">
        <f t="shared" si="6"/>
        <v>0</v>
      </c>
      <c r="BD26" s="299">
        <f>(AO26*Pricing!F$2+AP26*Pricing!G$2+AQ26*Pricing!H$2+AR26*Pricing!I$2+AS26*Pricing!J$2+AT26*Pricing!K$2+AI26*Pricing!F$2+AJ26*Pricing!G$2+AK26*Pricing!H$2+AL26*Pricing!I$2+AM26*Pricing!J$2+AN26*Pricing!K$2)*IF(U$40="N",(1+W$40),1)</f>
        <v>0</v>
      </c>
      <c r="BE26" s="299">
        <f t="shared" si="7"/>
        <v>0</v>
      </c>
      <c r="BF26" s="299">
        <f t="shared" si="8"/>
        <v>0</v>
      </c>
      <c r="BG26" s="299">
        <f t="shared" si="9"/>
        <v>0</v>
      </c>
      <c r="BH26" s="511" t="e">
        <f t="shared" si="24"/>
        <v>#DIV/0!</v>
      </c>
      <c r="BI26" s="299">
        <f t="shared" si="10"/>
        <v>0</v>
      </c>
      <c r="BK26" s="299">
        <f t="shared" si="11"/>
        <v>0</v>
      </c>
      <c r="BL26" s="299">
        <f>(AI26*Pricing!F$2+AJ26*Pricing!G$2+AK26*Pricing!H$2+AL26*Pricing!I$2+AM26*Pricing!J$2+AN26*Pricing!K$2)*IF(U$40="N",(1+W$40),1)</f>
        <v>0</v>
      </c>
      <c r="BM26" s="299">
        <f t="shared" si="25"/>
        <v>0</v>
      </c>
      <c r="BN26" s="299" t="e">
        <f t="shared" si="26"/>
        <v>#DIV/0!</v>
      </c>
      <c r="BO26" s="299">
        <f t="shared" si="27"/>
        <v>0</v>
      </c>
    </row>
    <row r="27" spans="2:67" s="299" customFormat="1" ht="18" customHeight="1" x14ac:dyDescent="0.35">
      <c r="B27" s="1979"/>
      <c r="C27" s="1980"/>
      <c r="D27" s="625"/>
      <c r="E27" s="626">
        <v>1</v>
      </c>
      <c r="F27" s="740"/>
      <c r="G27" s="176"/>
      <c r="H27" s="126"/>
      <c r="I27" s="125"/>
      <c r="J27" s="176"/>
      <c r="K27" s="126"/>
      <c r="L27" s="125"/>
      <c r="M27" s="176"/>
      <c r="N27" s="176"/>
      <c r="O27" s="234"/>
      <c r="P27" s="176"/>
      <c r="Q27" s="176"/>
      <c r="R27" s="176"/>
      <c r="S27" s="185"/>
      <c r="T27" s="1138"/>
      <c r="U27" s="106"/>
      <c r="V27" s="140"/>
      <c r="W27" s="1136">
        <f t="shared" si="28"/>
        <v>0</v>
      </c>
      <c r="X27" s="1137">
        <f t="shared" si="12"/>
        <v>0</v>
      </c>
      <c r="Y27" s="1593" t="e">
        <f>BN27*(1+M$41+Summary!P$64)</f>
        <v>#DIV/0!</v>
      </c>
      <c r="Z27" s="1594" t="e">
        <f t="shared" si="29"/>
        <v>#DIV/0!</v>
      </c>
      <c r="AI27" s="299">
        <f t="shared" si="0"/>
        <v>0</v>
      </c>
      <c r="AJ27" s="299">
        <f t="shared" si="1"/>
        <v>0</v>
      </c>
      <c r="AK27" s="299">
        <f t="shared" si="2"/>
        <v>0</v>
      </c>
      <c r="AL27" s="299">
        <f t="shared" si="3"/>
        <v>0</v>
      </c>
      <c r="AM27" s="299">
        <f t="shared" si="4"/>
        <v>0</v>
      </c>
      <c r="AN27" s="299">
        <f t="shared" si="5"/>
        <v>0</v>
      </c>
      <c r="AO27" s="299">
        <f t="shared" si="13"/>
        <v>0</v>
      </c>
      <c r="AP27" s="299">
        <f t="shared" si="14"/>
        <v>0</v>
      </c>
      <c r="AQ27" s="299">
        <f t="shared" si="15"/>
        <v>0</v>
      </c>
      <c r="AR27" s="299">
        <f t="shared" si="16"/>
        <v>0</v>
      </c>
      <c r="AS27" s="299">
        <f t="shared" si="17"/>
        <v>0</v>
      </c>
      <c r="AT27" s="299">
        <f t="shared" si="18"/>
        <v>0</v>
      </c>
      <c r="AU27" s="299">
        <f t="shared" si="19"/>
        <v>0</v>
      </c>
      <c r="AV27" s="299">
        <f t="shared" si="20"/>
        <v>0</v>
      </c>
      <c r="AW27" s="510">
        <f t="shared" si="21"/>
        <v>0</v>
      </c>
      <c r="AX27" s="299">
        <f t="shared" si="30"/>
        <v>0</v>
      </c>
      <c r="AY27" s="299">
        <f t="shared" si="22"/>
        <v>0</v>
      </c>
      <c r="AZ27" s="299">
        <f t="shared" si="23"/>
        <v>0</v>
      </c>
      <c r="BC27" s="299">
        <f t="shared" si="6"/>
        <v>0</v>
      </c>
      <c r="BD27" s="299">
        <f>(AO27*Pricing!F$2+AP27*Pricing!G$2+AQ27*Pricing!H$2+AR27*Pricing!I$2+AS27*Pricing!J$2+AT27*Pricing!K$2+AI27*Pricing!F$2+AJ27*Pricing!G$2+AK27*Pricing!H$2+AL27*Pricing!I$2+AM27*Pricing!J$2+AN27*Pricing!K$2)*IF(U$40="N",(1+W$40),1)</f>
        <v>0</v>
      </c>
      <c r="BE27" s="299">
        <f t="shared" si="7"/>
        <v>0</v>
      </c>
      <c r="BF27" s="299">
        <f t="shared" si="8"/>
        <v>0</v>
      </c>
      <c r="BG27" s="299">
        <f t="shared" si="9"/>
        <v>0</v>
      </c>
      <c r="BH27" s="511" t="e">
        <f t="shared" si="24"/>
        <v>#DIV/0!</v>
      </c>
      <c r="BI27" s="299">
        <f t="shared" si="10"/>
        <v>0</v>
      </c>
      <c r="BK27" s="299">
        <f t="shared" si="11"/>
        <v>0</v>
      </c>
      <c r="BL27" s="299">
        <f>(AI27*Pricing!F$2+AJ27*Pricing!G$2+AK27*Pricing!H$2+AL27*Pricing!I$2+AM27*Pricing!J$2+AN27*Pricing!K$2)*IF(U$40="N",(1+W$40),1)</f>
        <v>0</v>
      </c>
      <c r="BM27" s="299">
        <f t="shared" si="25"/>
        <v>0</v>
      </c>
      <c r="BN27" s="299" t="e">
        <f t="shared" si="26"/>
        <v>#DIV/0!</v>
      </c>
      <c r="BO27" s="299">
        <f t="shared" si="27"/>
        <v>0</v>
      </c>
    </row>
    <row r="28" spans="2:67" s="299" customFormat="1" ht="18" customHeight="1" x14ac:dyDescent="0.35">
      <c r="B28" s="1979"/>
      <c r="C28" s="1980"/>
      <c r="D28" s="625"/>
      <c r="E28" s="626"/>
      <c r="F28" s="740"/>
      <c r="G28" s="176"/>
      <c r="H28" s="126"/>
      <c r="I28" s="125"/>
      <c r="J28" s="176"/>
      <c r="K28" s="126"/>
      <c r="L28" s="125"/>
      <c r="M28" s="176"/>
      <c r="N28" s="176"/>
      <c r="O28" s="234"/>
      <c r="P28" s="176"/>
      <c r="Q28" s="176"/>
      <c r="R28" s="176"/>
      <c r="S28" s="185"/>
      <c r="T28" s="1138"/>
      <c r="U28" s="106"/>
      <c r="V28" s="140"/>
      <c r="W28" s="1136">
        <f t="shared" si="28"/>
        <v>0</v>
      </c>
      <c r="X28" s="1137">
        <f t="shared" si="12"/>
        <v>0</v>
      </c>
      <c r="Y28" s="1593" t="e">
        <f>BN28*(1+M$41+Summary!P$64)</f>
        <v>#DIV/0!</v>
      </c>
      <c r="Z28" s="1594" t="e">
        <f t="shared" si="29"/>
        <v>#DIV/0!</v>
      </c>
      <c r="AI28" s="299">
        <f t="shared" si="0"/>
        <v>0</v>
      </c>
      <c r="AJ28" s="299">
        <f t="shared" si="1"/>
        <v>0</v>
      </c>
      <c r="AK28" s="299">
        <f t="shared" si="2"/>
        <v>0</v>
      </c>
      <c r="AL28" s="299">
        <f t="shared" si="3"/>
        <v>0</v>
      </c>
      <c r="AM28" s="299">
        <f t="shared" si="4"/>
        <v>0</v>
      </c>
      <c r="AN28" s="299">
        <f t="shared" si="5"/>
        <v>0</v>
      </c>
      <c r="AO28" s="299">
        <f t="shared" si="13"/>
        <v>0</v>
      </c>
      <c r="AP28" s="299">
        <f t="shared" si="14"/>
        <v>0</v>
      </c>
      <c r="AQ28" s="299">
        <f t="shared" si="15"/>
        <v>0</v>
      </c>
      <c r="AR28" s="299">
        <f t="shared" si="16"/>
        <v>0</v>
      </c>
      <c r="AS28" s="299">
        <f t="shared" si="17"/>
        <v>0</v>
      </c>
      <c r="AT28" s="299">
        <f t="shared" si="18"/>
        <v>0</v>
      </c>
      <c r="AU28" s="299">
        <f t="shared" si="19"/>
        <v>0</v>
      </c>
      <c r="AV28" s="299">
        <f t="shared" si="20"/>
        <v>0</v>
      </c>
      <c r="AW28" s="510">
        <f t="shared" si="21"/>
        <v>0</v>
      </c>
      <c r="AX28" s="299">
        <f t="shared" si="30"/>
        <v>0</v>
      </c>
      <c r="AY28" s="299">
        <f t="shared" si="22"/>
        <v>0</v>
      </c>
      <c r="AZ28" s="299">
        <f t="shared" si="23"/>
        <v>0</v>
      </c>
      <c r="BC28" s="299">
        <f t="shared" si="6"/>
        <v>0</v>
      </c>
      <c r="BD28" s="299">
        <f>(AO28*Pricing!F$2+AP28*Pricing!G$2+AQ28*Pricing!H$2+AR28*Pricing!I$2+AS28*Pricing!J$2+AT28*Pricing!K$2+AI28*Pricing!F$2+AJ28*Pricing!G$2+AK28*Pricing!H$2+AL28*Pricing!I$2+AM28*Pricing!J$2+AN28*Pricing!K$2)*IF(U$40="N",(1+W$40),1)</f>
        <v>0</v>
      </c>
      <c r="BE28" s="299">
        <f t="shared" si="7"/>
        <v>0</v>
      </c>
      <c r="BF28" s="299">
        <f t="shared" si="8"/>
        <v>0</v>
      </c>
      <c r="BG28" s="299">
        <f t="shared" si="9"/>
        <v>0</v>
      </c>
      <c r="BH28" s="511" t="e">
        <f t="shared" si="24"/>
        <v>#DIV/0!</v>
      </c>
      <c r="BI28" s="299">
        <f t="shared" si="10"/>
        <v>0</v>
      </c>
      <c r="BK28" s="299">
        <f t="shared" si="11"/>
        <v>0</v>
      </c>
      <c r="BL28" s="299">
        <f>(AI28*Pricing!F$2+AJ28*Pricing!G$2+AK28*Pricing!H$2+AL28*Pricing!I$2+AM28*Pricing!J$2+AN28*Pricing!K$2)*IF(U$40="N",(1+W$40),1)</f>
        <v>0</v>
      </c>
      <c r="BM28" s="299">
        <f t="shared" si="25"/>
        <v>0</v>
      </c>
      <c r="BN28" s="299" t="e">
        <f t="shared" si="26"/>
        <v>#DIV/0!</v>
      </c>
      <c r="BO28" s="299">
        <f t="shared" si="27"/>
        <v>0</v>
      </c>
    </row>
    <row r="29" spans="2:67" s="299" customFormat="1" ht="18" customHeight="1" x14ac:dyDescent="0.35">
      <c r="B29" s="1979"/>
      <c r="C29" s="1980"/>
      <c r="D29" s="625"/>
      <c r="E29" s="626"/>
      <c r="F29" s="740"/>
      <c r="G29" s="176"/>
      <c r="H29" s="126"/>
      <c r="I29" s="125"/>
      <c r="J29" s="176"/>
      <c r="K29" s="126"/>
      <c r="L29" s="125"/>
      <c r="M29" s="176"/>
      <c r="N29" s="176"/>
      <c r="O29" s="234"/>
      <c r="P29" s="176"/>
      <c r="Q29" s="176"/>
      <c r="R29" s="176"/>
      <c r="S29" s="185"/>
      <c r="T29" s="1138"/>
      <c r="U29" s="106"/>
      <c r="V29" s="140"/>
      <c r="W29" s="1136">
        <f t="shared" si="28"/>
        <v>0</v>
      </c>
      <c r="X29" s="1137">
        <f t="shared" si="12"/>
        <v>0</v>
      </c>
      <c r="Y29" s="1593" t="e">
        <f>BN29*(1+M$41+Summary!P$64)</f>
        <v>#DIV/0!</v>
      </c>
      <c r="Z29" s="1594" t="e">
        <f t="shared" si="29"/>
        <v>#DIV/0!</v>
      </c>
      <c r="AI29" s="299">
        <f t="shared" si="0"/>
        <v>0</v>
      </c>
      <c r="AJ29" s="299">
        <f t="shared" si="1"/>
        <v>0</v>
      </c>
      <c r="AK29" s="299">
        <f t="shared" si="2"/>
        <v>0</v>
      </c>
      <c r="AL29" s="299">
        <f t="shared" si="3"/>
        <v>0</v>
      </c>
      <c r="AM29" s="299">
        <f t="shared" si="4"/>
        <v>0</v>
      </c>
      <c r="AN29" s="299">
        <f t="shared" si="5"/>
        <v>0</v>
      </c>
      <c r="AO29" s="299">
        <f t="shared" si="13"/>
        <v>0</v>
      </c>
      <c r="AP29" s="299">
        <f t="shared" si="14"/>
        <v>0</v>
      </c>
      <c r="AQ29" s="299">
        <f t="shared" si="15"/>
        <v>0</v>
      </c>
      <c r="AR29" s="299">
        <f t="shared" si="16"/>
        <v>0</v>
      </c>
      <c r="AS29" s="299">
        <f t="shared" si="17"/>
        <v>0</v>
      </c>
      <c r="AT29" s="299">
        <f t="shared" si="18"/>
        <v>0</v>
      </c>
      <c r="AU29" s="299">
        <f t="shared" si="19"/>
        <v>0</v>
      </c>
      <c r="AV29" s="299">
        <f t="shared" si="20"/>
        <v>0</v>
      </c>
      <c r="AW29" s="510">
        <f t="shared" si="21"/>
        <v>0</v>
      </c>
      <c r="AX29" s="299">
        <f t="shared" si="30"/>
        <v>0</v>
      </c>
      <c r="AY29" s="299">
        <f t="shared" si="22"/>
        <v>0</v>
      </c>
      <c r="AZ29" s="299">
        <f t="shared" si="23"/>
        <v>0</v>
      </c>
      <c r="BC29" s="299">
        <f t="shared" si="6"/>
        <v>0</v>
      </c>
      <c r="BD29" s="299">
        <f>(AO29*Pricing!F$2+AP29*Pricing!G$2+AQ29*Pricing!H$2+AR29*Pricing!I$2+AS29*Pricing!J$2+AT29*Pricing!K$2+AI29*Pricing!F$2+AJ29*Pricing!G$2+AK29*Pricing!H$2+AL29*Pricing!I$2+AM29*Pricing!J$2+AN29*Pricing!K$2)*IF(U$40="N",(1+W$40),1)</f>
        <v>0</v>
      </c>
      <c r="BE29" s="299">
        <f t="shared" si="7"/>
        <v>0</v>
      </c>
      <c r="BF29" s="299">
        <f t="shared" si="8"/>
        <v>0</v>
      </c>
      <c r="BG29" s="299">
        <f t="shared" si="9"/>
        <v>0</v>
      </c>
      <c r="BH29" s="511" t="e">
        <f t="shared" si="24"/>
        <v>#DIV/0!</v>
      </c>
      <c r="BI29" s="299">
        <f t="shared" si="10"/>
        <v>0</v>
      </c>
      <c r="BK29" s="299">
        <f t="shared" si="11"/>
        <v>0</v>
      </c>
      <c r="BL29" s="299">
        <f>(AI29*Pricing!F$2+AJ29*Pricing!G$2+AK29*Pricing!H$2+AL29*Pricing!I$2+AM29*Pricing!J$2+AN29*Pricing!K$2)*IF(U$40="N",(1+W$40),1)</f>
        <v>0</v>
      </c>
      <c r="BM29" s="299">
        <f t="shared" si="25"/>
        <v>0</v>
      </c>
      <c r="BN29" s="299" t="e">
        <f t="shared" si="26"/>
        <v>#DIV/0!</v>
      </c>
      <c r="BO29" s="299">
        <f t="shared" si="27"/>
        <v>0</v>
      </c>
    </row>
    <row r="30" spans="2:67" s="299" customFormat="1" ht="18" customHeight="1" x14ac:dyDescent="0.35">
      <c r="B30" s="1979"/>
      <c r="C30" s="1980"/>
      <c r="D30" s="625"/>
      <c r="E30" s="626"/>
      <c r="F30" s="740"/>
      <c r="G30" s="176"/>
      <c r="H30" s="126"/>
      <c r="I30" s="125"/>
      <c r="J30" s="176"/>
      <c r="K30" s="126"/>
      <c r="L30" s="125"/>
      <c r="M30" s="176"/>
      <c r="N30" s="176"/>
      <c r="O30" s="234"/>
      <c r="P30" s="176"/>
      <c r="Q30" s="176"/>
      <c r="R30" s="176"/>
      <c r="S30" s="185"/>
      <c r="T30" s="1138"/>
      <c r="U30" s="106"/>
      <c r="V30" s="140"/>
      <c r="W30" s="1136">
        <f t="shared" si="28"/>
        <v>0</v>
      </c>
      <c r="X30" s="1137">
        <f t="shared" si="12"/>
        <v>0</v>
      </c>
      <c r="Y30" s="1593" t="e">
        <f>BN30*(1+M$41+Summary!P$64)</f>
        <v>#DIV/0!</v>
      </c>
      <c r="Z30" s="1594" t="e">
        <f t="shared" si="29"/>
        <v>#DIV/0!</v>
      </c>
      <c r="AI30" s="299">
        <f t="shared" si="0"/>
        <v>0</v>
      </c>
      <c r="AJ30" s="299">
        <f t="shared" si="1"/>
        <v>0</v>
      </c>
      <c r="AK30" s="299">
        <f t="shared" si="2"/>
        <v>0</v>
      </c>
      <c r="AL30" s="299">
        <f t="shared" si="3"/>
        <v>0</v>
      </c>
      <c r="AM30" s="299">
        <f t="shared" si="4"/>
        <v>0</v>
      </c>
      <c r="AN30" s="299">
        <f t="shared" si="5"/>
        <v>0</v>
      </c>
      <c r="AO30" s="299">
        <f t="shared" si="13"/>
        <v>0</v>
      </c>
      <c r="AP30" s="299">
        <f t="shared" si="14"/>
        <v>0</v>
      </c>
      <c r="AQ30" s="299">
        <f t="shared" si="15"/>
        <v>0</v>
      </c>
      <c r="AR30" s="299">
        <f t="shared" si="16"/>
        <v>0</v>
      </c>
      <c r="AS30" s="299">
        <f t="shared" si="17"/>
        <v>0</v>
      </c>
      <c r="AT30" s="299">
        <f t="shared" si="18"/>
        <v>0</v>
      </c>
      <c r="AU30" s="299">
        <f t="shared" si="19"/>
        <v>0</v>
      </c>
      <c r="AV30" s="299">
        <f t="shared" si="20"/>
        <v>0</v>
      </c>
      <c r="AW30" s="510">
        <f t="shared" si="21"/>
        <v>0</v>
      </c>
      <c r="AX30" s="299">
        <f t="shared" si="30"/>
        <v>0</v>
      </c>
      <c r="AY30" s="299">
        <f t="shared" si="22"/>
        <v>0</v>
      </c>
      <c r="AZ30" s="299">
        <f t="shared" si="23"/>
        <v>0</v>
      </c>
      <c r="BC30" s="299">
        <f t="shared" si="6"/>
        <v>0</v>
      </c>
      <c r="BD30" s="299">
        <f>(AO30*Pricing!F$2+AP30*Pricing!G$2+AQ30*Pricing!H$2+AR30*Pricing!I$2+AS30*Pricing!J$2+AT30*Pricing!K$2+AI30*Pricing!F$2+AJ30*Pricing!G$2+AK30*Pricing!H$2+AL30*Pricing!I$2+AM30*Pricing!J$2+AN30*Pricing!K$2)*IF(U$40="N",(1+W$40),1)</f>
        <v>0</v>
      </c>
      <c r="BE30" s="299">
        <f t="shared" si="7"/>
        <v>0</v>
      </c>
      <c r="BF30" s="299">
        <f t="shared" si="8"/>
        <v>0</v>
      </c>
      <c r="BG30" s="299">
        <f t="shared" si="9"/>
        <v>0</v>
      </c>
      <c r="BH30" s="511" t="e">
        <f t="shared" si="24"/>
        <v>#DIV/0!</v>
      </c>
      <c r="BI30" s="299">
        <f t="shared" si="10"/>
        <v>0</v>
      </c>
      <c r="BK30" s="299">
        <f t="shared" si="11"/>
        <v>0</v>
      </c>
      <c r="BL30" s="299">
        <f>(AI30*Pricing!F$2+AJ30*Pricing!G$2+AK30*Pricing!H$2+AL30*Pricing!I$2+AM30*Pricing!J$2+AN30*Pricing!K$2)*IF(U$40="N",(1+W$40),1)</f>
        <v>0</v>
      </c>
      <c r="BM30" s="299">
        <f t="shared" si="25"/>
        <v>0</v>
      </c>
      <c r="BN30" s="299" t="e">
        <f t="shared" si="26"/>
        <v>#DIV/0!</v>
      </c>
      <c r="BO30" s="299">
        <f t="shared" si="27"/>
        <v>0</v>
      </c>
    </row>
    <row r="31" spans="2:67" s="299" customFormat="1" ht="18" customHeight="1" x14ac:dyDescent="0.35">
      <c r="B31" s="1979"/>
      <c r="C31" s="1980"/>
      <c r="D31" s="625"/>
      <c r="E31" s="626"/>
      <c r="F31" s="740"/>
      <c r="G31" s="176"/>
      <c r="H31" s="126"/>
      <c r="I31" s="125"/>
      <c r="J31" s="176"/>
      <c r="K31" s="126"/>
      <c r="L31" s="125"/>
      <c r="M31" s="176"/>
      <c r="N31" s="176"/>
      <c r="O31" s="234"/>
      <c r="P31" s="176"/>
      <c r="Q31" s="176"/>
      <c r="R31" s="176"/>
      <c r="S31" s="185"/>
      <c r="T31" s="1138"/>
      <c r="U31" s="106"/>
      <c r="V31" s="140"/>
      <c r="W31" s="1136">
        <f t="shared" si="28"/>
        <v>0</v>
      </c>
      <c r="X31" s="1137">
        <f t="shared" si="12"/>
        <v>0</v>
      </c>
      <c r="Y31" s="1593" t="e">
        <f>BN31*(1+M$41+Summary!P$64)</f>
        <v>#DIV/0!</v>
      </c>
      <c r="Z31" s="1594" t="e">
        <f t="shared" si="29"/>
        <v>#DIV/0!</v>
      </c>
      <c r="AI31" s="299">
        <f t="shared" si="0"/>
        <v>0</v>
      </c>
      <c r="AJ31" s="299">
        <f t="shared" si="1"/>
        <v>0</v>
      </c>
      <c r="AK31" s="299">
        <f t="shared" si="2"/>
        <v>0</v>
      </c>
      <c r="AL31" s="299">
        <f t="shared" si="3"/>
        <v>0</v>
      </c>
      <c r="AM31" s="299">
        <f t="shared" si="4"/>
        <v>0</v>
      </c>
      <c r="AN31" s="299">
        <f t="shared" si="5"/>
        <v>0</v>
      </c>
      <c r="AO31" s="299">
        <f t="shared" si="13"/>
        <v>0</v>
      </c>
      <c r="AP31" s="299">
        <f t="shared" si="14"/>
        <v>0</v>
      </c>
      <c r="AQ31" s="299">
        <f t="shared" si="15"/>
        <v>0</v>
      </c>
      <c r="AR31" s="299">
        <f t="shared" si="16"/>
        <v>0</v>
      </c>
      <c r="AS31" s="299">
        <f t="shared" si="17"/>
        <v>0</v>
      </c>
      <c r="AT31" s="299">
        <f t="shared" si="18"/>
        <v>0</v>
      </c>
      <c r="AU31" s="299">
        <f t="shared" si="19"/>
        <v>0</v>
      </c>
      <c r="AV31" s="299">
        <f t="shared" si="20"/>
        <v>0</v>
      </c>
      <c r="AW31" s="510">
        <f t="shared" si="21"/>
        <v>0</v>
      </c>
      <c r="AX31" s="299">
        <f t="shared" si="30"/>
        <v>0</v>
      </c>
      <c r="AY31" s="299">
        <f t="shared" si="22"/>
        <v>0</v>
      </c>
      <c r="AZ31" s="299">
        <f t="shared" si="23"/>
        <v>0</v>
      </c>
      <c r="BC31" s="299">
        <f t="shared" si="6"/>
        <v>0</v>
      </c>
      <c r="BD31" s="299">
        <f>(AO31*Pricing!F$2+AP31*Pricing!G$2+AQ31*Pricing!H$2+AR31*Pricing!I$2+AS31*Pricing!J$2+AT31*Pricing!K$2+AI31*Pricing!F$2+AJ31*Pricing!G$2+AK31*Pricing!H$2+AL31*Pricing!I$2+AM31*Pricing!J$2+AN31*Pricing!K$2)*IF(U$40="N",(1+W$40),1)</f>
        <v>0</v>
      </c>
      <c r="BE31" s="299">
        <f t="shared" si="7"/>
        <v>0</v>
      </c>
      <c r="BF31" s="299">
        <f t="shared" si="8"/>
        <v>0</v>
      </c>
      <c r="BG31" s="299">
        <f t="shared" si="9"/>
        <v>0</v>
      </c>
      <c r="BH31" s="511" t="e">
        <f t="shared" si="24"/>
        <v>#DIV/0!</v>
      </c>
      <c r="BI31" s="299">
        <f t="shared" si="10"/>
        <v>0</v>
      </c>
      <c r="BK31" s="299">
        <f t="shared" si="11"/>
        <v>0</v>
      </c>
      <c r="BL31" s="299">
        <f>(AI31*Pricing!F$2+AJ31*Pricing!G$2+AK31*Pricing!H$2+AL31*Pricing!I$2+AM31*Pricing!J$2+AN31*Pricing!K$2)*IF(U$40="N",(1+W$40),1)</f>
        <v>0</v>
      </c>
      <c r="BM31" s="299">
        <f t="shared" si="25"/>
        <v>0</v>
      </c>
      <c r="BN31" s="299" t="e">
        <f t="shared" si="26"/>
        <v>#DIV/0!</v>
      </c>
      <c r="BO31" s="299">
        <f t="shared" si="27"/>
        <v>0</v>
      </c>
    </row>
    <row r="32" spans="2:67" s="299" customFormat="1" ht="18" customHeight="1" x14ac:dyDescent="0.35">
      <c r="B32" s="1979"/>
      <c r="C32" s="1980"/>
      <c r="D32" s="625"/>
      <c r="E32" s="626"/>
      <c r="F32" s="740"/>
      <c r="G32" s="176"/>
      <c r="H32" s="126"/>
      <c r="I32" s="125"/>
      <c r="J32" s="176"/>
      <c r="K32" s="126"/>
      <c r="L32" s="125"/>
      <c r="M32" s="176"/>
      <c r="N32" s="176"/>
      <c r="O32" s="234"/>
      <c r="P32" s="176"/>
      <c r="Q32" s="176"/>
      <c r="R32" s="176"/>
      <c r="S32" s="185"/>
      <c r="T32" s="1138"/>
      <c r="U32" s="106"/>
      <c r="V32" s="140"/>
      <c r="W32" s="1136">
        <f t="shared" si="28"/>
        <v>0</v>
      </c>
      <c r="X32" s="1137">
        <f t="shared" si="12"/>
        <v>0</v>
      </c>
      <c r="Y32" s="1593" t="e">
        <f>BN32*(1+M$41+Summary!P$64)</f>
        <v>#DIV/0!</v>
      </c>
      <c r="Z32" s="1594" t="e">
        <f t="shared" si="29"/>
        <v>#DIV/0!</v>
      </c>
      <c r="AI32" s="299">
        <f t="shared" si="0"/>
        <v>0</v>
      </c>
      <c r="AJ32" s="299">
        <f t="shared" si="1"/>
        <v>0</v>
      </c>
      <c r="AK32" s="299">
        <f t="shared" si="2"/>
        <v>0</v>
      </c>
      <c r="AL32" s="299">
        <f t="shared" si="3"/>
        <v>0</v>
      </c>
      <c r="AM32" s="299">
        <f t="shared" si="4"/>
        <v>0</v>
      </c>
      <c r="AN32" s="299">
        <f t="shared" si="5"/>
        <v>0</v>
      </c>
      <c r="AO32" s="299">
        <f t="shared" si="13"/>
        <v>0</v>
      </c>
      <c r="AP32" s="299">
        <f t="shared" si="14"/>
        <v>0</v>
      </c>
      <c r="AQ32" s="299">
        <f t="shared" si="15"/>
        <v>0</v>
      </c>
      <c r="AR32" s="299">
        <f t="shared" si="16"/>
        <v>0</v>
      </c>
      <c r="AS32" s="299">
        <f t="shared" si="17"/>
        <v>0</v>
      </c>
      <c r="AT32" s="299">
        <f t="shared" si="18"/>
        <v>0</v>
      </c>
      <c r="AU32" s="299">
        <f t="shared" si="19"/>
        <v>0</v>
      </c>
      <c r="AV32" s="299">
        <f t="shared" si="20"/>
        <v>0</v>
      </c>
      <c r="AW32" s="510">
        <f t="shared" si="21"/>
        <v>0</v>
      </c>
      <c r="AX32" s="299">
        <f t="shared" si="30"/>
        <v>0</v>
      </c>
      <c r="AY32" s="299">
        <f t="shared" si="22"/>
        <v>0</v>
      </c>
      <c r="AZ32" s="299">
        <f t="shared" si="23"/>
        <v>0</v>
      </c>
      <c r="BC32" s="299">
        <f t="shared" si="6"/>
        <v>0</v>
      </c>
      <c r="BD32" s="299">
        <f>(AO32*Pricing!F$2+AP32*Pricing!G$2+AQ32*Pricing!H$2+AR32*Pricing!I$2+AS32*Pricing!J$2+AT32*Pricing!K$2+AI32*Pricing!F$2+AJ32*Pricing!G$2+AK32*Pricing!H$2+AL32*Pricing!I$2+AM32*Pricing!J$2+AN32*Pricing!K$2)*IF(U$40="N",(1+W$40),1)</f>
        <v>0</v>
      </c>
      <c r="BE32" s="299">
        <f t="shared" si="7"/>
        <v>0</v>
      </c>
      <c r="BF32" s="299">
        <f t="shared" si="8"/>
        <v>0</v>
      </c>
      <c r="BG32" s="299">
        <f t="shared" si="9"/>
        <v>0</v>
      </c>
      <c r="BH32" s="511" t="e">
        <f t="shared" si="24"/>
        <v>#DIV/0!</v>
      </c>
      <c r="BI32" s="299">
        <f t="shared" si="10"/>
        <v>0</v>
      </c>
      <c r="BK32" s="299">
        <f t="shared" si="11"/>
        <v>0</v>
      </c>
      <c r="BL32" s="299">
        <f>(AI32*Pricing!F$2+AJ32*Pricing!G$2+AK32*Pricing!H$2+AL32*Pricing!I$2+AM32*Pricing!J$2+AN32*Pricing!K$2)*IF(U$40="N",(1+W$40),1)</f>
        <v>0</v>
      </c>
      <c r="BM32" s="299">
        <f t="shared" si="25"/>
        <v>0</v>
      </c>
      <c r="BN32" s="299" t="e">
        <f t="shared" si="26"/>
        <v>#DIV/0!</v>
      </c>
      <c r="BO32" s="299">
        <f t="shared" si="27"/>
        <v>0</v>
      </c>
    </row>
    <row r="33" spans="2:67" s="299" customFormat="1" ht="18" customHeight="1" x14ac:dyDescent="0.35">
      <c r="B33" s="1979"/>
      <c r="C33" s="1980"/>
      <c r="D33" s="625"/>
      <c r="E33" s="626"/>
      <c r="F33" s="740"/>
      <c r="G33" s="176"/>
      <c r="H33" s="126"/>
      <c r="I33" s="125"/>
      <c r="J33" s="176"/>
      <c r="K33" s="126"/>
      <c r="L33" s="125"/>
      <c r="M33" s="176"/>
      <c r="N33" s="176"/>
      <c r="O33" s="234"/>
      <c r="P33" s="176"/>
      <c r="Q33" s="176"/>
      <c r="R33" s="176"/>
      <c r="S33" s="185"/>
      <c r="T33" s="1138"/>
      <c r="U33" s="106"/>
      <c r="V33" s="140"/>
      <c r="W33" s="1136">
        <f t="shared" si="28"/>
        <v>0</v>
      </c>
      <c r="X33" s="1137">
        <f t="shared" si="12"/>
        <v>0</v>
      </c>
      <c r="Y33" s="1593" t="e">
        <f>BN33*(1+M$41+Summary!P$64)</f>
        <v>#DIV/0!</v>
      </c>
      <c r="Z33" s="1594" t="e">
        <f t="shared" si="29"/>
        <v>#DIV/0!</v>
      </c>
      <c r="AI33" s="299">
        <f t="shared" si="0"/>
        <v>0</v>
      </c>
      <c r="AJ33" s="299">
        <f t="shared" si="1"/>
        <v>0</v>
      </c>
      <c r="AK33" s="299">
        <f t="shared" si="2"/>
        <v>0</v>
      </c>
      <c r="AL33" s="299">
        <f t="shared" si="3"/>
        <v>0</v>
      </c>
      <c r="AM33" s="299">
        <f t="shared" si="4"/>
        <v>0</v>
      </c>
      <c r="AN33" s="299">
        <f t="shared" si="5"/>
        <v>0</v>
      </c>
      <c r="AO33" s="299">
        <f t="shared" si="13"/>
        <v>0</v>
      </c>
      <c r="AP33" s="299">
        <f t="shared" si="14"/>
        <v>0</v>
      </c>
      <c r="AQ33" s="299">
        <f t="shared" si="15"/>
        <v>0</v>
      </c>
      <c r="AR33" s="299">
        <f t="shared" si="16"/>
        <v>0</v>
      </c>
      <c r="AS33" s="299">
        <f t="shared" si="17"/>
        <v>0</v>
      </c>
      <c r="AT33" s="299">
        <f t="shared" si="18"/>
        <v>0</v>
      </c>
      <c r="AU33" s="299">
        <f t="shared" si="19"/>
        <v>0</v>
      </c>
      <c r="AV33" s="299">
        <f t="shared" si="20"/>
        <v>0</v>
      </c>
      <c r="AW33" s="510">
        <f t="shared" si="21"/>
        <v>0</v>
      </c>
      <c r="AX33" s="299">
        <f t="shared" si="30"/>
        <v>0</v>
      </c>
      <c r="AY33" s="299">
        <f t="shared" si="22"/>
        <v>0</v>
      </c>
      <c r="AZ33" s="299">
        <f t="shared" si="23"/>
        <v>0</v>
      </c>
      <c r="BC33" s="299">
        <f t="shared" si="6"/>
        <v>0</v>
      </c>
      <c r="BD33" s="299">
        <f>(AO33*Pricing!F$2+AP33*Pricing!G$2+AQ33*Pricing!H$2+AR33*Pricing!I$2+AS33*Pricing!J$2+AT33*Pricing!K$2+AI33*Pricing!F$2+AJ33*Pricing!G$2+AK33*Pricing!H$2+AL33*Pricing!I$2+AM33*Pricing!J$2+AN33*Pricing!K$2)*IF(U$40="N",(1+W$40),1)</f>
        <v>0</v>
      </c>
      <c r="BE33" s="299">
        <f t="shared" si="7"/>
        <v>0</v>
      </c>
      <c r="BF33" s="299">
        <f t="shared" si="8"/>
        <v>0</v>
      </c>
      <c r="BG33" s="299">
        <f t="shared" si="9"/>
        <v>0</v>
      </c>
      <c r="BH33" s="511" t="e">
        <f t="shared" si="24"/>
        <v>#DIV/0!</v>
      </c>
      <c r="BI33" s="299">
        <f t="shared" si="10"/>
        <v>0</v>
      </c>
      <c r="BK33" s="299">
        <f t="shared" si="11"/>
        <v>0</v>
      </c>
      <c r="BL33" s="299">
        <f>(AI33*Pricing!F$2+AJ33*Pricing!G$2+AK33*Pricing!H$2+AL33*Pricing!I$2+AM33*Pricing!J$2+AN33*Pricing!K$2)*IF(U$40="N",(1+W$40),1)</f>
        <v>0</v>
      </c>
      <c r="BM33" s="299">
        <f t="shared" si="25"/>
        <v>0</v>
      </c>
      <c r="BN33" s="299" t="e">
        <f t="shared" si="26"/>
        <v>#DIV/0!</v>
      </c>
      <c r="BO33" s="299">
        <f t="shared" si="27"/>
        <v>0</v>
      </c>
    </row>
    <row r="34" spans="2:67" s="299" customFormat="1" ht="18" customHeight="1" x14ac:dyDescent="0.35">
      <c r="B34" s="2606"/>
      <c r="C34" s="1980"/>
      <c r="D34" s="625"/>
      <c r="E34" s="626"/>
      <c r="F34" s="740"/>
      <c r="G34" s="176"/>
      <c r="H34" s="126"/>
      <c r="I34" s="125"/>
      <c r="J34" s="176"/>
      <c r="K34" s="126"/>
      <c r="L34" s="125"/>
      <c r="M34" s="176"/>
      <c r="N34" s="176"/>
      <c r="O34" s="234"/>
      <c r="P34" s="176"/>
      <c r="Q34" s="176"/>
      <c r="R34" s="176"/>
      <c r="S34" s="185"/>
      <c r="T34" s="1138"/>
      <c r="U34" s="106"/>
      <c r="V34" s="140"/>
      <c r="W34" s="1136">
        <f t="shared" si="28"/>
        <v>0</v>
      </c>
      <c r="X34" s="1137">
        <f t="shared" si="12"/>
        <v>0</v>
      </c>
      <c r="Y34" s="1593" t="e">
        <f>BN34*(1+M$41+Summary!P$64)</f>
        <v>#DIV/0!</v>
      </c>
      <c r="Z34" s="1594" t="e">
        <f t="shared" si="29"/>
        <v>#DIV/0!</v>
      </c>
      <c r="AI34" s="299">
        <f t="shared" si="0"/>
        <v>0</v>
      </c>
      <c r="AJ34" s="299">
        <f t="shared" si="1"/>
        <v>0</v>
      </c>
      <c r="AK34" s="299">
        <f t="shared" si="2"/>
        <v>0</v>
      </c>
      <c r="AL34" s="299">
        <f t="shared" si="3"/>
        <v>0</v>
      </c>
      <c r="AM34" s="299">
        <f t="shared" si="4"/>
        <v>0</v>
      </c>
      <c r="AN34" s="299">
        <f t="shared" si="5"/>
        <v>0</v>
      </c>
      <c r="AO34" s="299">
        <f t="shared" si="13"/>
        <v>0</v>
      </c>
      <c r="AP34" s="299">
        <f t="shared" si="14"/>
        <v>0</v>
      </c>
      <c r="AQ34" s="299">
        <f t="shared" si="15"/>
        <v>0</v>
      </c>
      <c r="AR34" s="299">
        <f t="shared" si="16"/>
        <v>0</v>
      </c>
      <c r="AS34" s="299">
        <f t="shared" si="17"/>
        <v>0</v>
      </c>
      <c r="AT34" s="299">
        <f t="shared" si="18"/>
        <v>0</v>
      </c>
      <c r="AU34" s="299">
        <f t="shared" si="19"/>
        <v>0</v>
      </c>
      <c r="AV34" s="299">
        <f t="shared" si="20"/>
        <v>0</v>
      </c>
      <c r="AW34" s="510">
        <f t="shared" si="21"/>
        <v>0</v>
      </c>
      <c r="AX34" s="299">
        <f t="shared" si="30"/>
        <v>0</v>
      </c>
      <c r="AY34" s="299">
        <f t="shared" si="22"/>
        <v>0</v>
      </c>
      <c r="AZ34" s="299">
        <f t="shared" si="23"/>
        <v>0</v>
      </c>
      <c r="BC34" s="299">
        <f t="shared" si="6"/>
        <v>0</v>
      </c>
      <c r="BD34" s="299">
        <f>(AO34*Pricing!F$2+AP34*Pricing!G$2+AQ34*Pricing!H$2+AR34*Pricing!I$2+AS34*Pricing!J$2+AT34*Pricing!K$2+AI34*Pricing!F$2+AJ34*Pricing!G$2+AK34*Pricing!H$2+AL34*Pricing!I$2+AM34*Pricing!J$2+AN34*Pricing!K$2)*IF(U$40="N",(1+W$40),1)</f>
        <v>0</v>
      </c>
      <c r="BE34" s="299">
        <f t="shared" si="7"/>
        <v>0</v>
      </c>
      <c r="BF34" s="299">
        <f t="shared" si="8"/>
        <v>0</v>
      </c>
      <c r="BG34" s="299">
        <f t="shared" si="9"/>
        <v>0</v>
      </c>
      <c r="BH34" s="511" t="e">
        <f t="shared" si="24"/>
        <v>#DIV/0!</v>
      </c>
      <c r="BI34" s="299">
        <f t="shared" si="10"/>
        <v>0</v>
      </c>
      <c r="BK34" s="299">
        <f>IF(SUM(AY$37:AZ$37)=0,0,(BI$37-X$56-O$62-X77-(M$74*0.15))/SUM(AY$37:AZ$37)*AZ34+BF34)</f>
        <v>0</v>
      </c>
      <c r="BL34" s="299">
        <f>(AI34*Pricing!F$2+AJ34*Pricing!G$2+AK34*Pricing!H$2+AL34*Pricing!I$2+AM34*Pricing!J$2+AN34*Pricing!K$2)*IF(U$40="N",(1+W$40),1)</f>
        <v>0</v>
      </c>
      <c r="BM34" s="299">
        <f t="shared" si="25"/>
        <v>0</v>
      </c>
      <c r="BN34" s="299" t="e">
        <f t="shared" si="26"/>
        <v>#DIV/0!</v>
      </c>
      <c r="BO34" s="299">
        <f t="shared" si="27"/>
        <v>0</v>
      </c>
    </row>
    <row r="35" spans="2:67" s="299" customFormat="1" ht="18" customHeight="1" x14ac:dyDescent="0.35">
      <c r="B35" s="1979">
        <f>I64*G42</f>
        <v>0</v>
      </c>
      <c r="C35" s="1980"/>
      <c r="D35" s="625"/>
      <c r="E35" s="626"/>
      <c r="F35" s="740"/>
      <c r="G35" s="176"/>
      <c r="H35" s="126"/>
      <c r="I35" s="125"/>
      <c r="J35" s="176"/>
      <c r="K35" s="126"/>
      <c r="L35" s="125"/>
      <c r="M35" s="176"/>
      <c r="N35" s="176"/>
      <c r="O35" s="234"/>
      <c r="P35" s="176"/>
      <c r="Q35" s="176"/>
      <c r="R35" s="176"/>
      <c r="S35" s="185"/>
      <c r="T35" s="1138"/>
      <c r="U35" s="106"/>
      <c r="V35" s="140"/>
      <c r="W35" s="1136">
        <f t="shared" si="28"/>
        <v>0</v>
      </c>
      <c r="X35" s="1137">
        <f t="shared" si="12"/>
        <v>0</v>
      </c>
      <c r="Y35" s="1593" t="e">
        <f>BN35*(1+M$41+Summary!P$64)</f>
        <v>#DIV/0!</v>
      </c>
      <c r="Z35" s="1594" t="e">
        <f t="shared" si="29"/>
        <v>#DIV/0!</v>
      </c>
      <c r="AI35" s="299">
        <f t="shared" si="0"/>
        <v>0</v>
      </c>
      <c r="AJ35" s="299">
        <f t="shared" si="1"/>
        <v>0</v>
      </c>
      <c r="AK35" s="299">
        <f t="shared" si="2"/>
        <v>0</v>
      </c>
      <c r="AL35" s="299">
        <f t="shared" si="3"/>
        <v>0</v>
      </c>
      <c r="AM35" s="299">
        <f t="shared" si="4"/>
        <v>0</v>
      </c>
      <c r="AN35" s="299">
        <f t="shared" si="5"/>
        <v>0</v>
      </c>
      <c r="AO35" s="299">
        <f t="shared" si="13"/>
        <v>0</v>
      </c>
      <c r="AP35" s="299">
        <f t="shared" si="14"/>
        <v>0</v>
      </c>
      <c r="AQ35" s="299">
        <f t="shared" si="15"/>
        <v>0</v>
      </c>
      <c r="AR35" s="299">
        <f t="shared" si="16"/>
        <v>0</v>
      </c>
      <c r="AS35" s="299">
        <f t="shared" si="17"/>
        <v>0</v>
      </c>
      <c r="AT35" s="299">
        <f t="shared" si="18"/>
        <v>0</v>
      </c>
      <c r="AU35" s="299">
        <f t="shared" si="19"/>
        <v>0</v>
      </c>
      <c r="AV35" s="299">
        <f t="shared" si="20"/>
        <v>0</v>
      </c>
      <c r="AW35" s="510">
        <f t="shared" si="21"/>
        <v>0</v>
      </c>
      <c r="AX35" s="299">
        <f t="shared" si="30"/>
        <v>0</v>
      </c>
      <c r="AY35" s="299">
        <f t="shared" si="22"/>
        <v>0</v>
      </c>
      <c r="AZ35" s="299">
        <f t="shared" si="23"/>
        <v>0</v>
      </c>
      <c r="BC35" s="299">
        <f t="shared" si="6"/>
        <v>0</v>
      </c>
      <c r="BD35" s="299">
        <f>(AO35*Pricing!F$2+AP35*Pricing!G$2+AQ35*Pricing!H$2+AR35*Pricing!I$2+AS35*Pricing!J$2+AT35*Pricing!K$2+AI35*Pricing!F$2+AJ35*Pricing!G$2+AK35*Pricing!H$2+AL35*Pricing!I$2+AM35*Pricing!J$2+AN35*Pricing!K$2)*IF(U$40="N",(1+W$40),1)</f>
        <v>0</v>
      </c>
      <c r="BE35" s="299">
        <f t="shared" si="7"/>
        <v>0</v>
      </c>
      <c r="BF35" s="299">
        <f t="shared" si="8"/>
        <v>0</v>
      </c>
      <c r="BG35" s="299">
        <f t="shared" si="9"/>
        <v>0</v>
      </c>
      <c r="BH35" s="511" t="e">
        <f t="shared" si="24"/>
        <v>#DIV/0!</v>
      </c>
      <c r="BI35" s="299">
        <f t="shared" si="10"/>
        <v>0</v>
      </c>
      <c r="BK35" s="299">
        <f>IF(SUM(AY$37:AZ$37)=0,0,(BI$37-X$56-O$62-X78-(M$74*0.15))/SUM(AY$37:AZ$37)*AZ35+BF35)</f>
        <v>0</v>
      </c>
      <c r="BL35" s="299">
        <f>(AI35*Pricing!F$2+AJ35*Pricing!G$2+AK35*Pricing!H$2+AL35*Pricing!I$2+AM35*Pricing!J$2+AN35*Pricing!K$2)*IF(U$40="N",(1+W$40),1)</f>
        <v>0</v>
      </c>
      <c r="BM35" s="299">
        <f t="shared" si="25"/>
        <v>0</v>
      </c>
      <c r="BN35" s="299" t="e">
        <f t="shared" si="26"/>
        <v>#DIV/0!</v>
      </c>
      <c r="BO35" s="299">
        <f t="shared" si="27"/>
        <v>0</v>
      </c>
    </row>
    <row r="36" spans="2:67" s="299" customFormat="1" ht="18" customHeight="1" thickBot="1" x14ac:dyDescent="0.4">
      <c r="B36" s="2069"/>
      <c r="C36" s="2070"/>
      <c r="D36" s="627"/>
      <c r="E36" s="628"/>
      <c r="F36" s="743"/>
      <c r="G36" s="33"/>
      <c r="H36" s="181"/>
      <c r="I36" s="130"/>
      <c r="J36" s="182"/>
      <c r="K36" s="181"/>
      <c r="L36" s="130"/>
      <c r="M36" s="182"/>
      <c r="N36" s="182"/>
      <c r="O36" s="235"/>
      <c r="P36" s="182"/>
      <c r="Q36" s="182"/>
      <c r="R36" s="182"/>
      <c r="S36" s="222"/>
      <c r="T36" s="782"/>
      <c r="U36" s="188"/>
      <c r="V36" s="430"/>
      <c r="W36" s="1136">
        <f t="shared" si="28"/>
        <v>0</v>
      </c>
      <c r="X36" s="1137">
        <f t="shared" si="12"/>
        <v>0</v>
      </c>
      <c r="Y36" s="1595" t="e">
        <f>BN36*(1+M$41+Summary!P$64)</f>
        <v>#DIV/0!</v>
      </c>
      <c r="Z36" s="1596" t="e">
        <f t="shared" si="29"/>
        <v>#DIV/0!</v>
      </c>
      <c r="AI36" s="299">
        <f t="shared" si="0"/>
        <v>0</v>
      </c>
      <c r="AJ36" s="299">
        <f t="shared" si="1"/>
        <v>0</v>
      </c>
      <c r="AK36" s="299">
        <f t="shared" si="2"/>
        <v>0</v>
      </c>
      <c r="AL36" s="299">
        <f t="shared" si="3"/>
        <v>0</v>
      </c>
      <c r="AM36" s="299">
        <f t="shared" si="4"/>
        <v>0</v>
      </c>
      <c r="AN36" s="299">
        <f t="shared" si="5"/>
        <v>0</v>
      </c>
      <c r="AO36" s="299">
        <f t="shared" si="13"/>
        <v>0</v>
      </c>
      <c r="AP36" s="299">
        <f t="shared" si="14"/>
        <v>0</v>
      </c>
      <c r="AQ36" s="299">
        <f t="shared" si="15"/>
        <v>0</v>
      </c>
      <c r="AR36" s="299">
        <f t="shared" si="16"/>
        <v>0</v>
      </c>
      <c r="AS36" s="299">
        <f t="shared" si="17"/>
        <v>0</v>
      </c>
      <c r="AT36" s="299">
        <f t="shared" si="18"/>
        <v>0</v>
      </c>
      <c r="AU36" s="299">
        <f t="shared" si="19"/>
        <v>0</v>
      </c>
      <c r="AV36" s="299">
        <f t="shared" si="20"/>
        <v>0</v>
      </c>
      <c r="AW36" s="510">
        <f t="shared" si="21"/>
        <v>0</v>
      </c>
      <c r="AX36" s="299">
        <f t="shared" si="30"/>
        <v>0</v>
      </c>
      <c r="AY36" s="299">
        <f t="shared" si="22"/>
        <v>0</v>
      </c>
      <c r="AZ36" s="299">
        <f t="shared" si="23"/>
        <v>0</v>
      </c>
      <c r="BC36" s="299">
        <f t="shared" si="6"/>
        <v>0</v>
      </c>
      <c r="BD36" s="299">
        <f>(AO36*Pricing!F$2+AP36*Pricing!G$2+AQ36*Pricing!H$2+AR36*Pricing!I$2+AS36*Pricing!J$2+AT36*Pricing!K$2+AI36*Pricing!F$2+AJ36*Pricing!G$2+AK36*Pricing!H$2+AL36*Pricing!I$2+AM36*Pricing!J$2+AN36*Pricing!K$2)*IF(U$40="N",(1+W$40),1)</f>
        <v>0</v>
      </c>
      <c r="BE36" s="299">
        <f t="shared" si="7"/>
        <v>0</v>
      </c>
      <c r="BF36" s="299">
        <f t="shared" si="8"/>
        <v>0</v>
      </c>
      <c r="BG36" s="299">
        <f t="shared" si="9"/>
        <v>0</v>
      </c>
      <c r="BH36" s="511" t="e">
        <f t="shared" si="24"/>
        <v>#DIV/0!</v>
      </c>
      <c r="BI36" s="299">
        <f t="shared" si="10"/>
        <v>0</v>
      </c>
      <c r="BK36" s="299">
        <f>IF(SUM(AY$37:AZ$37)=0,0,(BI$37-X$56-O$62-X79-(M$74*0.15))/SUM(AY$37:AZ$37)*AZ36+BF36)</f>
        <v>0</v>
      </c>
      <c r="BL36" s="299">
        <f>(AI36*Pricing!F$2+AJ36*Pricing!G$2+AK36*Pricing!H$2+AL36*Pricing!I$2+AM36*Pricing!J$2+AN36*Pricing!K$2)*IF(U$40="N",(1+W$40),1)</f>
        <v>0</v>
      </c>
      <c r="BM36" s="299">
        <f t="shared" si="25"/>
        <v>0</v>
      </c>
      <c r="BN36" s="299" t="e">
        <f t="shared" si="26"/>
        <v>#DIV/0!</v>
      </c>
      <c r="BO36" s="299">
        <f t="shared" si="27"/>
        <v>0</v>
      </c>
    </row>
    <row r="37" spans="2:67" s="299" customFormat="1" ht="15" customHeight="1" x14ac:dyDescent="0.35">
      <c r="B37" s="313"/>
      <c r="C37" s="298"/>
      <c r="D37" s="298"/>
      <c r="E37" s="587">
        <f>SUM(F11:F36)</f>
        <v>0</v>
      </c>
      <c r="F37" s="2605" t="s">
        <v>55</v>
      </c>
      <c r="G37" s="2605"/>
      <c r="H37" s="2605"/>
      <c r="I37" s="2605"/>
      <c r="J37" s="298"/>
      <c r="K37" s="298"/>
      <c r="L37" s="298"/>
      <c r="M37" s="298"/>
      <c r="N37" s="298"/>
      <c r="O37" s="298"/>
      <c r="P37" s="2620" t="s">
        <v>54</v>
      </c>
      <c r="Q37" s="2621"/>
      <c r="R37" s="2621"/>
      <c r="S37" s="2621"/>
      <c r="T37" s="309"/>
      <c r="U37" s="309"/>
      <c r="V37" s="322">
        <f>SUM(W11:W36)</f>
        <v>0</v>
      </c>
      <c r="W37" s="327"/>
      <c r="X37" s="323">
        <f>SUM(X11:X36)</f>
        <v>0</v>
      </c>
      <c r="AI37" s="299">
        <f t="shared" ref="AI37:BH37" si="31">SUM(AI11:AI36)</f>
        <v>0</v>
      </c>
      <c r="AJ37" s="299">
        <f t="shared" si="31"/>
        <v>0</v>
      </c>
      <c r="AK37" s="299">
        <f t="shared" si="31"/>
        <v>0</v>
      </c>
      <c r="AL37" s="299">
        <f t="shared" si="31"/>
        <v>0</v>
      </c>
      <c r="AM37" s="299">
        <f t="shared" si="31"/>
        <v>0</v>
      </c>
      <c r="AN37" s="299">
        <f t="shared" si="31"/>
        <v>0</v>
      </c>
      <c r="AO37" s="299">
        <f t="shared" si="31"/>
        <v>0</v>
      </c>
      <c r="AP37" s="299">
        <f t="shared" si="31"/>
        <v>0</v>
      </c>
      <c r="AQ37" s="299">
        <f t="shared" si="31"/>
        <v>0</v>
      </c>
      <c r="AR37" s="299">
        <f t="shared" si="31"/>
        <v>0</v>
      </c>
      <c r="AS37" s="299">
        <f t="shared" si="31"/>
        <v>0</v>
      </c>
      <c r="AT37" s="299">
        <f t="shared" si="31"/>
        <v>0</v>
      </c>
      <c r="AU37" s="299">
        <f>SUM(AU11:AU36)</f>
        <v>0</v>
      </c>
      <c r="AV37" s="299">
        <f t="shared" si="31"/>
        <v>0</v>
      </c>
      <c r="AW37" s="299">
        <f t="shared" si="31"/>
        <v>0</v>
      </c>
      <c r="AX37" s="299">
        <f t="shared" si="31"/>
        <v>0</v>
      </c>
      <c r="AY37" s="299">
        <f t="shared" si="31"/>
        <v>0</v>
      </c>
      <c r="AZ37" s="299">
        <f t="shared" si="31"/>
        <v>0</v>
      </c>
      <c r="BA37" s="299">
        <f t="shared" si="31"/>
        <v>0</v>
      </c>
      <c r="BB37" s="299">
        <f t="shared" si="31"/>
        <v>0</v>
      </c>
      <c r="BC37" s="299">
        <f t="shared" si="31"/>
        <v>0</v>
      </c>
      <c r="BD37" s="299">
        <f t="shared" si="31"/>
        <v>0</v>
      </c>
      <c r="BE37" s="299">
        <f t="shared" si="31"/>
        <v>0</v>
      </c>
      <c r="BF37" s="299">
        <f t="shared" si="31"/>
        <v>0</v>
      </c>
      <c r="BG37" s="299">
        <f t="shared" si="31"/>
        <v>0</v>
      </c>
      <c r="BH37" s="299" t="e">
        <f t="shared" si="31"/>
        <v>#DIV/0!</v>
      </c>
      <c r="BI37" s="299">
        <f>SUM(BI11:BI36)</f>
        <v>0</v>
      </c>
      <c r="BJ37" s="299" t="e">
        <f>SUM(BC37:BI37)</f>
        <v>#DIV/0!</v>
      </c>
      <c r="BK37" s="299">
        <f>SUM(BK11:BK36)</f>
        <v>0</v>
      </c>
      <c r="BL37" s="299">
        <f>SUM(BL11:BL36)</f>
        <v>0</v>
      </c>
      <c r="BN37" s="299" t="e">
        <f>SUM(BN11:BN36)</f>
        <v>#DIV/0!</v>
      </c>
      <c r="BO37" s="299" t="e">
        <f>SUM(BK37:BN37)</f>
        <v>#DIV/0!</v>
      </c>
    </row>
    <row r="38" spans="2:67" s="299" customFormat="1" ht="15" customHeight="1" thickBot="1" x14ac:dyDescent="0.4">
      <c r="B38" s="314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2618" t="s">
        <v>56</v>
      </c>
      <c r="Q38" s="2619"/>
      <c r="R38" s="2619"/>
      <c r="S38" s="2619"/>
      <c r="T38" s="306"/>
      <c r="U38" s="306"/>
      <c r="V38" s="324">
        <f>ROUNDUP(V37/2000,0)</f>
        <v>0</v>
      </c>
      <c r="W38" s="325"/>
      <c r="X38" s="325"/>
    </row>
    <row r="39" spans="2:67" s="299" customFormat="1" ht="21.75" customHeight="1" thickBot="1" x14ac:dyDescent="0.4">
      <c r="B39" s="898"/>
      <c r="C39" s="899"/>
      <c r="D39" s="899"/>
      <c r="E39" s="899"/>
      <c r="F39" s="899"/>
      <c r="G39" s="899"/>
      <c r="H39" s="899"/>
      <c r="I39" s="899"/>
      <c r="J39" s="899"/>
      <c r="K39" s="899"/>
      <c r="L39" s="900"/>
      <c r="M39" s="899"/>
      <c r="N39" s="899"/>
      <c r="O39" s="899"/>
      <c r="P39" s="899"/>
      <c r="Q39" s="899"/>
      <c r="R39" s="899"/>
      <c r="S39" s="899"/>
      <c r="T39" s="899"/>
      <c r="U39" s="899"/>
      <c r="V39" s="899"/>
      <c r="W39" s="899"/>
      <c r="X39" s="1115"/>
    </row>
    <row r="40" spans="2:67" s="299" customFormat="1" ht="15" customHeight="1" x14ac:dyDescent="0.35">
      <c r="B40" s="1987" t="s">
        <v>185</v>
      </c>
      <c r="C40" s="2041"/>
      <c r="D40" s="1988"/>
      <c r="E40" s="1987" t="s">
        <v>140</v>
      </c>
      <c r="F40" s="1988"/>
      <c r="G40" s="1987" t="s">
        <v>178</v>
      </c>
      <c r="H40" s="2041"/>
      <c r="I40" s="1988"/>
      <c r="J40" s="1935" t="s">
        <v>184</v>
      </c>
      <c r="K40" s="1936"/>
      <c r="L40" s="1937"/>
      <c r="M40" s="2044" t="s">
        <v>179</v>
      </c>
      <c r="N40" s="2045"/>
      <c r="O40" s="132"/>
      <c r="P40" s="133"/>
      <c r="Q40" s="897"/>
      <c r="R40" s="43" t="s">
        <v>34</v>
      </c>
      <c r="S40" s="42"/>
      <c r="T40" s="42" t="s">
        <v>758</v>
      </c>
      <c r="U40" s="822" t="str">
        <f>Summary!P65</f>
        <v>n</v>
      </c>
      <c r="V40" s="73" t="s">
        <v>298</v>
      </c>
      <c r="W40" s="823">
        <f>Summary!R65</f>
        <v>8.2500000000000004E-2</v>
      </c>
      <c r="X40" s="1113"/>
    </row>
    <row r="41" spans="2:67" s="299" customFormat="1" ht="27" customHeight="1" thickBot="1" x14ac:dyDescent="0.4">
      <c r="B41" s="11" t="s">
        <v>180</v>
      </c>
      <c r="C41" s="1999">
        <f>IF(AY37=0,0,E41/AY37)</f>
        <v>0</v>
      </c>
      <c r="D41" s="2000"/>
      <c r="E41" s="2602">
        <f>U41*(1+M41+Summary!P64)</f>
        <v>0</v>
      </c>
      <c r="F41" s="2004"/>
      <c r="G41" s="15">
        <f>IF(E41=0,0,H41/E41)</f>
        <v>0</v>
      </c>
      <c r="H41" s="2042">
        <f>E41-U41</f>
        <v>0</v>
      </c>
      <c r="I41" s="2043"/>
      <c r="J41" s="2064">
        <f>IF(AY37=0,0,U41/AY37)</f>
        <v>0</v>
      </c>
      <c r="K41" s="2065"/>
      <c r="L41" s="2066"/>
      <c r="M41" s="2302">
        <f>Summary!P63</f>
        <v>0.18</v>
      </c>
      <c r="N41" s="2303"/>
      <c r="O41" s="2303"/>
      <c r="P41" s="2304"/>
      <c r="Q41" s="902"/>
      <c r="R41" s="86" t="s">
        <v>50</v>
      </c>
      <c r="S41" s="42"/>
      <c r="T41" s="42"/>
      <c r="U41" s="1932">
        <f>SUM(O51:P61)+SUM(O64:P70)+SUM(O73:P77)+SUM(O79:P84)+SUM(O86:P91)+X91+O62+SUM(L64:M70)</f>
        <v>0</v>
      </c>
      <c r="V41" s="1932"/>
      <c r="W41" s="42"/>
      <c r="X41" s="1113"/>
    </row>
    <row r="42" spans="2:67" s="299" customFormat="1" ht="26.25" customHeight="1" thickBot="1" x14ac:dyDescent="0.4">
      <c r="B42" s="1129" t="s">
        <v>1060</v>
      </c>
      <c r="C42" s="2614">
        <f>IF(G42=0,C41,IF(AY37=0,0,BN37/AY37)*(1+M41))</f>
        <v>0</v>
      </c>
      <c r="D42" s="2614"/>
      <c r="E42" s="2615" t="s">
        <v>553</v>
      </c>
      <c r="F42" s="2615"/>
      <c r="G42" s="2614">
        <f>IF(AZ37=0,0,(BL37+BK37)/AZ37)*(1+M41)</f>
        <v>0</v>
      </c>
      <c r="H42" s="2614"/>
      <c r="I42" s="891" t="s">
        <v>891</v>
      </c>
      <c r="J42" s="892"/>
      <c r="K42" s="2036"/>
      <c r="L42" s="2037"/>
      <c r="M42" s="893"/>
      <c r="N42" s="1899">
        <f>IF(K42&gt;0,(K42-E41)/(1+M41),0)</f>
        <v>0</v>
      </c>
      <c r="O42" s="1900"/>
      <c r="P42" s="890"/>
      <c r="Q42" s="890"/>
      <c r="R42" s="890"/>
      <c r="S42" s="890"/>
      <c r="T42" s="890"/>
      <c r="U42" s="2245">
        <f>AF2</f>
        <v>0</v>
      </c>
      <c r="V42" s="2622"/>
      <c r="W42" s="890"/>
      <c r="X42" s="896"/>
    </row>
    <row r="43" spans="2:67" s="299" customFormat="1" x14ac:dyDescent="0.35"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</row>
    <row r="44" spans="2:67" s="299" customFormat="1" x14ac:dyDescent="0.35">
      <c r="B44" s="42" t="s">
        <v>632</v>
      </c>
      <c r="C44" s="824"/>
      <c r="D44" s="824"/>
      <c r="E44" s="824"/>
      <c r="F44" s="824"/>
      <c r="G44" s="824"/>
      <c r="H44" s="824"/>
      <c r="I44" s="824"/>
      <c r="J44" s="824"/>
      <c r="K44" s="739"/>
      <c r="L44" s="739"/>
      <c r="M44" s="739"/>
      <c r="N44" s="739"/>
      <c r="O44" s="739"/>
      <c r="P44" s="739"/>
      <c r="Q44" s="298"/>
      <c r="R44" s="298"/>
      <c r="S44" s="298"/>
      <c r="T44" s="298"/>
      <c r="U44" s="298"/>
      <c r="V44" s="298"/>
      <c r="W44" s="298"/>
      <c r="X44" s="298"/>
    </row>
    <row r="45" spans="2:67" s="299" customFormat="1" ht="32.25" customHeight="1" x14ac:dyDescent="0.35">
      <c r="B45" s="298"/>
      <c r="C45" s="825"/>
      <c r="D45" s="824"/>
      <c r="E45" s="824"/>
      <c r="F45" s="824"/>
      <c r="G45" s="824"/>
      <c r="H45" s="824"/>
      <c r="I45" s="824"/>
      <c r="J45" s="824"/>
      <c r="K45" s="739"/>
      <c r="L45" s="739"/>
      <c r="M45" s="739"/>
      <c r="N45" s="739"/>
      <c r="O45" s="739"/>
      <c r="P45" s="739"/>
      <c r="Q45" s="298"/>
      <c r="R45" s="298"/>
      <c r="S45" s="298"/>
      <c r="T45" s="298"/>
      <c r="U45" s="298"/>
      <c r="V45" s="298"/>
      <c r="W45" s="298"/>
      <c r="X45" s="298"/>
    </row>
    <row r="46" spans="2:67" s="299" customFormat="1" ht="19" customHeight="1" x14ac:dyDescent="0.35">
      <c r="B46" s="298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298"/>
      <c r="R46" s="298"/>
      <c r="S46" s="298"/>
      <c r="T46" s="298"/>
      <c r="U46" s="298"/>
      <c r="V46" s="298"/>
      <c r="W46" s="298"/>
      <c r="X46" s="298"/>
    </row>
    <row r="47" spans="2:67" s="299" customFormat="1" ht="19" customHeight="1" x14ac:dyDescent="0.35">
      <c r="B47" s="298"/>
      <c r="C47" s="739"/>
      <c r="D47" s="739"/>
      <c r="E47" s="739"/>
      <c r="F47" s="739"/>
      <c r="G47" s="739"/>
      <c r="H47" s="739"/>
      <c r="I47" s="739"/>
      <c r="J47" s="739"/>
      <c r="K47" s="739"/>
      <c r="L47" s="739"/>
      <c r="M47" s="739"/>
      <c r="N47" s="739"/>
      <c r="O47" s="739"/>
      <c r="P47" s="739"/>
      <c r="Q47" s="298"/>
      <c r="R47" s="298"/>
      <c r="S47" s="298"/>
      <c r="T47" s="298"/>
      <c r="U47" s="298"/>
      <c r="V47" s="298"/>
      <c r="W47" s="298"/>
      <c r="X47" s="298"/>
    </row>
    <row r="48" spans="2:67" s="299" customFormat="1" ht="19" customHeight="1" x14ac:dyDescent="0.35">
      <c r="B48" s="42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298"/>
      <c r="R48" s="298"/>
      <c r="S48" s="298"/>
      <c r="T48" s="298"/>
      <c r="U48" s="2589"/>
      <c r="V48" s="2589"/>
    </row>
    <row r="49" spans="2:32" s="299" customFormat="1" ht="19" customHeight="1" thickBot="1" x14ac:dyDescent="0.4"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306"/>
      <c r="U49" s="306"/>
      <c r="V49" s="306"/>
      <c r="W49" s="306"/>
      <c r="X49" s="298"/>
    </row>
    <row r="50" spans="2:32" s="299" customFormat="1" ht="37.5" customHeight="1" thickBot="1" x14ac:dyDescent="0.4">
      <c r="B50" s="926" t="s">
        <v>226</v>
      </c>
      <c r="C50" s="2309" t="s">
        <v>167</v>
      </c>
      <c r="D50" s="2370"/>
      <c r="E50" s="2370"/>
      <c r="F50" s="2370"/>
      <c r="G50" s="2370"/>
      <c r="H50" s="2370"/>
      <c r="I50" s="2370"/>
      <c r="J50" s="2370"/>
      <c r="K50" s="2370"/>
      <c r="L50" s="2370"/>
      <c r="M50" s="2370"/>
      <c r="N50" s="2370"/>
      <c r="O50" s="2370"/>
      <c r="P50" s="2371"/>
      <c r="Q50" s="926" t="s">
        <v>284</v>
      </c>
      <c r="R50" s="2250" t="s">
        <v>196</v>
      </c>
      <c r="S50" s="2251"/>
      <c r="T50" s="927" t="s">
        <v>52</v>
      </c>
      <c r="U50" s="1123"/>
      <c r="V50" s="1124" t="s">
        <v>7</v>
      </c>
      <c r="W50" s="1123"/>
      <c r="X50" s="1125"/>
    </row>
    <row r="51" spans="2:32" s="299" customFormat="1" ht="20.149999999999999" customHeight="1" thickTop="1" x14ac:dyDescent="0.35">
      <c r="B51" s="442">
        <v>1</v>
      </c>
      <c r="C51" s="190" t="str">
        <f>IF(B51=1,Pricing!F$1,IF(B51=2,Pricing!G$1,IF(B51=3,Pricing!H$1,IF(B51=4,Pricing!I$1,IF(B51=5,Pricing!J$1,IF(B51=6,Pricing!K$1,0))))))</f>
        <v>3000 PSI W/ ASH PIERS, SOG</v>
      </c>
      <c r="D51" s="190"/>
      <c r="E51" s="190"/>
      <c r="F51" s="190"/>
      <c r="G51" s="1140">
        <f>IF(B51=1,Pricing!F$2,IF(B51=2,Pricing!G$2,IF(B51=3,Pricing!H$2,IF(B51=4,Pricing!I$2,IF(B51=5,Pricing!J$2,IF(B51=6,Pricing!K$2,0))))))</f>
        <v>147</v>
      </c>
      <c r="H51" s="88" t="s">
        <v>168</v>
      </c>
      <c r="I51" s="2032" t="s">
        <v>323</v>
      </c>
      <c r="J51" s="2033"/>
      <c r="K51" s="2039">
        <v>0.1</v>
      </c>
      <c r="L51" s="1908">
        <f>IF(B51=1,AO$37,IF(B51=2,AP$37,IF(B51=3,AQ$37,IF(B51=4,AR$37,IF(B51=5,AS$37,IF(B51=6,AT$37))))))+IF(B51=1,AI$37,IF(B51=2,AJ$37,IF(B51=3,AK$37,IF(B51=4,AL$37,IF(B51=5,AM$37,IF(B51=6,AN$37))))))</f>
        <v>0</v>
      </c>
      <c r="M51" s="1909"/>
      <c r="N51" s="58" t="s">
        <v>102</v>
      </c>
      <c r="O51" s="2457">
        <f>L51*G51*(IF(U$40="N",1+W$40,1))</f>
        <v>0</v>
      </c>
      <c r="P51" s="2458"/>
      <c r="Q51" s="166">
        <v>2</v>
      </c>
      <c r="R51" s="193" t="s">
        <v>466</v>
      </c>
      <c r="S51" s="106"/>
      <c r="T51" s="827">
        <v>1</v>
      </c>
      <c r="U51" s="106"/>
      <c r="V51" s="195">
        <f>BC69</f>
        <v>0</v>
      </c>
      <c r="W51" s="106"/>
      <c r="X51" s="118">
        <f>V51*T51</f>
        <v>0</v>
      </c>
    </row>
    <row r="52" spans="2:32" s="299" customFormat="1" ht="20.149999999999999" customHeight="1" x14ac:dyDescent="0.35">
      <c r="B52" s="443">
        <v>2</v>
      </c>
      <c r="C52" s="42" t="str">
        <f>IF(B52=1,Pricing!F$1,IF(B52=2,Pricing!G$1,IF(B52=3,Pricing!H$1,IF(B52=4,Pricing!I$1,IF(B52=5,Pricing!J$1,IF(B52=6,Pricing!K$1,0))))))</f>
        <v>3500 Psi</v>
      </c>
      <c r="D52" s="42"/>
      <c r="E52" s="42"/>
      <c r="F52" s="42"/>
      <c r="G52" s="1140">
        <f>IF(B52=1,Pricing!F$2,IF(B52=2,Pricing!G$2,IF(B52=3,Pricing!H$2,IF(B52=4,Pricing!I$2,IF(B52=5,Pricing!J$2,IF(B52=6,Pricing!K$2,0))))))</f>
        <v>152</v>
      </c>
      <c r="H52" s="88" t="s">
        <v>168</v>
      </c>
      <c r="I52" s="2032"/>
      <c r="J52" s="2033"/>
      <c r="K52" s="2039"/>
      <c r="L52" s="1908">
        <f>IF(B52=1,AO$37,IF(B52=2,AP$37,IF(B52=3,AQ$37,IF(B52=4,AR$37,IF(B52=5,AS$37,IF(B52=6,AT$37))))))+IF(B52=1,AI$37,IF(B52=2,AJ$37,IF(B52=3,AK$37,IF(B52=4,AL$37,IF(B52=5,AM$37,IF(B52=6,AN$37))))))</f>
        <v>0</v>
      </c>
      <c r="M52" s="1909"/>
      <c r="N52" s="58" t="s">
        <v>102</v>
      </c>
      <c r="O52" s="2457">
        <f>L52*G52*(IF(U$40="N",1+W$40,1))</f>
        <v>0</v>
      </c>
      <c r="P52" s="2458"/>
      <c r="Q52" s="166">
        <v>2</v>
      </c>
      <c r="R52" s="193" t="s">
        <v>203</v>
      </c>
      <c r="S52" s="106"/>
      <c r="T52" s="194">
        <f>I65*3.6*T51</f>
        <v>0</v>
      </c>
      <c r="U52" s="387" t="s">
        <v>759</v>
      </c>
      <c r="V52" s="195">
        <f>Pricing!N3</f>
        <v>0.5625</v>
      </c>
      <c r="W52" s="401" t="s">
        <v>787</v>
      </c>
      <c r="X52" s="118">
        <f t="shared" ref="X52:X63" si="32">IF(U$40="Y",T52*V52,T52*V52*(1+W$40))</f>
        <v>0</v>
      </c>
    </row>
    <row r="53" spans="2:32" s="299" customFormat="1" ht="20.149999999999999" customHeight="1" thickBot="1" x14ac:dyDescent="0.4">
      <c r="B53" s="444">
        <v>4</v>
      </c>
      <c r="C53" s="75" t="str">
        <f>IF(B53=1,Pricing!F$1,IF(B53=2,Pricing!G$1,IF(B53=3,Pricing!H$1,IF(B53=4,Pricing!I$1,IF(B53=5,Pricing!J$1,IF(B53=6,Pricing!K$1,0))))))</f>
        <v>4500 psi</v>
      </c>
      <c r="D53" s="75"/>
      <c r="E53" s="75"/>
      <c r="F53" s="75"/>
      <c r="G53" s="1140">
        <f>IF(B53=1,Pricing!F$2,IF(B53=2,Pricing!G$2,IF(B53=3,Pricing!H$2,IF(B53=4,Pricing!I$2,IF(B53=5,Pricing!J$2,IF(B53=6,Pricing!K$2,0))))))</f>
        <v>162</v>
      </c>
      <c r="H53" s="90" t="s">
        <v>168</v>
      </c>
      <c r="I53" s="2034"/>
      <c r="J53" s="2035"/>
      <c r="K53" s="2040"/>
      <c r="L53" s="1908">
        <f>IF(B53=1,AO$37,IF(B53=2,AP$37,IF(B53=3,AQ$37,IF(B53=4,AR$37,IF(B53=5,AS$37,IF(B53=6,AT$37))))))+IF(B53=1,AI$37,IF(B53=2,AJ$37,IF(B53=3,AK$37,IF(B53=4,AL$37,IF(B53=5,AM$37,IF(B53=6,AN$37))))))</f>
        <v>0</v>
      </c>
      <c r="M53" s="1909"/>
      <c r="N53" s="91" t="s">
        <v>102</v>
      </c>
      <c r="O53" s="2457">
        <f>L53*G53*(IF(U$40="N",1+W$40,1))</f>
        <v>0</v>
      </c>
      <c r="P53" s="2458"/>
      <c r="Q53" s="166">
        <v>2</v>
      </c>
      <c r="R53" s="193" t="s">
        <v>204</v>
      </c>
      <c r="S53" s="106"/>
      <c r="T53" s="194">
        <v>0</v>
      </c>
      <c r="U53" s="387" t="s">
        <v>759</v>
      </c>
      <c r="V53" s="195">
        <f>Pricing!N4</f>
        <v>0.65625</v>
      </c>
      <c r="W53" s="401" t="s">
        <v>787</v>
      </c>
      <c r="X53" s="118">
        <f t="shared" si="32"/>
        <v>0</v>
      </c>
    </row>
    <row r="54" spans="2:32" s="299" customFormat="1" ht="20.149999999999999" customHeight="1" thickTop="1" x14ac:dyDescent="0.35">
      <c r="B54" s="43"/>
      <c r="C54" s="92" t="s">
        <v>104</v>
      </c>
      <c r="D54" s="42"/>
      <c r="E54" s="42"/>
      <c r="F54" s="42"/>
      <c r="G54" s="1140">
        <f>Pricing!D22</f>
        <v>0.6</v>
      </c>
      <c r="H54" s="88" t="s">
        <v>88</v>
      </c>
      <c r="I54" s="2616" t="s">
        <v>202</v>
      </c>
      <c r="J54" s="2617"/>
      <c r="K54" s="826">
        <v>0.1</v>
      </c>
      <c r="L54" s="2062">
        <f>V37</f>
        <v>0</v>
      </c>
      <c r="M54" s="2063"/>
      <c r="N54" s="42" t="s">
        <v>32</v>
      </c>
      <c r="O54" s="2450">
        <f>G54*L54*(IF(U40="N",1+W40,1))</f>
        <v>0</v>
      </c>
      <c r="P54" s="2451"/>
      <c r="Q54" s="166">
        <v>2</v>
      </c>
      <c r="R54" s="193" t="s">
        <v>206</v>
      </c>
      <c r="S54" s="106"/>
      <c r="T54" s="194">
        <v>0</v>
      </c>
      <c r="U54" s="387" t="s">
        <v>759</v>
      </c>
      <c r="V54" s="195">
        <f>Pricing!N5</f>
        <v>1</v>
      </c>
      <c r="W54" s="401" t="s">
        <v>787</v>
      </c>
      <c r="X54" s="118">
        <f t="shared" si="32"/>
        <v>0</v>
      </c>
    </row>
    <row r="55" spans="2:32" s="299" customFormat="1" ht="20.149999999999999" customHeight="1" x14ac:dyDescent="0.35">
      <c r="B55" s="43"/>
      <c r="C55" s="92"/>
      <c r="D55" s="42"/>
      <c r="E55" s="42"/>
      <c r="F55" s="42"/>
      <c r="G55" s="1140">
        <f>Pricing!F5</f>
        <v>0</v>
      </c>
      <c r="H55" s="88" t="s">
        <v>69</v>
      </c>
      <c r="I55" s="2625" t="s">
        <v>202</v>
      </c>
      <c r="J55" s="2626"/>
      <c r="K55" s="748">
        <v>0.05</v>
      </c>
      <c r="L55" s="1908"/>
      <c r="M55" s="1909"/>
      <c r="N55" s="42" t="s">
        <v>95</v>
      </c>
      <c r="O55" s="2457">
        <f>L55*G55*(IF(U40="N",1+W40,1))*(K55+1)</f>
        <v>0</v>
      </c>
      <c r="P55" s="2458"/>
      <c r="Q55" s="166">
        <v>2</v>
      </c>
      <c r="R55" s="193" t="s">
        <v>205</v>
      </c>
      <c r="S55" s="106"/>
      <c r="T55" s="194">
        <f>E37*2</f>
        <v>0</v>
      </c>
      <c r="U55" s="387" t="s">
        <v>759</v>
      </c>
      <c r="V55" s="195">
        <f>Pricing!N6</f>
        <v>1.25</v>
      </c>
      <c r="W55" s="401" t="s">
        <v>787</v>
      </c>
      <c r="X55" s="118">
        <f t="shared" si="32"/>
        <v>0</v>
      </c>
    </row>
    <row r="56" spans="2:32" s="299" customFormat="1" ht="20.149999999999999" customHeight="1" thickBot="1" x14ac:dyDescent="0.4">
      <c r="B56" s="43"/>
      <c r="C56" s="93" t="s">
        <v>302</v>
      </c>
      <c r="D56" s="75"/>
      <c r="E56" s="75"/>
      <c r="F56" s="75"/>
      <c r="G56" s="1141">
        <v>0.35</v>
      </c>
      <c r="H56" s="90" t="s">
        <v>69</v>
      </c>
      <c r="I56" s="199" t="s">
        <v>199</v>
      </c>
      <c r="J56" s="2375">
        <v>0</v>
      </c>
      <c r="K56" s="2375"/>
      <c r="L56" s="2061"/>
      <c r="M56" s="2061"/>
      <c r="N56" s="75" t="s">
        <v>95</v>
      </c>
      <c r="O56" s="2442">
        <f>IF(M36="y",IF(J56=0,L56*G56,J56),0)*(IF(T$63="N",1+V$63,1))</f>
        <v>0</v>
      </c>
      <c r="P56" s="2443"/>
      <c r="Q56" s="166">
        <v>2</v>
      </c>
      <c r="R56" s="193" t="s">
        <v>207</v>
      </c>
      <c r="S56" s="106"/>
      <c r="T56" s="194">
        <f>ROUNDUP(I65*2/32*T51*1.1,0)</f>
        <v>0</v>
      </c>
      <c r="U56" s="106" t="s">
        <v>209</v>
      </c>
      <c r="V56" s="195">
        <f>Pricing!N7</f>
        <v>50</v>
      </c>
      <c r="W56" s="401" t="s">
        <v>290</v>
      </c>
      <c r="X56" s="118">
        <f t="shared" si="32"/>
        <v>0</v>
      </c>
    </row>
    <row r="57" spans="2:32" s="299" customFormat="1" ht="20.149999999999999" customHeight="1" thickTop="1" x14ac:dyDescent="0.35">
      <c r="B57" s="94"/>
      <c r="C57" s="58" t="s">
        <v>103</v>
      </c>
      <c r="D57" s="42"/>
      <c r="E57" s="42"/>
      <c r="F57" s="42"/>
      <c r="G57" s="1142">
        <f>Pricing!D18</f>
        <v>25</v>
      </c>
      <c r="H57" s="88" t="s">
        <v>169</v>
      </c>
      <c r="I57" s="2444" t="s">
        <v>202</v>
      </c>
      <c r="J57" s="2445"/>
      <c r="K57" s="2603">
        <v>0.05</v>
      </c>
      <c r="L57" s="1909"/>
      <c r="M57" s="1909"/>
      <c r="N57" s="42" t="s">
        <v>102</v>
      </c>
      <c r="O57" s="2450">
        <f>L57*G57*IF(R24="N",1+U24,1)</f>
        <v>0</v>
      </c>
      <c r="P57" s="2451"/>
      <c r="Q57" s="166">
        <v>2</v>
      </c>
      <c r="R57" s="193" t="s">
        <v>757</v>
      </c>
      <c r="S57" s="106"/>
      <c r="T57" s="194">
        <f>ROUNDUP(E37*2/25,0)</f>
        <v>0</v>
      </c>
      <c r="U57" s="106" t="s">
        <v>786</v>
      </c>
      <c r="V57" s="195">
        <f>Pricing!N14</f>
        <v>18</v>
      </c>
      <c r="W57" s="401" t="s">
        <v>291</v>
      </c>
      <c r="X57" s="118">
        <f t="shared" si="32"/>
        <v>0</v>
      </c>
    </row>
    <row r="58" spans="2:32" s="299" customFormat="1" ht="20.149999999999999" customHeight="1" thickBot="1" x14ac:dyDescent="0.4">
      <c r="B58" s="43"/>
      <c r="C58" s="134" t="s">
        <v>344</v>
      </c>
      <c r="D58" s="75"/>
      <c r="E58" s="95"/>
      <c r="F58" s="75"/>
      <c r="G58" s="1143">
        <v>15</v>
      </c>
      <c r="H58" s="90" t="s">
        <v>124</v>
      </c>
      <c r="I58" s="2446"/>
      <c r="J58" s="2447"/>
      <c r="K58" s="2604"/>
      <c r="L58" s="2061"/>
      <c r="M58" s="2061"/>
      <c r="N58" s="75" t="s">
        <v>95</v>
      </c>
      <c r="O58" s="2452">
        <f>L58*G58</f>
        <v>0</v>
      </c>
      <c r="P58" s="2453"/>
      <c r="Q58" s="166">
        <v>2</v>
      </c>
      <c r="R58" s="193" t="s">
        <v>0</v>
      </c>
      <c r="S58" s="106"/>
      <c r="T58" s="194">
        <f>ROUNDUP(I65/1800,0)</f>
        <v>0</v>
      </c>
      <c r="U58" s="106" t="s">
        <v>626</v>
      </c>
      <c r="V58" s="195">
        <f>Pricing!N15</f>
        <v>42</v>
      </c>
      <c r="W58" s="401" t="s">
        <v>292</v>
      </c>
      <c r="X58" s="118">
        <f t="shared" si="32"/>
        <v>0</v>
      </c>
    </row>
    <row r="59" spans="2:32" s="299" customFormat="1" ht="20.149999999999999" customHeight="1" thickTop="1" x14ac:dyDescent="0.35">
      <c r="B59" s="43"/>
      <c r="C59" s="92"/>
      <c r="D59" s="42"/>
      <c r="E59" s="73"/>
      <c r="F59" s="42"/>
      <c r="G59" s="1144">
        <v>0.17</v>
      </c>
      <c r="H59" s="42" t="s">
        <v>171</v>
      </c>
      <c r="I59" s="2444" t="s">
        <v>202</v>
      </c>
      <c r="J59" s="2445"/>
      <c r="K59" s="2611">
        <v>0.1</v>
      </c>
      <c r="L59" s="1908"/>
      <c r="M59" s="1909"/>
      <c r="N59" s="42" t="s">
        <v>95</v>
      </c>
      <c r="O59" s="2388">
        <f>G59*L59</f>
        <v>0</v>
      </c>
      <c r="P59" s="2389"/>
      <c r="Q59" s="166">
        <v>2</v>
      </c>
      <c r="R59" s="193" t="s">
        <v>2</v>
      </c>
      <c r="S59" s="106"/>
      <c r="T59" s="194">
        <f>ROUNDUP(I65/1000,0)</f>
        <v>0</v>
      </c>
      <c r="U59" s="106" t="s">
        <v>626</v>
      </c>
      <c r="V59" s="195">
        <f>Pricing!N16</f>
        <v>42</v>
      </c>
      <c r="W59" s="401" t="s">
        <v>292</v>
      </c>
      <c r="X59" s="118">
        <f t="shared" si="32"/>
        <v>0</v>
      </c>
      <c r="AA59" s="299" t="s">
        <v>237</v>
      </c>
    </row>
    <row r="60" spans="2:32" s="299" customFormat="1" ht="20.149999999999999" customHeight="1" x14ac:dyDescent="0.35">
      <c r="B60" s="2259" t="s">
        <v>192</v>
      </c>
      <c r="C60" s="1972"/>
      <c r="D60" s="1972"/>
      <c r="E60" s="73" t="s">
        <v>301</v>
      </c>
      <c r="F60" s="842" t="s">
        <v>198</v>
      </c>
      <c r="G60" s="757">
        <v>1.75</v>
      </c>
      <c r="H60" s="88" t="s">
        <v>69</v>
      </c>
      <c r="I60" s="2607"/>
      <c r="J60" s="2608"/>
      <c r="K60" s="2603"/>
      <c r="L60" s="1908">
        <f>IF(F60="Y",E37*(1+K59),0)</f>
        <v>0</v>
      </c>
      <c r="M60" s="1909"/>
      <c r="N60" s="42" t="s">
        <v>42</v>
      </c>
      <c r="O60" s="2388">
        <f>L60*G60</f>
        <v>0</v>
      </c>
      <c r="P60" s="2389"/>
      <c r="Q60" s="166">
        <v>2</v>
      </c>
      <c r="R60" s="193" t="s">
        <v>1</v>
      </c>
      <c r="S60" s="106"/>
      <c r="T60" s="194">
        <f>T59</f>
        <v>0</v>
      </c>
      <c r="U60" s="106" t="s">
        <v>626</v>
      </c>
      <c r="V60" s="195">
        <f>Pricing!N17</f>
        <v>42</v>
      </c>
      <c r="W60" s="401" t="s">
        <v>292</v>
      </c>
      <c r="X60" s="118">
        <f t="shared" si="32"/>
        <v>0</v>
      </c>
      <c r="AA60" s="299" t="s">
        <v>126</v>
      </c>
      <c r="AB60" s="299">
        <v>0</v>
      </c>
    </row>
    <row r="61" spans="2:32" s="299" customFormat="1" ht="20.149999999999999" customHeight="1" thickBot="1" x14ac:dyDescent="0.4">
      <c r="B61" s="2259" t="s">
        <v>201</v>
      </c>
      <c r="C61" s="1972"/>
      <c r="D61" s="1972"/>
      <c r="E61" s="95" t="s">
        <v>301</v>
      </c>
      <c r="F61" s="1168" t="s">
        <v>198</v>
      </c>
      <c r="G61" s="1145">
        <v>1.8</v>
      </c>
      <c r="H61" s="90" t="s">
        <v>170</v>
      </c>
      <c r="I61" s="2446"/>
      <c r="J61" s="2447"/>
      <c r="K61" s="2604"/>
      <c r="L61" s="2060">
        <f>IF(F61="Y",,0)*E37*2*(1+K59)</f>
        <v>0</v>
      </c>
      <c r="M61" s="2061"/>
      <c r="N61" s="75" t="s">
        <v>42</v>
      </c>
      <c r="O61" s="2442">
        <f>L61*G61</f>
        <v>0</v>
      </c>
      <c r="P61" s="2443"/>
      <c r="Q61" s="166">
        <v>2</v>
      </c>
      <c r="R61" s="193" t="s">
        <v>210</v>
      </c>
      <c r="S61" s="106"/>
      <c r="T61" s="194">
        <f>AM29*12/48/50</f>
        <v>0</v>
      </c>
      <c r="U61" s="106" t="s">
        <v>626</v>
      </c>
      <c r="V61" s="195">
        <f>Pricing!N33</f>
        <v>25.5</v>
      </c>
      <c r="W61" s="401" t="s">
        <v>292</v>
      </c>
      <c r="X61" s="118">
        <f t="shared" si="32"/>
        <v>0</v>
      </c>
      <c r="AA61" s="299" t="s">
        <v>238</v>
      </c>
      <c r="AB61" s="299">
        <v>0</v>
      </c>
    </row>
    <row r="62" spans="2:32" s="299" customFormat="1" ht="20.149999999999999" customHeight="1" thickTop="1" thickBot="1" x14ac:dyDescent="0.4">
      <c r="B62" s="47"/>
      <c r="C62" s="47" t="s">
        <v>70</v>
      </c>
      <c r="D62" s="49"/>
      <c r="E62" s="49"/>
      <c r="F62" s="49"/>
      <c r="G62" s="1146"/>
      <c r="H62" s="96" t="s">
        <v>193</v>
      </c>
      <c r="I62" s="2360" t="s">
        <v>793</v>
      </c>
      <c r="J62" s="2361"/>
      <c r="K62" s="828">
        <v>0.4</v>
      </c>
      <c r="L62" s="2634">
        <f>AX37</f>
        <v>0</v>
      </c>
      <c r="M62" s="2635"/>
      <c r="N62" s="49" t="s">
        <v>95</v>
      </c>
      <c r="O62" s="2429">
        <f>G62*K62*L62</f>
        <v>0</v>
      </c>
      <c r="P62" s="2430"/>
      <c r="Q62" s="166">
        <v>2</v>
      </c>
      <c r="R62" s="193" t="s">
        <v>236</v>
      </c>
      <c r="S62" s="106"/>
      <c r="T62" s="194">
        <f>BF51+AE114</f>
        <v>0</v>
      </c>
      <c r="U62" s="387" t="s">
        <v>759</v>
      </c>
      <c r="V62" s="195">
        <f>Pricing!N18</f>
        <v>0.78</v>
      </c>
      <c r="W62" s="106" t="s">
        <v>787</v>
      </c>
      <c r="X62" s="118">
        <f t="shared" si="32"/>
        <v>0</v>
      </c>
      <c r="AA62" s="299" t="s">
        <v>283</v>
      </c>
      <c r="AB62" s="299">
        <v>0</v>
      </c>
    </row>
    <row r="63" spans="2:32" s="299" customFormat="1" ht="20.149999999999999" customHeight="1" thickBot="1" x14ac:dyDescent="0.4">
      <c r="B63" s="835" t="s">
        <v>221</v>
      </c>
      <c r="C63" s="834"/>
      <c r="D63" s="834" t="s">
        <v>299</v>
      </c>
      <c r="E63" s="834"/>
      <c r="F63" s="834"/>
      <c r="G63" s="836"/>
      <c r="H63" s="834"/>
      <c r="I63" s="834"/>
      <c r="J63" s="834"/>
      <c r="K63" s="834"/>
      <c r="L63" s="2306" t="s">
        <v>45</v>
      </c>
      <c r="M63" s="2306"/>
      <c r="N63" s="2306" t="s">
        <v>300</v>
      </c>
      <c r="O63" s="2306"/>
      <c r="P63" s="2307"/>
      <c r="Q63" s="166">
        <v>2</v>
      </c>
      <c r="R63" s="193" t="s">
        <v>119</v>
      </c>
      <c r="S63" s="106"/>
      <c r="T63" s="194">
        <v>0</v>
      </c>
      <c r="U63" s="387" t="s">
        <v>759</v>
      </c>
      <c r="V63" s="195">
        <f>Pricing!N19</f>
        <v>0.16</v>
      </c>
      <c r="W63" s="106" t="s">
        <v>787</v>
      </c>
      <c r="X63" s="118">
        <f t="shared" si="32"/>
        <v>0</v>
      </c>
      <c r="AA63" s="299" t="s">
        <v>239</v>
      </c>
      <c r="AB63" s="299" t="s">
        <v>240</v>
      </c>
      <c r="AF63" s="299" t="s">
        <v>92</v>
      </c>
    </row>
    <row r="64" spans="2:32" s="299" customFormat="1" ht="20.149999999999999" customHeight="1" x14ac:dyDescent="0.35">
      <c r="B64" s="250"/>
      <c r="C64" s="48"/>
      <c r="D64" s="246" t="s">
        <v>200</v>
      </c>
      <c r="E64" s="2636">
        <v>10</v>
      </c>
      <c r="F64" s="2636"/>
      <c r="G64" s="419" t="s">
        <v>191</v>
      </c>
      <c r="H64" s="48"/>
      <c r="I64" s="2637">
        <f>AZ37</f>
        <v>0</v>
      </c>
      <c r="J64" s="1959"/>
      <c r="K64" s="48" t="s">
        <v>95</v>
      </c>
      <c r="L64" s="1853">
        <f>IF(D64="N",E64*I64,0)</f>
        <v>0</v>
      </c>
      <c r="M64" s="1853"/>
      <c r="N64" s="247"/>
      <c r="O64" s="2412">
        <f>IF(D64="y",E64*I64,0)</f>
        <v>0</v>
      </c>
      <c r="P64" s="2413"/>
      <c r="Q64" s="166">
        <v>2</v>
      </c>
      <c r="R64" s="193" t="s">
        <v>218</v>
      </c>
      <c r="S64" s="106"/>
      <c r="T64" s="194"/>
      <c r="U64" s="106" t="s">
        <v>762</v>
      </c>
      <c r="V64" s="195">
        <f>Pricing!N20</f>
        <v>45</v>
      </c>
      <c r="W64" s="401" t="s">
        <v>292</v>
      </c>
      <c r="X64" s="118">
        <f>IF(U$40="Y",T64*V64,T64*V64*(1+W$40))</f>
        <v>0</v>
      </c>
    </row>
    <row r="65" spans="2:32" s="299" customFormat="1" ht="20.149999999999999" customHeight="1" x14ac:dyDescent="0.35">
      <c r="B65" s="193" t="s">
        <v>329</v>
      </c>
      <c r="C65" s="57"/>
      <c r="D65" s="97" t="s">
        <v>200</v>
      </c>
      <c r="E65" s="2099">
        <v>4</v>
      </c>
      <c r="F65" s="2633"/>
      <c r="G65" s="401" t="s">
        <v>191</v>
      </c>
      <c r="H65" s="2431">
        <f>SUM(E65:F67)</f>
        <v>9</v>
      </c>
      <c r="I65" s="2557">
        <f>AY37</f>
        <v>0</v>
      </c>
      <c r="J65" s="2558"/>
      <c r="K65" s="42" t="s">
        <v>332</v>
      </c>
      <c r="L65" s="1886">
        <f>IF(D65="N",E65*I$65,0)</f>
        <v>0</v>
      </c>
      <c r="M65" s="1886"/>
      <c r="N65"/>
      <c r="O65" s="2388">
        <f>IF(D65="y",I$65*E65,0)</f>
        <v>0</v>
      </c>
      <c r="P65" s="2389"/>
      <c r="Q65" s="166">
        <v>2</v>
      </c>
      <c r="R65" s="193" t="s">
        <v>839</v>
      </c>
      <c r="S65" s="106"/>
      <c r="T65" s="194">
        <v>0</v>
      </c>
      <c r="U65" s="106" t="s">
        <v>42</v>
      </c>
      <c r="V65" s="195">
        <v>1</v>
      </c>
      <c r="W65" s="401" t="s">
        <v>788</v>
      </c>
      <c r="X65" s="118">
        <f>IF(U$40="Y",T65*V65,T65*V65*(1+W$40))</f>
        <v>0</v>
      </c>
      <c r="AA65" s="299">
        <v>0</v>
      </c>
      <c r="AB65" s="299" t="s">
        <v>241</v>
      </c>
    </row>
    <row r="66" spans="2:32" s="299" customFormat="1" ht="20.149999999999999" customHeight="1" x14ac:dyDescent="0.35">
      <c r="B66" s="196" t="s">
        <v>162</v>
      </c>
      <c r="C66" s="57"/>
      <c r="D66" s="98" t="s">
        <v>200</v>
      </c>
      <c r="E66" s="2099">
        <v>4</v>
      </c>
      <c r="F66" s="2633"/>
      <c r="G66" s="401" t="s">
        <v>191</v>
      </c>
      <c r="H66" s="2431"/>
      <c r="I66" s="2559"/>
      <c r="J66" s="2560"/>
      <c r="K66" s="42" t="s">
        <v>332</v>
      </c>
      <c r="L66" s="1886">
        <f>IF(D66="N",E66*I$65,0)</f>
        <v>0</v>
      </c>
      <c r="M66" s="1886"/>
      <c r="N66"/>
      <c r="O66" s="2388">
        <f>IF(D66="y",I$65*E66,0)</f>
        <v>0</v>
      </c>
      <c r="P66" s="2389"/>
      <c r="Q66" s="166">
        <v>2</v>
      </c>
      <c r="R66" s="193" t="s">
        <v>123</v>
      </c>
      <c r="S66" s="106"/>
      <c r="T66" s="194">
        <v>0</v>
      </c>
      <c r="U66" s="106" t="s">
        <v>498</v>
      </c>
      <c r="V66" s="195">
        <f>Pricing!N41</f>
        <v>100</v>
      </c>
      <c r="W66" s="401" t="s">
        <v>294</v>
      </c>
      <c r="X66" s="118">
        <f>V66*T66</f>
        <v>0</v>
      </c>
      <c r="AA66" s="299">
        <v>1</v>
      </c>
      <c r="AB66" s="299" t="s">
        <v>242</v>
      </c>
    </row>
    <row r="67" spans="2:32" s="299" customFormat="1" ht="20.149999999999999" customHeight="1" x14ac:dyDescent="0.35">
      <c r="B67" s="196" t="s">
        <v>84</v>
      </c>
      <c r="C67" s="57"/>
      <c r="D67" s="98" t="s">
        <v>200</v>
      </c>
      <c r="E67" s="2099">
        <v>1</v>
      </c>
      <c r="F67" s="2633"/>
      <c r="G67" s="401" t="s">
        <v>191</v>
      </c>
      <c r="H67" s="2431"/>
      <c r="I67" s="2559"/>
      <c r="J67" s="2560"/>
      <c r="K67" s="42" t="s">
        <v>332</v>
      </c>
      <c r="L67" s="1886">
        <f>IF(D67="N",E67*I$65,0)</f>
        <v>0</v>
      </c>
      <c r="M67" s="1886"/>
      <c r="N67"/>
      <c r="O67" s="2388">
        <f>IF(D67="y",I$65*E67,0)</f>
        <v>0</v>
      </c>
      <c r="P67" s="2389"/>
      <c r="Q67" s="166">
        <v>2</v>
      </c>
      <c r="R67" s="193" t="s">
        <v>834</v>
      </c>
      <c r="S67" s="106"/>
      <c r="T67" s="194">
        <v>0</v>
      </c>
      <c r="U67" s="106"/>
      <c r="V67" s="195">
        <v>2</v>
      </c>
      <c r="W67" s="106"/>
      <c r="X67" s="118">
        <f>V67*T67</f>
        <v>0</v>
      </c>
      <c r="AA67" s="299">
        <v>2</v>
      </c>
      <c r="AB67" s="299" t="s">
        <v>243</v>
      </c>
      <c r="AF67" s="343">
        <f>SUM(X52:X77)+O55+O59+O89</f>
        <v>0</v>
      </c>
    </row>
    <row r="68" spans="2:32" s="299" customFormat="1" ht="20.149999999999999" customHeight="1" x14ac:dyDescent="0.35">
      <c r="B68" s="196" t="s">
        <v>322</v>
      </c>
      <c r="C68" s="57"/>
      <c r="D68" s="98" t="s">
        <v>661</v>
      </c>
      <c r="E68" s="2099">
        <v>0.5</v>
      </c>
      <c r="F68" s="2633"/>
      <c r="G68" s="401" t="s">
        <v>191</v>
      </c>
      <c r="H68" s="42"/>
      <c r="I68" s="2561"/>
      <c r="J68" s="2562"/>
      <c r="K68" s="42" t="s">
        <v>332</v>
      </c>
      <c r="L68" s="1886">
        <f>IF(D68="N",E68*I$65,0)</f>
        <v>0</v>
      </c>
      <c r="M68" s="1886"/>
      <c r="N68"/>
      <c r="O68" s="2388">
        <f>IF(D68="y",I$65*E68,0)</f>
        <v>0</v>
      </c>
      <c r="P68" s="2389"/>
      <c r="Q68" s="166">
        <v>2</v>
      </c>
      <c r="R68" s="193"/>
      <c r="S68" s="106"/>
      <c r="T68" s="194"/>
      <c r="U68" s="106"/>
      <c r="V68" s="195"/>
      <c r="W68" s="106"/>
      <c r="X68" s="118"/>
      <c r="AA68" s="299">
        <v>3</v>
      </c>
      <c r="AB68" s="299" t="s">
        <v>244</v>
      </c>
      <c r="AF68" s="299">
        <f>O57</f>
        <v>0</v>
      </c>
    </row>
    <row r="69" spans="2:32" s="299" customFormat="1" ht="20.149999999999999" customHeight="1" x14ac:dyDescent="0.35">
      <c r="B69" s="196" t="s">
        <v>33</v>
      </c>
      <c r="C69" s="57"/>
      <c r="D69" s="98" t="s">
        <v>200</v>
      </c>
      <c r="E69" s="2099">
        <v>400</v>
      </c>
      <c r="F69" s="2633"/>
      <c r="G69" s="401" t="s">
        <v>89</v>
      </c>
      <c r="H69" s="42"/>
      <c r="I69" s="1909">
        <f>(L54/2000)</f>
        <v>0</v>
      </c>
      <c r="J69" s="1909"/>
      <c r="K69" s="42" t="s">
        <v>183</v>
      </c>
      <c r="L69" s="1886">
        <f>IF(D69="N",E69*I69,0)</f>
        <v>0</v>
      </c>
      <c r="M69" s="1886"/>
      <c r="N69"/>
      <c r="O69" s="2388">
        <f>IF(D69="y",I69*E69,0)</f>
        <v>0</v>
      </c>
      <c r="P69" s="2389"/>
      <c r="Q69" s="166">
        <v>2</v>
      </c>
      <c r="R69" s="193"/>
      <c r="S69" s="106"/>
      <c r="T69" s="194"/>
      <c r="U69" s="106"/>
      <c r="V69" s="195"/>
      <c r="W69" s="106"/>
      <c r="X69" s="118"/>
      <c r="AA69" s="299">
        <v>4</v>
      </c>
      <c r="AB69" s="299" t="s">
        <v>245</v>
      </c>
      <c r="AF69" s="299">
        <f>O58</f>
        <v>0</v>
      </c>
    </row>
    <row r="70" spans="2:32" s="299" customFormat="1" ht="20.149999999999999" customHeight="1" x14ac:dyDescent="0.35">
      <c r="B70" s="209" t="s">
        <v>664</v>
      </c>
      <c r="C70" s="79"/>
      <c r="D70" s="98" t="s">
        <v>200</v>
      </c>
      <c r="E70" s="2630">
        <v>20</v>
      </c>
      <c r="F70" s="2631"/>
      <c r="G70" s="445" t="s">
        <v>327</v>
      </c>
      <c r="H70" s="52"/>
      <c r="I70" s="2257">
        <f>AV37*1.3</f>
        <v>0</v>
      </c>
      <c r="J70" s="2257"/>
      <c r="K70" s="52" t="s">
        <v>328</v>
      </c>
      <c r="L70" s="2118">
        <f>IF(D70="N",E70*I70,0)</f>
        <v>0</v>
      </c>
      <c r="M70" s="2118"/>
      <c r="N70"/>
      <c r="O70" s="2632">
        <f>IF(D70="y",I70*E70,0)</f>
        <v>0</v>
      </c>
      <c r="P70" s="2546"/>
      <c r="Q70" s="166">
        <v>2</v>
      </c>
      <c r="R70" s="193"/>
      <c r="S70" s="106"/>
      <c r="T70" s="194"/>
      <c r="U70" s="106"/>
      <c r="V70" s="195"/>
      <c r="W70" s="106"/>
      <c r="X70" s="118"/>
      <c r="AA70" s="299">
        <v>5</v>
      </c>
      <c r="AB70" s="299" t="s">
        <v>246</v>
      </c>
      <c r="AF70" s="299">
        <f>O54</f>
        <v>0</v>
      </c>
    </row>
    <row r="71" spans="2:32" s="299" customFormat="1" ht="20.149999999999999" customHeight="1" thickBot="1" x14ac:dyDescent="0.4">
      <c r="B71" s="6" t="s">
        <v>223</v>
      </c>
      <c r="C71" s="4"/>
      <c r="D71" s="5"/>
      <c r="E71" s="2263">
        <f>IF(I65=0,0,(O71+L71)/I65)</f>
        <v>0</v>
      </c>
      <c r="F71" s="2264"/>
      <c r="G71" s="76"/>
      <c r="H71" s="49"/>
      <c r="I71" s="2017" t="s">
        <v>50</v>
      </c>
      <c r="J71" s="2017"/>
      <c r="K71" s="2017"/>
      <c r="L71" s="2124">
        <f>SUM(L64:M70)</f>
        <v>0</v>
      </c>
      <c r="M71" s="2124"/>
      <c r="N71" s="248"/>
      <c r="O71" s="2402">
        <f>SUM(O64:P70)</f>
        <v>0</v>
      </c>
      <c r="P71" s="2403"/>
      <c r="Q71" s="166">
        <v>2</v>
      </c>
      <c r="R71" s="193"/>
      <c r="S71" s="106"/>
      <c r="T71" s="194"/>
      <c r="U71" s="402"/>
      <c r="V71" s="195"/>
      <c r="W71" s="106"/>
      <c r="X71" s="118"/>
      <c r="AA71" s="299">
        <v>6</v>
      </c>
      <c r="AB71" s="299" t="s">
        <v>248</v>
      </c>
      <c r="AF71" s="299">
        <f>SUM(X79:X84)</f>
        <v>0</v>
      </c>
    </row>
    <row r="72" spans="2:32" s="299" customFormat="1" ht="20.149999999999999" customHeight="1" thickBot="1" x14ac:dyDescent="0.4">
      <c r="B72" s="2395" t="s">
        <v>194</v>
      </c>
      <c r="C72" s="2236"/>
      <c r="D72" s="2236"/>
      <c r="E72" s="2236"/>
      <c r="F72" s="2236"/>
      <c r="G72" s="2236"/>
      <c r="H72" s="2236"/>
      <c r="I72" s="2236"/>
      <c r="J72" s="2236"/>
      <c r="K72" s="2236"/>
      <c r="L72" s="2236"/>
      <c r="M72" s="2236"/>
      <c r="N72" s="2236"/>
      <c r="O72" s="2236"/>
      <c r="P72" s="2236"/>
      <c r="Q72" s="166">
        <v>2</v>
      </c>
      <c r="R72" s="193" t="s">
        <v>219</v>
      </c>
      <c r="S72" s="106"/>
      <c r="T72" s="194">
        <f>ROUNDUP(L62*0.55*T51,0)</f>
        <v>0</v>
      </c>
      <c r="U72" s="106" t="s">
        <v>18</v>
      </c>
      <c r="V72" s="195">
        <f>Pricing!N25</f>
        <v>0.25</v>
      </c>
      <c r="W72" s="106" t="s">
        <v>121</v>
      </c>
      <c r="X72" s="118">
        <f>T72*V72</f>
        <v>0</v>
      </c>
      <c r="AA72" s="299">
        <v>7</v>
      </c>
      <c r="AB72" s="299" t="s">
        <v>247</v>
      </c>
      <c r="AF72" s="299">
        <f>O56</f>
        <v>0</v>
      </c>
    </row>
    <row r="73" spans="2:32" s="299" customFormat="1" ht="20.149999999999999" customHeight="1" x14ac:dyDescent="0.35">
      <c r="B73" s="100" t="s">
        <v>1164</v>
      </c>
      <c r="C73" s="48"/>
      <c r="D73" s="101"/>
      <c r="E73" s="752">
        <v>0</v>
      </c>
      <c r="F73" s="48" t="s">
        <v>187</v>
      </c>
      <c r="G73" s="807">
        <v>295</v>
      </c>
      <c r="H73" s="102" t="s">
        <v>68</v>
      </c>
      <c r="I73" s="48"/>
      <c r="J73" s="48"/>
      <c r="K73" s="48"/>
      <c r="L73" s="48"/>
      <c r="M73" s="2214">
        <f>IF(E45=0,0,(SUM(O73:P77))/E45)</f>
        <v>0</v>
      </c>
      <c r="N73" s="2215"/>
      <c r="O73" s="1897">
        <f>E73*G73</f>
        <v>0</v>
      </c>
      <c r="P73" s="1898"/>
      <c r="Q73" s="166">
        <v>2</v>
      </c>
      <c r="R73" s="193" t="s">
        <v>233</v>
      </c>
      <c r="S73" s="106"/>
      <c r="T73" s="194">
        <v>0</v>
      </c>
      <c r="U73" s="106" t="s">
        <v>18</v>
      </c>
      <c r="V73" s="195">
        <f>Pricing!N26</f>
        <v>0.75</v>
      </c>
      <c r="W73" s="106" t="s">
        <v>18</v>
      </c>
      <c r="X73" s="118">
        <f>T73*V73</f>
        <v>0</v>
      </c>
      <c r="AA73" s="299">
        <v>8</v>
      </c>
      <c r="AB73" s="299" t="s">
        <v>249</v>
      </c>
      <c r="AF73" s="299">
        <f>SUM(O51:P53)</f>
        <v>0</v>
      </c>
    </row>
    <row r="74" spans="2:32" s="299" customFormat="1" ht="20.149999999999999" customHeight="1" x14ac:dyDescent="0.35">
      <c r="B74" s="92" t="s">
        <v>1162</v>
      </c>
      <c r="C74" s="42"/>
      <c r="D74" s="42"/>
      <c r="E74" s="753">
        <f>E73*0.5</f>
        <v>0</v>
      </c>
      <c r="F74" s="103" t="s">
        <v>187</v>
      </c>
      <c r="G74" s="808">
        <v>390</v>
      </c>
      <c r="H74" s="108" t="s">
        <v>68</v>
      </c>
      <c r="I74" s="42"/>
      <c r="J74" s="42"/>
      <c r="K74" s="42"/>
      <c r="L74" s="42"/>
      <c r="M74" s="2076">
        <f>SUM(O73:P77)</f>
        <v>0</v>
      </c>
      <c r="N74" s="2108"/>
      <c r="O74" s="1895">
        <f>E74*G74</f>
        <v>0</v>
      </c>
      <c r="P74" s="1896"/>
      <c r="Q74" s="166">
        <v>2</v>
      </c>
      <c r="R74" s="193" t="s">
        <v>785</v>
      </c>
      <c r="S74" s="106"/>
      <c r="T74" s="194">
        <v>0</v>
      </c>
      <c r="U74" s="106" t="s">
        <v>288</v>
      </c>
      <c r="V74" s="195">
        <f>Pricing!N27</f>
        <v>15</v>
      </c>
      <c r="W74" s="401" t="s">
        <v>293</v>
      </c>
      <c r="X74" s="118">
        <f>T74*V74</f>
        <v>0</v>
      </c>
      <c r="AA74" s="299">
        <v>9</v>
      </c>
      <c r="AB74" s="299" t="s">
        <v>234</v>
      </c>
      <c r="AF74" s="299">
        <f>SUM(O60:P61)</f>
        <v>0</v>
      </c>
    </row>
    <row r="75" spans="2:32" s="299" customFormat="1" ht="20.149999999999999" customHeight="1" x14ac:dyDescent="0.35">
      <c r="B75" s="196" t="s">
        <v>1165</v>
      </c>
      <c r="C75" s="42"/>
      <c r="D75" s="42"/>
      <c r="E75" s="1408"/>
      <c r="F75" s="103" t="s">
        <v>187</v>
      </c>
      <c r="G75" s="1414">
        <v>200</v>
      </c>
      <c r="H75" s="108" t="s">
        <v>68</v>
      </c>
      <c r="I75" s="42"/>
      <c r="J75" s="42"/>
      <c r="K75" s="42"/>
      <c r="L75" s="42"/>
      <c r="M75" s="1814"/>
      <c r="N75" s="1814"/>
      <c r="O75" s="1895">
        <f t="shared" ref="O75:O76" si="33">E75*G75</f>
        <v>0</v>
      </c>
      <c r="P75" s="1896"/>
      <c r="Q75" s="166"/>
      <c r="R75" s="193"/>
      <c r="S75" s="106"/>
      <c r="T75" s="194"/>
      <c r="U75" s="106"/>
      <c r="V75" s="195"/>
      <c r="W75" s="401"/>
      <c r="X75" s="118"/>
    </row>
    <row r="76" spans="2:32" s="299" customFormat="1" ht="20.149999999999999" customHeight="1" x14ac:dyDescent="0.35">
      <c r="B76" s="196" t="s">
        <v>1168</v>
      </c>
      <c r="C76" s="42"/>
      <c r="D76" s="42"/>
      <c r="E76" s="1408">
        <f>E73*0.5</f>
        <v>0</v>
      </c>
      <c r="F76" s="103" t="s">
        <v>187</v>
      </c>
      <c r="G76" s="1414">
        <v>200</v>
      </c>
      <c r="H76" s="88"/>
      <c r="I76" s="42"/>
      <c r="J76" s="42"/>
      <c r="K76" s="42"/>
      <c r="L76" s="42"/>
      <c r="M76" s="1814"/>
      <c r="N76" s="1814"/>
      <c r="O76" s="1895">
        <f t="shared" si="33"/>
        <v>0</v>
      </c>
      <c r="P76" s="1896"/>
      <c r="Q76" s="166"/>
      <c r="R76" s="193"/>
      <c r="S76" s="106"/>
      <c r="T76" s="194"/>
      <c r="U76" s="106"/>
      <c r="V76" s="195"/>
      <c r="W76" s="401"/>
      <c r="X76" s="118"/>
    </row>
    <row r="77" spans="2:32" s="299" customFormat="1" ht="20.149999999999999" customHeight="1" thickBot="1" x14ac:dyDescent="0.4">
      <c r="B77" s="219" t="s">
        <v>188</v>
      </c>
      <c r="C77" s="49"/>
      <c r="D77" s="49"/>
      <c r="E77" s="754">
        <f>IF(E73=0,E74,E73)</f>
        <v>0</v>
      </c>
      <c r="F77" s="49" t="s">
        <v>187</v>
      </c>
      <c r="G77" s="809">
        <v>100</v>
      </c>
      <c r="H77" s="96" t="s">
        <v>68</v>
      </c>
      <c r="I77" s="49"/>
      <c r="J77" s="49"/>
      <c r="K77" s="49"/>
      <c r="L77" s="49"/>
      <c r="M77" s="49"/>
      <c r="N77" s="49"/>
      <c r="O77" s="2072">
        <f>E77*G77</f>
        <v>0</v>
      </c>
      <c r="P77" s="2073"/>
      <c r="Q77" s="166">
        <v>2</v>
      </c>
      <c r="R77" s="193"/>
      <c r="S77" s="106"/>
      <c r="T77" s="194"/>
      <c r="U77" s="106"/>
      <c r="V77" s="195"/>
      <c r="W77" s="106"/>
      <c r="X77" s="118"/>
      <c r="AA77" s="299">
        <v>10</v>
      </c>
      <c r="AB77" s="299" t="s">
        <v>250</v>
      </c>
      <c r="AF77" s="299">
        <f>SUM(X85:X87)</f>
        <v>0</v>
      </c>
    </row>
    <row r="78" spans="2:32" s="299" customFormat="1" ht="20.149999999999999" customHeight="1" thickBot="1" x14ac:dyDescent="0.4">
      <c r="B78" s="2395" t="s">
        <v>44</v>
      </c>
      <c r="C78" s="2236"/>
      <c r="D78" s="2236"/>
      <c r="E78" s="2236"/>
      <c r="F78" s="2236"/>
      <c r="G78" s="2236"/>
      <c r="H78" s="2236"/>
      <c r="I78" s="2236"/>
      <c r="J78" s="2236"/>
      <c r="K78" s="2236"/>
      <c r="L78" s="2236"/>
      <c r="M78" s="2236"/>
      <c r="N78" s="2236"/>
      <c r="O78" s="2236"/>
      <c r="P78" s="2236"/>
      <c r="Q78" s="166">
        <v>2</v>
      </c>
      <c r="R78" s="851" t="s">
        <v>892</v>
      </c>
      <c r="S78" s="852"/>
      <c r="T78" s="851"/>
      <c r="U78" s="853"/>
      <c r="V78" s="2243"/>
      <c r="W78" s="2244"/>
      <c r="X78" s="850">
        <f>V78</f>
        <v>0</v>
      </c>
      <c r="AA78" s="299">
        <v>11</v>
      </c>
      <c r="AB78" s="299" t="s">
        <v>251</v>
      </c>
    </row>
    <row r="79" spans="2:32" s="299" customFormat="1" ht="20.149999999999999" customHeight="1" thickTop="1" x14ac:dyDescent="0.35">
      <c r="B79" s="2052" t="s">
        <v>90</v>
      </c>
      <c r="C79" s="2053"/>
      <c r="D79" s="2054"/>
      <c r="E79" s="1150">
        <f>IF(E$73&gt;0,IF(E$73&lt;=3,E$73,7),0)+IF(E$73&gt;5,IF(E$73&lt;=10,7,0),0)+IF(E$73&gt;10,IF(E$73&lt;=15,14,0),0)+IF(E$73&gt;15,IF(E$73&lt;=20,23,0),0)+IF(E$73&gt;20,IF(E$73&lt;=40,53,0),0)+IF(E$73&gt;40,IF(E$73&lt;=60,83,0),0)+IF(E$73&gt;60,IF(E$73&lt;=80,113,0),0)+IF(E$73&gt;80,IF(E$73&lt;=100,143,0),0)</f>
        <v>0</v>
      </c>
      <c r="F79" s="421" t="s">
        <v>107</v>
      </c>
      <c r="G79" s="1160">
        <f>Pricing!D31</f>
        <v>385</v>
      </c>
      <c r="H79" s="419" t="s">
        <v>172</v>
      </c>
      <c r="I79" s="48"/>
      <c r="J79" s="48"/>
      <c r="K79" s="48"/>
      <c r="L79" s="48"/>
      <c r="M79" s="48"/>
      <c r="N79" s="48"/>
      <c r="O79" s="2412">
        <f>(IF(AND(E79&gt;0,E79&lt;4),E79*G79,0)+IF(AND(E79&gt;3,E79&lt;8),G79*3,0)+IF(AND(E79&gt;7,E79&lt;21),E79/7*G79*3,0)+IF(AND(E79&gt;20,E79&lt;30),G79*9,0)+IF(E79&gt;29,E79/30*G79*9,0))*(1+W$40+J$81)</f>
        <v>0</v>
      </c>
      <c r="P79" s="2413"/>
      <c r="Q79" s="166">
        <v>6</v>
      </c>
      <c r="R79" s="193" t="s">
        <v>287</v>
      </c>
      <c r="S79" s="106"/>
      <c r="T79" s="194"/>
      <c r="U79" s="106" t="s">
        <v>288</v>
      </c>
      <c r="V79" s="195">
        <f>Pricing!N30</f>
        <v>27</v>
      </c>
      <c r="W79" s="401" t="s">
        <v>293</v>
      </c>
      <c r="X79" s="111">
        <f>T79*V79</f>
        <v>0</v>
      </c>
      <c r="AA79" s="299">
        <v>12</v>
      </c>
      <c r="AB79" s="299" t="s">
        <v>252</v>
      </c>
    </row>
    <row r="80" spans="2:32" s="299" customFormat="1" ht="20.149999999999999" customHeight="1" thickBot="1" x14ac:dyDescent="0.4">
      <c r="B80" s="1979" t="s">
        <v>789</v>
      </c>
      <c r="C80" s="1980"/>
      <c r="D80" s="1981"/>
      <c r="E80" s="1153">
        <f>E79</f>
        <v>0</v>
      </c>
      <c r="F80" s="106" t="s">
        <v>107</v>
      </c>
      <c r="G80" s="1161">
        <f>Pricing!D33</f>
        <v>350</v>
      </c>
      <c r="H80" s="401" t="s">
        <v>172</v>
      </c>
      <c r="I80" s="42"/>
      <c r="J80" s="2083" t="s">
        <v>469</v>
      </c>
      <c r="K80" s="2084"/>
      <c r="L80" s="42"/>
      <c r="M80" s="2404">
        <f>IF(E41=0,0,(SUM(O79:P84))/E41)</f>
        <v>0</v>
      </c>
      <c r="N80" s="2405"/>
      <c r="O80" s="2388">
        <f>(IF(AND(E80&gt;0,E80&lt;4),E80*G80,0)+IF(AND(E80&gt;3,E80&lt;8),G80*3,0)+IF(AND(E80&gt;7,E80&lt;21),E80/7*G80*3,0)+IF(AND(E80&gt;20,E80&lt;30),G80*9,0)+IF(E80&gt;29,E80/30*G80*9,0))*(1+W$40+J$81)</f>
        <v>0</v>
      </c>
      <c r="P80" s="2389"/>
      <c r="Q80" s="166">
        <v>6</v>
      </c>
      <c r="R80" s="193" t="s">
        <v>286</v>
      </c>
      <c r="S80" s="106"/>
      <c r="T80" s="194">
        <v>0</v>
      </c>
      <c r="U80" s="106" t="s">
        <v>788</v>
      </c>
      <c r="V80" s="195">
        <f>Pricing!N31</f>
        <v>1.25</v>
      </c>
      <c r="W80" s="401" t="s">
        <v>99</v>
      </c>
      <c r="X80" s="118">
        <f>V80*T80</f>
        <v>0</v>
      </c>
      <c r="AA80" s="299">
        <v>15</v>
      </c>
      <c r="AB80" s="299" t="s">
        <v>253</v>
      </c>
    </row>
    <row r="81" spans="2:32" s="299" customFormat="1" ht="20.149999999999999" customHeight="1" thickTop="1" x14ac:dyDescent="0.35">
      <c r="B81" s="1979" t="s">
        <v>662</v>
      </c>
      <c r="C81" s="1980"/>
      <c r="D81" s="1981"/>
      <c r="E81" s="1153">
        <f>E79</f>
        <v>0</v>
      </c>
      <c r="F81" s="106" t="s">
        <v>107</v>
      </c>
      <c r="G81" s="1161">
        <f>Pricing!D42</f>
        <v>200</v>
      </c>
      <c r="H81" s="401" t="s">
        <v>172</v>
      </c>
      <c r="I81" s="42"/>
      <c r="J81" s="2565">
        <v>0.5</v>
      </c>
      <c r="K81" s="2566"/>
      <c r="L81" s="42"/>
      <c r="M81" s="2410">
        <f>SUM(O79:P84)</f>
        <v>0</v>
      </c>
      <c r="N81" s="2411"/>
      <c r="O81" s="2388">
        <f>(IF(AND(E81&gt;0,E81&lt;4),E81*G81,0)+IF(AND(E81&gt;3,E81&lt;8),G81*3,0)+IF(AND(E81&gt;7,E81&lt;21),E81/7*G81*3,0)+IF(AND(E81&gt;20,E81&lt;30),G81*9,0)+IF(E81&gt;29,E81/30*G81*9,0))*(1+W$40+J$81)</f>
        <v>0</v>
      </c>
      <c r="P81" s="2389"/>
      <c r="Q81" s="166">
        <v>6</v>
      </c>
      <c r="R81" s="193" t="s">
        <v>285</v>
      </c>
      <c r="S81" s="106"/>
      <c r="T81" s="194">
        <f>L54</f>
        <v>0</v>
      </c>
      <c r="U81" s="106" t="s">
        <v>32</v>
      </c>
      <c r="V81" s="195">
        <v>0.04</v>
      </c>
      <c r="W81" s="401" t="s">
        <v>88</v>
      </c>
      <c r="X81" s="118">
        <f>V81*T81</f>
        <v>0</v>
      </c>
      <c r="AA81" s="299">
        <v>16</v>
      </c>
      <c r="AB81" s="299" t="s">
        <v>841</v>
      </c>
    </row>
    <row r="82" spans="2:32" s="299" customFormat="1" ht="20.149999999999999" customHeight="1" x14ac:dyDescent="0.35">
      <c r="B82" s="1979" t="s">
        <v>160</v>
      </c>
      <c r="C82" s="1980"/>
      <c r="D82" s="1981"/>
      <c r="E82" s="1153">
        <f>E80</f>
        <v>0</v>
      </c>
      <c r="F82" s="106" t="s">
        <v>107</v>
      </c>
      <c r="G82" s="1161">
        <f>Pricing!D37</f>
        <v>65</v>
      </c>
      <c r="H82" s="401" t="s">
        <v>172</v>
      </c>
      <c r="I82" s="42"/>
      <c r="J82" s="2567"/>
      <c r="K82" s="2568"/>
      <c r="L82" s="42"/>
      <c r="M82" s="42"/>
      <c r="N82" s="42"/>
      <c r="O82" s="2388">
        <f>(IF(AND(E82&gt;0,E82&lt;4),E82*G82,0)+IF(AND(E82&gt;3,E82&lt;8),G82*3,0)+IF(AND(E82&gt;7,E82&lt;21),E82/7*G82*3,0)+IF(AND(E82&gt;20,E82&lt;30),G82*9,0)+IF(E82&gt;29,E82/30*G82*9,0))*(1+W$40+J$81)</f>
        <v>0</v>
      </c>
      <c r="P82" s="2389"/>
      <c r="Q82" s="166">
        <v>6</v>
      </c>
      <c r="R82" s="193"/>
      <c r="S82" s="106"/>
      <c r="T82" s="194"/>
      <c r="U82" s="106"/>
      <c r="V82" s="195"/>
      <c r="W82" s="106"/>
      <c r="X82" s="118"/>
      <c r="AA82" s="299">
        <v>17</v>
      </c>
      <c r="AB82" s="299" t="s">
        <v>842</v>
      </c>
    </row>
    <row r="83" spans="2:32" s="299" customFormat="1" ht="20.149999999999999" customHeight="1" x14ac:dyDescent="0.35">
      <c r="B83" s="1979" t="s">
        <v>175</v>
      </c>
      <c r="C83" s="1980"/>
      <c r="D83" s="1981"/>
      <c r="E83" s="1153"/>
      <c r="F83" s="106" t="s">
        <v>107</v>
      </c>
      <c r="G83" s="1161">
        <f>Pricing!D39</f>
        <v>420</v>
      </c>
      <c r="H83" s="401" t="s">
        <v>172</v>
      </c>
      <c r="I83" s="42"/>
      <c r="J83" s="42"/>
      <c r="K83" s="42"/>
      <c r="L83" s="42"/>
      <c r="M83" s="42"/>
      <c r="N83" s="42"/>
      <c r="O83" s="2388">
        <f>(IF(AND(E83&gt;0,E83&lt;4),E83*G83,0)+IF(AND(E83&gt;3,E83&lt;8),G83*3,0)+IF(AND(E83&gt;7,E83&lt;21),E83/7*G83*3,0)+IF(AND(E83&gt;20,E83&lt;30),G83*9,0)+IF(E83&gt;29,E83/30*G83*9,0))*(1+W$40+J$81)</f>
        <v>0</v>
      </c>
      <c r="P83" s="2389"/>
      <c r="Q83" s="166">
        <v>6</v>
      </c>
      <c r="R83" s="193"/>
      <c r="S83" s="106"/>
      <c r="T83" s="194"/>
      <c r="U83" s="106"/>
      <c r="V83" s="195"/>
      <c r="W83" s="106"/>
      <c r="X83" s="118"/>
      <c r="AA83" s="299">
        <v>18</v>
      </c>
      <c r="AB83" s="299" t="s">
        <v>843</v>
      </c>
      <c r="AF83" s="343">
        <f>O62</f>
        <v>0</v>
      </c>
    </row>
    <row r="84" spans="2:32" s="299" customFormat="1" ht="20.149999999999999" customHeight="1" thickBot="1" x14ac:dyDescent="0.4">
      <c r="B84" s="2069" t="s">
        <v>108</v>
      </c>
      <c r="C84" s="2070"/>
      <c r="D84" s="2071"/>
      <c r="E84" s="1154">
        <f>IF(E$77&gt;0,IF(E$77&lt;=3,E$77,7),0)+IF(E$77&gt;5,IF(E$77&lt;=10,7,0),0)+IF(E$77&gt;10,IF(E$77&lt;=15,14,0),0)+IF(E$77&gt;15,IF(E$77&lt;=20,23,0),0)+IF(E$77&gt;20,IF(E$77&lt;=40,53,0),0)+IF(E$77&gt;40,IF(E$77&lt;=60,83,0),0)+IF(E$77&gt;60,IF(E$77&lt;=80,113,0),0)+IF(E$77&gt;80,IF(E$77&lt;=100,143,0),0)</f>
        <v>0</v>
      </c>
      <c r="F84" s="188" t="s">
        <v>107</v>
      </c>
      <c r="G84" s="1162">
        <v>35</v>
      </c>
      <c r="H84" s="422" t="s">
        <v>172</v>
      </c>
      <c r="I84" s="49"/>
      <c r="J84" s="49"/>
      <c r="K84" s="49"/>
      <c r="L84" s="49"/>
      <c r="M84" s="117"/>
      <c r="N84" s="49"/>
      <c r="O84" s="2402">
        <f>(IF(AND(E84&gt;0,E84&lt;4),E84*G84,0)+IF(AND(E84&gt;3,E84&lt;8),G84*3,0)+IF(AND(E84&gt;7,E84&lt;21),E84/7*G84*3,0)+IF(AND(E84&gt;20,E84&lt;30),G84*9,0)+IF(E84&gt;29,E84/30*G84*9,0))</f>
        <v>0</v>
      </c>
      <c r="P84" s="2403"/>
      <c r="Q84" s="166">
        <v>6</v>
      </c>
      <c r="R84" s="198"/>
      <c r="S84" s="199"/>
      <c r="T84" s="200"/>
      <c r="U84" s="199"/>
      <c r="V84" s="201"/>
      <c r="W84" s="199"/>
      <c r="X84" s="119"/>
      <c r="AA84" s="299">
        <v>20</v>
      </c>
      <c r="AB84" s="299" t="s">
        <v>93</v>
      </c>
      <c r="AF84" s="299">
        <f>SUM(O73:P74)</f>
        <v>0</v>
      </c>
    </row>
    <row r="85" spans="2:32" s="299" customFormat="1" ht="20.149999999999999" customHeight="1" thickTop="1" thickBot="1" x14ac:dyDescent="0.4">
      <c r="B85" s="2395" t="s">
        <v>174</v>
      </c>
      <c r="C85" s="2236"/>
      <c r="D85" s="2236"/>
      <c r="E85" s="2236"/>
      <c r="F85" s="2236"/>
      <c r="G85" s="2236"/>
      <c r="H85" s="2236"/>
      <c r="I85" s="2236"/>
      <c r="J85" s="2236"/>
      <c r="K85" s="2236"/>
      <c r="L85" s="2236"/>
      <c r="M85" s="2236"/>
      <c r="N85" s="2236"/>
      <c r="O85" s="2236"/>
      <c r="P85" s="2236"/>
      <c r="Q85" s="166">
        <v>10</v>
      </c>
      <c r="R85" s="43"/>
      <c r="S85" s="42"/>
      <c r="T85" s="89"/>
      <c r="U85" s="42"/>
      <c r="V85" s="34"/>
      <c r="W85" s="42"/>
      <c r="X85" s="111"/>
      <c r="AA85" s="299">
        <v>21</v>
      </c>
      <c r="AB85" s="299" t="s">
        <v>254</v>
      </c>
      <c r="AF85" s="299">
        <f>O77</f>
        <v>0</v>
      </c>
    </row>
    <row r="86" spans="2:32" s="299" customFormat="1" ht="20.149999999999999" customHeight="1" x14ac:dyDescent="0.35">
      <c r="B86" s="2627" t="s">
        <v>85</v>
      </c>
      <c r="C86" s="2628"/>
      <c r="D86" s="2629"/>
      <c r="E86" s="1155">
        <f>Pricing!D41</f>
        <v>16</v>
      </c>
      <c r="F86" s="451" t="s">
        <v>117</v>
      </c>
      <c r="G86" s="1163">
        <f>SUM(L51:M53)</f>
        <v>0</v>
      </c>
      <c r="H86" s="419" t="s">
        <v>190</v>
      </c>
      <c r="I86" s="48"/>
      <c r="J86" s="48"/>
      <c r="K86" s="48"/>
      <c r="L86" s="48"/>
      <c r="M86" s="48"/>
      <c r="N86" s="48"/>
      <c r="O86" s="2399">
        <f t="shared" ref="O86:O91" si="34">E86*G86</f>
        <v>0</v>
      </c>
      <c r="P86" s="2400"/>
      <c r="Q86" s="166">
        <v>10</v>
      </c>
      <c r="R86" s="43" t="s">
        <v>211</v>
      </c>
      <c r="S86" s="42"/>
      <c r="T86" s="89">
        <f>ROUNDUP(I65/300/55,0)</f>
        <v>0</v>
      </c>
      <c r="U86" s="42" t="s">
        <v>784</v>
      </c>
      <c r="V86" s="34">
        <f>Pricing!N42</f>
        <v>540</v>
      </c>
      <c r="W86" s="88" t="s">
        <v>295</v>
      </c>
      <c r="X86" s="118">
        <f>V86*T86</f>
        <v>0</v>
      </c>
      <c r="AA86" s="299">
        <v>22</v>
      </c>
      <c r="AB86" s="299" t="s">
        <v>255</v>
      </c>
      <c r="AF86" s="299">
        <f>SUM(L64:M70)</f>
        <v>0</v>
      </c>
    </row>
    <row r="87" spans="2:32" s="299" customFormat="1" ht="20.149999999999999" customHeight="1" thickBot="1" x14ac:dyDescent="0.4">
      <c r="B87" s="2114" t="s">
        <v>560</v>
      </c>
      <c r="C87" s="2115"/>
      <c r="D87" s="2571"/>
      <c r="E87" s="1156">
        <v>3</v>
      </c>
      <c r="F87" s="401" t="s">
        <v>69</v>
      </c>
      <c r="G87" s="1164"/>
      <c r="H87" s="401" t="s">
        <v>69</v>
      </c>
      <c r="I87" s="42"/>
      <c r="J87" s="42"/>
      <c r="K87" s="42"/>
      <c r="L87" s="42"/>
      <c r="M87" s="42"/>
      <c r="N87" s="42"/>
      <c r="O87" s="2377">
        <f t="shared" si="34"/>
        <v>0</v>
      </c>
      <c r="P87" s="2378"/>
      <c r="Q87" s="166">
        <v>10</v>
      </c>
      <c r="R87" s="93" t="s">
        <v>212</v>
      </c>
      <c r="S87" s="75"/>
      <c r="T87" s="107">
        <f>BF64</f>
        <v>0</v>
      </c>
      <c r="U87" s="75" t="s">
        <v>784</v>
      </c>
      <c r="V87" s="530">
        <f>Pricing!N43</f>
        <v>542</v>
      </c>
      <c r="W87" s="90" t="s">
        <v>295</v>
      </c>
      <c r="X87" s="119">
        <f>V87*T87</f>
        <v>0</v>
      </c>
      <c r="AA87" s="299">
        <v>23</v>
      </c>
      <c r="AB87" s="299" t="s">
        <v>256</v>
      </c>
      <c r="AF87" s="299">
        <f>O91</f>
        <v>0</v>
      </c>
    </row>
    <row r="88" spans="2:32" s="299" customFormat="1" ht="20.149999999999999" customHeight="1" thickTop="1" x14ac:dyDescent="0.35">
      <c r="B88" s="2114" t="s">
        <v>176</v>
      </c>
      <c r="C88" s="2115"/>
      <c r="D88" s="2571"/>
      <c r="E88" s="1156">
        <v>0.25</v>
      </c>
      <c r="F88" s="452" t="s">
        <v>118</v>
      </c>
      <c r="G88" s="1164"/>
      <c r="H88" s="401" t="s">
        <v>118</v>
      </c>
      <c r="I88" s="42"/>
      <c r="J88" s="42"/>
      <c r="K88" s="42"/>
      <c r="L88" s="42"/>
      <c r="M88" s="42"/>
      <c r="N88" s="42"/>
      <c r="O88" s="2377">
        <f t="shared" si="34"/>
        <v>0</v>
      </c>
      <c r="P88" s="2378"/>
      <c r="Q88" s="298"/>
      <c r="R88" s="43"/>
      <c r="S88" s="42"/>
      <c r="T88" s="42"/>
      <c r="U88" s="42"/>
      <c r="V88" s="154"/>
      <c r="W88" s="42"/>
      <c r="X88" s="111"/>
      <c r="AA88" s="299">
        <v>24</v>
      </c>
      <c r="AB88" s="299" t="s">
        <v>257</v>
      </c>
    </row>
    <row r="89" spans="2:32" s="299" customFormat="1" ht="20.149999999999999" customHeight="1" x14ac:dyDescent="0.35">
      <c r="B89" s="2574" t="s">
        <v>108</v>
      </c>
      <c r="C89" s="2575"/>
      <c r="D89" s="2576"/>
      <c r="E89" s="1157"/>
      <c r="F89" s="453" t="s">
        <v>137</v>
      </c>
      <c r="G89" s="1165">
        <v>1000</v>
      </c>
      <c r="H89" s="454" t="s">
        <v>794</v>
      </c>
      <c r="I89" s="42"/>
      <c r="J89" s="42"/>
      <c r="K89" s="42"/>
      <c r="L89" s="42"/>
      <c r="M89" s="42"/>
      <c r="N89" s="42"/>
      <c r="O89" s="2377">
        <f t="shared" si="34"/>
        <v>0</v>
      </c>
      <c r="P89" s="2378"/>
      <c r="Q89" s="298"/>
      <c r="R89" s="2314" t="s">
        <v>216</v>
      </c>
      <c r="S89" s="2315"/>
      <c r="T89" s="770">
        <v>18</v>
      </c>
      <c r="U89" s="770" t="s">
        <v>217</v>
      </c>
      <c r="V89" s="42"/>
      <c r="W89" s="42"/>
      <c r="X89" s="534"/>
      <c r="AA89" s="299">
        <v>25</v>
      </c>
      <c r="AB89" s="299" t="s">
        <v>258</v>
      </c>
    </row>
    <row r="90" spans="2:32" s="299" customFormat="1" ht="20.149999999999999" customHeight="1" thickBot="1" x14ac:dyDescent="0.4">
      <c r="B90" s="2114" t="s">
        <v>307</v>
      </c>
      <c r="C90" s="2115"/>
      <c r="D90" s="2571"/>
      <c r="E90" s="1158"/>
      <c r="F90" s="425" t="s">
        <v>124</v>
      </c>
      <c r="G90" s="1166">
        <v>525</v>
      </c>
      <c r="H90" s="106" t="s">
        <v>31</v>
      </c>
      <c r="I90" s="42"/>
      <c r="J90" s="42"/>
      <c r="K90" s="42"/>
      <c r="L90" s="42"/>
      <c r="M90" s="42"/>
      <c r="N90" s="42"/>
      <c r="O90" s="2377">
        <f t="shared" si="34"/>
        <v>0</v>
      </c>
      <c r="P90" s="2378"/>
      <c r="Q90" s="298"/>
      <c r="R90" s="47" t="s">
        <v>214</v>
      </c>
      <c r="S90" s="49"/>
      <c r="T90" s="49">
        <f>T62*12/T89</f>
        <v>0</v>
      </c>
      <c r="U90" s="49" t="s">
        <v>215</v>
      </c>
      <c r="V90" s="2313">
        <f>Pricing!D29</f>
        <v>1.75</v>
      </c>
      <c r="W90" s="2313"/>
      <c r="X90" s="22">
        <f>V90*T90</f>
        <v>0</v>
      </c>
      <c r="AA90" s="299">
        <v>30</v>
      </c>
      <c r="AB90" s="299" t="s">
        <v>259</v>
      </c>
      <c r="AF90" s="299">
        <f>O86</f>
        <v>0</v>
      </c>
    </row>
    <row r="91" spans="2:32" s="299" customFormat="1" ht="20.149999999999999" customHeight="1" thickBot="1" x14ac:dyDescent="0.4">
      <c r="B91" s="2577" t="s">
        <v>186</v>
      </c>
      <c r="C91" s="2233"/>
      <c r="D91" s="2578"/>
      <c r="E91" s="1159"/>
      <c r="F91" s="455" t="s">
        <v>97</v>
      </c>
      <c r="G91" s="1167">
        <v>250</v>
      </c>
      <c r="H91" s="422" t="s">
        <v>68</v>
      </c>
      <c r="I91" s="49"/>
      <c r="J91" s="49"/>
      <c r="K91" s="49"/>
      <c r="L91" s="49"/>
      <c r="M91" s="49"/>
      <c r="N91" s="49"/>
      <c r="O91" s="2383">
        <f t="shared" si="34"/>
        <v>0</v>
      </c>
      <c r="P91" s="2384"/>
      <c r="Q91" s="298"/>
      <c r="R91" s="298"/>
      <c r="S91" s="298"/>
      <c r="T91" s="298"/>
      <c r="U91" s="298"/>
      <c r="V91" s="298"/>
      <c r="W91" s="298"/>
      <c r="X91" s="120">
        <f>SUM(X52:X90)</f>
        <v>0</v>
      </c>
      <c r="AA91" s="299">
        <v>31</v>
      </c>
      <c r="AB91" s="299" t="s">
        <v>744</v>
      </c>
    </row>
    <row r="92" spans="2:32" s="299" customFormat="1" ht="16" thickBot="1" x14ac:dyDescent="0.4">
      <c r="B92" s="898"/>
      <c r="C92" s="899"/>
      <c r="D92" s="899"/>
      <c r="E92" s="899"/>
      <c r="F92" s="899"/>
      <c r="G92" s="899"/>
      <c r="H92" s="899"/>
      <c r="I92" s="899"/>
      <c r="J92" s="899"/>
      <c r="K92" s="899"/>
      <c r="L92" s="900"/>
      <c r="M92" s="899"/>
      <c r="N92" s="899"/>
      <c r="O92" s="899"/>
      <c r="P92" s="899"/>
      <c r="Q92" s="899"/>
      <c r="R92" s="899"/>
      <c r="S92" s="899"/>
      <c r="T92" s="899"/>
      <c r="U92" s="899"/>
      <c r="V92" s="899"/>
      <c r="W92" s="899"/>
      <c r="X92" s="1115"/>
      <c r="AA92" s="299">
        <v>32</v>
      </c>
      <c r="AB92" s="299" t="s">
        <v>260</v>
      </c>
    </row>
    <row r="93" spans="2:32" s="299" customFormat="1" x14ac:dyDescent="0.35">
      <c r="B93" s="1987" t="s">
        <v>185</v>
      </c>
      <c r="C93" s="2041"/>
      <c r="D93" s="1988"/>
      <c r="E93" s="1987" t="s">
        <v>140</v>
      </c>
      <c r="F93" s="1988"/>
      <c r="G93" s="1987" t="s">
        <v>178</v>
      </c>
      <c r="H93" s="2041"/>
      <c r="I93" s="1988"/>
      <c r="J93" s="1935" t="s">
        <v>184</v>
      </c>
      <c r="K93" s="1936"/>
      <c r="L93" s="1937"/>
      <c r="M93" s="2044" t="s">
        <v>179</v>
      </c>
      <c r="N93" s="2045"/>
      <c r="O93" s="132"/>
      <c r="P93" s="133"/>
      <c r="Q93" s="897"/>
      <c r="R93" s="43" t="s">
        <v>34</v>
      </c>
      <c r="S93" s="42"/>
      <c r="T93" s="42" t="s">
        <v>758</v>
      </c>
      <c r="U93" s="728" t="str">
        <f>U40</f>
        <v>n</v>
      </c>
      <c r="V93" s="73" t="s">
        <v>298</v>
      </c>
      <c r="W93" s="729">
        <f>W40</f>
        <v>8.2500000000000004E-2</v>
      </c>
      <c r="X93" s="1113"/>
      <c r="AA93" s="299">
        <v>33</v>
      </c>
      <c r="AB93" s="299" t="s">
        <v>261</v>
      </c>
      <c r="AF93" s="299">
        <f>O90</f>
        <v>0</v>
      </c>
    </row>
    <row r="94" spans="2:32" s="299" customFormat="1" ht="16" thickBot="1" x14ac:dyDescent="0.4">
      <c r="B94" s="11" t="s">
        <v>180</v>
      </c>
      <c r="C94" s="1999">
        <f>C41</f>
        <v>0</v>
      </c>
      <c r="D94" s="2000"/>
      <c r="E94" s="2003">
        <f>E41</f>
        <v>0</v>
      </c>
      <c r="F94" s="2004"/>
      <c r="G94" s="15">
        <f>G41</f>
        <v>0</v>
      </c>
      <c r="H94" s="2042">
        <f>H41</f>
        <v>0</v>
      </c>
      <c r="I94" s="2043"/>
      <c r="J94" s="2064">
        <f>J41</f>
        <v>0</v>
      </c>
      <c r="K94" s="2065"/>
      <c r="L94" s="2066"/>
      <c r="M94" s="1879">
        <f>M41</f>
        <v>0.18</v>
      </c>
      <c r="N94" s="1880"/>
      <c r="O94" s="1880"/>
      <c r="P94" s="1881"/>
      <c r="Q94" s="902"/>
      <c r="R94" s="86" t="s">
        <v>50</v>
      </c>
      <c r="S94" s="42"/>
      <c r="T94" s="42"/>
      <c r="U94" s="1932">
        <f>U41</f>
        <v>0</v>
      </c>
      <c r="V94" s="1932"/>
      <c r="W94" s="42"/>
      <c r="X94" s="1113"/>
      <c r="AA94" s="299">
        <v>34</v>
      </c>
      <c r="AB94" s="299" t="s">
        <v>262</v>
      </c>
      <c r="AF94" s="299">
        <f>O88+O87</f>
        <v>0</v>
      </c>
    </row>
    <row r="95" spans="2:32" s="299" customFormat="1" ht="16" thickBot="1" x14ac:dyDescent="0.4">
      <c r="B95" s="889"/>
      <c r="C95" s="890"/>
      <c r="D95" s="890"/>
      <c r="E95" s="890"/>
      <c r="F95" s="890"/>
      <c r="G95" s="890"/>
      <c r="H95" s="890"/>
      <c r="I95" s="890"/>
      <c r="J95" s="890"/>
      <c r="K95" s="890"/>
      <c r="L95" s="890"/>
      <c r="M95" s="890"/>
      <c r="N95" s="890"/>
      <c r="O95" s="890"/>
      <c r="P95" s="890"/>
      <c r="Q95" s="890"/>
      <c r="R95" s="890"/>
      <c r="S95" s="890"/>
      <c r="T95" s="890"/>
      <c r="U95" s="890"/>
      <c r="V95" s="890"/>
      <c r="W95" s="890"/>
      <c r="X95" s="896"/>
      <c r="AA95" s="299">
        <v>35</v>
      </c>
      <c r="AB95" s="299" t="s">
        <v>263</v>
      </c>
    </row>
    <row r="96" spans="2:32" s="299" customFormat="1" x14ac:dyDescent="0.35"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AA96" s="299">
        <v>36</v>
      </c>
      <c r="AB96" s="299" t="s">
        <v>745</v>
      </c>
    </row>
    <row r="97" spans="2:32" s="299" customFormat="1" hidden="1" x14ac:dyDescent="0.35"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AA97" s="299">
        <v>39</v>
      </c>
      <c r="AB97" s="299" t="s">
        <v>264</v>
      </c>
    </row>
    <row r="98" spans="2:32" s="299" customFormat="1" hidden="1" x14ac:dyDescent="0.35"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AA98" s="299">
        <v>40</v>
      </c>
      <c r="AB98" s="299" t="s">
        <v>222</v>
      </c>
    </row>
    <row r="99" spans="2:32" s="299" customFormat="1" hidden="1" x14ac:dyDescent="0.35"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AA99" s="299">
        <v>41</v>
      </c>
      <c r="AB99" s="299" t="s">
        <v>265</v>
      </c>
    </row>
    <row r="100" spans="2:32" hidden="1" x14ac:dyDescent="0.35">
      <c r="AA100" s="299">
        <v>42</v>
      </c>
      <c r="AB100" s="299" t="s">
        <v>266</v>
      </c>
      <c r="AC100" s="299"/>
      <c r="AD100" s="299"/>
      <c r="AE100" s="299"/>
      <c r="AF100" s="299"/>
    </row>
    <row r="101" spans="2:32" hidden="1" x14ac:dyDescent="0.35">
      <c r="AA101" s="299">
        <v>44</v>
      </c>
      <c r="AB101" s="299" t="s">
        <v>267</v>
      </c>
      <c r="AC101" s="299"/>
      <c r="AD101" s="299"/>
      <c r="AE101" s="299"/>
      <c r="AF101" s="299"/>
    </row>
    <row r="102" spans="2:32" hidden="1" x14ac:dyDescent="0.35">
      <c r="AA102" s="299">
        <v>45</v>
      </c>
      <c r="AB102" s="299" t="s">
        <v>268</v>
      </c>
      <c r="AC102" s="299"/>
      <c r="AD102" s="299"/>
      <c r="AE102" s="299"/>
      <c r="AF102" s="299"/>
    </row>
    <row r="103" spans="2:32" hidden="1" x14ac:dyDescent="0.35">
      <c r="AA103" s="299">
        <v>46</v>
      </c>
      <c r="AB103" s="299" t="s">
        <v>269</v>
      </c>
      <c r="AC103" s="299"/>
      <c r="AD103" s="299"/>
      <c r="AE103" s="299"/>
      <c r="AF103" s="299"/>
    </row>
    <row r="104" spans="2:32" hidden="1" x14ac:dyDescent="0.35">
      <c r="AA104" s="299">
        <v>47</v>
      </c>
      <c r="AB104" s="299" t="s">
        <v>270</v>
      </c>
      <c r="AC104" s="299"/>
      <c r="AD104" s="299"/>
      <c r="AE104" s="299"/>
      <c r="AF104" s="299"/>
    </row>
    <row r="105" spans="2:32" hidden="1" x14ac:dyDescent="0.35">
      <c r="AA105" s="299">
        <v>48</v>
      </c>
      <c r="AB105" s="299" t="s">
        <v>271</v>
      </c>
      <c r="AC105" s="299"/>
      <c r="AD105" s="299"/>
      <c r="AE105" s="299"/>
      <c r="AF105" s="299"/>
    </row>
    <row r="106" spans="2:32" hidden="1" x14ac:dyDescent="0.35">
      <c r="AA106" s="299">
        <v>49</v>
      </c>
      <c r="AB106" s="299" t="s">
        <v>272</v>
      </c>
      <c r="AC106" s="299"/>
      <c r="AD106" s="299"/>
      <c r="AE106" s="299"/>
      <c r="AF106" s="299"/>
    </row>
    <row r="107" spans="2:32" hidden="1" x14ac:dyDescent="0.35">
      <c r="AA107" s="299">
        <v>50</v>
      </c>
      <c r="AB107" s="299" t="s">
        <v>718</v>
      </c>
      <c r="AC107" s="299"/>
      <c r="AD107" s="299"/>
      <c r="AE107" s="299"/>
      <c r="AF107" s="511">
        <f>SUM(O64:P70)-O69</f>
        <v>0</v>
      </c>
    </row>
    <row r="108" spans="2:32" hidden="1" x14ac:dyDescent="0.35">
      <c r="AA108" s="299">
        <v>51</v>
      </c>
      <c r="AB108" s="299" t="s">
        <v>712</v>
      </c>
      <c r="AC108" s="299"/>
      <c r="AD108" s="299"/>
      <c r="AE108" s="299"/>
      <c r="AF108" s="299"/>
    </row>
    <row r="109" spans="2:32" hidden="1" x14ac:dyDescent="0.35">
      <c r="AA109" s="299">
        <v>52</v>
      </c>
      <c r="AB109" s="299" t="s">
        <v>273</v>
      </c>
      <c r="AC109" s="299"/>
      <c r="AD109" s="299"/>
      <c r="AE109" s="299"/>
      <c r="AF109" s="299"/>
    </row>
    <row r="110" spans="2:32" hidden="1" x14ac:dyDescent="0.35">
      <c r="AA110" s="299">
        <v>56</v>
      </c>
      <c r="AB110" s="299" t="s">
        <v>274</v>
      </c>
      <c r="AC110" s="299"/>
      <c r="AD110" s="299"/>
      <c r="AE110" s="299"/>
      <c r="AF110" s="299"/>
    </row>
    <row r="111" spans="2:32" hidden="1" x14ac:dyDescent="0.35">
      <c r="AA111" s="299">
        <v>54</v>
      </c>
      <c r="AB111" s="299" t="s">
        <v>275</v>
      </c>
      <c r="AC111" s="299"/>
      <c r="AD111" s="299"/>
      <c r="AE111" s="299"/>
      <c r="AF111" s="299"/>
    </row>
    <row r="112" spans="2:32" hidden="1" x14ac:dyDescent="0.35">
      <c r="AA112" s="299">
        <v>55</v>
      </c>
      <c r="AB112" s="299" t="s">
        <v>276</v>
      </c>
      <c r="AC112" s="299"/>
      <c r="AD112" s="299"/>
      <c r="AE112" s="299"/>
      <c r="AF112" s="299"/>
    </row>
    <row r="113" spans="27:32" hidden="1" x14ac:dyDescent="0.35">
      <c r="AA113" s="299">
        <v>56</v>
      </c>
      <c r="AB113" s="299" t="s">
        <v>277</v>
      </c>
      <c r="AC113" s="299"/>
      <c r="AD113" s="299"/>
      <c r="AE113" s="299"/>
      <c r="AF113" s="299"/>
    </row>
    <row r="114" spans="27:32" hidden="1" x14ac:dyDescent="0.35">
      <c r="AA114" s="299">
        <v>57</v>
      </c>
      <c r="AB114" s="299" t="s">
        <v>278</v>
      </c>
      <c r="AC114" s="299"/>
      <c r="AD114" s="299"/>
      <c r="AE114" s="299"/>
      <c r="AF114" s="299"/>
    </row>
    <row r="115" spans="27:32" hidden="1" x14ac:dyDescent="0.35">
      <c r="AA115" s="299">
        <v>58</v>
      </c>
      <c r="AB115" s="299" t="s">
        <v>279</v>
      </c>
      <c r="AC115" s="299"/>
      <c r="AD115" s="299"/>
      <c r="AE115" s="299"/>
      <c r="AF115" s="299"/>
    </row>
    <row r="116" spans="27:32" hidden="1" x14ac:dyDescent="0.35">
      <c r="AA116" s="299">
        <v>59</v>
      </c>
      <c r="AB116" s="299" t="s">
        <v>280</v>
      </c>
      <c r="AC116" s="299"/>
      <c r="AD116" s="299"/>
      <c r="AE116" s="299"/>
      <c r="AF116" s="299">
        <f>O69</f>
        <v>0</v>
      </c>
    </row>
    <row r="117" spans="27:32" hidden="1" x14ac:dyDescent="0.35">
      <c r="AA117" s="299">
        <v>60</v>
      </c>
      <c r="AB117" s="299" t="s">
        <v>281</v>
      </c>
      <c r="AC117" s="299"/>
      <c r="AD117" s="299"/>
      <c r="AE117" s="299"/>
      <c r="AF117" s="299">
        <f>SUM(O79:P84)-O84</f>
        <v>0</v>
      </c>
    </row>
    <row r="118" spans="27:32" hidden="1" x14ac:dyDescent="0.35">
      <c r="AA118" s="299">
        <v>65</v>
      </c>
      <c r="AB118" s="299" t="s">
        <v>282</v>
      </c>
      <c r="AC118" s="299"/>
      <c r="AD118" s="299"/>
      <c r="AE118" s="299"/>
      <c r="AF118" s="299">
        <f>O84</f>
        <v>0</v>
      </c>
    </row>
    <row r="119" spans="27:32" hidden="1" x14ac:dyDescent="0.35">
      <c r="AA119">
        <v>99</v>
      </c>
      <c r="AB119" t="s">
        <v>893</v>
      </c>
      <c r="AF119" s="382">
        <f>X78</f>
        <v>0</v>
      </c>
    </row>
  </sheetData>
  <mergeCells count="203">
    <mergeCell ref="U2:V2"/>
    <mergeCell ref="W2:X2"/>
    <mergeCell ref="B3:E3"/>
    <mergeCell ref="O3:P3"/>
    <mergeCell ref="Q3:R3"/>
    <mergeCell ref="B4:E4"/>
    <mergeCell ref="J4:N4"/>
    <mergeCell ref="O4:P4"/>
    <mergeCell ref="Q4:R4"/>
    <mergeCell ref="D7:E7"/>
    <mergeCell ref="J7:N7"/>
    <mergeCell ref="O7:P7"/>
    <mergeCell ref="Q7:R7"/>
    <mergeCell ref="D8:E8"/>
    <mergeCell ref="G8:I8"/>
    <mergeCell ref="J8:N8"/>
    <mergeCell ref="B5:E5"/>
    <mergeCell ref="J5:N5"/>
    <mergeCell ref="O5:P5"/>
    <mergeCell ref="Q5:R5"/>
    <mergeCell ref="J6:N6"/>
    <mergeCell ref="O6:P6"/>
    <mergeCell ref="Q6:R6"/>
    <mergeCell ref="W9:W10"/>
    <mergeCell ref="X9:X10"/>
    <mergeCell ref="Y9:Y10"/>
    <mergeCell ref="Z9:Z10"/>
    <mergeCell ref="B10:C10"/>
    <mergeCell ref="B11:C11"/>
    <mergeCell ref="E9:E10"/>
    <mergeCell ref="F9:H9"/>
    <mergeCell ref="I9:K9"/>
    <mergeCell ref="L9:N9"/>
    <mergeCell ref="O9:R10"/>
    <mergeCell ref="T9:V9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B36:C36"/>
    <mergeCell ref="F37:I37"/>
    <mergeCell ref="P37:S37"/>
    <mergeCell ref="P38:S38"/>
    <mergeCell ref="B40:D40"/>
    <mergeCell ref="E40:F40"/>
    <mergeCell ref="G40:I40"/>
    <mergeCell ref="J40:L40"/>
    <mergeCell ref="M40:N40"/>
    <mergeCell ref="C42:D42"/>
    <mergeCell ref="E42:F42"/>
    <mergeCell ref="G42:H42"/>
    <mergeCell ref="K42:L42"/>
    <mergeCell ref="N42:O42"/>
    <mergeCell ref="U42:V42"/>
    <mergeCell ref="C41:D41"/>
    <mergeCell ref="E41:F41"/>
    <mergeCell ref="H41:I41"/>
    <mergeCell ref="J41:L41"/>
    <mergeCell ref="M41:P41"/>
    <mergeCell ref="U41:V41"/>
    <mergeCell ref="O53:P53"/>
    <mergeCell ref="I54:J54"/>
    <mergeCell ref="L54:M54"/>
    <mergeCell ref="O54:P54"/>
    <mergeCell ref="I55:J55"/>
    <mergeCell ref="L55:M55"/>
    <mergeCell ref="O55:P55"/>
    <mergeCell ref="U48:V48"/>
    <mergeCell ref="C50:P50"/>
    <mergeCell ref="R50:S50"/>
    <mergeCell ref="I51:J53"/>
    <mergeCell ref="K51:K53"/>
    <mergeCell ref="L51:M51"/>
    <mergeCell ref="O51:P51"/>
    <mergeCell ref="L52:M52"/>
    <mergeCell ref="O52:P52"/>
    <mergeCell ref="L53:M53"/>
    <mergeCell ref="J56:K56"/>
    <mergeCell ref="L56:M56"/>
    <mergeCell ref="O56:P56"/>
    <mergeCell ref="I57:J58"/>
    <mergeCell ref="K57:K58"/>
    <mergeCell ref="L57:M57"/>
    <mergeCell ref="O57:P57"/>
    <mergeCell ref="L58:M58"/>
    <mergeCell ref="O58:P58"/>
    <mergeCell ref="I59:J61"/>
    <mergeCell ref="K59:K61"/>
    <mergeCell ref="L59:M59"/>
    <mergeCell ref="O59:P59"/>
    <mergeCell ref="B60:D60"/>
    <mergeCell ref="L60:M60"/>
    <mergeCell ref="O60:P60"/>
    <mergeCell ref="B61:D61"/>
    <mergeCell ref="L61:M61"/>
    <mergeCell ref="O61:P61"/>
    <mergeCell ref="I62:J62"/>
    <mergeCell ref="L62:M62"/>
    <mergeCell ref="O62:P62"/>
    <mergeCell ref="L63:M63"/>
    <mergeCell ref="N63:P63"/>
    <mergeCell ref="E64:F64"/>
    <mergeCell ref="I64:J64"/>
    <mergeCell ref="L64:M64"/>
    <mergeCell ref="O64:P64"/>
    <mergeCell ref="E65:F65"/>
    <mergeCell ref="H65:H67"/>
    <mergeCell ref="I65:J68"/>
    <mergeCell ref="L65:M65"/>
    <mergeCell ref="O65:P65"/>
    <mergeCell ref="E66:F66"/>
    <mergeCell ref="L66:M66"/>
    <mergeCell ref="O66:P66"/>
    <mergeCell ref="E67:F67"/>
    <mergeCell ref="L67:M67"/>
    <mergeCell ref="E70:F70"/>
    <mergeCell ref="I70:J70"/>
    <mergeCell ref="L70:M70"/>
    <mergeCell ref="O70:P70"/>
    <mergeCell ref="E71:F71"/>
    <mergeCell ref="I71:K71"/>
    <mergeCell ref="L71:M71"/>
    <mergeCell ref="O71:P71"/>
    <mergeCell ref="O67:P67"/>
    <mergeCell ref="E68:F68"/>
    <mergeCell ref="L68:M68"/>
    <mergeCell ref="O68:P68"/>
    <mergeCell ref="E69:F69"/>
    <mergeCell ref="I69:J69"/>
    <mergeCell ref="L69:M69"/>
    <mergeCell ref="O69:P69"/>
    <mergeCell ref="B78:P78"/>
    <mergeCell ref="V78:W78"/>
    <mergeCell ref="B79:D79"/>
    <mergeCell ref="O79:P79"/>
    <mergeCell ref="B80:D80"/>
    <mergeCell ref="J80:K80"/>
    <mergeCell ref="M80:N80"/>
    <mergeCell ref="O80:P80"/>
    <mergeCell ref="B72:P72"/>
    <mergeCell ref="M73:N73"/>
    <mergeCell ref="O73:P73"/>
    <mergeCell ref="M74:N74"/>
    <mergeCell ref="O74:P74"/>
    <mergeCell ref="O77:P77"/>
    <mergeCell ref="O75:P75"/>
    <mergeCell ref="O76:P76"/>
    <mergeCell ref="B83:D83"/>
    <mergeCell ref="O83:P83"/>
    <mergeCell ref="B84:D84"/>
    <mergeCell ref="O84:P84"/>
    <mergeCell ref="B85:P85"/>
    <mergeCell ref="B86:D86"/>
    <mergeCell ref="O86:P86"/>
    <mergeCell ref="B81:D81"/>
    <mergeCell ref="J81:K82"/>
    <mergeCell ref="M81:N81"/>
    <mergeCell ref="O81:P81"/>
    <mergeCell ref="B82:D82"/>
    <mergeCell ref="O82:P82"/>
    <mergeCell ref="R89:S89"/>
    <mergeCell ref="B90:D90"/>
    <mergeCell ref="O90:P90"/>
    <mergeCell ref="V90:W90"/>
    <mergeCell ref="B91:D91"/>
    <mergeCell ref="O91:P91"/>
    <mergeCell ref="B87:D87"/>
    <mergeCell ref="O87:P87"/>
    <mergeCell ref="B88:D88"/>
    <mergeCell ref="O88:P88"/>
    <mergeCell ref="B89:D89"/>
    <mergeCell ref="O89:P89"/>
    <mergeCell ref="U94:V94"/>
    <mergeCell ref="B93:D93"/>
    <mergeCell ref="E93:F93"/>
    <mergeCell ref="G93:I93"/>
    <mergeCell ref="J93:L93"/>
    <mergeCell ref="M93:N93"/>
    <mergeCell ref="C94:D94"/>
    <mergeCell ref="E94:F94"/>
    <mergeCell ref="H94:I94"/>
    <mergeCell ref="J94:L94"/>
    <mergeCell ref="M94:P94"/>
  </mergeCells>
  <phoneticPr fontId="33" type="noConversion"/>
  <printOptions gridLines="1"/>
  <pageMargins left="0.25" right="0.21" top="0.6" bottom="0.65" header="0.35" footer="0.5"/>
  <pageSetup paperSize="5" scale="55" orientation="landscape" horizontalDpi="1200" verticalDpi="1200" r:id="rId1"/>
  <headerFooter alignWithMargins="0">
    <oddHeader>&amp;L&amp;16           &amp;A&amp;C&amp;20&amp;F&amp;R&amp;16&amp;D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Z131"/>
  <sheetViews>
    <sheetView topLeftCell="A39" zoomScaleNormal="100" workbookViewId="0">
      <selection activeCell="G77" sqref="G77"/>
    </sheetView>
  </sheetViews>
  <sheetFormatPr defaultColWidth="0" defaultRowHeight="15.5" x14ac:dyDescent="0.35"/>
  <cols>
    <col min="1" max="1" width="2.81640625" style="42" customWidth="1"/>
    <col min="2" max="2" width="10.26953125" style="42" customWidth="1"/>
    <col min="3" max="3" width="10.453125" style="42" customWidth="1"/>
    <col min="4" max="4" width="9.26953125" style="42" customWidth="1"/>
    <col min="5" max="5" width="10.81640625" style="42" customWidth="1"/>
    <col min="6" max="6" width="11.26953125" style="42" customWidth="1"/>
    <col min="7" max="7" width="12.1796875" style="42" customWidth="1"/>
    <col min="8" max="19" width="9.7265625" style="42" customWidth="1"/>
    <col min="20" max="20" width="11.1796875" style="42" customWidth="1"/>
    <col min="21" max="21" width="8.81640625" style="42" customWidth="1"/>
    <col min="22" max="22" width="11.81640625" style="42" customWidth="1"/>
    <col min="23" max="23" width="13.1796875" style="42" customWidth="1"/>
    <col min="24" max="24" width="17.54296875" style="42" customWidth="1"/>
    <col min="25" max="25" width="4.08984375" customWidth="1"/>
    <col min="26" max="46" width="17.54296875" hidden="1" customWidth="1"/>
    <col min="47" max="47" width="23.26953125" hidden="1" customWidth="1"/>
    <col min="48" max="256" width="17.54296875" hidden="1" customWidth="1"/>
    <col min="257" max="260" width="17.54296875" style="42" hidden="1" customWidth="1"/>
    <col min="261" max="16384" width="2.81640625" style="42" hidden="1"/>
  </cols>
  <sheetData>
    <row r="1" spans="2:60" ht="16" thickBot="1" x14ac:dyDescent="0.4"/>
    <row r="2" spans="2:60" ht="15.75" customHeight="1" thickBot="1" x14ac:dyDescent="0.4">
      <c r="B2" s="883" t="s">
        <v>303</v>
      </c>
      <c r="C2" s="879"/>
      <c r="D2" s="879"/>
      <c r="E2" s="87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2615" t="s">
        <v>305</v>
      </c>
      <c r="V2" s="2615"/>
      <c r="W2" s="2648">
        <v>37456</v>
      </c>
      <c r="X2" s="2649"/>
      <c r="Y2" s="299"/>
    </row>
    <row r="3" spans="2:60" ht="26.25" customHeight="1" thickBot="1" x14ac:dyDescent="0.4">
      <c r="B3" s="2679">
        <f>Summary!C2</f>
        <v>0</v>
      </c>
      <c r="C3" s="2680"/>
      <c r="D3" s="2680"/>
      <c r="E3" s="2681"/>
      <c r="F3" s="298"/>
      <c r="G3" s="298"/>
      <c r="H3" s="1194" t="s">
        <v>131</v>
      </c>
      <c r="I3" s="879"/>
      <c r="J3" s="879"/>
      <c r="K3" s="880" t="s">
        <v>96</v>
      </c>
      <c r="L3" s="879"/>
      <c r="M3" s="879"/>
      <c r="N3" s="879"/>
      <c r="O3" s="1950" t="s">
        <v>125</v>
      </c>
      <c r="P3" s="1950"/>
      <c r="Q3" s="2661" t="s">
        <v>306</v>
      </c>
      <c r="R3" s="2662"/>
      <c r="S3" s="298"/>
      <c r="T3" s="298"/>
      <c r="U3" s="1183" t="s">
        <v>304</v>
      </c>
      <c r="V3" s="1180"/>
      <c r="W3" s="1184" t="str">
        <f>Information!C8</f>
        <v>Chad McKinney</v>
      </c>
      <c r="X3" s="1185"/>
      <c r="Y3" s="299"/>
      <c r="AA3" s="42"/>
      <c r="AB3" s="42"/>
      <c r="AC3" s="42"/>
      <c r="AD3" s="42"/>
      <c r="AE3" s="42"/>
      <c r="AF3" s="42"/>
    </row>
    <row r="4" spans="2:60" ht="18" customHeight="1" x14ac:dyDescent="0.35">
      <c r="B4" s="2682">
        <f>Summary!C3</f>
        <v>0</v>
      </c>
      <c r="C4" s="2683"/>
      <c r="D4" s="2683"/>
      <c r="E4" s="2684"/>
      <c r="F4" s="298"/>
      <c r="G4" s="298"/>
      <c r="H4" s="1195" t="s">
        <v>132</v>
      </c>
      <c r="I4" s="897"/>
      <c r="J4" s="2663">
        <f>Summary!K3</f>
        <v>0</v>
      </c>
      <c r="K4" s="2664"/>
      <c r="L4" s="2664"/>
      <c r="M4" s="2664"/>
      <c r="N4" s="2665"/>
      <c r="O4" s="2666">
        <f>Summary!O3</f>
        <v>0</v>
      </c>
      <c r="P4" s="2667"/>
      <c r="Q4" s="2668"/>
      <c r="R4" s="2669"/>
      <c r="S4" s="298"/>
      <c r="T4" s="298"/>
      <c r="U4" s="1186"/>
      <c r="V4" s="1187"/>
      <c r="W4" s="1187"/>
      <c r="X4" s="1188"/>
      <c r="Y4" s="299"/>
    </row>
    <row r="5" spans="2:60" ht="18" customHeight="1" thickBot="1" x14ac:dyDescent="0.4">
      <c r="B5" s="2685">
        <f>Summary!C4</f>
        <v>0</v>
      </c>
      <c r="C5" s="2686"/>
      <c r="D5" s="2686"/>
      <c r="E5" s="2687"/>
      <c r="F5" s="298"/>
      <c r="G5" s="298"/>
      <c r="H5" s="938"/>
      <c r="I5" s="939" t="s">
        <v>133</v>
      </c>
      <c r="J5" s="2688">
        <f>Summary!K4</f>
        <v>0</v>
      </c>
      <c r="K5" s="2689"/>
      <c r="L5" s="2689"/>
      <c r="M5" s="2689"/>
      <c r="N5" s="2690"/>
      <c r="O5" s="2691">
        <f>Summary!O4</f>
        <v>0</v>
      </c>
      <c r="P5" s="2692"/>
      <c r="Q5" s="2693"/>
      <c r="R5" s="2694"/>
      <c r="S5" s="298"/>
      <c r="T5" s="298"/>
      <c r="U5" s="1186" t="str">
        <f>Information!H5</f>
        <v>Approved by Chad:</v>
      </c>
      <c r="V5" s="1187"/>
      <c r="W5" s="1189"/>
      <c r="X5" s="1190"/>
      <c r="Y5" s="299"/>
    </row>
    <row r="6" spans="2:60" ht="18" customHeight="1" x14ac:dyDescent="0.35">
      <c r="B6" s="255" t="s">
        <v>115</v>
      </c>
      <c r="C6" s="298"/>
      <c r="D6" s="57" t="s">
        <v>125</v>
      </c>
      <c r="F6" s="298"/>
      <c r="G6" s="298"/>
      <c r="H6" s="938"/>
      <c r="I6" s="939" t="s">
        <v>134</v>
      </c>
      <c r="J6" s="2688">
        <f>Summary!K5</f>
        <v>0</v>
      </c>
      <c r="K6" s="2689"/>
      <c r="L6" s="2689"/>
      <c r="M6" s="2689"/>
      <c r="N6" s="2690"/>
      <c r="O6" s="2691">
        <f>Summary!O5</f>
        <v>0</v>
      </c>
      <c r="P6" s="2692"/>
      <c r="Q6" s="2693"/>
      <c r="R6" s="2694"/>
      <c r="S6" s="298"/>
      <c r="T6" s="298"/>
      <c r="U6" s="1186"/>
      <c r="V6" s="1187"/>
      <c r="W6" s="1187"/>
      <c r="X6" s="1188"/>
      <c r="Y6" s="299"/>
    </row>
    <row r="7" spans="2:60" ht="18" customHeight="1" thickBot="1" x14ac:dyDescent="0.4">
      <c r="B7" s="1197">
        <f>Summary!C6</f>
        <v>0</v>
      </c>
      <c r="C7" s="298"/>
      <c r="D7" s="2718">
        <f>Summary!E6</f>
        <v>0</v>
      </c>
      <c r="E7" s="2719"/>
      <c r="F7" s="298"/>
      <c r="G7" s="298"/>
      <c r="H7" s="889"/>
      <c r="I7" s="940" t="s">
        <v>135</v>
      </c>
      <c r="J7" s="2670">
        <f>Summary!K6</f>
        <v>0</v>
      </c>
      <c r="K7" s="2671"/>
      <c r="L7" s="2671"/>
      <c r="M7" s="2671"/>
      <c r="N7" s="2672"/>
      <c r="O7" s="2673">
        <f>Summary!O6</f>
        <v>0</v>
      </c>
      <c r="P7" s="2674"/>
      <c r="Q7" s="2695"/>
      <c r="R7" s="2696"/>
      <c r="S7" s="298"/>
      <c r="T7" s="298"/>
      <c r="U7" s="1191" t="str">
        <f>Information!H6</f>
        <v>Approved by Edward:</v>
      </c>
      <c r="V7" s="1181"/>
      <c r="W7" s="1181"/>
      <c r="X7" s="1182"/>
      <c r="Y7" s="299"/>
    </row>
    <row r="8" spans="2:60" ht="18" customHeight="1" thickBot="1" x14ac:dyDescent="0.4">
      <c r="B8" s="1198">
        <f>Summary!C7</f>
        <v>0</v>
      </c>
      <c r="C8" s="298"/>
      <c r="D8" s="2718">
        <f>Summary!E7</f>
        <v>0</v>
      </c>
      <c r="E8" s="2719"/>
      <c r="F8" s="298"/>
      <c r="G8" s="1963" t="s">
        <v>308</v>
      </c>
      <c r="H8" s="1963"/>
      <c r="I8" s="1963"/>
      <c r="J8" s="2208" t="str">
        <f>Pricing!A2</f>
        <v>Martin Marrieta</v>
      </c>
      <c r="K8" s="2208"/>
      <c r="L8" s="2208"/>
      <c r="M8" s="2208"/>
      <c r="N8" s="2208"/>
      <c r="O8" s="298"/>
      <c r="P8" s="298"/>
      <c r="Q8" s="298"/>
      <c r="R8" s="298"/>
      <c r="S8" s="298"/>
      <c r="T8" s="298"/>
      <c r="V8" s="298"/>
      <c r="W8" s="298"/>
      <c r="X8" s="310"/>
      <c r="Y8" s="299"/>
    </row>
    <row r="9" spans="2:60" ht="18" customHeight="1" x14ac:dyDescent="0.35">
      <c r="B9" s="798"/>
      <c r="C9" s="799"/>
      <c r="D9" s="799"/>
      <c r="E9" s="2269" t="s">
        <v>35</v>
      </c>
      <c r="F9" s="1931" t="s">
        <v>65</v>
      </c>
      <c r="G9" s="1917"/>
      <c r="H9" s="1982"/>
      <c r="I9" s="1931" t="s">
        <v>289</v>
      </c>
      <c r="J9" s="1982"/>
      <c r="K9" s="1931" t="s">
        <v>317</v>
      </c>
      <c r="L9" s="1982"/>
      <c r="M9" s="1931" t="s">
        <v>318</v>
      </c>
      <c r="N9" s="1982"/>
      <c r="O9" s="1931" t="s">
        <v>319</v>
      </c>
      <c r="P9" s="1982"/>
      <c r="Q9" s="1931" t="s">
        <v>324</v>
      </c>
      <c r="R9" s="1917"/>
      <c r="S9" s="1982"/>
      <c r="T9" s="1931" t="s">
        <v>321</v>
      </c>
      <c r="U9" s="1917"/>
      <c r="V9" s="1982"/>
      <c r="W9" s="2501" t="s">
        <v>296</v>
      </c>
      <c r="X9" s="2503" t="s">
        <v>64</v>
      </c>
      <c r="Y9" s="299"/>
      <c r="AP9" t="s">
        <v>297</v>
      </c>
    </row>
    <row r="10" spans="2:60" ht="29.25" customHeight="1" thickBot="1" x14ac:dyDescent="0.4">
      <c r="B10" s="2511" t="s">
        <v>60</v>
      </c>
      <c r="C10" s="2502"/>
      <c r="D10" s="797"/>
      <c r="E10" s="2678"/>
      <c r="F10" s="1079" t="s">
        <v>61</v>
      </c>
      <c r="G10" s="1231" t="s">
        <v>62</v>
      </c>
      <c r="H10" s="1079" t="s">
        <v>63</v>
      </c>
      <c r="I10" s="1231" t="s">
        <v>320</v>
      </c>
      <c r="J10" s="1079" t="s">
        <v>28</v>
      </c>
      <c r="K10" s="1231" t="s">
        <v>320</v>
      </c>
      <c r="L10" s="1079" t="s">
        <v>28</v>
      </c>
      <c r="M10" s="1231" t="s">
        <v>320</v>
      </c>
      <c r="N10" s="1079" t="s">
        <v>28</v>
      </c>
      <c r="O10" s="1231" t="s">
        <v>28</v>
      </c>
      <c r="P10" s="1079" t="s">
        <v>29</v>
      </c>
      <c r="Q10" s="1231" t="s">
        <v>28</v>
      </c>
      <c r="R10" s="1230" t="s">
        <v>29</v>
      </c>
      <c r="S10" s="1232" t="s">
        <v>325</v>
      </c>
      <c r="T10" s="1233" t="s">
        <v>52</v>
      </c>
      <c r="U10" s="1056" t="s">
        <v>334</v>
      </c>
      <c r="V10" s="1232" t="s">
        <v>111</v>
      </c>
      <c r="W10" s="2502"/>
      <c r="X10" s="2504"/>
      <c r="Y10" s="299"/>
      <c r="AO10" t="s">
        <v>227</v>
      </c>
      <c r="AP10" t="s">
        <v>228</v>
      </c>
      <c r="AQ10" t="s">
        <v>229</v>
      </c>
      <c r="AR10" t="s">
        <v>230</v>
      </c>
      <c r="AS10" t="s">
        <v>231</v>
      </c>
      <c r="AT10" t="s">
        <v>232</v>
      </c>
      <c r="AU10" t="s">
        <v>106</v>
      </c>
      <c r="AV10" t="s">
        <v>82</v>
      </c>
      <c r="AW10" t="s">
        <v>330</v>
      </c>
      <c r="AX10" t="s">
        <v>331</v>
      </c>
      <c r="AY10" t="s">
        <v>321</v>
      </c>
      <c r="BB10" t="s">
        <v>10</v>
      </c>
      <c r="BC10" t="s">
        <v>337</v>
      </c>
      <c r="BD10" t="s">
        <v>338</v>
      </c>
      <c r="BE10" t="s">
        <v>339</v>
      </c>
      <c r="BF10" t="s">
        <v>340</v>
      </c>
      <c r="BG10" t="s">
        <v>341</v>
      </c>
      <c r="BH10" t="s">
        <v>342</v>
      </c>
    </row>
    <row r="11" spans="2:60" ht="18" customHeight="1" x14ac:dyDescent="0.35">
      <c r="B11" s="2677"/>
      <c r="C11" s="2053"/>
      <c r="D11" s="421"/>
      <c r="E11" s="1234"/>
      <c r="F11" s="1235"/>
      <c r="G11" s="1236"/>
      <c r="H11" s="1248"/>
      <c r="I11" s="1236"/>
      <c r="J11" s="1237"/>
      <c r="K11" s="1236"/>
      <c r="L11" s="1237"/>
      <c r="M11" s="1236"/>
      <c r="N11" s="1237"/>
      <c r="O11" s="1236"/>
      <c r="P11" s="1237"/>
      <c r="Q11" s="1236"/>
      <c r="R11" s="1238"/>
      <c r="S11" s="1237"/>
      <c r="T11" s="1239"/>
      <c r="U11" s="1240"/>
      <c r="V11" s="1241"/>
      <c r="W11" s="1242">
        <f>IF(P11=0,0,(F11*I11*J11/16*J11/16*10.680159)+((F11*K11*L11/16*L11/16*10.680159)+(M11*2*N11/16*N11/16*10.680159*F11)+((O11/16*O11/16)*3.145*0.2836*((((G11*2)+(H11*2))*F11*12/P11))))+(Q11/16*Q11/16*10.680159*(F11*12/IF(R11=0,1,R11))*S11))*(1+K$52)+T11*U11*V11*H11/198.62*(1+K$53)</f>
        <v>0</v>
      </c>
      <c r="X11" s="1243">
        <f t="shared" ref="X11:X36" si="0">((F11*G11/12*H11/324)+ROUNDUP(T11*U11*V11*H11/46656,0))*(1+K$49)</f>
        <v>0</v>
      </c>
      <c r="Y11" s="299"/>
      <c r="AO11">
        <f>IF($E11=1,$X11,0)</f>
        <v>0</v>
      </c>
      <c r="AP11">
        <f t="shared" ref="AP11:AP35" si="1">IF($E11=2,X11,0)</f>
        <v>0</v>
      </c>
      <c r="AQ11">
        <f t="shared" ref="AQ11:AQ35" si="2">IF($E11=3,X11,0)</f>
        <v>0</v>
      </c>
      <c r="AR11">
        <f t="shared" ref="AR11:AR35" si="3">IF($E11=4,X11,0)</f>
        <v>0</v>
      </c>
      <c r="AS11">
        <f t="shared" ref="AS11:AS35" si="4">IF($E11=5,X11,0)</f>
        <v>0</v>
      </c>
      <c r="AT11">
        <f t="shared" ref="AT11:AT35" si="5">IF($E11=6,X11,0)</f>
        <v>0</v>
      </c>
      <c r="AU11">
        <f>SUM(AO11:AT11)</f>
        <v>0</v>
      </c>
      <c r="AV11">
        <f>W11</f>
        <v>0</v>
      </c>
      <c r="AW11">
        <f>F11*H11/12*2</f>
        <v>0</v>
      </c>
      <c r="AX11">
        <f>F11*H11/12</f>
        <v>0</v>
      </c>
      <c r="AY11">
        <f>(V11+U11)*H11/144*T11</f>
        <v>0</v>
      </c>
      <c r="BB11">
        <f t="shared" ref="BB11:BB36" si="6">W11*G$52*IF(U$40="N",(1+W$40),1)</f>
        <v>0</v>
      </c>
      <c r="BC11">
        <f>(AO11*Pricing!F$2+'Gd Beams'!AP11*Pricing!G$2+'Gd Beams'!AQ11*Pricing!H$2+'Gd Beams'!AR11*Pricing!I$2+'Gd Beams'!AS11*Pricing!J$2+'Gd Beams'!AT11*Pricing!K$2)*IF(U$40="N",(1+W$40),1)</f>
        <v>0</v>
      </c>
      <c r="BD11">
        <f t="shared" ref="BD11:BD36" si="7">AX11*H$63+E$66</f>
        <v>0</v>
      </c>
      <c r="BE11">
        <f t="shared" ref="BE11:BE36" si="8">T11*E$62</f>
        <v>0</v>
      </c>
      <c r="BF11">
        <f t="shared" ref="BF11:BF36" si="9">W11/2000*E$67</f>
        <v>0</v>
      </c>
      <c r="BG11" t="e">
        <f t="shared" ref="BG11:BG36" si="10">I$68/E$37*F11</f>
        <v>#DIV/0!</v>
      </c>
      <c r="BH11">
        <f>SUM(O71:P73)+SUM(O75:P80)+SUM(O82:P87)</f>
        <v>0</v>
      </c>
    </row>
    <row r="12" spans="2:60" ht="18" customHeight="1" x14ac:dyDescent="0.35">
      <c r="B12" s="2716"/>
      <c r="C12" s="2717"/>
      <c r="D12" s="445"/>
      <c r="E12" s="393"/>
      <c r="F12" s="1224"/>
      <c r="G12" s="1221"/>
      <c r="H12" s="1249"/>
      <c r="I12" s="1221"/>
      <c r="J12" s="179"/>
      <c r="K12" s="1221"/>
      <c r="L12" s="179"/>
      <c r="M12" s="1221"/>
      <c r="N12" s="179"/>
      <c r="O12" s="1221"/>
      <c r="P12" s="179"/>
      <c r="Q12" s="1221"/>
      <c r="R12" s="1222"/>
      <c r="S12" s="179"/>
      <c r="T12" s="1225"/>
      <c r="U12" s="448"/>
      <c r="V12" s="1228"/>
      <c r="W12" s="1192">
        <f t="shared" ref="W12:W36" si="11">IF(P12=0,0,(F12*I12*J12/16*J12/16*10.680159)+((F12*K12*L12/16*L12/16*10.680159)+(M12*2*N12/16*N12/16*10.680159*F12)+((O12/16*O12/16)*3.145*0.2836*((((G12*2)+(H12*2))*F12*12/P12))))+(Q12/16*Q12/16*10.680159*(F12*12/IF(R12=0,1,R12))*S12))*(1+K$52)+T12*U12*V12*H12/198.62*(1+K$53)</f>
        <v>0</v>
      </c>
      <c r="X12" s="865">
        <f t="shared" si="0"/>
        <v>0</v>
      </c>
      <c r="Y12" s="299"/>
      <c r="AO12">
        <f t="shared" ref="AO12:AO35" si="12">IF(E12=1,X12,0)</f>
        <v>0</v>
      </c>
      <c r="AP12">
        <f t="shared" si="1"/>
        <v>0</v>
      </c>
      <c r="AQ12">
        <f t="shared" si="2"/>
        <v>0</v>
      </c>
      <c r="AR12">
        <f t="shared" si="3"/>
        <v>0</v>
      </c>
      <c r="AS12">
        <f t="shared" si="4"/>
        <v>0</v>
      </c>
      <c r="AT12">
        <f t="shared" si="5"/>
        <v>0</v>
      </c>
      <c r="AU12">
        <f t="shared" ref="AU12:AU36" si="13">SUM(AO12:AT12)</f>
        <v>0</v>
      </c>
      <c r="AW12">
        <f t="shared" ref="AW12:AW36" si="14">F12*H12/12*2</f>
        <v>0</v>
      </c>
      <c r="AX12">
        <f t="shared" ref="AX12:AX36" si="15">F12*H12/12</f>
        <v>0</v>
      </c>
      <c r="AY12">
        <f t="shared" ref="AY12:AY36" si="16">(V12+U12)*H12/144*T12</f>
        <v>0</v>
      </c>
      <c r="BB12">
        <f t="shared" si="6"/>
        <v>0</v>
      </c>
      <c r="BC12">
        <f>(AO12*Pricing!F$2+'Gd Beams'!AP12*Pricing!G$2+'Gd Beams'!AQ12*Pricing!H$2+'Gd Beams'!AR12*Pricing!I$2+'Gd Beams'!AS12*Pricing!J$2+'Gd Beams'!AT12*Pricing!K$2)*IF(U$40="N",(1+W$40),1)</f>
        <v>0</v>
      </c>
      <c r="BD12">
        <f t="shared" si="7"/>
        <v>0</v>
      </c>
      <c r="BE12">
        <f t="shared" si="8"/>
        <v>0</v>
      </c>
      <c r="BF12">
        <f t="shared" si="9"/>
        <v>0</v>
      </c>
      <c r="BG12" t="e">
        <f t="shared" si="10"/>
        <v>#DIV/0!</v>
      </c>
    </row>
    <row r="13" spans="2:60" ht="18" customHeight="1" x14ac:dyDescent="0.35">
      <c r="B13" s="2675"/>
      <c r="C13" s="2676"/>
      <c r="D13" s="1223"/>
      <c r="E13" s="1229"/>
      <c r="F13" s="1224"/>
      <c r="G13" s="1219"/>
      <c r="H13" s="1250"/>
      <c r="I13" s="1219"/>
      <c r="J13" s="177"/>
      <c r="K13" s="1219"/>
      <c r="L13" s="177"/>
      <c r="M13" s="1219"/>
      <c r="N13" s="177"/>
      <c r="O13" s="1219"/>
      <c r="P13" s="177"/>
      <c r="Q13" s="1219"/>
      <c r="R13" s="1220"/>
      <c r="S13" s="177"/>
      <c r="T13" s="781"/>
      <c r="U13" s="1226"/>
      <c r="V13" s="1227"/>
      <c r="W13" s="1192">
        <f t="shared" si="11"/>
        <v>0</v>
      </c>
      <c r="X13" s="865">
        <f t="shared" si="0"/>
        <v>0</v>
      </c>
      <c r="Y13" s="299"/>
      <c r="AO13">
        <f t="shared" si="12"/>
        <v>0</v>
      </c>
      <c r="AP13">
        <f t="shared" si="1"/>
        <v>0</v>
      </c>
      <c r="AQ13">
        <f t="shared" si="2"/>
        <v>0</v>
      </c>
      <c r="AR13">
        <f t="shared" si="3"/>
        <v>0</v>
      </c>
      <c r="AS13">
        <f t="shared" si="4"/>
        <v>0</v>
      </c>
      <c r="AT13">
        <f t="shared" si="5"/>
        <v>0</v>
      </c>
      <c r="AU13">
        <f t="shared" si="13"/>
        <v>0</v>
      </c>
      <c r="AW13">
        <f t="shared" si="14"/>
        <v>0</v>
      </c>
      <c r="AX13">
        <f t="shared" si="15"/>
        <v>0</v>
      </c>
      <c r="AY13">
        <f t="shared" si="16"/>
        <v>0</v>
      </c>
      <c r="BB13">
        <f t="shared" si="6"/>
        <v>0</v>
      </c>
      <c r="BC13">
        <f>(AO13*Pricing!F$2+'Gd Beams'!AP13*Pricing!G$2+'Gd Beams'!AQ13*Pricing!H$2+'Gd Beams'!AR13*Pricing!I$2+'Gd Beams'!AS13*Pricing!J$2+'Gd Beams'!AT13*Pricing!K$2)*IF(U$40="N",(1+W$40),1)</f>
        <v>0</v>
      </c>
      <c r="BD13">
        <f t="shared" si="7"/>
        <v>0</v>
      </c>
      <c r="BE13">
        <f t="shared" si="8"/>
        <v>0</v>
      </c>
      <c r="BF13">
        <f t="shared" si="9"/>
        <v>0</v>
      </c>
      <c r="BG13" t="e">
        <f t="shared" si="10"/>
        <v>#DIV/0!</v>
      </c>
    </row>
    <row r="14" spans="2:60" ht="18" customHeight="1" x14ac:dyDescent="0.35">
      <c r="B14" s="2716"/>
      <c r="C14" s="2717"/>
      <c r="D14" s="445"/>
      <c r="E14" s="393"/>
      <c r="F14" s="1224"/>
      <c r="G14" s="1221"/>
      <c r="H14" s="1249"/>
      <c r="I14" s="1221"/>
      <c r="J14" s="179"/>
      <c r="K14" s="1221"/>
      <c r="L14" s="179"/>
      <c r="M14" s="1221"/>
      <c r="N14" s="179"/>
      <c r="O14" s="1221"/>
      <c r="P14" s="179"/>
      <c r="Q14" s="1221"/>
      <c r="R14" s="1222"/>
      <c r="S14" s="179"/>
      <c r="T14" s="1225"/>
      <c r="U14" s="448"/>
      <c r="V14" s="1228"/>
      <c r="W14" s="1192">
        <f t="shared" si="11"/>
        <v>0</v>
      </c>
      <c r="X14" s="865">
        <f t="shared" si="0"/>
        <v>0</v>
      </c>
      <c r="Y14" s="299"/>
      <c r="AO14">
        <f t="shared" si="12"/>
        <v>0</v>
      </c>
      <c r="AP14">
        <f t="shared" si="1"/>
        <v>0</v>
      </c>
      <c r="AQ14">
        <f t="shared" si="2"/>
        <v>0</v>
      </c>
      <c r="AR14">
        <f t="shared" si="3"/>
        <v>0</v>
      </c>
      <c r="AS14">
        <f t="shared" si="4"/>
        <v>0</v>
      </c>
      <c r="AT14">
        <f t="shared" si="5"/>
        <v>0</v>
      </c>
      <c r="AU14">
        <f t="shared" si="13"/>
        <v>0</v>
      </c>
      <c r="AW14">
        <f t="shared" si="14"/>
        <v>0</v>
      </c>
      <c r="AX14">
        <f t="shared" si="15"/>
        <v>0</v>
      </c>
      <c r="AY14">
        <f t="shared" si="16"/>
        <v>0</v>
      </c>
      <c r="BB14">
        <f t="shared" si="6"/>
        <v>0</v>
      </c>
      <c r="BC14">
        <f>(AO14*Pricing!F$2+'Gd Beams'!AP14*Pricing!G$2+'Gd Beams'!AQ14*Pricing!H$2+'Gd Beams'!AR14*Pricing!I$2+'Gd Beams'!AS14*Pricing!J$2+'Gd Beams'!AT14*Pricing!K$2)*IF(U$40="N",(1+W$40),1)</f>
        <v>0</v>
      </c>
      <c r="BD14">
        <f t="shared" si="7"/>
        <v>0</v>
      </c>
      <c r="BE14">
        <f t="shared" si="8"/>
        <v>0</v>
      </c>
      <c r="BF14">
        <f t="shared" si="9"/>
        <v>0</v>
      </c>
      <c r="BG14" t="e">
        <f t="shared" si="10"/>
        <v>#DIV/0!</v>
      </c>
    </row>
    <row r="15" spans="2:60" ht="18" customHeight="1" x14ac:dyDescent="0.35">
      <c r="B15" s="2675"/>
      <c r="C15" s="2676"/>
      <c r="D15" s="1223"/>
      <c r="E15" s="1229"/>
      <c r="F15" s="1224"/>
      <c r="G15" s="1219"/>
      <c r="H15" s="1250"/>
      <c r="I15" s="1219"/>
      <c r="J15" s="177"/>
      <c r="K15" s="1219"/>
      <c r="L15" s="177"/>
      <c r="M15" s="1219"/>
      <c r="N15" s="177"/>
      <c r="O15" s="1219"/>
      <c r="P15" s="177"/>
      <c r="Q15" s="1219"/>
      <c r="R15" s="1220"/>
      <c r="S15" s="177"/>
      <c r="T15" s="781"/>
      <c r="U15" s="1226"/>
      <c r="V15" s="1227"/>
      <c r="W15" s="1192">
        <f t="shared" si="11"/>
        <v>0</v>
      </c>
      <c r="X15" s="865">
        <f t="shared" si="0"/>
        <v>0</v>
      </c>
      <c r="Y15" s="299"/>
      <c r="AO15">
        <f t="shared" si="12"/>
        <v>0</v>
      </c>
      <c r="AP15">
        <f t="shared" si="1"/>
        <v>0</v>
      </c>
      <c r="AQ15">
        <f t="shared" si="2"/>
        <v>0</v>
      </c>
      <c r="AR15">
        <f t="shared" si="3"/>
        <v>0</v>
      </c>
      <c r="AS15">
        <f t="shared" si="4"/>
        <v>0</v>
      </c>
      <c r="AT15">
        <f t="shared" si="5"/>
        <v>0</v>
      </c>
      <c r="AU15">
        <f t="shared" si="13"/>
        <v>0</v>
      </c>
      <c r="AW15">
        <f t="shared" si="14"/>
        <v>0</v>
      </c>
      <c r="AX15">
        <f t="shared" si="15"/>
        <v>0</v>
      </c>
      <c r="AY15">
        <f t="shared" si="16"/>
        <v>0</v>
      </c>
      <c r="BB15">
        <f t="shared" si="6"/>
        <v>0</v>
      </c>
      <c r="BC15">
        <f>(AO15*Pricing!F$2+'Gd Beams'!AP15*Pricing!G$2+'Gd Beams'!AQ15*Pricing!H$2+'Gd Beams'!AR15*Pricing!I$2+'Gd Beams'!AS15*Pricing!J$2+'Gd Beams'!AT15*Pricing!K$2)*IF(U$40="N",(1+W$40),1)</f>
        <v>0</v>
      </c>
      <c r="BD15">
        <f t="shared" si="7"/>
        <v>0</v>
      </c>
      <c r="BE15">
        <f t="shared" si="8"/>
        <v>0</v>
      </c>
      <c r="BF15">
        <f t="shared" si="9"/>
        <v>0</v>
      </c>
      <c r="BG15" t="e">
        <f t="shared" si="10"/>
        <v>#DIV/0!</v>
      </c>
    </row>
    <row r="16" spans="2:60" ht="18" customHeight="1" x14ac:dyDescent="0.35">
      <c r="B16" s="2716"/>
      <c r="C16" s="2717"/>
      <c r="D16" s="445"/>
      <c r="E16" s="393"/>
      <c r="F16" s="1224"/>
      <c r="G16" s="1221"/>
      <c r="H16" s="1249"/>
      <c r="I16" s="1221"/>
      <c r="J16" s="179"/>
      <c r="K16" s="1221"/>
      <c r="L16" s="179"/>
      <c r="M16" s="1221"/>
      <c r="N16" s="179"/>
      <c r="O16" s="1221"/>
      <c r="P16" s="179"/>
      <c r="Q16" s="1221"/>
      <c r="R16" s="1222"/>
      <c r="S16" s="179"/>
      <c r="T16" s="1225"/>
      <c r="U16" s="448"/>
      <c r="V16" s="1228"/>
      <c r="W16" s="1192">
        <f t="shared" si="11"/>
        <v>0</v>
      </c>
      <c r="X16" s="865">
        <f t="shared" si="0"/>
        <v>0</v>
      </c>
      <c r="Y16" s="299"/>
      <c r="AO16">
        <f t="shared" si="12"/>
        <v>0</v>
      </c>
      <c r="AP16">
        <f t="shared" si="1"/>
        <v>0</v>
      </c>
      <c r="AQ16">
        <f t="shared" si="2"/>
        <v>0</v>
      </c>
      <c r="AR16">
        <f t="shared" si="3"/>
        <v>0</v>
      </c>
      <c r="AS16">
        <f t="shared" si="4"/>
        <v>0</v>
      </c>
      <c r="AT16">
        <f t="shared" si="5"/>
        <v>0</v>
      </c>
      <c r="AU16">
        <f t="shared" si="13"/>
        <v>0</v>
      </c>
      <c r="AW16">
        <f t="shared" si="14"/>
        <v>0</v>
      </c>
      <c r="AX16">
        <f t="shared" si="15"/>
        <v>0</v>
      </c>
      <c r="AY16">
        <f t="shared" si="16"/>
        <v>0</v>
      </c>
      <c r="BB16">
        <f t="shared" si="6"/>
        <v>0</v>
      </c>
      <c r="BC16">
        <f>(AO16*Pricing!F$2+'Gd Beams'!AP16*Pricing!G$2+'Gd Beams'!AQ16*Pricing!H$2+'Gd Beams'!AR16*Pricing!I$2+'Gd Beams'!AS16*Pricing!J$2+'Gd Beams'!AT16*Pricing!K$2)*IF(U$40="N",(1+W$40),1)</f>
        <v>0</v>
      </c>
      <c r="BD16">
        <f t="shared" si="7"/>
        <v>0</v>
      </c>
      <c r="BE16">
        <f t="shared" si="8"/>
        <v>0</v>
      </c>
      <c r="BF16">
        <f t="shared" si="9"/>
        <v>0</v>
      </c>
      <c r="BG16" t="e">
        <f t="shared" si="10"/>
        <v>#DIV/0!</v>
      </c>
    </row>
    <row r="17" spans="2:59" ht="18" customHeight="1" x14ac:dyDescent="0.35">
      <c r="B17" s="2675"/>
      <c r="C17" s="2676"/>
      <c r="D17" s="1223"/>
      <c r="E17" s="1229"/>
      <c r="F17" s="1224"/>
      <c r="G17" s="1219"/>
      <c r="H17" s="1250"/>
      <c r="I17" s="1219"/>
      <c r="J17" s="177"/>
      <c r="K17" s="1219"/>
      <c r="L17" s="177"/>
      <c r="M17" s="1219"/>
      <c r="N17" s="177"/>
      <c r="O17" s="1219"/>
      <c r="P17" s="177"/>
      <c r="Q17" s="1219"/>
      <c r="R17" s="1220"/>
      <c r="S17" s="177"/>
      <c r="T17" s="781"/>
      <c r="U17" s="1226"/>
      <c r="V17" s="1227"/>
      <c r="W17" s="1192">
        <f t="shared" si="11"/>
        <v>0</v>
      </c>
      <c r="X17" s="865">
        <f t="shared" si="0"/>
        <v>0</v>
      </c>
      <c r="Y17" s="299"/>
      <c r="AO17">
        <f t="shared" si="12"/>
        <v>0</v>
      </c>
      <c r="AP17">
        <f t="shared" si="1"/>
        <v>0</v>
      </c>
      <c r="AQ17">
        <f t="shared" si="2"/>
        <v>0</v>
      </c>
      <c r="AR17">
        <f t="shared" si="3"/>
        <v>0</v>
      </c>
      <c r="AS17">
        <f t="shared" si="4"/>
        <v>0</v>
      </c>
      <c r="AT17">
        <f t="shared" si="5"/>
        <v>0</v>
      </c>
      <c r="AU17">
        <f t="shared" si="13"/>
        <v>0</v>
      </c>
      <c r="AW17">
        <f t="shared" si="14"/>
        <v>0</v>
      </c>
      <c r="AX17">
        <f t="shared" si="15"/>
        <v>0</v>
      </c>
      <c r="AY17">
        <f t="shared" si="16"/>
        <v>0</v>
      </c>
      <c r="BB17">
        <f t="shared" si="6"/>
        <v>0</v>
      </c>
      <c r="BC17">
        <f>(AO17*Pricing!F$2+'Gd Beams'!AP17*Pricing!G$2+'Gd Beams'!AQ17*Pricing!H$2+'Gd Beams'!AR17*Pricing!I$2+'Gd Beams'!AS17*Pricing!J$2+'Gd Beams'!AT17*Pricing!K$2)*IF(U$40="N",(1+W$40),1)</f>
        <v>0</v>
      </c>
      <c r="BD17">
        <f t="shared" si="7"/>
        <v>0</v>
      </c>
      <c r="BE17">
        <f t="shared" si="8"/>
        <v>0</v>
      </c>
      <c r="BF17">
        <f t="shared" si="9"/>
        <v>0</v>
      </c>
      <c r="BG17" t="e">
        <f t="shared" si="10"/>
        <v>#DIV/0!</v>
      </c>
    </row>
    <row r="18" spans="2:59" ht="18" customHeight="1" x14ac:dyDescent="0.35">
      <c r="B18" s="2716"/>
      <c r="C18" s="2717"/>
      <c r="D18" s="445"/>
      <c r="E18" s="393"/>
      <c r="F18" s="1224"/>
      <c r="G18" s="1221"/>
      <c r="H18" s="1249"/>
      <c r="I18" s="1221"/>
      <c r="J18" s="179"/>
      <c r="K18" s="1221"/>
      <c r="L18" s="179"/>
      <c r="M18" s="1221"/>
      <c r="N18" s="179"/>
      <c r="O18" s="1221"/>
      <c r="P18" s="179"/>
      <c r="Q18" s="1221"/>
      <c r="R18" s="1222"/>
      <c r="S18" s="179"/>
      <c r="T18" s="1225"/>
      <c r="U18" s="448"/>
      <c r="V18" s="1228"/>
      <c r="W18" s="1192">
        <f t="shared" si="11"/>
        <v>0</v>
      </c>
      <c r="X18" s="865">
        <f t="shared" si="0"/>
        <v>0</v>
      </c>
      <c r="Y18" s="299"/>
      <c r="AO18">
        <f t="shared" si="12"/>
        <v>0</v>
      </c>
      <c r="AP18">
        <f t="shared" si="1"/>
        <v>0</v>
      </c>
      <c r="AQ18">
        <f t="shared" si="2"/>
        <v>0</v>
      </c>
      <c r="AR18">
        <f t="shared" si="3"/>
        <v>0</v>
      </c>
      <c r="AS18">
        <f t="shared" si="4"/>
        <v>0</v>
      </c>
      <c r="AT18">
        <f t="shared" si="5"/>
        <v>0</v>
      </c>
      <c r="AU18">
        <f t="shared" si="13"/>
        <v>0</v>
      </c>
      <c r="AW18">
        <f t="shared" si="14"/>
        <v>0</v>
      </c>
      <c r="AX18">
        <f t="shared" si="15"/>
        <v>0</v>
      </c>
      <c r="AY18">
        <f t="shared" si="16"/>
        <v>0</v>
      </c>
      <c r="BB18">
        <f t="shared" si="6"/>
        <v>0</v>
      </c>
      <c r="BC18">
        <f>(AO18*Pricing!F$2+'Gd Beams'!AP18*Pricing!G$2+'Gd Beams'!AQ18*Pricing!H$2+'Gd Beams'!AR18*Pricing!I$2+'Gd Beams'!AS18*Pricing!J$2+'Gd Beams'!AT18*Pricing!K$2)*IF(U$40="N",(1+W$40),1)</f>
        <v>0</v>
      </c>
      <c r="BD18">
        <f t="shared" si="7"/>
        <v>0</v>
      </c>
      <c r="BE18">
        <f t="shared" si="8"/>
        <v>0</v>
      </c>
      <c r="BF18">
        <f t="shared" si="9"/>
        <v>0</v>
      </c>
      <c r="BG18" t="e">
        <f t="shared" si="10"/>
        <v>#DIV/0!</v>
      </c>
    </row>
    <row r="19" spans="2:59" ht="18" customHeight="1" x14ac:dyDescent="0.35">
      <c r="B19" s="2675"/>
      <c r="C19" s="2676"/>
      <c r="D19" s="1223"/>
      <c r="E19" s="1229"/>
      <c r="F19" s="1224"/>
      <c r="G19" s="1219"/>
      <c r="H19" s="1250"/>
      <c r="I19" s="1219"/>
      <c r="J19" s="177"/>
      <c r="K19" s="1219"/>
      <c r="L19" s="177"/>
      <c r="M19" s="1219"/>
      <c r="N19" s="177"/>
      <c r="O19" s="1219"/>
      <c r="P19" s="177"/>
      <c r="Q19" s="1219"/>
      <c r="R19" s="1220"/>
      <c r="S19" s="177"/>
      <c r="T19" s="781"/>
      <c r="U19" s="1226"/>
      <c r="V19" s="1227"/>
      <c r="W19" s="1192">
        <f t="shared" si="11"/>
        <v>0</v>
      </c>
      <c r="X19" s="865">
        <f t="shared" si="0"/>
        <v>0</v>
      </c>
      <c r="Y19" s="299"/>
      <c r="AO19">
        <f t="shared" si="12"/>
        <v>0</v>
      </c>
      <c r="AP19">
        <f t="shared" si="1"/>
        <v>0</v>
      </c>
      <c r="AQ19">
        <f t="shared" si="2"/>
        <v>0</v>
      </c>
      <c r="AR19">
        <f t="shared" si="3"/>
        <v>0</v>
      </c>
      <c r="AS19">
        <f t="shared" si="4"/>
        <v>0</v>
      </c>
      <c r="AT19">
        <f t="shared" si="5"/>
        <v>0</v>
      </c>
      <c r="AU19">
        <f t="shared" si="13"/>
        <v>0</v>
      </c>
      <c r="AW19">
        <f t="shared" si="14"/>
        <v>0</v>
      </c>
      <c r="AX19">
        <f t="shared" si="15"/>
        <v>0</v>
      </c>
      <c r="AY19">
        <f t="shared" si="16"/>
        <v>0</v>
      </c>
      <c r="BB19">
        <f t="shared" si="6"/>
        <v>0</v>
      </c>
      <c r="BC19">
        <f>(AO19*Pricing!F$2+'Gd Beams'!AP19*Pricing!G$2+'Gd Beams'!AQ19*Pricing!H$2+'Gd Beams'!AR19*Pricing!I$2+'Gd Beams'!AS19*Pricing!J$2+'Gd Beams'!AT19*Pricing!K$2)*IF(U$40="N",(1+W$40),1)</f>
        <v>0</v>
      </c>
      <c r="BD19">
        <f t="shared" si="7"/>
        <v>0</v>
      </c>
      <c r="BE19">
        <f t="shared" si="8"/>
        <v>0</v>
      </c>
      <c r="BF19">
        <f t="shared" si="9"/>
        <v>0</v>
      </c>
      <c r="BG19" t="e">
        <f t="shared" si="10"/>
        <v>#DIV/0!</v>
      </c>
    </row>
    <row r="20" spans="2:59" ht="18" customHeight="1" x14ac:dyDescent="0.35">
      <c r="B20" s="2716"/>
      <c r="C20" s="2717"/>
      <c r="D20" s="445"/>
      <c r="E20" s="393"/>
      <c r="F20" s="1224"/>
      <c r="G20" s="1221"/>
      <c r="H20" s="1249"/>
      <c r="I20" s="1221"/>
      <c r="J20" s="179"/>
      <c r="K20" s="1221"/>
      <c r="L20" s="179"/>
      <c r="M20" s="1221"/>
      <c r="N20" s="179"/>
      <c r="O20" s="1221"/>
      <c r="P20" s="179"/>
      <c r="Q20" s="1221"/>
      <c r="R20" s="1222"/>
      <c r="S20" s="179"/>
      <c r="T20" s="1225"/>
      <c r="U20" s="448"/>
      <c r="V20" s="1228"/>
      <c r="W20" s="1192">
        <f t="shared" si="11"/>
        <v>0</v>
      </c>
      <c r="X20" s="865">
        <f t="shared" si="0"/>
        <v>0</v>
      </c>
      <c r="Y20" s="299"/>
      <c r="AO20">
        <f t="shared" si="12"/>
        <v>0</v>
      </c>
      <c r="AP20">
        <f t="shared" si="1"/>
        <v>0</v>
      </c>
      <c r="AQ20">
        <f t="shared" si="2"/>
        <v>0</v>
      </c>
      <c r="AR20">
        <f t="shared" si="3"/>
        <v>0</v>
      </c>
      <c r="AS20">
        <f t="shared" si="4"/>
        <v>0</v>
      </c>
      <c r="AT20">
        <f t="shared" si="5"/>
        <v>0</v>
      </c>
      <c r="AU20">
        <f t="shared" si="13"/>
        <v>0</v>
      </c>
      <c r="AW20">
        <f t="shared" si="14"/>
        <v>0</v>
      </c>
      <c r="AX20">
        <f t="shared" si="15"/>
        <v>0</v>
      </c>
      <c r="AY20">
        <f t="shared" si="16"/>
        <v>0</v>
      </c>
      <c r="BB20">
        <f t="shared" si="6"/>
        <v>0</v>
      </c>
      <c r="BC20">
        <f>(AO20*Pricing!F$2+'Gd Beams'!AP20*Pricing!G$2+'Gd Beams'!AQ20*Pricing!H$2+'Gd Beams'!AR20*Pricing!I$2+'Gd Beams'!AS20*Pricing!J$2+'Gd Beams'!AT20*Pricing!K$2)*IF(U$40="N",(1+W$40),1)</f>
        <v>0</v>
      </c>
      <c r="BD20">
        <f t="shared" si="7"/>
        <v>0</v>
      </c>
      <c r="BE20">
        <f t="shared" si="8"/>
        <v>0</v>
      </c>
      <c r="BF20">
        <f t="shared" si="9"/>
        <v>0</v>
      </c>
      <c r="BG20" t="e">
        <f t="shared" si="10"/>
        <v>#DIV/0!</v>
      </c>
    </row>
    <row r="21" spans="2:59" ht="18" customHeight="1" x14ac:dyDescent="0.35">
      <c r="B21" s="2675"/>
      <c r="C21" s="2676"/>
      <c r="D21" s="1223"/>
      <c r="E21" s="1229"/>
      <c r="F21" s="1224"/>
      <c r="G21" s="1219"/>
      <c r="H21" s="1250"/>
      <c r="I21" s="1219"/>
      <c r="J21" s="177"/>
      <c r="K21" s="1219"/>
      <c r="L21" s="177"/>
      <c r="M21" s="1219"/>
      <c r="N21" s="177"/>
      <c r="O21" s="1219"/>
      <c r="P21" s="177"/>
      <c r="Q21" s="1219"/>
      <c r="R21" s="1220"/>
      <c r="S21" s="177"/>
      <c r="T21" s="781"/>
      <c r="U21" s="1226"/>
      <c r="V21" s="1227"/>
      <c r="W21" s="1192">
        <f t="shared" si="11"/>
        <v>0</v>
      </c>
      <c r="X21" s="865">
        <f t="shared" si="0"/>
        <v>0</v>
      </c>
      <c r="Y21" s="299"/>
      <c r="AO21">
        <f t="shared" si="12"/>
        <v>0</v>
      </c>
      <c r="AP21">
        <f t="shared" si="1"/>
        <v>0</v>
      </c>
      <c r="AQ21">
        <f t="shared" si="2"/>
        <v>0</v>
      </c>
      <c r="AR21">
        <f t="shared" si="3"/>
        <v>0</v>
      </c>
      <c r="AS21">
        <f t="shared" si="4"/>
        <v>0</v>
      </c>
      <c r="AT21">
        <f t="shared" si="5"/>
        <v>0</v>
      </c>
      <c r="AU21">
        <f t="shared" si="13"/>
        <v>0</v>
      </c>
      <c r="AW21">
        <f t="shared" si="14"/>
        <v>0</v>
      </c>
      <c r="AX21">
        <f t="shared" si="15"/>
        <v>0</v>
      </c>
      <c r="AY21">
        <f t="shared" si="16"/>
        <v>0</v>
      </c>
      <c r="BB21">
        <f t="shared" si="6"/>
        <v>0</v>
      </c>
      <c r="BC21">
        <f>(AO21*Pricing!F$2+'Gd Beams'!AP21*Pricing!G$2+'Gd Beams'!AQ21*Pricing!H$2+'Gd Beams'!AR21*Pricing!I$2+'Gd Beams'!AS21*Pricing!J$2+'Gd Beams'!AT21*Pricing!K$2)*IF(U$40="N",(1+W$40),1)</f>
        <v>0</v>
      </c>
      <c r="BD21">
        <f t="shared" si="7"/>
        <v>0</v>
      </c>
      <c r="BE21">
        <f t="shared" si="8"/>
        <v>0</v>
      </c>
      <c r="BF21">
        <f t="shared" si="9"/>
        <v>0</v>
      </c>
      <c r="BG21" t="e">
        <f t="shared" si="10"/>
        <v>#DIV/0!</v>
      </c>
    </row>
    <row r="22" spans="2:59" ht="18" customHeight="1" x14ac:dyDescent="0.35">
      <c r="B22" s="2716"/>
      <c r="C22" s="2717"/>
      <c r="D22" s="445"/>
      <c r="E22" s="393"/>
      <c r="F22" s="1224"/>
      <c r="G22" s="1221"/>
      <c r="H22" s="1249"/>
      <c r="I22" s="1221"/>
      <c r="J22" s="179"/>
      <c r="K22" s="1221"/>
      <c r="L22" s="179"/>
      <c r="M22" s="1221"/>
      <c r="N22" s="179"/>
      <c r="O22" s="1221"/>
      <c r="P22" s="179"/>
      <c r="Q22" s="1221"/>
      <c r="R22" s="1222"/>
      <c r="S22" s="179"/>
      <c r="T22" s="1225"/>
      <c r="U22" s="448"/>
      <c r="V22" s="1228"/>
      <c r="W22" s="1192">
        <f t="shared" si="11"/>
        <v>0</v>
      </c>
      <c r="X22" s="865">
        <f t="shared" si="0"/>
        <v>0</v>
      </c>
      <c r="Y22" s="299"/>
      <c r="AO22">
        <f t="shared" si="12"/>
        <v>0</v>
      </c>
      <c r="AP22">
        <f t="shared" si="1"/>
        <v>0</v>
      </c>
      <c r="AQ22">
        <f t="shared" si="2"/>
        <v>0</v>
      </c>
      <c r="AR22">
        <f t="shared" si="3"/>
        <v>0</v>
      </c>
      <c r="AS22">
        <f t="shared" si="4"/>
        <v>0</v>
      </c>
      <c r="AT22">
        <f t="shared" si="5"/>
        <v>0</v>
      </c>
      <c r="AU22">
        <f t="shared" si="13"/>
        <v>0</v>
      </c>
      <c r="AW22">
        <f t="shared" si="14"/>
        <v>0</v>
      </c>
      <c r="AX22">
        <f t="shared" si="15"/>
        <v>0</v>
      </c>
      <c r="AY22">
        <f t="shared" si="16"/>
        <v>0</v>
      </c>
      <c r="BB22">
        <f t="shared" si="6"/>
        <v>0</v>
      </c>
      <c r="BC22">
        <f>(AO22*Pricing!F$2+'Gd Beams'!AP22*Pricing!G$2+'Gd Beams'!AQ22*Pricing!H$2+'Gd Beams'!AR22*Pricing!I$2+'Gd Beams'!AS22*Pricing!J$2+'Gd Beams'!AT22*Pricing!K$2)*IF(U$40="N",(1+W$40),1)</f>
        <v>0</v>
      </c>
      <c r="BD22">
        <f t="shared" si="7"/>
        <v>0</v>
      </c>
      <c r="BE22">
        <f t="shared" si="8"/>
        <v>0</v>
      </c>
      <c r="BF22">
        <f t="shared" si="9"/>
        <v>0</v>
      </c>
      <c r="BG22" t="e">
        <f t="shared" si="10"/>
        <v>#DIV/0!</v>
      </c>
    </row>
    <row r="23" spans="2:59" ht="18" customHeight="1" x14ac:dyDescent="0.35">
      <c r="B23" s="2675"/>
      <c r="C23" s="2676"/>
      <c r="D23" s="1223"/>
      <c r="E23" s="1229"/>
      <c r="F23" s="1224"/>
      <c r="G23" s="1219"/>
      <c r="H23" s="1250"/>
      <c r="I23" s="1219"/>
      <c r="J23" s="177"/>
      <c r="K23" s="1219"/>
      <c r="L23" s="177"/>
      <c r="M23" s="1219"/>
      <c r="N23" s="177"/>
      <c r="O23" s="1219"/>
      <c r="P23" s="177"/>
      <c r="Q23" s="1219"/>
      <c r="R23" s="1220"/>
      <c r="S23" s="177"/>
      <c r="T23" s="781"/>
      <c r="U23" s="1226"/>
      <c r="V23" s="1227"/>
      <c r="W23" s="1192">
        <f t="shared" si="11"/>
        <v>0</v>
      </c>
      <c r="X23" s="865">
        <f t="shared" si="0"/>
        <v>0</v>
      </c>
      <c r="Y23" s="299"/>
      <c r="AO23">
        <f t="shared" si="12"/>
        <v>0</v>
      </c>
      <c r="AP23">
        <f t="shared" si="1"/>
        <v>0</v>
      </c>
      <c r="AQ23">
        <f t="shared" si="2"/>
        <v>0</v>
      </c>
      <c r="AR23">
        <f t="shared" si="3"/>
        <v>0</v>
      </c>
      <c r="AS23">
        <f t="shared" si="4"/>
        <v>0</v>
      </c>
      <c r="AT23">
        <f t="shared" si="5"/>
        <v>0</v>
      </c>
      <c r="AU23">
        <f t="shared" si="13"/>
        <v>0</v>
      </c>
      <c r="AW23">
        <f t="shared" si="14"/>
        <v>0</v>
      </c>
      <c r="AX23">
        <f t="shared" si="15"/>
        <v>0</v>
      </c>
      <c r="AY23">
        <f t="shared" si="16"/>
        <v>0</v>
      </c>
      <c r="BB23">
        <f t="shared" si="6"/>
        <v>0</v>
      </c>
      <c r="BC23">
        <f>(AO23*Pricing!F$2+'Gd Beams'!AP23*Pricing!G$2+'Gd Beams'!AQ23*Pricing!H$2+'Gd Beams'!AR23*Pricing!I$2+'Gd Beams'!AS23*Pricing!J$2+'Gd Beams'!AT23*Pricing!K$2)*IF(U$40="N",(1+W$40),1)</f>
        <v>0</v>
      </c>
      <c r="BD23">
        <f t="shared" si="7"/>
        <v>0</v>
      </c>
      <c r="BE23">
        <f t="shared" si="8"/>
        <v>0</v>
      </c>
      <c r="BF23">
        <f t="shared" si="9"/>
        <v>0</v>
      </c>
      <c r="BG23" t="e">
        <f t="shared" si="10"/>
        <v>#DIV/0!</v>
      </c>
    </row>
    <row r="24" spans="2:59" ht="18" customHeight="1" x14ac:dyDescent="0.35">
      <c r="B24" s="2716"/>
      <c r="C24" s="2717"/>
      <c r="D24" s="445"/>
      <c r="E24" s="393"/>
      <c r="F24" s="1224"/>
      <c r="G24" s="1221"/>
      <c r="H24" s="1249"/>
      <c r="I24" s="1221"/>
      <c r="J24" s="179"/>
      <c r="K24" s="1221"/>
      <c r="L24" s="179"/>
      <c r="M24" s="1221"/>
      <c r="N24" s="179"/>
      <c r="O24" s="1221"/>
      <c r="P24" s="179"/>
      <c r="Q24" s="1221"/>
      <c r="R24" s="1222"/>
      <c r="S24" s="179"/>
      <c r="T24" s="1225"/>
      <c r="U24" s="448"/>
      <c r="V24" s="1228"/>
      <c r="W24" s="1192">
        <f t="shared" si="11"/>
        <v>0</v>
      </c>
      <c r="X24" s="865">
        <f t="shared" si="0"/>
        <v>0</v>
      </c>
      <c r="Y24" s="299"/>
      <c r="AO24">
        <f t="shared" si="12"/>
        <v>0</v>
      </c>
      <c r="AP24">
        <f t="shared" si="1"/>
        <v>0</v>
      </c>
      <c r="AQ24">
        <f t="shared" si="2"/>
        <v>0</v>
      </c>
      <c r="AR24">
        <f t="shared" si="3"/>
        <v>0</v>
      </c>
      <c r="AS24">
        <f t="shared" si="4"/>
        <v>0</v>
      </c>
      <c r="AT24">
        <f t="shared" si="5"/>
        <v>0</v>
      </c>
      <c r="AU24">
        <f t="shared" si="13"/>
        <v>0</v>
      </c>
      <c r="AW24">
        <f t="shared" si="14"/>
        <v>0</v>
      </c>
      <c r="AX24">
        <f t="shared" si="15"/>
        <v>0</v>
      </c>
      <c r="AY24">
        <f t="shared" si="16"/>
        <v>0</v>
      </c>
      <c r="BB24">
        <f t="shared" si="6"/>
        <v>0</v>
      </c>
      <c r="BC24">
        <f>(AO24*Pricing!F$2+'Gd Beams'!AP24*Pricing!G$2+'Gd Beams'!AQ24*Pricing!H$2+'Gd Beams'!AR24*Pricing!I$2+'Gd Beams'!AS24*Pricing!J$2+'Gd Beams'!AT24*Pricing!K$2)*IF(U$40="N",(1+W$40),1)</f>
        <v>0</v>
      </c>
      <c r="BD24">
        <f t="shared" si="7"/>
        <v>0</v>
      </c>
      <c r="BE24">
        <f t="shared" si="8"/>
        <v>0</v>
      </c>
      <c r="BF24">
        <f t="shared" si="9"/>
        <v>0</v>
      </c>
      <c r="BG24" t="e">
        <f t="shared" si="10"/>
        <v>#DIV/0!</v>
      </c>
    </row>
    <row r="25" spans="2:59" ht="18" customHeight="1" x14ac:dyDescent="0.35">
      <c r="B25" s="2675"/>
      <c r="C25" s="2676"/>
      <c r="D25" s="1223"/>
      <c r="E25" s="1229"/>
      <c r="F25" s="1224"/>
      <c r="G25" s="1219"/>
      <c r="H25" s="1250"/>
      <c r="I25" s="1219"/>
      <c r="J25" s="177"/>
      <c r="K25" s="1219"/>
      <c r="L25" s="177"/>
      <c r="M25" s="1219"/>
      <c r="N25" s="177"/>
      <c r="O25" s="1219"/>
      <c r="P25" s="177"/>
      <c r="Q25" s="1219"/>
      <c r="R25" s="1220"/>
      <c r="S25" s="177"/>
      <c r="T25" s="781"/>
      <c r="U25" s="1226"/>
      <c r="V25" s="1227"/>
      <c r="W25" s="1192">
        <f t="shared" si="11"/>
        <v>0</v>
      </c>
      <c r="X25" s="865">
        <f t="shared" si="0"/>
        <v>0</v>
      </c>
      <c r="Y25" s="299"/>
      <c r="AO25">
        <f t="shared" si="12"/>
        <v>0</v>
      </c>
      <c r="AP25">
        <f t="shared" si="1"/>
        <v>0</v>
      </c>
      <c r="AQ25">
        <f t="shared" si="2"/>
        <v>0</v>
      </c>
      <c r="AR25">
        <f t="shared" si="3"/>
        <v>0</v>
      </c>
      <c r="AS25">
        <f t="shared" si="4"/>
        <v>0</v>
      </c>
      <c r="AT25">
        <f t="shared" si="5"/>
        <v>0</v>
      </c>
      <c r="AU25">
        <f t="shared" si="13"/>
        <v>0</v>
      </c>
      <c r="AW25">
        <f t="shared" si="14"/>
        <v>0</v>
      </c>
      <c r="AX25">
        <f t="shared" si="15"/>
        <v>0</v>
      </c>
      <c r="AY25">
        <f t="shared" si="16"/>
        <v>0</v>
      </c>
      <c r="BB25">
        <f t="shared" si="6"/>
        <v>0</v>
      </c>
      <c r="BC25">
        <f>(AO25*Pricing!F$2+'Gd Beams'!AP25*Pricing!G$2+'Gd Beams'!AQ25*Pricing!H$2+'Gd Beams'!AR25*Pricing!I$2+'Gd Beams'!AS25*Pricing!J$2+'Gd Beams'!AT25*Pricing!K$2)*IF(U$40="N",(1+W$40),1)</f>
        <v>0</v>
      </c>
      <c r="BD25">
        <f t="shared" si="7"/>
        <v>0</v>
      </c>
      <c r="BE25">
        <f t="shared" si="8"/>
        <v>0</v>
      </c>
      <c r="BF25">
        <f t="shared" si="9"/>
        <v>0</v>
      </c>
      <c r="BG25" t="e">
        <f t="shared" si="10"/>
        <v>#DIV/0!</v>
      </c>
    </row>
    <row r="26" spans="2:59" ht="18" customHeight="1" x14ac:dyDescent="0.35">
      <c r="B26" s="2716"/>
      <c r="C26" s="2717"/>
      <c r="D26" s="445"/>
      <c r="E26" s="393"/>
      <c r="F26" s="1224"/>
      <c r="G26" s="1221"/>
      <c r="H26" s="1249"/>
      <c r="I26" s="1221"/>
      <c r="J26" s="179"/>
      <c r="K26" s="1221"/>
      <c r="L26" s="179"/>
      <c r="M26" s="1221"/>
      <c r="N26" s="179"/>
      <c r="O26" s="1221"/>
      <c r="P26" s="179"/>
      <c r="Q26" s="1221"/>
      <c r="R26" s="1222"/>
      <c r="S26" s="179"/>
      <c r="T26" s="1225"/>
      <c r="U26" s="448"/>
      <c r="V26" s="1228"/>
      <c r="W26" s="1192">
        <f t="shared" si="11"/>
        <v>0</v>
      </c>
      <c r="X26" s="865">
        <f t="shared" si="0"/>
        <v>0</v>
      </c>
      <c r="Y26" s="299"/>
      <c r="AO26">
        <f t="shared" si="12"/>
        <v>0</v>
      </c>
      <c r="AP26">
        <f t="shared" si="1"/>
        <v>0</v>
      </c>
      <c r="AQ26">
        <f t="shared" si="2"/>
        <v>0</v>
      </c>
      <c r="AR26">
        <f t="shared" si="3"/>
        <v>0</v>
      </c>
      <c r="AS26">
        <f t="shared" si="4"/>
        <v>0</v>
      </c>
      <c r="AT26">
        <f t="shared" si="5"/>
        <v>0</v>
      </c>
      <c r="AU26">
        <f t="shared" si="13"/>
        <v>0</v>
      </c>
      <c r="AW26">
        <f t="shared" si="14"/>
        <v>0</v>
      </c>
      <c r="AX26">
        <f t="shared" si="15"/>
        <v>0</v>
      </c>
      <c r="AY26">
        <f t="shared" si="16"/>
        <v>0</v>
      </c>
      <c r="BB26">
        <f t="shared" si="6"/>
        <v>0</v>
      </c>
      <c r="BC26">
        <f>(AO26*Pricing!F$2+'Gd Beams'!AP26*Pricing!G$2+'Gd Beams'!AQ26*Pricing!H$2+'Gd Beams'!AR26*Pricing!I$2+'Gd Beams'!AS26*Pricing!J$2+'Gd Beams'!AT26*Pricing!K$2)*IF(U$40="N",(1+W$40),1)</f>
        <v>0</v>
      </c>
      <c r="BD26">
        <f t="shared" si="7"/>
        <v>0</v>
      </c>
      <c r="BE26">
        <f t="shared" si="8"/>
        <v>0</v>
      </c>
      <c r="BF26">
        <f t="shared" si="9"/>
        <v>0</v>
      </c>
      <c r="BG26" t="e">
        <f t="shared" si="10"/>
        <v>#DIV/0!</v>
      </c>
    </row>
    <row r="27" spans="2:59" ht="18" customHeight="1" x14ac:dyDescent="0.35">
      <c r="B27" s="2675"/>
      <c r="C27" s="2676"/>
      <c r="D27" s="1223"/>
      <c r="E27" s="1229"/>
      <c r="F27" s="1224"/>
      <c r="G27" s="1219"/>
      <c r="H27" s="1250"/>
      <c r="I27" s="1219"/>
      <c r="J27" s="177"/>
      <c r="K27" s="1219"/>
      <c r="L27" s="177"/>
      <c r="M27" s="1219"/>
      <c r="N27" s="177"/>
      <c r="O27" s="1219"/>
      <c r="P27" s="177"/>
      <c r="Q27" s="1219"/>
      <c r="R27" s="1220"/>
      <c r="S27" s="177"/>
      <c r="T27" s="781"/>
      <c r="U27" s="1226"/>
      <c r="V27" s="1227"/>
      <c r="W27" s="1192">
        <f t="shared" si="11"/>
        <v>0</v>
      </c>
      <c r="X27" s="865">
        <f t="shared" si="0"/>
        <v>0</v>
      </c>
      <c r="Y27" s="299"/>
      <c r="AO27">
        <f t="shared" si="12"/>
        <v>0</v>
      </c>
      <c r="AP27">
        <f t="shared" si="1"/>
        <v>0</v>
      </c>
      <c r="AQ27">
        <f t="shared" si="2"/>
        <v>0</v>
      </c>
      <c r="AR27">
        <f t="shared" si="3"/>
        <v>0</v>
      </c>
      <c r="AS27">
        <f t="shared" si="4"/>
        <v>0</v>
      </c>
      <c r="AT27">
        <f t="shared" si="5"/>
        <v>0</v>
      </c>
      <c r="AU27">
        <f t="shared" si="13"/>
        <v>0</v>
      </c>
      <c r="AW27">
        <f t="shared" si="14"/>
        <v>0</v>
      </c>
      <c r="AX27">
        <f t="shared" si="15"/>
        <v>0</v>
      </c>
      <c r="AY27">
        <f t="shared" si="16"/>
        <v>0</v>
      </c>
      <c r="BB27">
        <f t="shared" si="6"/>
        <v>0</v>
      </c>
      <c r="BC27">
        <f>(AO27*Pricing!F$2+'Gd Beams'!AP27*Pricing!G$2+'Gd Beams'!AQ27*Pricing!H$2+'Gd Beams'!AR27*Pricing!I$2+'Gd Beams'!AS27*Pricing!J$2+'Gd Beams'!AT27*Pricing!K$2)*IF(U$40="N",(1+W$40),1)</f>
        <v>0</v>
      </c>
      <c r="BD27">
        <f t="shared" si="7"/>
        <v>0</v>
      </c>
      <c r="BE27">
        <f t="shared" si="8"/>
        <v>0</v>
      </c>
      <c r="BF27">
        <f t="shared" si="9"/>
        <v>0</v>
      </c>
      <c r="BG27" t="e">
        <f t="shared" si="10"/>
        <v>#DIV/0!</v>
      </c>
    </row>
    <row r="28" spans="2:59" ht="18" customHeight="1" x14ac:dyDescent="0.35">
      <c r="B28" s="2716"/>
      <c r="C28" s="2717"/>
      <c r="D28" s="445"/>
      <c r="E28" s="393"/>
      <c r="F28" s="1224"/>
      <c r="G28" s="1221"/>
      <c r="H28" s="1249"/>
      <c r="I28" s="1221"/>
      <c r="J28" s="179"/>
      <c r="K28" s="1221"/>
      <c r="L28" s="179"/>
      <c r="M28" s="1221"/>
      <c r="N28" s="179"/>
      <c r="O28" s="1221"/>
      <c r="P28" s="179"/>
      <c r="Q28" s="1221"/>
      <c r="R28" s="1222"/>
      <c r="S28" s="179"/>
      <c r="T28" s="1225"/>
      <c r="U28" s="448"/>
      <c r="V28" s="1228"/>
      <c r="W28" s="1192">
        <f t="shared" si="11"/>
        <v>0</v>
      </c>
      <c r="X28" s="865">
        <f t="shared" si="0"/>
        <v>0</v>
      </c>
      <c r="Y28" s="299"/>
      <c r="AO28">
        <f t="shared" si="12"/>
        <v>0</v>
      </c>
      <c r="AP28">
        <f t="shared" si="1"/>
        <v>0</v>
      </c>
      <c r="AQ28">
        <f t="shared" si="2"/>
        <v>0</v>
      </c>
      <c r="AR28">
        <f t="shared" si="3"/>
        <v>0</v>
      </c>
      <c r="AS28">
        <f t="shared" si="4"/>
        <v>0</v>
      </c>
      <c r="AT28">
        <f t="shared" si="5"/>
        <v>0</v>
      </c>
      <c r="AU28">
        <f t="shared" si="13"/>
        <v>0</v>
      </c>
      <c r="AW28">
        <f t="shared" si="14"/>
        <v>0</v>
      </c>
      <c r="AX28">
        <f t="shared" si="15"/>
        <v>0</v>
      </c>
      <c r="AY28">
        <f t="shared" si="16"/>
        <v>0</v>
      </c>
      <c r="BB28">
        <f t="shared" si="6"/>
        <v>0</v>
      </c>
      <c r="BC28">
        <f>(AO28*Pricing!F$2+'Gd Beams'!AP28*Pricing!G$2+'Gd Beams'!AQ28*Pricing!H$2+'Gd Beams'!AR28*Pricing!I$2+'Gd Beams'!AS28*Pricing!J$2+'Gd Beams'!AT28*Pricing!K$2)*IF(U$40="N",(1+W$40),1)</f>
        <v>0</v>
      </c>
      <c r="BD28">
        <f t="shared" si="7"/>
        <v>0</v>
      </c>
      <c r="BE28">
        <f t="shared" si="8"/>
        <v>0</v>
      </c>
      <c r="BF28">
        <f t="shared" si="9"/>
        <v>0</v>
      </c>
      <c r="BG28" t="e">
        <f t="shared" si="10"/>
        <v>#DIV/0!</v>
      </c>
    </row>
    <row r="29" spans="2:59" ht="18" customHeight="1" x14ac:dyDescent="0.35">
      <c r="B29" s="2675"/>
      <c r="C29" s="2676"/>
      <c r="D29" s="1223"/>
      <c r="E29" s="1229"/>
      <c r="F29" s="1224"/>
      <c r="G29" s="1219"/>
      <c r="H29" s="1250"/>
      <c r="I29" s="1219"/>
      <c r="J29" s="177"/>
      <c r="K29" s="1219"/>
      <c r="L29" s="177"/>
      <c r="M29" s="1219"/>
      <c r="N29" s="177"/>
      <c r="O29" s="1219"/>
      <c r="P29" s="177"/>
      <c r="Q29" s="1219"/>
      <c r="R29" s="1220"/>
      <c r="S29" s="177"/>
      <c r="T29" s="781"/>
      <c r="U29" s="1226"/>
      <c r="V29" s="1227"/>
      <c r="W29" s="1192">
        <f t="shared" si="11"/>
        <v>0</v>
      </c>
      <c r="X29" s="865">
        <f t="shared" si="0"/>
        <v>0</v>
      </c>
      <c r="Y29" s="299"/>
      <c r="AO29">
        <f t="shared" si="12"/>
        <v>0</v>
      </c>
      <c r="AP29">
        <f t="shared" si="1"/>
        <v>0</v>
      </c>
      <c r="AQ29">
        <f t="shared" si="2"/>
        <v>0</v>
      </c>
      <c r="AR29">
        <f t="shared" si="3"/>
        <v>0</v>
      </c>
      <c r="AS29">
        <f t="shared" si="4"/>
        <v>0</v>
      </c>
      <c r="AT29">
        <f t="shared" si="5"/>
        <v>0</v>
      </c>
      <c r="AU29">
        <f t="shared" si="13"/>
        <v>0</v>
      </c>
      <c r="AW29">
        <f t="shared" si="14"/>
        <v>0</v>
      </c>
      <c r="AX29">
        <f t="shared" si="15"/>
        <v>0</v>
      </c>
      <c r="AY29">
        <f t="shared" si="16"/>
        <v>0</v>
      </c>
      <c r="BB29">
        <f t="shared" si="6"/>
        <v>0</v>
      </c>
      <c r="BC29">
        <f>(AO29*Pricing!F$2+'Gd Beams'!AP29*Pricing!G$2+'Gd Beams'!AQ29*Pricing!H$2+'Gd Beams'!AR29*Pricing!I$2+'Gd Beams'!AS29*Pricing!J$2+'Gd Beams'!AT29*Pricing!K$2)*IF(U$40="N",(1+W$40),1)</f>
        <v>0</v>
      </c>
      <c r="BD29">
        <f t="shared" si="7"/>
        <v>0</v>
      </c>
      <c r="BE29">
        <f t="shared" si="8"/>
        <v>0</v>
      </c>
      <c r="BF29">
        <f t="shared" si="9"/>
        <v>0</v>
      </c>
      <c r="BG29" t="e">
        <f t="shared" si="10"/>
        <v>#DIV/0!</v>
      </c>
    </row>
    <row r="30" spans="2:59" ht="18" customHeight="1" x14ac:dyDescent="0.35">
      <c r="B30" s="2716"/>
      <c r="C30" s="2717"/>
      <c r="D30" s="445"/>
      <c r="E30" s="393"/>
      <c r="F30" s="1224"/>
      <c r="G30" s="1221"/>
      <c r="H30" s="1249"/>
      <c r="I30" s="1221"/>
      <c r="J30" s="179"/>
      <c r="K30" s="1221"/>
      <c r="L30" s="179"/>
      <c r="M30" s="1221"/>
      <c r="N30" s="179"/>
      <c r="O30" s="1221"/>
      <c r="P30" s="179"/>
      <c r="Q30" s="1221"/>
      <c r="R30" s="1222"/>
      <c r="S30" s="179"/>
      <c r="T30" s="1225"/>
      <c r="U30" s="448"/>
      <c r="V30" s="1228"/>
      <c r="W30" s="1192">
        <f t="shared" si="11"/>
        <v>0</v>
      </c>
      <c r="X30" s="865">
        <f t="shared" si="0"/>
        <v>0</v>
      </c>
      <c r="Y30" s="299"/>
      <c r="AO30">
        <f t="shared" si="12"/>
        <v>0</v>
      </c>
      <c r="AP30">
        <f t="shared" si="1"/>
        <v>0</v>
      </c>
      <c r="AQ30">
        <f t="shared" si="2"/>
        <v>0</v>
      </c>
      <c r="AR30">
        <f t="shared" si="3"/>
        <v>0</v>
      </c>
      <c r="AS30">
        <f t="shared" si="4"/>
        <v>0</v>
      </c>
      <c r="AT30">
        <f t="shared" si="5"/>
        <v>0</v>
      </c>
      <c r="AU30">
        <f t="shared" si="13"/>
        <v>0</v>
      </c>
      <c r="AW30">
        <f t="shared" si="14"/>
        <v>0</v>
      </c>
      <c r="AX30">
        <f t="shared" si="15"/>
        <v>0</v>
      </c>
      <c r="AY30">
        <f t="shared" si="16"/>
        <v>0</v>
      </c>
      <c r="BB30">
        <f t="shared" si="6"/>
        <v>0</v>
      </c>
      <c r="BC30">
        <f>(AO30*Pricing!F$2+'Gd Beams'!AP30*Pricing!G$2+'Gd Beams'!AQ30*Pricing!H$2+'Gd Beams'!AR30*Pricing!I$2+'Gd Beams'!AS30*Pricing!J$2+'Gd Beams'!AT30*Pricing!K$2)*IF(U$40="N",(1+W$40),1)</f>
        <v>0</v>
      </c>
      <c r="BD30">
        <f t="shared" si="7"/>
        <v>0</v>
      </c>
      <c r="BE30">
        <f t="shared" si="8"/>
        <v>0</v>
      </c>
      <c r="BF30">
        <f t="shared" si="9"/>
        <v>0</v>
      </c>
      <c r="BG30" t="e">
        <f t="shared" si="10"/>
        <v>#DIV/0!</v>
      </c>
    </row>
    <row r="31" spans="2:59" ht="18" customHeight="1" x14ac:dyDescent="0.35">
      <c r="B31" s="2675"/>
      <c r="C31" s="2676"/>
      <c r="D31" s="1223"/>
      <c r="E31" s="1229"/>
      <c r="F31" s="1224"/>
      <c r="G31" s="1219"/>
      <c r="H31" s="1250"/>
      <c r="I31" s="1219"/>
      <c r="J31" s="177"/>
      <c r="K31" s="1219"/>
      <c r="L31" s="177"/>
      <c r="M31" s="1219"/>
      <c r="N31" s="177"/>
      <c r="O31" s="1219"/>
      <c r="P31" s="177"/>
      <c r="Q31" s="1219"/>
      <c r="R31" s="1220"/>
      <c r="S31" s="177"/>
      <c r="T31" s="781"/>
      <c r="U31" s="1226"/>
      <c r="V31" s="1227"/>
      <c r="W31" s="1192">
        <f t="shared" si="11"/>
        <v>0</v>
      </c>
      <c r="X31" s="865">
        <f t="shared" si="0"/>
        <v>0</v>
      </c>
      <c r="Y31" s="299"/>
      <c r="AO31">
        <f t="shared" si="12"/>
        <v>0</v>
      </c>
      <c r="AP31">
        <f t="shared" si="1"/>
        <v>0</v>
      </c>
      <c r="AQ31">
        <f t="shared" si="2"/>
        <v>0</v>
      </c>
      <c r="AR31">
        <f t="shared" si="3"/>
        <v>0</v>
      </c>
      <c r="AS31">
        <f t="shared" si="4"/>
        <v>0</v>
      </c>
      <c r="AT31">
        <f t="shared" si="5"/>
        <v>0</v>
      </c>
      <c r="AU31">
        <f t="shared" si="13"/>
        <v>0</v>
      </c>
      <c r="AW31">
        <f t="shared" si="14"/>
        <v>0</v>
      </c>
      <c r="AX31">
        <f t="shared" si="15"/>
        <v>0</v>
      </c>
      <c r="AY31">
        <f t="shared" si="16"/>
        <v>0</v>
      </c>
      <c r="BB31">
        <f t="shared" si="6"/>
        <v>0</v>
      </c>
      <c r="BC31">
        <f>(AO31*Pricing!F$2+'Gd Beams'!AP31*Pricing!G$2+'Gd Beams'!AQ31*Pricing!H$2+'Gd Beams'!AR31*Pricing!I$2+'Gd Beams'!AS31*Pricing!J$2+'Gd Beams'!AT31*Pricing!K$2)*IF(U$40="N",(1+W$40),1)</f>
        <v>0</v>
      </c>
      <c r="BD31">
        <f t="shared" si="7"/>
        <v>0</v>
      </c>
      <c r="BE31">
        <f t="shared" si="8"/>
        <v>0</v>
      </c>
      <c r="BF31">
        <f t="shared" si="9"/>
        <v>0</v>
      </c>
      <c r="BG31" t="e">
        <f t="shared" si="10"/>
        <v>#DIV/0!</v>
      </c>
    </row>
    <row r="32" spans="2:59" ht="18" customHeight="1" x14ac:dyDescent="0.35">
      <c r="B32" s="2716"/>
      <c r="C32" s="2717"/>
      <c r="D32" s="445"/>
      <c r="E32" s="393"/>
      <c r="F32" s="1224"/>
      <c r="G32" s="1221"/>
      <c r="H32" s="1249"/>
      <c r="I32" s="1221"/>
      <c r="J32" s="179"/>
      <c r="K32" s="1221"/>
      <c r="L32" s="179"/>
      <c r="M32" s="1221"/>
      <c r="N32" s="179"/>
      <c r="O32" s="1221"/>
      <c r="P32" s="179"/>
      <c r="Q32" s="1221"/>
      <c r="R32" s="1222"/>
      <c r="S32" s="179"/>
      <c r="T32" s="1225"/>
      <c r="U32" s="448"/>
      <c r="V32" s="1228"/>
      <c r="W32" s="1192">
        <f t="shared" si="11"/>
        <v>0</v>
      </c>
      <c r="X32" s="865">
        <f t="shared" si="0"/>
        <v>0</v>
      </c>
      <c r="Y32" s="299"/>
      <c r="AO32">
        <f t="shared" si="12"/>
        <v>0</v>
      </c>
      <c r="AP32">
        <f t="shared" si="1"/>
        <v>0</v>
      </c>
      <c r="AQ32">
        <f t="shared" si="2"/>
        <v>0</v>
      </c>
      <c r="AR32">
        <f t="shared" si="3"/>
        <v>0</v>
      </c>
      <c r="AS32">
        <f t="shared" si="4"/>
        <v>0</v>
      </c>
      <c r="AT32">
        <f t="shared" si="5"/>
        <v>0</v>
      </c>
      <c r="AU32">
        <f t="shared" si="13"/>
        <v>0</v>
      </c>
      <c r="AW32">
        <f t="shared" si="14"/>
        <v>0</v>
      </c>
      <c r="AX32">
        <f t="shared" si="15"/>
        <v>0</v>
      </c>
      <c r="AY32">
        <f t="shared" si="16"/>
        <v>0</v>
      </c>
      <c r="BB32">
        <f t="shared" si="6"/>
        <v>0</v>
      </c>
      <c r="BC32">
        <f>(AO32*Pricing!F$2+'Gd Beams'!AP32*Pricing!G$2+'Gd Beams'!AQ32*Pricing!H$2+'Gd Beams'!AR32*Pricing!I$2+'Gd Beams'!AS32*Pricing!J$2+'Gd Beams'!AT32*Pricing!K$2)*IF(U$40="N",(1+W$40),1)</f>
        <v>0</v>
      </c>
      <c r="BD32">
        <f t="shared" si="7"/>
        <v>0</v>
      </c>
      <c r="BE32">
        <f t="shared" si="8"/>
        <v>0</v>
      </c>
      <c r="BF32">
        <f t="shared" si="9"/>
        <v>0</v>
      </c>
      <c r="BG32" t="e">
        <f t="shared" si="10"/>
        <v>#DIV/0!</v>
      </c>
    </row>
    <row r="33" spans="2:59" ht="18" customHeight="1" x14ac:dyDescent="0.35">
      <c r="B33" s="2675"/>
      <c r="C33" s="2676"/>
      <c r="D33" s="1223"/>
      <c r="E33" s="1229"/>
      <c r="F33" s="1224"/>
      <c r="G33" s="1219"/>
      <c r="H33" s="1250"/>
      <c r="I33" s="1219"/>
      <c r="J33" s="177"/>
      <c r="K33" s="1219"/>
      <c r="L33" s="177"/>
      <c r="M33" s="1219"/>
      <c r="N33" s="177"/>
      <c r="O33" s="1219"/>
      <c r="P33" s="177"/>
      <c r="Q33" s="1219"/>
      <c r="R33" s="1220"/>
      <c r="S33" s="177"/>
      <c r="T33" s="781"/>
      <c r="U33" s="1226"/>
      <c r="V33" s="1227"/>
      <c r="W33" s="1192">
        <f t="shared" si="11"/>
        <v>0</v>
      </c>
      <c r="X33" s="865">
        <f t="shared" si="0"/>
        <v>0</v>
      </c>
      <c r="Y33" s="299"/>
      <c r="AO33">
        <f t="shared" si="12"/>
        <v>0</v>
      </c>
      <c r="AP33">
        <f t="shared" si="1"/>
        <v>0</v>
      </c>
      <c r="AQ33">
        <f t="shared" si="2"/>
        <v>0</v>
      </c>
      <c r="AR33">
        <f t="shared" si="3"/>
        <v>0</v>
      </c>
      <c r="AS33">
        <f t="shared" si="4"/>
        <v>0</v>
      </c>
      <c r="AT33">
        <f t="shared" si="5"/>
        <v>0</v>
      </c>
      <c r="AU33">
        <f t="shared" si="13"/>
        <v>0</v>
      </c>
      <c r="AW33">
        <f t="shared" si="14"/>
        <v>0</v>
      </c>
      <c r="AX33">
        <f t="shared" si="15"/>
        <v>0</v>
      </c>
      <c r="AY33">
        <f t="shared" si="16"/>
        <v>0</v>
      </c>
      <c r="BB33">
        <f t="shared" si="6"/>
        <v>0</v>
      </c>
      <c r="BC33">
        <f>(AO33*Pricing!F$2+'Gd Beams'!AP33*Pricing!G$2+'Gd Beams'!AQ33*Pricing!H$2+'Gd Beams'!AR33*Pricing!I$2+'Gd Beams'!AS33*Pricing!J$2+'Gd Beams'!AT33*Pricing!K$2)*IF(U$40="N",(1+W$40),1)</f>
        <v>0</v>
      </c>
      <c r="BD33">
        <f t="shared" si="7"/>
        <v>0</v>
      </c>
      <c r="BE33">
        <f t="shared" si="8"/>
        <v>0</v>
      </c>
      <c r="BF33">
        <f t="shared" si="9"/>
        <v>0</v>
      </c>
      <c r="BG33" t="e">
        <f t="shared" si="10"/>
        <v>#DIV/0!</v>
      </c>
    </row>
    <row r="34" spans="2:59" ht="18" customHeight="1" x14ac:dyDescent="0.35">
      <c r="B34" s="2716"/>
      <c r="C34" s="2717"/>
      <c r="D34" s="445"/>
      <c r="E34" s="393"/>
      <c r="F34" s="1224"/>
      <c r="G34" s="1221"/>
      <c r="H34" s="1249"/>
      <c r="I34" s="1221"/>
      <c r="J34" s="179"/>
      <c r="K34" s="1221"/>
      <c r="L34" s="179"/>
      <c r="M34" s="1221"/>
      <c r="N34" s="179"/>
      <c r="O34" s="1221"/>
      <c r="P34" s="179"/>
      <c r="Q34" s="1221"/>
      <c r="R34" s="1222"/>
      <c r="S34" s="179"/>
      <c r="T34" s="1225"/>
      <c r="U34" s="448"/>
      <c r="V34" s="1228"/>
      <c r="W34" s="1192">
        <f t="shared" si="11"/>
        <v>0</v>
      </c>
      <c r="X34" s="865">
        <f t="shared" si="0"/>
        <v>0</v>
      </c>
      <c r="Y34" s="299"/>
      <c r="AO34">
        <f t="shared" si="12"/>
        <v>0</v>
      </c>
      <c r="AP34">
        <f t="shared" si="1"/>
        <v>0</v>
      </c>
      <c r="AQ34">
        <f t="shared" si="2"/>
        <v>0</v>
      </c>
      <c r="AR34">
        <f t="shared" si="3"/>
        <v>0</v>
      </c>
      <c r="AS34">
        <f t="shared" si="4"/>
        <v>0</v>
      </c>
      <c r="AT34">
        <f t="shared" si="5"/>
        <v>0</v>
      </c>
      <c r="AU34">
        <f t="shared" si="13"/>
        <v>0</v>
      </c>
      <c r="AW34">
        <f t="shared" si="14"/>
        <v>0</v>
      </c>
      <c r="AX34">
        <f t="shared" si="15"/>
        <v>0</v>
      </c>
      <c r="AY34">
        <f t="shared" si="16"/>
        <v>0</v>
      </c>
      <c r="BB34">
        <f t="shared" si="6"/>
        <v>0</v>
      </c>
      <c r="BC34">
        <f>(AO34*Pricing!F$2+'Gd Beams'!AP34*Pricing!G$2+'Gd Beams'!AQ34*Pricing!H$2+'Gd Beams'!AR34*Pricing!I$2+'Gd Beams'!AS34*Pricing!J$2+'Gd Beams'!AT34*Pricing!K$2)*IF(U$40="N",(1+W$40),1)</f>
        <v>0</v>
      </c>
      <c r="BD34">
        <f t="shared" si="7"/>
        <v>0</v>
      </c>
      <c r="BE34">
        <f t="shared" si="8"/>
        <v>0</v>
      </c>
      <c r="BF34">
        <f t="shared" si="9"/>
        <v>0</v>
      </c>
      <c r="BG34" t="e">
        <f t="shared" si="10"/>
        <v>#DIV/0!</v>
      </c>
    </row>
    <row r="35" spans="2:59" ht="18" customHeight="1" x14ac:dyDescent="0.35">
      <c r="B35" s="2675"/>
      <c r="C35" s="2676"/>
      <c r="D35" s="1223"/>
      <c r="E35" s="1229"/>
      <c r="F35" s="1224"/>
      <c r="G35" s="1219"/>
      <c r="H35" s="1250"/>
      <c r="I35" s="1219"/>
      <c r="J35" s="177"/>
      <c r="K35" s="1219"/>
      <c r="L35" s="177"/>
      <c r="M35" s="1219"/>
      <c r="N35" s="177"/>
      <c r="O35" s="1219"/>
      <c r="P35" s="177"/>
      <c r="Q35" s="1219"/>
      <c r="R35" s="1220"/>
      <c r="S35" s="177"/>
      <c r="T35" s="781"/>
      <c r="U35" s="1226"/>
      <c r="V35" s="1227"/>
      <c r="W35" s="1192">
        <f t="shared" si="11"/>
        <v>0</v>
      </c>
      <c r="X35" s="865">
        <f t="shared" si="0"/>
        <v>0</v>
      </c>
      <c r="Y35" s="299"/>
      <c r="AO35">
        <f t="shared" si="12"/>
        <v>0</v>
      </c>
      <c r="AP35">
        <f t="shared" si="1"/>
        <v>0</v>
      </c>
      <c r="AQ35">
        <f t="shared" si="2"/>
        <v>0</v>
      </c>
      <c r="AR35">
        <f t="shared" si="3"/>
        <v>0</v>
      </c>
      <c r="AS35">
        <f t="shared" si="4"/>
        <v>0</v>
      </c>
      <c r="AT35">
        <f t="shared" si="5"/>
        <v>0</v>
      </c>
      <c r="AU35">
        <f t="shared" si="13"/>
        <v>0</v>
      </c>
      <c r="AW35">
        <f t="shared" si="14"/>
        <v>0</v>
      </c>
      <c r="AX35">
        <f t="shared" si="15"/>
        <v>0</v>
      </c>
      <c r="AY35">
        <f t="shared" si="16"/>
        <v>0</v>
      </c>
      <c r="BB35">
        <f t="shared" si="6"/>
        <v>0</v>
      </c>
      <c r="BC35">
        <f>(AO35*Pricing!F$2+'Gd Beams'!AP35*Pricing!G$2+'Gd Beams'!AQ35*Pricing!H$2+'Gd Beams'!AR35*Pricing!I$2+'Gd Beams'!AS35*Pricing!J$2+'Gd Beams'!AT35*Pricing!K$2)*IF(U$40="N",(1+W$40),1)</f>
        <v>0</v>
      </c>
      <c r="BD35">
        <f t="shared" si="7"/>
        <v>0</v>
      </c>
      <c r="BE35">
        <f t="shared" si="8"/>
        <v>0</v>
      </c>
      <c r="BF35">
        <f t="shared" si="9"/>
        <v>0</v>
      </c>
      <c r="BG35" t="e">
        <f t="shared" si="10"/>
        <v>#DIV/0!</v>
      </c>
    </row>
    <row r="36" spans="2:59" ht="18" customHeight="1" thickBot="1" x14ac:dyDescent="0.4">
      <c r="B36" s="2069"/>
      <c r="C36" s="2070"/>
      <c r="D36" s="188"/>
      <c r="E36" s="628"/>
      <c r="F36" s="1245"/>
      <c r="G36" s="130"/>
      <c r="H36" s="1251"/>
      <c r="I36" s="130"/>
      <c r="J36" s="181"/>
      <c r="K36" s="130"/>
      <c r="L36" s="181"/>
      <c r="M36" s="130"/>
      <c r="N36" s="181"/>
      <c r="O36" s="130"/>
      <c r="P36" s="181"/>
      <c r="Q36" s="130"/>
      <c r="R36" s="1246"/>
      <c r="S36" s="181"/>
      <c r="T36" s="1216"/>
      <c r="U36" s="187"/>
      <c r="V36" s="430"/>
      <c r="W36" s="1247">
        <f t="shared" si="11"/>
        <v>0</v>
      </c>
      <c r="X36" s="1193">
        <f t="shared" si="0"/>
        <v>0</v>
      </c>
      <c r="Y36" s="299"/>
      <c r="AA36" s="42"/>
      <c r="AB36" s="42"/>
      <c r="AC36" s="42"/>
      <c r="AD36" s="42"/>
      <c r="AE36" s="42"/>
      <c r="AF36" s="42"/>
      <c r="AO36">
        <f>IF(E36=1,W36,0)</f>
        <v>0</v>
      </c>
      <c r="AP36">
        <f>IF($E36=2,W36,0)</f>
        <v>0</v>
      </c>
      <c r="AQ36">
        <f>IF($E36=3,W36,0)</f>
        <v>0</v>
      </c>
      <c r="AR36">
        <f>IF($E36=4,W36,0)</f>
        <v>0</v>
      </c>
      <c r="AS36">
        <f>IF($E36=5,W36,0)</f>
        <v>0</v>
      </c>
      <c r="AT36">
        <f>IF($E36=6,W36,0)</f>
        <v>0</v>
      </c>
      <c r="AU36">
        <f t="shared" si="13"/>
        <v>0</v>
      </c>
      <c r="AW36">
        <f t="shared" si="14"/>
        <v>0</v>
      </c>
      <c r="AX36">
        <f t="shared" si="15"/>
        <v>0</v>
      </c>
      <c r="AY36">
        <f t="shared" si="16"/>
        <v>0</v>
      </c>
      <c r="BB36">
        <f t="shared" si="6"/>
        <v>0</v>
      </c>
      <c r="BC36">
        <f>(AO36*Pricing!F$2+'Gd Beams'!AP36*Pricing!G$2+'Gd Beams'!AQ36*Pricing!H$2+'Gd Beams'!AR36*Pricing!I$2+'Gd Beams'!AS36*Pricing!J$2+'Gd Beams'!AT36*Pricing!K$2)*IF(U$40="N",(1+W$40),1)</f>
        <v>0</v>
      </c>
      <c r="BD36">
        <f t="shared" si="7"/>
        <v>0</v>
      </c>
      <c r="BE36">
        <f t="shared" si="8"/>
        <v>0</v>
      </c>
      <c r="BF36">
        <f t="shared" si="9"/>
        <v>0</v>
      </c>
      <c r="BG36" t="e">
        <f t="shared" si="10"/>
        <v>#DIV/0!</v>
      </c>
    </row>
    <row r="37" spans="2:59" ht="15" customHeight="1" x14ac:dyDescent="0.35">
      <c r="B37" s="313"/>
      <c r="C37" s="298"/>
      <c r="D37" s="298"/>
      <c r="E37" s="587">
        <f>SUM(F11:F36)</f>
        <v>0</v>
      </c>
      <c r="F37" s="2697" t="s">
        <v>55</v>
      </c>
      <c r="G37" s="2697"/>
      <c r="H37" s="2697"/>
      <c r="I37" s="2697"/>
      <c r="J37" s="298"/>
      <c r="K37" s="298"/>
      <c r="L37" s="298"/>
      <c r="M37" s="298"/>
      <c r="N37" s="298"/>
      <c r="O37" s="298"/>
      <c r="P37" s="298"/>
      <c r="Q37" s="299"/>
      <c r="R37" s="299"/>
      <c r="S37" s="299" t="s">
        <v>54</v>
      </c>
      <c r="T37" s="298"/>
      <c r="U37" s="298"/>
      <c r="V37" s="345">
        <f>SUM(W11:W36)</f>
        <v>0</v>
      </c>
      <c r="W37" s="1244"/>
      <c r="X37" s="1244">
        <f>SUM(X11:X36)</f>
        <v>0</v>
      </c>
      <c r="Y37" s="299"/>
      <c r="AA37" s="42"/>
      <c r="AB37" s="42"/>
      <c r="AC37" s="42"/>
      <c r="AD37" s="42"/>
      <c r="AE37" s="42"/>
      <c r="AF37" s="42"/>
      <c r="AO37">
        <f t="shared" ref="AO37:BG37" si="17">SUM(AO11:AO36)</f>
        <v>0</v>
      </c>
      <c r="AP37">
        <f t="shared" si="17"/>
        <v>0</v>
      </c>
      <c r="AQ37">
        <f t="shared" si="17"/>
        <v>0</v>
      </c>
      <c r="AR37">
        <f t="shared" si="17"/>
        <v>0</v>
      </c>
      <c r="AS37">
        <f t="shared" si="17"/>
        <v>0</v>
      </c>
      <c r="AT37">
        <f t="shared" si="17"/>
        <v>0</v>
      </c>
      <c r="AU37">
        <f t="shared" si="17"/>
        <v>0</v>
      </c>
      <c r="AV37">
        <f t="shared" si="17"/>
        <v>0</v>
      </c>
      <c r="AW37">
        <f t="shared" si="17"/>
        <v>0</v>
      </c>
      <c r="AX37">
        <f>SUM(AX11:AX36)</f>
        <v>0</v>
      </c>
      <c r="AY37">
        <f t="shared" si="17"/>
        <v>0</v>
      </c>
      <c r="AZ37">
        <f t="shared" si="17"/>
        <v>0</v>
      </c>
      <c r="BA37">
        <f t="shared" si="17"/>
        <v>0</v>
      </c>
      <c r="BB37">
        <f t="shared" si="17"/>
        <v>0</v>
      </c>
      <c r="BC37">
        <f t="shared" si="17"/>
        <v>0</v>
      </c>
      <c r="BD37">
        <f t="shared" si="17"/>
        <v>0</v>
      </c>
      <c r="BE37">
        <f t="shared" si="17"/>
        <v>0</v>
      </c>
      <c r="BF37">
        <f t="shared" si="17"/>
        <v>0</v>
      </c>
      <c r="BG37" t="e">
        <f t="shared" si="17"/>
        <v>#DIV/0!</v>
      </c>
    </row>
    <row r="38" spans="2:59" ht="15" customHeight="1" thickBot="1" x14ac:dyDescent="0.4">
      <c r="B38" s="314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30"/>
      <c r="R38" s="330"/>
      <c r="S38" s="330" t="s">
        <v>56</v>
      </c>
      <c r="T38" s="306"/>
      <c r="U38" s="306"/>
      <c r="V38" s="331">
        <f>ROUNDUP(V37/2000,0)</f>
        <v>0</v>
      </c>
      <c r="W38" s="325"/>
      <c r="X38" s="325"/>
      <c r="Y38" s="299"/>
      <c r="AA38" s="42"/>
      <c r="AB38" s="42"/>
      <c r="AC38" s="42"/>
      <c r="AD38" s="42"/>
      <c r="AE38" s="42"/>
      <c r="AF38" s="42"/>
    </row>
    <row r="39" spans="2:59" ht="15" customHeight="1" thickBot="1" x14ac:dyDescent="0.4">
      <c r="B39" s="898"/>
      <c r="C39" s="899"/>
      <c r="D39" s="899"/>
      <c r="E39" s="899"/>
      <c r="F39" s="899"/>
      <c r="G39" s="899"/>
      <c r="H39" s="899"/>
      <c r="I39" s="899"/>
      <c r="J39" s="899"/>
      <c r="K39" s="899"/>
      <c r="L39" s="900"/>
      <c r="M39" s="899"/>
      <c r="N39" s="899"/>
      <c r="O39" s="899"/>
      <c r="P39" s="899"/>
      <c r="Q39" s="899"/>
      <c r="R39" s="899"/>
      <c r="S39" s="899"/>
      <c r="T39" s="899"/>
      <c r="U39" s="899"/>
      <c r="V39" s="899"/>
      <c r="W39" s="899"/>
      <c r="X39" s="1115"/>
      <c r="Y39" s="299"/>
    </row>
    <row r="40" spans="2:59" ht="15" customHeight="1" x14ac:dyDescent="0.35">
      <c r="B40" s="1987" t="s">
        <v>185</v>
      </c>
      <c r="C40" s="2041"/>
      <c r="D40" s="1988"/>
      <c r="E40" s="1987" t="s">
        <v>140</v>
      </c>
      <c r="F40" s="1988"/>
      <c r="G40" s="1987" t="s">
        <v>178</v>
      </c>
      <c r="H40" s="2041"/>
      <c r="I40" s="1988"/>
      <c r="J40" s="1935" t="s">
        <v>184</v>
      </c>
      <c r="K40" s="1936"/>
      <c r="L40" s="1937"/>
      <c r="M40" s="2044" t="s">
        <v>179</v>
      </c>
      <c r="N40" s="2045"/>
      <c r="O40" s="132"/>
      <c r="P40" s="133"/>
      <c r="Q40" s="897"/>
      <c r="R40" s="43" t="s">
        <v>34</v>
      </c>
      <c r="T40" s="42" t="s">
        <v>758</v>
      </c>
      <c r="U40" s="803" t="str">
        <f>Summary!P65</f>
        <v>n</v>
      </c>
      <c r="V40" s="73" t="s">
        <v>298</v>
      </c>
      <c r="W40" s="1214">
        <f>Summary!R65</f>
        <v>8.2500000000000004E-2</v>
      </c>
      <c r="X40" s="1113"/>
      <c r="Y40" s="299"/>
    </row>
    <row r="41" spans="2:59" ht="27" customHeight="1" thickBot="1" x14ac:dyDescent="0.4">
      <c r="B41" s="11" t="s">
        <v>180</v>
      </c>
      <c r="C41" s="1999">
        <f>IF(AX37=0,0,E41/AX37)</f>
        <v>0</v>
      </c>
      <c r="D41" s="2000"/>
      <c r="E41" s="2602">
        <f>U41*(1+M41+Summary!P64)</f>
        <v>0</v>
      </c>
      <c r="F41" s="2004"/>
      <c r="G41" s="15">
        <f>IF(E41=0,0,H41/E41)</f>
        <v>0</v>
      </c>
      <c r="H41" s="2042">
        <f>E41-U41</f>
        <v>0</v>
      </c>
      <c r="I41" s="2043"/>
      <c r="J41" s="2064">
        <f>IF(AX37+AY37=0,0,U41/AX37)</f>
        <v>0</v>
      </c>
      <c r="K41" s="2065"/>
      <c r="L41" s="2066"/>
      <c r="M41" s="2720">
        <f>Summary!P63</f>
        <v>0.18</v>
      </c>
      <c r="N41" s="2721"/>
      <c r="O41" s="2721"/>
      <c r="P41" s="2722"/>
      <c r="Q41" s="902"/>
      <c r="R41" s="86" t="s">
        <v>50</v>
      </c>
      <c r="U41" s="1932">
        <f>SUM(O49:P59)+SUM(O62:P68)+SUM(O71:P73)+SUM(O75:P80)+SUM(O82:P87)+X87+O60+SUM(L62:M68)</f>
        <v>0</v>
      </c>
      <c r="V41" s="1932"/>
      <c r="X41" s="1113"/>
      <c r="Y41" s="299"/>
    </row>
    <row r="42" spans="2:59" ht="15" customHeight="1" thickBot="1" x14ac:dyDescent="0.4">
      <c r="B42" s="889"/>
      <c r="C42" s="890"/>
      <c r="D42" s="890"/>
      <c r="E42" s="890"/>
      <c r="F42" s="890"/>
      <c r="G42" s="890"/>
      <c r="H42" s="890"/>
      <c r="I42" s="1217" t="s">
        <v>891</v>
      </c>
      <c r="J42" s="1218"/>
      <c r="K42" s="2201"/>
      <c r="L42" s="2203"/>
      <c r="M42" s="893"/>
      <c r="N42" s="1899">
        <f>IF(K42&gt;0,(K42-E41)/(1+M41),0)</f>
        <v>0</v>
      </c>
      <c r="O42" s="1899"/>
      <c r="P42" s="890"/>
      <c r="Q42" s="890"/>
      <c r="R42" s="890"/>
      <c r="S42" s="890"/>
      <c r="T42" s="890"/>
      <c r="U42" s="2245">
        <f>AF118</f>
        <v>0</v>
      </c>
      <c r="V42" s="2622"/>
      <c r="W42" s="890"/>
      <c r="X42" s="896"/>
      <c r="Y42" s="299"/>
    </row>
    <row r="43" spans="2:59" x14ac:dyDescent="0.35">
      <c r="B43" s="42" t="s">
        <v>635</v>
      </c>
      <c r="C43" s="806"/>
      <c r="D43" s="806"/>
      <c r="E43" s="806"/>
      <c r="F43" s="806"/>
      <c r="G43" s="806"/>
      <c r="H43" s="806"/>
      <c r="I43" s="806"/>
      <c r="J43" s="806"/>
      <c r="K43" s="806"/>
      <c r="L43" s="806"/>
      <c r="M43" s="806"/>
      <c r="N43" s="806"/>
      <c r="O43" s="806"/>
      <c r="P43" s="806"/>
      <c r="Q43" s="298"/>
      <c r="R43" s="298"/>
      <c r="S43" s="298"/>
      <c r="T43" s="298"/>
      <c r="U43" s="298"/>
      <c r="V43" s="298"/>
      <c r="W43" s="298"/>
      <c r="X43" s="298"/>
      <c r="Y43" s="299"/>
    </row>
    <row r="44" spans="2:59" x14ac:dyDescent="0.35">
      <c r="B44" s="298"/>
      <c r="C44" s="806"/>
      <c r="D44" s="806"/>
      <c r="E44" s="806"/>
      <c r="F44" s="806"/>
      <c r="G44" s="806"/>
      <c r="H44" s="806"/>
      <c r="I44" s="806"/>
      <c r="J44" s="806"/>
      <c r="K44" s="806"/>
      <c r="L44" s="806"/>
      <c r="M44" s="806"/>
      <c r="N44" s="806"/>
      <c r="O44" s="806"/>
      <c r="P44" s="806"/>
      <c r="Q44" s="298"/>
      <c r="R44" s="298" t="s">
        <v>706</v>
      </c>
      <c r="S44" s="298"/>
      <c r="T44" s="298"/>
      <c r="U44" s="298"/>
      <c r="V44" s="298"/>
      <c r="W44" s="298"/>
      <c r="X44" s="298"/>
      <c r="Y44" s="299"/>
    </row>
    <row r="45" spans="2:59" ht="20.25" customHeight="1" x14ac:dyDescent="0.35">
      <c r="B45" s="298"/>
      <c r="C45" s="806"/>
      <c r="D45" s="806"/>
      <c r="E45" s="806"/>
      <c r="F45" s="806"/>
      <c r="G45" s="806"/>
      <c r="H45" s="806"/>
      <c r="I45" s="806"/>
      <c r="J45" s="806"/>
      <c r="K45" s="806"/>
      <c r="L45" s="806"/>
      <c r="M45" s="806"/>
      <c r="N45" s="806"/>
      <c r="O45" s="806"/>
      <c r="P45" s="806"/>
      <c r="Q45" s="298"/>
      <c r="R45" s="298"/>
      <c r="S45" s="2658">
        <f>IF(I63=0,0,(SUM(X50:X64)+O60)/I63)</f>
        <v>0</v>
      </c>
      <c r="T45" s="2658"/>
      <c r="U45" s="298"/>
      <c r="V45" s="298"/>
      <c r="W45" s="298"/>
      <c r="X45" s="298"/>
      <c r="Y45" s="299"/>
    </row>
    <row r="46" spans="2:59" ht="19" customHeight="1" x14ac:dyDescent="0.35">
      <c r="B46" s="298"/>
      <c r="C46" s="806"/>
      <c r="D46" s="806"/>
      <c r="E46" s="806"/>
      <c r="F46" s="806"/>
      <c r="G46" s="806"/>
      <c r="H46" s="806"/>
      <c r="I46" s="806"/>
      <c r="J46" s="806"/>
      <c r="K46" s="806"/>
      <c r="L46" s="806"/>
      <c r="M46" s="806"/>
      <c r="N46" s="806"/>
      <c r="O46" s="806"/>
      <c r="P46" s="806"/>
      <c r="Q46" s="298"/>
      <c r="R46" s="298"/>
      <c r="S46" s="298"/>
      <c r="T46" s="298"/>
      <c r="U46" s="298"/>
      <c r="V46" s="298"/>
      <c r="W46" s="298"/>
      <c r="X46" s="298"/>
      <c r="Y46" s="299"/>
    </row>
    <row r="47" spans="2:59" ht="19" customHeight="1" thickBot="1" x14ac:dyDescent="0.4">
      <c r="B47" s="298"/>
      <c r="C47" s="806"/>
      <c r="D47" s="806"/>
      <c r="E47" s="806"/>
      <c r="F47" s="806"/>
      <c r="G47" s="806"/>
      <c r="H47" s="806"/>
      <c r="I47" s="806"/>
      <c r="J47" s="806"/>
      <c r="K47" s="806"/>
      <c r="L47" s="806"/>
      <c r="M47" s="806"/>
      <c r="N47" s="806"/>
      <c r="O47" s="806"/>
      <c r="P47" s="806"/>
      <c r="Q47" s="298"/>
      <c r="R47" s="298"/>
      <c r="S47" s="298"/>
      <c r="T47" s="306"/>
      <c r="U47" s="306"/>
      <c r="V47" s="306"/>
      <c r="W47" s="306"/>
      <c r="X47" s="298"/>
      <c r="Y47" s="299"/>
    </row>
    <row r="48" spans="2:59" ht="38.25" customHeight="1" thickBot="1" x14ac:dyDescent="0.4">
      <c r="B48" s="862" t="s">
        <v>226</v>
      </c>
      <c r="C48" s="2294" t="s">
        <v>167</v>
      </c>
      <c r="D48" s="2295"/>
      <c r="E48" s="2295"/>
      <c r="F48" s="2295"/>
      <c r="G48" s="2295"/>
      <c r="H48" s="2295"/>
      <c r="I48" s="2295"/>
      <c r="J48" s="2295"/>
      <c r="K48" s="2295"/>
      <c r="L48" s="2295"/>
      <c r="M48" s="2295"/>
      <c r="N48" s="2295"/>
      <c r="O48" s="2295"/>
      <c r="P48" s="2296"/>
      <c r="Q48" s="862" t="s">
        <v>284</v>
      </c>
      <c r="R48" s="2656" t="s">
        <v>196</v>
      </c>
      <c r="S48" s="2657"/>
      <c r="T48" s="1082" t="s">
        <v>52</v>
      </c>
      <c r="U48" s="1256"/>
      <c r="V48" s="834" t="s">
        <v>7</v>
      </c>
      <c r="W48" s="1256"/>
      <c r="X48" s="1074"/>
      <c r="Y48" s="299"/>
    </row>
    <row r="49" spans="2:32" ht="19" customHeight="1" x14ac:dyDescent="0.35">
      <c r="B49" s="12">
        <v>1</v>
      </c>
      <c r="C49" s="42" t="str">
        <f>IF(B49=1,Pricing!F$1,IF(B49=2,Pricing!G$1,IF(B49=3,Pricing!H$1,IF(B49=4,Pricing!I$1,IF(B49=5,Pricing!J$1,IF(B49=6,Pricing!K$1,0))))))</f>
        <v>3000 PSI W/ ASH PIERS, SOG</v>
      </c>
      <c r="G49" s="1203">
        <f>IF(B49=1,Pricing!F$2,IF(B49=2,Pricing!G$2,IF(B49=3,Pricing!H$2,IF(B49=4,Pricing!I$2,IF(B49=5,Pricing!J$2,IF(B49=6,Pricing!K$2,0))))))</f>
        <v>147</v>
      </c>
      <c r="H49" s="88" t="s">
        <v>168</v>
      </c>
      <c r="I49" s="2032" t="s">
        <v>323</v>
      </c>
      <c r="J49" s="2033"/>
      <c r="K49" s="2698">
        <v>0.08</v>
      </c>
      <c r="L49" s="1908">
        <f>IF(B49=1,AO$37,IF(B49=2,AP$37,IF(B49=3,AQ$37,IF(B49=4,AR$37,IF(B49=5,AS$37,IF(B49=6,AT$37))))))</f>
        <v>0</v>
      </c>
      <c r="M49" s="1909"/>
      <c r="N49" s="58" t="s">
        <v>102</v>
      </c>
      <c r="O49" s="2457">
        <f>L49*G49*(IF(U$40="N",1+W$40,1))</f>
        <v>0</v>
      </c>
      <c r="P49" s="2457"/>
      <c r="Q49" s="856">
        <v>2</v>
      </c>
      <c r="R49" s="106" t="s">
        <v>466</v>
      </c>
      <c r="S49" s="106"/>
      <c r="T49" s="1359">
        <v>0.5</v>
      </c>
      <c r="U49" s="106"/>
      <c r="V49" s="195">
        <f>BB69</f>
        <v>0</v>
      </c>
      <c r="W49" s="106"/>
      <c r="X49" s="118">
        <f>V49*T49</f>
        <v>0</v>
      </c>
      <c r="Y49" s="299"/>
    </row>
    <row r="50" spans="2:32" ht="19" customHeight="1" x14ac:dyDescent="0.35">
      <c r="B50" s="13">
        <v>2</v>
      </c>
      <c r="C50" s="42" t="str">
        <f>IF(B50=1,Pricing!F$1,IF(B50=2,Pricing!G$1,IF(B50=3,Pricing!H$1,IF(B50=4,Pricing!I$1,IF(B50=5,Pricing!J$1,IF(B50=6,Pricing!K$1,0))))))</f>
        <v>3500 Psi</v>
      </c>
      <c r="G50" s="1140">
        <f>IF(B50=1,Pricing!F$2,IF(B50=2,Pricing!G$2,IF(B50=3,Pricing!H$2,IF(B50=4,Pricing!I$2,IF(B50=5,Pricing!J$2,IF(B50=6,Pricing!K$2,0))))))</f>
        <v>152</v>
      </c>
      <c r="H50" s="88" t="s">
        <v>168</v>
      </c>
      <c r="I50" s="2032"/>
      <c r="J50" s="2033"/>
      <c r="K50" s="2698"/>
      <c r="L50" s="1908">
        <f>IF(B50=1,AO$37,IF(B50=2,AP$37,IF(B50=3,AQ$37,IF(B50=4,AR$37,IF(B50=5,AS$37,IF(B50=6,AT$37))))))</f>
        <v>0</v>
      </c>
      <c r="M50" s="1909"/>
      <c r="N50" s="58" t="s">
        <v>102</v>
      </c>
      <c r="O50" s="2457">
        <f>L50*G50*(IF(U$40="N",1+W$40,1))</f>
        <v>0</v>
      </c>
      <c r="P50" s="2457"/>
      <c r="Q50" s="856">
        <v>2</v>
      </c>
      <c r="R50" s="106" t="s">
        <v>203</v>
      </c>
      <c r="S50" s="106"/>
      <c r="T50" s="194">
        <f>I63*0.5</f>
        <v>0</v>
      </c>
      <c r="U50" s="387" t="s">
        <v>197</v>
      </c>
      <c r="V50" s="195">
        <f>Pricing!N3</f>
        <v>0.5625</v>
      </c>
      <c r="W50" s="401" t="s">
        <v>99</v>
      </c>
      <c r="X50" s="118">
        <f t="shared" ref="X50:X61" si="18">IF(U$40="Y",T50*V50,T50*V50*(1+W$40))</f>
        <v>0</v>
      </c>
      <c r="Y50" s="299"/>
    </row>
    <row r="51" spans="2:32" ht="19" customHeight="1" thickBot="1" x14ac:dyDescent="0.4">
      <c r="B51" s="334">
        <v>3</v>
      </c>
      <c r="C51" s="75" t="str">
        <f>IF(B51=1,Pricing!F$1,IF(B51=2,Pricing!G$1,IF(B51=3,Pricing!H$1,IF(B51=4,Pricing!I$1,IF(B51=5,Pricing!J$1,IF(B51=6,Pricing!K$1,0))))))</f>
        <v>4000 psi</v>
      </c>
      <c r="D51" s="75"/>
      <c r="E51" s="75"/>
      <c r="F51" s="80"/>
      <c r="G51" s="1141">
        <f>IF(B51=1,Pricing!F$2,IF(B51=2,Pricing!G$2,IF(B51=3,Pricing!H$2,IF(B51=4,Pricing!I$2,IF(B51=5,Pricing!J$2,IF(B51=6,Pricing!K$2,0))))))</f>
        <v>157</v>
      </c>
      <c r="H51" s="90" t="s">
        <v>168</v>
      </c>
      <c r="I51" s="2034"/>
      <c r="J51" s="2035"/>
      <c r="K51" s="2699"/>
      <c r="L51" s="1908">
        <f>IF(B51=1,AO$37,IF(B51=2,AP$37,IF(B51=3,AQ$37,IF(B51=4,AR$37,IF(B51=5,AS$37,IF(B51=6,AT$37))))))</f>
        <v>0</v>
      </c>
      <c r="M51" s="1909"/>
      <c r="N51" s="91" t="s">
        <v>102</v>
      </c>
      <c r="O51" s="2457">
        <f>L51*G51*(IF(U$40="N",1+W$40,1))</f>
        <v>0</v>
      </c>
      <c r="P51" s="2457"/>
      <c r="Q51" s="856">
        <v>2</v>
      </c>
      <c r="R51" s="106" t="s">
        <v>204</v>
      </c>
      <c r="S51" s="106"/>
      <c r="T51" s="194">
        <f>T50</f>
        <v>0</v>
      </c>
      <c r="U51" s="387" t="s">
        <v>197</v>
      </c>
      <c r="V51" s="195">
        <f>Pricing!N4</f>
        <v>0.65625</v>
      </c>
      <c r="W51" s="401" t="s">
        <v>99</v>
      </c>
      <c r="X51" s="118">
        <f t="shared" si="18"/>
        <v>0</v>
      </c>
      <c r="Y51" s="299"/>
    </row>
    <row r="52" spans="2:32" ht="19" customHeight="1" thickTop="1" x14ac:dyDescent="0.35">
      <c r="B52" s="313"/>
      <c r="C52" s="92" t="s">
        <v>104</v>
      </c>
      <c r="G52" s="1140">
        <f>Pricing!D22</f>
        <v>0.6</v>
      </c>
      <c r="H52" s="88" t="s">
        <v>88</v>
      </c>
      <c r="I52" s="2246" t="s">
        <v>202</v>
      </c>
      <c r="J52" s="2247"/>
      <c r="K52" s="1208">
        <v>0.1</v>
      </c>
      <c r="L52" s="2062">
        <f>V37</f>
        <v>0</v>
      </c>
      <c r="M52" s="2063"/>
      <c r="N52" s="42" t="s">
        <v>32</v>
      </c>
      <c r="O52" s="2450">
        <f>G52*L52*(IF(U40="N",1+W40,1))</f>
        <v>0</v>
      </c>
      <c r="P52" s="2450"/>
      <c r="Q52" s="856">
        <v>2</v>
      </c>
      <c r="R52" s="106" t="s">
        <v>206</v>
      </c>
      <c r="S52" s="106"/>
      <c r="T52" s="194"/>
      <c r="U52" s="387" t="s">
        <v>197</v>
      </c>
      <c r="V52" s="195">
        <f>Pricing!N5</f>
        <v>1</v>
      </c>
      <c r="W52" s="401" t="s">
        <v>99</v>
      </c>
      <c r="X52" s="118">
        <f t="shared" si="18"/>
        <v>0</v>
      </c>
      <c r="Y52" s="299"/>
    </row>
    <row r="53" spans="2:32" ht="19" customHeight="1" x14ac:dyDescent="0.35">
      <c r="B53" s="313"/>
      <c r="C53" s="92"/>
      <c r="G53" s="1140">
        <f>Pricing!F5</f>
        <v>0</v>
      </c>
      <c r="H53" s="88" t="s">
        <v>69</v>
      </c>
      <c r="I53" s="2008" t="s">
        <v>202</v>
      </c>
      <c r="J53" s="2009"/>
      <c r="K53" s="1209">
        <v>0.05</v>
      </c>
      <c r="L53" s="1908"/>
      <c r="M53" s="1909"/>
      <c r="N53" s="42" t="s">
        <v>95</v>
      </c>
      <c r="O53" s="2457">
        <f>L53*G53*(IF(U40="N",1+W40,1))*(K53+1)</f>
        <v>0</v>
      </c>
      <c r="P53" s="2457"/>
      <c r="Q53" s="856">
        <v>2</v>
      </c>
      <c r="R53" s="106" t="s">
        <v>205</v>
      </c>
      <c r="S53" s="106"/>
      <c r="T53" s="194">
        <f>T50</f>
        <v>0</v>
      </c>
      <c r="U53" s="387" t="s">
        <v>197</v>
      </c>
      <c r="V53" s="195">
        <f>Pricing!N6</f>
        <v>1.25</v>
      </c>
      <c r="W53" s="401" t="s">
        <v>99</v>
      </c>
      <c r="X53" s="118">
        <f t="shared" si="18"/>
        <v>0</v>
      </c>
      <c r="Y53" s="299"/>
    </row>
    <row r="54" spans="2:32" ht="19" customHeight="1" thickBot="1" x14ac:dyDescent="0.4">
      <c r="B54" s="313"/>
      <c r="C54" s="93" t="s">
        <v>302</v>
      </c>
      <c r="D54" s="75"/>
      <c r="E54" s="75"/>
      <c r="F54" s="75"/>
      <c r="G54" s="1141">
        <v>0.35</v>
      </c>
      <c r="H54" s="90" t="s">
        <v>69</v>
      </c>
      <c r="I54" s="75" t="s">
        <v>199</v>
      </c>
      <c r="J54" s="2723">
        <v>0</v>
      </c>
      <c r="K54" s="2723"/>
      <c r="L54" s="2061"/>
      <c r="M54" s="2061"/>
      <c r="N54" s="75" t="s">
        <v>95</v>
      </c>
      <c r="O54" s="2442">
        <f>IF(M36="y",IF(J54=0,L54*G54,J54),0)*(IF(T$61="N",1+V$61,1))</f>
        <v>0</v>
      </c>
      <c r="P54" s="2442"/>
      <c r="Q54" s="856">
        <v>2</v>
      </c>
      <c r="R54" s="106" t="s">
        <v>207</v>
      </c>
      <c r="S54" s="106"/>
      <c r="T54" s="194">
        <v>0</v>
      </c>
      <c r="U54" s="106" t="s">
        <v>209</v>
      </c>
      <c r="V54" s="195">
        <f>Pricing!N7</f>
        <v>50</v>
      </c>
      <c r="W54" s="401" t="s">
        <v>290</v>
      </c>
      <c r="X54" s="118">
        <f t="shared" si="18"/>
        <v>0</v>
      </c>
      <c r="Y54" s="299"/>
    </row>
    <row r="55" spans="2:32" ht="19" customHeight="1" thickTop="1" x14ac:dyDescent="0.35">
      <c r="B55" s="332"/>
      <c r="C55" s="58" t="s">
        <v>103</v>
      </c>
      <c r="G55" s="1142">
        <v>25</v>
      </c>
      <c r="H55" s="88" t="s">
        <v>169</v>
      </c>
      <c r="I55" s="2444" t="s">
        <v>202</v>
      </c>
      <c r="J55" s="2445"/>
      <c r="K55" s="2659">
        <v>0.05</v>
      </c>
      <c r="L55" s="1909">
        <f>AI29</f>
        <v>0</v>
      </c>
      <c r="M55" s="1909"/>
      <c r="N55" s="42" t="s">
        <v>102</v>
      </c>
      <c r="O55" s="2450">
        <f>L55*G55*IF(R24="N",1+U24,1)</f>
        <v>0</v>
      </c>
      <c r="P55" s="2450"/>
      <c r="Q55" s="856">
        <v>2</v>
      </c>
      <c r="R55" s="106" t="s">
        <v>225</v>
      </c>
      <c r="S55" s="106"/>
      <c r="T55" s="194">
        <f>ROUNDUP(E35/2/25,0)</f>
        <v>0</v>
      </c>
      <c r="U55" s="106" t="s">
        <v>224</v>
      </c>
      <c r="V55" s="195">
        <f>Pricing!N14</f>
        <v>18</v>
      </c>
      <c r="W55" s="401" t="s">
        <v>291</v>
      </c>
      <c r="X55" s="118">
        <f t="shared" si="18"/>
        <v>0</v>
      </c>
      <c r="Y55" s="299"/>
    </row>
    <row r="56" spans="2:32" ht="19" customHeight="1" thickBot="1" x14ac:dyDescent="0.4">
      <c r="B56" s="313"/>
      <c r="C56" s="134" t="s">
        <v>344</v>
      </c>
      <c r="D56" s="75"/>
      <c r="E56" s="95"/>
      <c r="F56" s="75"/>
      <c r="G56" s="1143">
        <v>20</v>
      </c>
      <c r="H56" s="90" t="s">
        <v>124</v>
      </c>
      <c r="I56" s="2446"/>
      <c r="J56" s="2447"/>
      <c r="K56" s="2660"/>
      <c r="L56" s="2061"/>
      <c r="M56" s="2061"/>
      <c r="N56" s="75" t="s">
        <v>95</v>
      </c>
      <c r="O56" s="2452">
        <f>L56*G56</f>
        <v>0</v>
      </c>
      <c r="P56" s="2452"/>
      <c r="Q56" s="856">
        <v>2</v>
      </c>
      <c r="R56" s="106" t="s">
        <v>0</v>
      </c>
      <c r="S56" s="106"/>
      <c r="T56" s="194">
        <f>ROUNDUP(I63/1800,0)</f>
        <v>0</v>
      </c>
      <c r="U56" s="106" t="s">
        <v>6</v>
      </c>
      <c r="V56" s="195">
        <f>Pricing!N15</f>
        <v>42</v>
      </c>
      <c r="W56" s="401" t="s">
        <v>292</v>
      </c>
      <c r="X56" s="118">
        <f t="shared" si="18"/>
        <v>0</v>
      </c>
      <c r="Y56" s="299"/>
    </row>
    <row r="57" spans="2:32" ht="19" customHeight="1" thickTop="1" x14ac:dyDescent="0.35">
      <c r="B57" s="313"/>
      <c r="C57" s="92"/>
      <c r="E57" s="73"/>
      <c r="G57" s="1204">
        <v>0.17</v>
      </c>
      <c r="H57" s="42" t="s">
        <v>171</v>
      </c>
      <c r="I57" s="2444" t="s">
        <v>202</v>
      </c>
      <c r="J57" s="2445"/>
      <c r="K57" s="2715">
        <v>0.1</v>
      </c>
      <c r="L57" s="1908"/>
      <c r="M57" s="1909"/>
      <c r="N57" s="42" t="s">
        <v>95</v>
      </c>
      <c r="O57" s="2388">
        <f>G57*L57</f>
        <v>0</v>
      </c>
      <c r="P57" s="2388"/>
      <c r="Q57" s="856">
        <v>2</v>
      </c>
      <c r="R57" s="106" t="s">
        <v>2</v>
      </c>
      <c r="S57" s="106"/>
      <c r="T57" s="194">
        <f>ROUNDUP(I63/1000,0)</f>
        <v>0</v>
      </c>
      <c r="U57" s="106" t="s">
        <v>6</v>
      </c>
      <c r="V57" s="195">
        <f>Pricing!N16</f>
        <v>42</v>
      </c>
      <c r="W57" s="401" t="s">
        <v>292</v>
      </c>
      <c r="X57" s="118">
        <f t="shared" si="18"/>
        <v>0</v>
      </c>
      <c r="Y57" s="299"/>
    </row>
    <row r="58" spans="2:32" ht="19" customHeight="1" x14ac:dyDescent="0.35">
      <c r="B58" s="2259" t="s">
        <v>192</v>
      </c>
      <c r="C58" s="1972"/>
      <c r="D58" s="1972"/>
      <c r="E58" s="73" t="s">
        <v>301</v>
      </c>
      <c r="F58" s="842" t="s">
        <v>198</v>
      </c>
      <c r="G58" s="757">
        <v>3</v>
      </c>
      <c r="H58" s="88" t="s">
        <v>69</v>
      </c>
      <c r="I58" s="2607"/>
      <c r="J58" s="2608"/>
      <c r="K58" s="2659"/>
      <c r="L58" s="1908">
        <f>IF(F58="Y",E37*(1+K57),0)</f>
        <v>0</v>
      </c>
      <c r="M58" s="1909"/>
      <c r="N58" s="42" t="s">
        <v>42</v>
      </c>
      <c r="O58" s="2388">
        <f>L58*G58</f>
        <v>0</v>
      </c>
      <c r="P58" s="2388"/>
      <c r="Q58" s="856">
        <v>2</v>
      </c>
      <c r="R58" s="106" t="s">
        <v>1</v>
      </c>
      <c r="S58" s="106"/>
      <c r="T58" s="194">
        <f>T57</f>
        <v>0</v>
      </c>
      <c r="U58" s="106" t="s">
        <v>6</v>
      </c>
      <c r="V58" s="195">
        <f>Pricing!N17</f>
        <v>42</v>
      </c>
      <c r="W58" s="401" t="s">
        <v>292</v>
      </c>
      <c r="X58" s="118">
        <f t="shared" si="18"/>
        <v>0</v>
      </c>
      <c r="Y58" s="299"/>
    </row>
    <row r="59" spans="2:32" ht="19" customHeight="1" thickBot="1" x14ac:dyDescent="0.4">
      <c r="B59" s="2654" t="s">
        <v>563</v>
      </c>
      <c r="C59" s="2655"/>
      <c r="D59" s="2655"/>
      <c r="E59" s="95" t="s">
        <v>301</v>
      </c>
      <c r="F59" s="1168" t="s">
        <v>198</v>
      </c>
      <c r="G59" s="1145">
        <v>3</v>
      </c>
      <c r="H59" s="90" t="s">
        <v>170</v>
      </c>
      <c r="I59" s="2446"/>
      <c r="J59" s="2447"/>
      <c r="K59" s="2660"/>
      <c r="L59" s="2060">
        <f>IF(F59="Y",E37*2*(1+K57),0)</f>
        <v>0</v>
      </c>
      <c r="M59" s="2061"/>
      <c r="N59" s="75" t="s">
        <v>42</v>
      </c>
      <c r="O59" s="2442">
        <f>L59*G59</f>
        <v>0</v>
      </c>
      <c r="P59" s="2442"/>
      <c r="Q59" s="856">
        <v>2</v>
      </c>
      <c r="R59" s="106" t="s">
        <v>210</v>
      </c>
      <c r="S59" s="106"/>
      <c r="T59" s="194">
        <f>AM29*12/48/50</f>
        <v>0</v>
      </c>
      <c r="U59" s="106" t="s">
        <v>6</v>
      </c>
      <c r="V59" s="195">
        <f>Pricing!N33</f>
        <v>25.5</v>
      </c>
      <c r="W59" s="401" t="s">
        <v>292</v>
      </c>
      <c r="X59" s="118">
        <f t="shared" si="18"/>
        <v>0</v>
      </c>
      <c r="Y59" s="299"/>
      <c r="AA59" t="s">
        <v>237</v>
      </c>
    </row>
    <row r="60" spans="2:32" ht="19" customHeight="1" thickTop="1" thickBot="1" x14ac:dyDescent="0.4">
      <c r="B60" s="47"/>
      <c r="C60" s="47" t="s">
        <v>70</v>
      </c>
      <c r="D60" s="49"/>
      <c r="E60" s="49"/>
      <c r="F60" s="49"/>
      <c r="G60" s="1205">
        <v>0</v>
      </c>
      <c r="H60" s="96" t="s">
        <v>193</v>
      </c>
      <c r="I60" s="2360" t="s">
        <v>195</v>
      </c>
      <c r="J60" s="2361"/>
      <c r="K60" s="1212">
        <v>0.3</v>
      </c>
      <c r="L60" s="2362">
        <f>AW37</f>
        <v>0</v>
      </c>
      <c r="M60" s="2363"/>
      <c r="N60" s="49" t="s">
        <v>95</v>
      </c>
      <c r="O60" s="2429">
        <f>G60*K60*L60</f>
        <v>0</v>
      </c>
      <c r="P60" s="2429"/>
      <c r="Q60" s="856">
        <v>2</v>
      </c>
      <c r="R60" s="106" t="s">
        <v>236</v>
      </c>
      <c r="S60" s="106"/>
      <c r="T60" s="194">
        <f>BE51+AE112</f>
        <v>0</v>
      </c>
      <c r="U60" s="106" t="s">
        <v>197</v>
      </c>
      <c r="V60" s="195">
        <f>Pricing!N18</f>
        <v>0.78</v>
      </c>
      <c r="W60" s="401" t="s">
        <v>99</v>
      </c>
      <c r="X60" s="118">
        <f t="shared" si="18"/>
        <v>0</v>
      </c>
      <c r="Y60" s="299"/>
      <c r="AA60" t="s">
        <v>126</v>
      </c>
      <c r="AB60">
        <v>0</v>
      </c>
    </row>
    <row r="61" spans="2:32" ht="19" customHeight="1" thickBot="1" x14ac:dyDescent="0.4">
      <c r="B61" s="835" t="s">
        <v>221</v>
      </c>
      <c r="C61" s="834"/>
      <c r="D61" s="834" t="s">
        <v>299</v>
      </c>
      <c r="E61" s="834"/>
      <c r="F61" s="834"/>
      <c r="G61" s="834"/>
      <c r="H61" s="834"/>
      <c r="I61" s="834"/>
      <c r="J61" s="834"/>
      <c r="K61" s="834"/>
      <c r="L61" s="2306" t="s">
        <v>45</v>
      </c>
      <c r="M61" s="2306"/>
      <c r="N61" s="2306" t="s">
        <v>300</v>
      </c>
      <c r="O61" s="2306"/>
      <c r="P61" s="2307"/>
      <c r="Q61" s="856">
        <v>2</v>
      </c>
      <c r="R61" s="106" t="s">
        <v>119</v>
      </c>
      <c r="S61" s="106"/>
      <c r="T61" s="194">
        <v>0</v>
      </c>
      <c r="U61" s="106" t="s">
        <v>197</v>
      </c>
      <c r="V61" s="195">
        <f>Pricing!N19</f>
        <v>0.16</v>
      </c>
      <c r="W61" s="401" t="s">
        <v>99</v>
      </c>
      <c r="X61" s="118">
        <f t="shared" si="18"/>
        <v>0</v>
      </c>
      <c r="Y61" s="299"/>
      <c r="AA61" t="s">
        <v>238</v>
      </c>
      <c r="AB61">
        <v>0</v>
      </c>
    </row>
    <row r="62" spans="2:32" ht="19" customHeight="1" x14ac:dyDescent="0.35">
      <c r="B62" s="250" t="s">
        <v>321</v>
      </c>
      <c r="C62" s="48"/>
      <c r="D62" s="251" t="s">
        <v>200</v>
      </c>
      <c r="E62" s="2028">
        <v>5.25</v>
      </c>
      <c r="F62" s="2028"/>
      <c r="G62" s="116" t="s">
        <v>670</v>
      </c>
      <c r="H62" s="48"/>
      <c r="I62" s="2637">
        <f>AY37</f>
        <v>0</v>
      </c>
      <c r="J62" s="1959"/>
      <c r="K62" s="116" t="s">
        <v>562</v>
      </c>
      <c r="L62" s="2359">
        <f>IF(D62="N",E62*I62,0)</f>
        <v>0</v>
      </c>
      <c r="M62" s="2359"/>
      <c r="N62" s="48"/>
      <c r="O62" s="2714">
        <f>IF(D62="y",E62*I62,0)</f>
        <v>0</v>
      </c>
      <c r="P62" s="2714"/>
      <c r="Q62" s="856">
        <v>2</v>
      </c>
      <c r="R62" s="106" t="s">
        <v>218</v>
      </c>
      <c r="S62" s="106"/>
      <c r="T62" s="194">
        <v>0</v>
      </c>
      <c r="U62" s="106" t="s">
        <v>6</v>
      </c>
      <c r="V62" s="195">
        <f>Pricing!N20</f>
        <v>45</v>
      </c>
      <c r="W62" s="401" t="s">
        <v>292</v>
      </c>
      <c r="X62" s="118">
        <f>IF(U$40="Y",T62*V62,T62*V62*(1+W$40))</f>
        <v>0</v>
      </c>
      <c r="Y62" s="299"/>
      <c r="AA62" t="s">
        <v>283</v>
      </c>
      <c r="AB62">
        <v>0</v>
      </c>
    </row>
    <row r="63" spans="2:32" ht="19" customHeight="1" x14ac:dyDescent="0.35">
      <c r="B63" s="43" t="s">
        <v>329</v>
      </c>
      <c r="C63" s="57"/>
      <c r="D63" s="97" t="s">
        <v>200</v>
      </c>
      <c r="E63" s="1844">
        <v>5</v>
      </c>
      <c r="F63" s="1845"/>
      <c r="G63" s="88" t="s">
        <v>671</v>
      </c>
      <c r="H63" s="2431">
        <f>SUM(E63:F65)</f>
        <v>12</v>
      </c>
      <c r="I63" s="2557">
        <f>AX37</f>
        <v>0</v>
      </c>
      <c r="J63" s="2558"/>
      <c r="K63" s="42" t="s">
        <v>332</v>
      </c>
      <c r="L63" s="2231">
        <f t="shared" ref="L63:L68" si="19">IF(D63="N",E63*I63,0)</f>
        <v>0</v>
      </c>
      <c r="M63" s="2231"/>
      <c r="O63" s="2700">
        <f>IF(D63="y",I$63*E63,0)</f>
        <v>0</v>
      </c>
      <c r="P63" s="2700"/>
      <c r="Q63" s="856">
        <v>2</v>
      </c>
      <c r="R63" s="106"/>
      <c r="S63" s="106"/>
      <c r="T63" s="106"/>
      <c r="U63" s="106"/>
      <c r="V63" s="195">
        <f>BB70</f>
        <v>0</v>
      </c>
      <c r="W63" s="106"/>
      <c r="X63" s="118">
        <f>V63*T63</f>
        <v>0</v>
      </c>
      <c r="Y63" s="299"/>
      <c r="AA63" t="s">
        <v>239</v>
      </c>
      <c r="AB63" t="s">
        <v>240</v>
      </c>
      <c r="AF63" t="s">
        <v>92</v>
      </c>
    </row>
    <row r="64" spans="2:32" ht="19" customHeight="1" x14ac:dyDescent="0.35">
      <c r="B64" s="92" t="s">
        <v>162</v>
      </c>
      <c r="C64" s="57"/>
      <c r="D64" s="98" t="s">
        <v>200</v>
      </c>
      <c r="E64" s="1844">
        <v>5</v>
      </c>
      <c r="F64" s="1845"/>
      <c r="G64" s="88" t="s">
        <v>671</v>
      </c>
      <c r="H64" s="2431"/>
      <c r="I64" s="2559"/>
      <c r="J64" s="2560"/>
      <c r="K64" s="42" t="s">
        <v>332</v>
      </c>
      <c r="L64" s="2231">
        <f t="shared" si="19"/>
        <v>0</v>
      </c>
      <c r="M64" s="2231"/>
      <c r="O64" s="2700">
        <f>IF(D64="y",I$63*E64,0)</f>
        <v>0</v>
      </c>
      <c r="P64" s="2700"/>
      <c r="Q64" s="856">
        <v>2</v>
      </c>
      <c r="R64" s="106" t="s">
        <v>123</v>
      </c>
      <c r="S64" s="106"/>
      <c r="T64" s="106"/>
      <c r="U64" s="106" t="s">
        <v>208</v>
      </c>
      <c r="V64" s="195">
        <f>BH61</f>
        <v>0</v>
      </c>
      <c r="W64" s="401" t="s">
        <v>294</v>
      </c>
      <c r="X64" s="118">
        <f>V64*T64</f>
        <v>0</v>
      </c>
      <c r="Y64" s="299"/>
    </row>
    <row r="65" spans="2:32" ht="19" customHeight="1" x14ac:dyDescent="0.35">
      <c r="B65" s="92" t="s">
        <v>84</v>
      </c>
      <c r="C65" s="57"/>
      <c r="D65" s="98" t="s">
        <v>200</v>
      </c>
      <c r="E65" s="1844">
        <v>2</v>
      </c>
      <c r="F65" s="1845"/>
      <c r="G65" s="88" t="s">
        <v>671</v>
      </c>
      <c r="H65" s="2431"/>
      <c r="I65" s="2559"/>
      <c r="J65" s="2560"/>
      <c r="K65" s="42" t="s">
        <v>332</v>
      </c>
      <c r="L65" s="2231">
        <f t="shared" si="19"/>
        <v>0</v>
      </c>
      <c r="M65" s="2231"/>
      <c r="O65" s="2700">
        <f>IF(D65="y",I$63*E65,0)</f>
        <v>0</v>
      </c>
      <c r="P65" s="2700"/>
      <c r="Q65" s="856">
        <v>2</v>
      </c>
      <c r="R65" s="106"/>
      <c r="S65" s="106"/>
      <c r="T65" s="194"/>
      <c r="U65" s="106"/>
      <c r="V65" s="195">
        <v>0</v>
      </c>
      <c r="W65" s="106"/>
      <c r="X65" s="118">
        <f t="shared" ref="X65:X73" si="20">T65*V65</f>
        <v>0</v>
      </c>
      <c r="Y65" s="299"/>
      <c r="AA65">
        <v>0</v>
      </c>
      <c r="AB65" t="s">
        <v>241</v>
      </c>
    </row>
    <row r="66" spans="2:32" ht="19" customHeight="1" x14ac:dyDescent="0.35">
      <c r="B66" s="92" t="s">
        <v>322</v>
      </c>
      <c r="C66" s="57"/>
      <c r="D66" s="98" t="s">
        <v>200</v>
      </c>
      <c r="E66" s="1844"/>
      <c r="F66" s="1845"/>
      <c r="G66" s="88" t="s">
        <v>671</v>
      </c>
      <c r="I66" s="2561"/>
      <c r="J66" s="2562"/>
      <c r="K66" s="42" t="s">
        <v>332</v>
      </c>
      <c r="L66" s="2231">
        <f t="shared" si="19"/>
        <v>0</v>
      </c>
      <c r="M66" s="2231"/>
      <c r="O66" s="2700">
        <f>IF(D66="y",I$63*E66,0)</f>
        <v>0</v>
      </c>
      <c r="P66" s="2700"/>
      <c r="Q66" s="856">
        <v>2</v>
      </c>
      <c r="R66" s="106"/>
      <c r="S66" s="106"/>
      <c r="T66" s="194"/>
      <c r="U66" s="106"/>
      <c r="V66" s="195">
        <v>0</v>
      </c>
      <c r="W66" s="106"/>
      <c r="X66" s="118">
        <f t="shared" si="20"/>
        <v>0</v>
      </c>
      <c r="Y66" s="299"/>
      <c r="AA66">
        <v>1</v>
      </c>
      <c r="AB66" t="s">
        <v>242</v>
      </c>
    </row>
    <row r="67" spans="2:32" ht="19" customHeight="1" x14ac:dyDescent="0.35">
      <c r="B67" s="92" t="s">
        <v>33</v>
      </c>
      <c r="C67" s="57"/>
      <c r="D67" s="98" t="s">
        <v>200</v>
      </c>
      <c r="E67" s="1844">
        <v>400</v>
      </c>
      <c r="F67" s="1845"/>
      <c r="G67" s="88" t="s">
        <v>89</v>
      </c>
      <c r="I67" s="1909">
        <f>(L52/2000)</f>
        <v>0</v>
      </c>
      <c r="J67" s="1909"/>
      <c r="K67" s="42" t="s">
        <v>183</v>
      </c>
      <c r="L67" s="2231">
        <f t="shared" si="19"/>
        <v>0</v>
      </c>
      <c r="M67" s="2231"/>
      <c r="O67" s="2700">
        <f>IF(D67="y",I67*E67,0)</f>
        <v>0</v>
      </c>
      <c r="P67" s="2700"/>
      <c r="Q67" s="856">
        <v>2</v>
      </c>
      <c r="R67" s="106"/>
      <c r="S67" s="106"/>
      <c r="T67" s="194">
        <f>BE56+BM56</f>
        <v>0</v>
      </c>
      <c r="U67" s="106"/>
      <c r="V67" s="195">
        <f>BH56</f>
        <v>0</v>
      </c>
      <c r="W67" s="106"/>
      <c r="X67" s="118">
        <f t="shared" si="20"/>
        <v>0</v>
      </c>
      <c r="Y67" s="299"/>
      <c r="AA67">
        <v>2</v>
      </c>
      <c r="AB67" t="s">
        <v>243</v>
      </c>
      <c r="AF67" s="261">
        <f>SUM(X50:X73)+O53+O57</f>
        <v>0</v>
      </c>
    </row>
    <row r="68" spans="2:32" ht="19" customHeight="1" thickBot="1" x14ac:dyDescent="0.4">
      <c r="B68" s="134" t="s">
        <v>326</v>
      </c>
      <c r="C68" s="87"/>
      <c r="D68" s="333" t="s">
        <v>235</v>
      </c>
      <c r="E68" s="2712">
        <v>20</v>
      </c>
      <c r="F68" s="2713"/>
      <c r="G68" s="75" t="s">
        <v>327</v>
      </c>
      <c r="H68" s="75"/>
      <c r="I68" s="2061">
        <f>AU37</f>
        <v>0</v>
      </c>
      <c r="J68" s="2061"/>
      <c r="K68" s="75" t="s">
        <v>328</v>
      </c>
      <c r="L68" s="2701">
        <f t="shared" si="19"/>
        <v>0</v>
      </c>
      <c r="M68" s="2701"/>
      <c r="N68" s="75"/>
      <c r="O68" s="2706">
        <f>IF(D68="y",I68*E68,0)</f>
        <v>0</v>
      </c>
      <c r="P68" s="2706"/>
      <c r="Q68" s="856">
        <v>2</v>
      </c>
      <c r="R68" s="106"/>
      <c r="S68" s="106"/>
      <c r="T68" s="194">
        <f>BE58+BM58</f>
        <v>0</v>
      </c>
      <c r="U68" s="106"/>
      <c r="V68" s="195">
        <f>BH58</f>
        <v>0</v>
      </c>
      <c r="W68" s="106"/>
      <c r="X68" s="118">
        <f t="shared" si="20"/>
        <v>0</v>
      </c>
      <c r="Y68" s="299"/>
      <c r="AA68">
        <v>3</v>
      </c>
      <c r="AB68" t="s">
        <v>244</v>
      </c>
      <c r="AF68">
        <f>O55</f>
        <v>0</v>
      </c>
    </row>
    <row r="69" spans="2:32" ht="19" customHeight="1" thickTop="1" thickBot="1" x14ac:dyDescent="0.4">
      <c r="B69" s="6" t="s">
        <v>223</v>
      </c>
      <c r="C69" s="4"/>
      <c r="D69" s="5"/>
      <c r="E69" s="2263">
        <f>IF(I63=0,0,(O69+L69)/I63)</f>
        <v>0</v>
      </c>
      <c r="F69" s="2264"/>
      <c r="G69" s="76"/>
      <c r="H69" s="49"/>
      <c r="I69" s="2707" t="s">
        <v>50</v>
      </c>
      <c r="J69" s="2707"/>
      <c r="K69" s="2707"/>
      <c r="L69" s="2232">
        <f>SUM(L62:M68)</f>
        <v>0</v>
      </c>
      <c r="M69" s="2232"/>
      <c r="N69" s="49"/>
      <c r="O69" s="2711">
        <f>SUM(O62:P68)</f>
        <v>0</v>
      </c>
      <c r="P69" s="2711"/>
      <c r="Q69" s="856">
        <v>2</v>
      </c>
      <c r="R69" s="106"/>
      <c r="S69" s="106"/>
      <c r="T69" s="194">
        <f>BE59+BM59</f>
        <v>0</v>
      </c>
      <c r="U69" s="402"/>
      <c r="V69" s="195">
        <f>BH59</f>
        <v>0</v>
      </c>
      <c r="W69" s="106"/>
      <c r="X69" s="118">
        <f t="shared" si="20"/>
        <v>0</v>
      </c>
      <c r="Y69" s="299"/>
      <c r="AA69">
        <v>4</v>
      </c>
      <c r="AB69" t="s">
        <v>245</v>
      </c>
      <c r="AF69">
        <f>O56</f>
        <v>0</v>
      </c>
    </row>
    <row r="70" spans="2:32" ht="19" customHeight="1" thickBot="1" x14ac:dyDescent="0.4">
      <c r="B70" s="2294" t="s">
        <v>194</v>
      </c>
      <c r="C70" s="2295"/>
      <c r="D70" s="2295"/>
      <c r="E70" s="2295"/>
      <c r="F70" s="2295"/>
      <c r="G70" s="2295"/>
      <c r="H70" s="2295"/>
      <c r="I70" s="2295"/>
      <c r="J70" s="2295"/>
      <c r="K70" s="2295"/>
      <c r="L70" s="2295"/>
      <c r="M70" s="2295"/>
      <c r="N70" s="2295"/>
      <c r="O70" s="2295"/>
      <c r="P70" s="2296"/>
      <c r="Q70" s="856">
        <v>2</v>
      </c>
      <c r="R70" s="106" t="s">
        <v>219</v>
      </c>
      <c r="S70" s="106"/>
      <c r="T70" s="194">
        <f>I63/3</f>
        <v>0</v>
      </c>
      <c r="U70" s="106"/>
      <c r="V70" s="195">
        <f>Pricing!N3</f>
        <v>0.5625</v>
      </c>
      <c r="W70" s="106" t="s">
        <v>18</v>
      </c>
      <c r="X70" s="118">
        <f t="shared" si="20"/>
        <v>0</v>
      </c>
      <c r="Y70" s="299"/>
      <c r="AA70">
        <v>5</v>
      </c>
      <c r="AB70" t="s">
        <v>246</v>
      </c>
      <c r="AF70">
        <f>O52</f>
        <v>0</v>
      </c>
    </row>
    <row r="71" spans="2:32" ht="19" customHeight="1" x14ac:dyDescent="0.35">
      <c r="B71" s="100" t="s">
        <v>173</v>
      </c>
      <c r="C71" s="48"/>
      <c r="D71" s="101"/>
      <c r="E71" s="752">
        <v>0</v>
      </c>
      <c r="F71" s="48" t="s">
        <v>187</v>
      </c>
      <c r="G71" s="1150">
        <v>390</v>
      </c>
      <c r="H71" s="167" t="s">
        <v>172</v>
      </c>
      <c r="I71" s="48"/>
      <c r="J71" s="48"/>
      <c r="K71" s="48"/>
      <c r="L71" s="48"/>
      <c r="M71" s="2525">
        <f>IF(E41=0,0,(SUM(O71:P73))/E41)</f>
        <v>0</v>
      </c>
      <c r="N71" s="2526"/>
      <c r="O71" s="2412">
        <f>E71*G71</f>
        <v>0</v>
      </c>
      <c r="P71" s="2412"/>
      <c r="Q71" s="856">
        <v>2</v>
      </c>
      <c r="R71" s="106" t="s">
        <v>233</v>
      </c>
      <c r="S71" s="106"/>
      <c r="T71" s="194">
        <f>T70/2*T49</f>
        <v>0</v>
      </c>
      <c r="U71" s="106"/>
      <c r="V71" s="195">
        <f>Pricing!N4</f>
        <v>0.65625</v>
      </c>
      <c r="W71" s="106" t="s">
        <v>18</v>
      </c>
      <c r="X71" s="118">
        <f t="shared" si="20"/>
        <v>0</v>
      </c>
      <c r="Y71" s="299"/>
      <c r="AA71">
        <v>6</v>
      </c>
      <c r="AB71" t="s">
        <v>248</v>
      </c>
      <c r="AF71">
        <f>SUM(X75:X80)</f>
        <v>0</v>
      </c>
    </row>
    <row r="72" spans="2:32" ht="19" customHeight="1" x14ac:dyDescent="0.35">
      <c r="B72" s="92" t="s">
        <v>158</v>
      </c>
      <c r="E72" s="753">
        <v>0</v>
      </c>
      <c r="F72" s="103" t="s">
        <v>187</v>
      </c>
      <c r="G72" s="1201">
        <v>295</v>
      </c>
      <c r="H72" s="168" t="s">
        <v>172</v>
      </c>
      <c r="M72" s="2076">
        <f>SUM(O71:P73)</f>
        <v>0</v>
      </c>
      <c r="N72" s="2077"/>
      <c r="O72" s="2388">
        <f>E72*G72</f>
        <v>0</v>
      </c>
      <c r="P72" s="2388"/>
      <c r="Q72" s="856">
        <v>2</v>
      </c>
      <c r="R72" s="106" t="s">
        <v>336</v>
      </c>
      <c r="S72" s="106"/>
      <c r="T72" s="194">
        <f>BE57+BM57</f>
        <v>0</v>
      </c>
      <c r="U72" s="106" t="s">
        <v>288</v>
      </c>
      <c r="V72" s="195">
        <f>Pricing!N27</f>
        <v>15</v>
      </c>
      <c r="W72" s="401" t="s">
        <v>293</v>
      </c>
      <c r="X72" s="118">
        <f t="shared" si="20"/>
        <v>0</v>
      </c>
      <c r="Y72" s="299"/>
      <c r="AA72">
        <v>7</v>
      </c>
      <c r="AB72" t="s">
        <v>247</v>
      </c>
      <c r="AF72">
        <f>O54</f>
        <v>0</v>
      </c>
    </row>
    <row r="73" spans="2:32" ht="19" customHeight="1" thickBot="1" x14ac:dyDescent="0.4">
      <c r="B73" s="105" t="s">
        <v>188</v>
      </c>
      <c r="C73" s="49"/>
      <c r="D73" s="49"/>
      <c r="E73" s="754">
        <f>E71</f>
        <v>0</v>
      </c>
      <c r="F73" s="49" t="s">
        <v>187</v>
      </c>
      <c r="G73" s="768">
        <v>100</v>
      </c>
      <c r="H73" s="49" t="s">
        <v>172</v>
      </c>
      <c r="I73" s="49"/>
      <c r="J73" s="49"/>
      <c r="K73" s="49"/>
      <c r="L73" s="49"/>
      <c r="M73" s="49"/>
      <c r="N73" s="49"/>
      <c r="O73" s="2402">
        <f>E73*G73</f>
        <v>0</v>
      </c>
      <c r="P73" s="2402"/>
      <c r="Q73" s="856">
        <v>2</v>
      </c>
      <c r="R73" s="106"/>
      <c r="S73" s="106"/>
      <c r="T73" s="194">
        <f>BE58+BM58</f>
        <v>0</v>
      </c>
      <c r="U73" s="106"/>
      <c r="V73" s="195">
        <f>BH58</f>
        <v>0</v>
      </c>
      <c r="W73" s="106"/>
      <c r="X73" s="118">
        <f t="shared" si="20"/>
        <v>0</v>
      </c>
      <c r="Y73" s="299"/>
      <c r="AA73">
        <v>8</v>
      </c>
      <c r="AB73" t="s">
        <v>249</v>
      </c>
      <c r="AF73">
        <f>SUM(O49:P51)</f>
        <v>0</v>
      </c>
    </row>
    <row r="74" spans="2:32" ht="19" customHeight="1" thickBot="1" x14ac:dyDescent="0.4">
      <c r="B74" s="2294" t="s">
        <v>44</v>
      </c>
      <c r="C74" s="2295"/>
      <c r="D74" s="2295"/>
      <c r="E74" s="2295"/>
      <c r="F74" s="2295"/>
      <c r="G74" s="2295"/>
      <c r="H74" s="2295"/>
      <c r="I74" s="2295"/>
      <c r="J74" s="2295"/>
      <c r="K74" s="2295"/>
      <c r="L74" s="2295"/>
      <c r="M74" s="2295"/>
      <c r="N74" s="2295"/>
      <c r="O74" s="2295"/>
      <c r="P74" s="2296"/>
      <c r="Q74" s="856">
        <v>2</v>
      </c>
      <c r="R74" s="852" t="s">
        <v>892</v>
      </c>
      <c r="S74" s="852"/>
      <c r="T74" s="851"/>
      <c r="U74" s="853"/>
      <c r="V74" s="1882"/>
      <c r="W74" s="2702"/>
      <c r="X74" s="850">
        <f>V74</f>
        <v>0</v>
      </c>
      <c r="Y74" s="299"/>
      <c r="AA74">
        <v>9</v>
      </c>
      <c r="AB74" t="s">
        <v>234</v>
      </c>
      <c r="AF74">
        <f>SUM(O58:P59)</f>
        <v>0</v>
      </c>
    </row>
    <row r="75" spans="2:32" ht="19" customHeight="1" thickTop="1" x14ac:dyDescent="0.35">
      <c r="B75" s="2297" t="s">
        <v>90</v>
      </c>
      <c r="C75" s="2298"/>
      <c r="D75" s="2337"/>
      <c r="E75" s="752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5" s="48" t="s">
        <v>107</v>
      </c>
      <c r="G75" s="1150">
        <f>Pricing!D31</f>
        <v>385</v>
      </c>
      <c r="H75" s="116" t="s">
        <v>172</v>
      </c>
      <c r="I75" s="48"/>
      <c r="J75" s="48"/>
      <c r="K75" s="48"/>
      <c r="L75" s="48"/>
      <c r="M75" s="50"/>
      <c r="N75" s="50"/>
      <c r="O75" s="2412">
        <f>(IF(AND(E75&gt;0,E75&lt;4),E75*G75,0)+IF(AND(E75&gt;3,E75&lt;8),G75*3,0)+IF(AND(E75&gt;7,E75&lt;21),E75/7*G75*3,0)+IF(AND(E75&gt;20,E75&lt;30),G75*9,0)+IF(E75&gt;29,E75/30*G75*9,0))*(1+W$40+J$77)</f>
        <v>0</v>
      </c>
      <c r="P75" s="2412"/>
      <c r="Q75" s="856">
        <v>6</v>
      </c>
      <c r="R75" s="106" t="s">
        <v>287</v>
      </c>
      <c r="S75" s="106"/>
      <c r="T75" s="106">
        <f>ROUNDUP(I63/12000,0)</f>
        <v>0</v>
      </c>
      <c r="U75" s="106" t="s">
        <v>288</v>
      </c>
      <c r="V75" s="195">
        <f>BH65</f>
        <v>0</v>
      </c>
      <c r="W75" s="401" t="s">
        <v>293</v>
      </c>
      <c r="X75" s="111">
        <f>T75*V75</f>
        <v>0</v>
      </c>
      <c r="Y75" s="299"/>
      <c r="AA75">
        <v>10</v>
      </c>
      <c r="AB75" t="s">
        <v>250</v>
      </c>
      <c r="AF75">
        <f>SUM(X81:X83)</f>
        <v>0</v>
      </c>
    </row>
    <row r="76" spans="2:32" ht="19" customHeight="1" thickBot="1" x14ac:dyDescent="0.4">
      <c r="B76" s="2259" t="s">
        <v>91</v>
      </c>
      <c r="C76" s="1972"/>
      <c r="D76" s="2260"/>
      <c r="E76" s="755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6" s="42" t="s">
        <v>107</v>
      </c>
      <c r="G76" s="1151">
        <f>Pricing!D33</f>
        <v>350</v>
      </c>
      <c r="H76" s="88" t="s">
        <v>172</v>
      </c>
      <c r="J76" s="2083" t="s">
        <v>469</v>
      </c>
      <c r="K76" s="2084"/>
      <c r="M76" s="2404">
        <f>IF(E41=0,0,(SUM(O75:P80))/E41)</f>
        <v>0</v>
      </c>
      <c r="N76" s="2405"/>
      <c r="O76" s="2388">
        <f>(IF(AND(E76&gt;0,E76&lt;4),E76*G76,0)+IF(AND(E76&gt;3,E76&lt;8),G76*3,0)+IF(AND(E76&gt;7,E76&lt;21),E76/7*G76*3,0)+IF(AND(E76&gt;20,E76&lt;30),G76*9,0)+IF(E76&gt;29,E76/30*G76*9,0))*(1+W$40+J$77)</f>
        <v>0</v>
      </c>
      <c r="P76" s="2388"/>
      <c r="Q76" s="856">
        <v>6</v>
      </c>
      <c r="R76" s="106" t="s">
        <v>286</v>
      </c>
      <c r="S76" s="106"/>
      <c r="T76" s="106"/>
      <c r="U76" s="106"/>
      <c r="V76" s="195">
        <v>0</v>
      </c>
      <c r="W76" s="401" t="s">
        <v>99</v>
      </c>
      <c r="X76" s="118">
        <f t="shared" ref="X76:X83" si="21">V76*T76</f>
        <v>0</v>
      </c>
      <c r="Y76" s="299"/>
      <c r="AA76">
        <v>11</v>
      </c>
      <c r="AB76" t="s">
        <v>251</v>
      </c>
    </row>
    <row r="77" spans="2:32" ht="19" customHeight="1" thickTop="1" x14ac:dyDescent="0.35">
      <c r="B77" s="2259" t="s">
        <v>662</v>
      </c>
      <c r="C77" s="1972"/>
      <c r="D77" s="2260"/>
      <c r="E77" s="755">
        <f>E75</f>
        <v>0</v>
      </c>
      <c r="F77" s="106" t="s">
        <v>107</v>
      </c>
      <c r="G77" s="1151">
        <f>Pricing!D42</f>
        <v>200</v>
      </c>
      <c r="H77" s="88" t="s">
        <v>172</v>
      </c>
      <c r="J77" s="2565">
        <v>0.5</v>
      </c>
      <c r="K77" s="2566"/>
      <c r="M77" s="2076">
        <f>SUM(O75:P80)</f>
        <v>0</v>
      </c>
      <c r="N77" s="2077"/>
      <c r="O77" s="2388">
        <f>(IF(AND(E77&gt;0,E77&lt;4),E77*G77,0)+IF(AND(E77&gt;3,E77&lt;8),G77*3,0)+IF(AND(E77&gt;7,E77&lt;21),E77/7*G77*3,0)+IF(AND(E77&gt;20,E77&lt;30),G77*9,0)+IF(E77&gt;29,E77/30*G77*9,0))*(1+W$40+J$77)</f>
        <v>0</v>
      </c>
      <c r="P77" s="2388"/>
      <c r="Q77" s="856">
        <v>6</v>
      </c>
      <c r="R77" s="106" t="s">
        <v>285</v>
      </c>
      <c r="S77" s="106"/>
      <c r="T77" s="197">
        <f>L52</f>
        <v>0</v>
      </c>
      <c r="U77" s="106" t="s">
        <v>32</v>
      </c>
      <c r="V77" s="195">
        <v>0.02</v>
      </c>
      <c r="W77" s="401" t="s">
        <v>88</v>
      </c>
      <c r="X77" s="118">
        <f>V77*T77</f>
        <v>0</v>
      </c>
      <c r="Y77" s="299"/>
      <c r="AA77">
        <v>12</v>
      </c>
      <c r="AB77" t="s">
        <v>252</v>
      </c>
    </row>
    <row r="78" spans="2:32" ht="19" customHeight="1" x14ac:dyDescent="0.35">
      <c r="B78" s="2259" t="s">
        <v>160</v>
      </c>
      <c r="C78" s="1972"/>
      <c r="D78" s="2260"/>
      <c r="E78" s="755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8" s="42" t="s">
        <v>107</v>
      </c>
      <c r="G78" s="1151">
        <f>Pricing!D37</f>
        <v>65</v>
      </c>
      <c r="H78" s="88" t="s">
        <v>172</v>
      </c>
      <c r="J78" s="2567"/>
      <c r="K78" s="2568"/>
      <c r="O78" s="2388">
        <f>(IF(AND(E78&gt;0,E78&lt;4),E78*G78,0)+IF(AND(E78&gt;3,E78&lt;8),G78*3,0)+IF(AND(E78&gt;7,E78&lt;21),E78/7*G78*3,0)+IF(AND(E78&gt;20,E78&lt;30),G78*9,0)+IF(E78&gt;29,E78/30*G78*9,0))*(1+W$40+J$77)</f>
        <v>0</v>
      </c>
      <c r="P78" s="2388"/>
      <c r="Q78" s="856">
        <v>6</v>
      </c>
      <c r="R78" s="106"/>
      <c r="S78" s="106"/>
      <c r="T78" s="106"/>
      <c r="U78" s="106"/>
      <c r="V78" s="195">
        <v>0</v>
      </c>
      <c r="W78" s="106"/>
      <c r="X78" s="118">
        <f>V78*T78</f>
        <v>0</v>
      </c>
      <c r="Y78" s="299"/>
      <c r="AA78">
        <v>15</v>
      </c>
      <c r="AB78" t="s">
        <v>253</v>
      </c>
    </row>
    <row r="79" spans="2:32" ht="19" customHeight="1" x14ac:dyDescent="0.35">
      <c r="B79" s="2259" t="s">
        <v>175</v>
      </c>
      <c r="C79" s="1972"/>
      <c r="D79" s="2260"/>
      <c r="E79" s="755"/>
      <c r="F79" s="42" t="s">
        <v>107</v>
      </c>
      <c r="G79" s="1151">
        <f>Pricing!D39</f>
        <v>420</v>
      </c>
      <c r="H79" s="88" t="s">
        <v>172</v>
      </c>
      <c r="O79" s="2388">
        <f>(IF(AND(E79&gt;0,E79&lt;4),E79*G79,0)+IF(AND(E79&gt;3,E79&lt;8),G79*3,0)+IF(AND(E79&gt;7,E79&lt;21),E79/7*G79*3,0)+IF(AND(E79&gt;20,E79&lt;30),G79*9,0)+IF(E79&gt;29,E79/30*G79*9,0))*(1+W$40+J$77)</f>
        <v>0</v>
      </c>
      <c r="P79" s="2388"/>
      <c r="Q79" s="856">
        <v>6</v>
      </c>
      <c r="R79" s="106"/>
      <c r="S79" s="106"/>
      <c r="T79" s="106"/>
      <c r="U79" s="106"/>
      <c r="V79" s="195">
        <v>0</v>
      </c>
      <c r="W79" s="106"/>
      <c r="X79" s="118">
        <f>V79*T79</f>
        <v>0</v>
      </c>
      <c r="Y79" s="299"/>
      <c r="AA79">
        <v>16</v>
      </c>
      <c r="AB79" t="s">
        <v>841</v>
      </c>
    </row>
    <row r="80" spans="2:32" ht="19" customHeight="1" thickBot="1" x14ac:dyDescent="0.4">
      <c r="B80" s="2318" t="s">
        <v>108</v>
      </c>
      <c r="C80" s="2308"/>
      <c r="D80" s="2344"/>
      <c r="E80" s="829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80" s="49" t="s">
        <v>107</v>
      </c>
      <c r="G80" s="1152">
        <v>35</v>
      </c>
      <c r="H80" s="96" t="s">
        <v>172</v>
      </c>
      <c r="I80" s="49"/>
      <c r="J80" s="49"/>
      <c r="K80" s="49"/>
      <c r="L80" s="49"/>
      <c r="M80" s="117"/>
      <c r="N80" s="49"/>
      <c r="O80" s="2402">
        <f>(IF(AND(E80&gt;0,E80&lt;4),E80*G80,0)+IF(AND(E80&gt;3,E80&lt;8),G80*3,0)+IF(AND(E80&gt;7,E80&lt;21),E80/7*G80*3,0)+IF(AND(E80&gt;20,E80&lt;30),G80*9,0)+IF(E80&gt;29,E80/30*G80*9,0))</f>
        <v>0</v>
      </c>
      <c r="P80" s="2402"/>
      <c r="Q80" s="856">
        <v>6</v>
      </c>
      <c r="R80" s="199"/>
      <c r="S80" s="199"/>
      <c r="T80" s="199"/>
      <c r="U80" s="199"/>
      <c r="V80" s="201">
        <v>0</v>
      </c>
      <c r="W80" s="199"/>
      <c r="X80" s="119">
        <f t="shared" si="21"/>
        <v>0</v>
      </c>
      <c r="Y80" s="299"/>
      <c r="AA80">
        <v>17</v>
      </c>
      <c r="AB80" t="s">
        <v>842</v>
      </c>
    </row>
    <row r="81" spans="2:32" ht="19" customHeight="1" thickTop="1" thickBot="1" x14ac:dyDescent="0.4">
      <c r="B81" s="2305" t="s">
        <v>174</v>
      </c>
      <c r="C81" s="2306"/>
      <c r="D81" s="2306"/>
      <c r="E81" s="2306"/>
      <c r="F81" s="2306"/>
      <c r="G81" s="2306"/>
      <c r="H81" s="2306"/>
      <c r="I81" s="2306"/>
      <c r="J81" s="2306"/>
      <c r="K81" s="2306"/>
      <c r="L81" s="2306"/>
      <c r="M81" s="2306"/>
      <c r="N81" s="2306"/>
      <c r="O81" s="2306"/>
      <c r="P81" s="2307"/>
      <c r="Q81" s="856">
        <v>10</v>
      </c>
      <c r="R81" s="106"/>
      <c r="S81" s="106"/>
      <c r="T81" s="106"/>
      <c r="U81" s="106"/>
      <c r="V81" s="195">
        <f>BB68</f>
        <v>0</v>
      </c>
      <c r="W81" s="106"/>
      <c r="X81" s="111">
        <f t="shared" si="21"/>
        <v>0</v>
      </c>
      <c r="Y81" s="299"/>
      <c r="AA81">
        <v>18</v>
      </c>
      <c r="AB81" t="s">
        <v>844</v>
      </c>
      <c r="AF81" s="261">
        <f>O60</f>
        <v>0</v>
      </c>
    </row>
    <row r="82" spans="2:32" ht="19" customHeight="1" x14ac:dyDescent="0.35">
      <c r="B82" s="2709" t="s">
        <v>85</v>
      </c>
      <c r="C82" s="2149"/>
      <c r="D82" s="2710"/>
      <c r="E82" s="756">
        <f>Pricing!D41</f>
        <v>16</v>
      </c>
      <c r="F82" s="169" t="s">
        <v>117</v>
      </c>
      <c r="G82" s="1147">
        <f>SUM(L49:M51)</f>
        <v>0</v>
      </c>
      <c r="H82" s="116" t="s">
        <v>190</v>
      </c>
      <c r="I82" s="48"/>
      <c r="J82" s="48"/>
      <c r="K82" s="48"/>
      <c r="L82" s="48"/>
      <c r="M82" s="48"/>
      <c r="N82" s="48"/>
      <c r="O82" s="2399">
        <f t="shared" ref="O82:O87" si="22">E82*G82</f>
        <v>0</v>
      </c>
      <c r="P82" s="2399"/>
      <c r="Q82" s="856">
        <v>10</v>
      </c>
      <c r="R82" s="106" t="s">
        <v>211</v>
      </c>
      <c r="S82" s="106"/>
      <c r="T82" s="431">
        <f>ROUNDUP(I63/300/55,0)</f>
        <v>0</v>
      </c>
      <c r="U82" s="106" t="s">
        <v>213</v>
      </c>
      <c r="V82" s="195">
        <f>Pricing!N42</f>
        <v>540</v>
      </c>
      <c r="W82" s="401" t="s">
        <v>295</v>
      </c>
      <c r="X82" s="118">
        <f>V82*T82</f>
        <v>0</v>
      </c>
      <c r="Y82" s="299"/>
      <c r="AA82">
        <v>20</v>
      </c>
      <c r="AB82" t="s">
        <v>93</v>
      </c>
      <c r="AF82">
        <f>SUM(O71:P72)</f>
        <v>0</v>
      </c>
    </row>
    <row r="83" spans="2:32" ht="19" customHeight="1" thickBot="1" x14ac:dyDescent="0.4">
      <c r="B83" s="2708" t="s">
        <v>189</v>
      </c>
      <c r="C83" s="2015"/>
      <c r="D83" s="2016"/>
      <c r="E83" s="1087"/>
      <c r="F83" s="88" t="s">
        <v>69</v>
      </c>
      <c r="G83" s="846"/>
      <c r="H83" s="88" t="s">
        <v>69</v>
      </c>
      <c r="O83" s="2377">
        <f t="shared" si="22"/>
        <v>0</v>
      </c>
      <c r="P83" s="2377"/>
      <c r="Q83" s="856">
        <v>10</v>
      </c>
      <c r="R83" s="199" t="s">
        <v>212</v>
      </c>
      <c r="S83" s="199"/>
      <c r="T83" s="199">
        <f>BE64</f>
        <v>0</v>
      </c>
      <c r="U83" s="199" t="s">
        <v>213</v>
      </c>
      <c r="V83" s="202">
        <f>BH64</f>
        <v>0</v>
      </c>
      <c r="W83" s="426" t="s">
        <v>295</v>
      </c>
      <c r="X83" s="119">
        <f t="shared" si="21"/>
        <v>0</v>
      </c>
      <c r="Y83" s="299"/>
      <c r="AA83">
        <v>21</v>
      </c>
      <c r="AB83" t="s">
        <v>254</v>
      </c>
      <c r="AF83">
        <f>O73</f>
        <v>0</v>
      </c>
    </row>
    <row r="84" spans="2:32" ht="19" customHeight="1" thickTop="1" x14ac:dyDescent="0.35">
      <c r="B84" s="2708" t="s">
        <v>176</v>
      </c>
      <c r="C84" s="2015"/>
      <c r="D84" s="2016"/>
      <c r="E84" s="1087"/>
      <c r="F84" s="170" t="s">
        <v>118</v>
      </c>
      <c r="G84" s="846"/>
      <c r="H84" s="88" t="s">
        <v>118</v>
      </c>
      <c r="O84" s="2377">
        <f t="shared" si="22"/>
        <v>0</v>
      </c>
      <c r="P84" s="2377"/>
      <c r="Q84" s="856"/>
      <c r="X84" s="111"/>
      <c r="Y84" s="299"/>
      <c r="AA84">
        <v>22</v>
      </c>
      <c r="AB84" t="s">
        <v>255</v>
      </c>
      <c r="AF84">
        <f>SUM(L62:M68)</f>
        <v>0</v>
      </c>
    </row>
    <row r="85" spans="2:32" ht="19" customHeight="1" x14ac:dyDescent="0.35">
      <c r="B85" s="2708" t="s">
        <v>108</v>
      </c>
      <c r="C85" s="2015"/>
      <c r="D85" s="2016"/>
      <c r="E85" s="1206">
        <v>0</v>
      </c>
      <c r="F85" s="171"/>
      <c r="G85" s="846">
        <v>1000</v>
      </c>
      <c r="H85" s="172" t="s">
        <v>177</v>
      </c>
      <c r="O85" s="2377">
        <f t="shared" si="22"/>
        <v>0</v>
      </c>
      <c r="P85" s="2377"/>
      <c r="Q85" s="856"/>
      <c r="R85" s="2315" t="s">
        <v>216</v>
      </c>
      <c r="S85" s="2315"/>
      <c r="T85" s="42">
        <v>18</v>
      </c>
      <c r="U85" s="42" t="s">
        <v>217</v>
      </c>
      <c r="X85" s="112"/>
      <c r="Y85" s="299"/>
      <c r="AA85">
        <v>23</v>
      </c>
      <c r="AB85" t="s">
        <v>256</v>
      </c>
      <c r="AF85">
        <f>O87</f>
        <v>0</v>
      </c>
    </row>
    <row r="86" spans="2:32" ht="19" customHeight="1" thickBot="1" x14ac:dyDescent="0.4">
      <c r="B86" s="2708" t="s">
        <v>307</v>
      </c>
      <c r="C86" s="2015"/>
      <c r="D86" s="2016"/>
      <c r="E86" s="758">
        <v>6</v>
      </c>
      <c r="F86" s="109" t="s">
        <v>124</v>
      </c>
      <c r="G86" s="848">
        <f>(L49+L50+L51)*1.3</f>
        <v>0</v>
      </c>
      <c r="H86" s="42" t="s">
        <v>31</v>
      </c>
      <c r="O86" s="2377">
        <f t="shared" si="22"/>
        <v>0</v>
      </c>
      <c r="P86" s="2377"/>
      <c r="Q86" s="856"/>
      <c r="R86" s="49" t="s">
        <v>214</v>
      </c>
      <c r="S86" s="49"/>
      <c r="T86" s="49">
        <f>T60*12/T85</f>
        <v>0</v>
      </c>
      <c r="U86" s="49" t="s">
        <v>215</v>
      </c>
      <c r="V86" s="2313">
        <f>BH67</f>
        <v>0</v>
      </c>
      <c r="W86" s="2313"/>
      <c r="X86" s="22">
        <f>V86*T86</f>
        <v>0</v>
      </c>
      <c r="Y86" s="299"/>
      <c r="AA86">
        <v>24</v>
      </c>
      <c r="AB86" t="s">
        <v>257</v>
      </c>
    </row>
    <row r="87" spans="2:32" ht="19" customHeight="1" thickBot="1" x14ac:dyDescent="0.4">
      <c r="B87" s="2005" t="s">
        <v>186</v>
      </c>
      <c r="C87" s="2006"/>
      <c r="D87" s="2007"/>
      <c r="E87" s="1207">
        <v>0</v>
      </c>
      <c r="F87" s="249" t="s">
        <v>97</v>
      </c>
      <c r="G87" s="1202">
        <v>250</v>
      </c>
      <c r="H87" s="96" t="s">
        <v>68</v>
      </c>
      <c r="I87" s="49"/>
      <c r="J87" s="49"/>
      <c r="K87" s="49"/>
      <c r="L87" s="49"/>
      <c r="M87" s="49"/>
      <c r="N87" s="49"/>
      <c r="O87" s="2383">
        <f t="shared" si="22"/>
        <v>0</v>
      </c>
      <c r="P87" s="2383"/>
      <c r="Q87" s="857"/>
      <c r="X87" s="953">
        <f>SUM(X50:X86)</f>
        <v>0</v>
      </c>
      <c r="Y87" s="299"/>
      <c r="AA87">
        <v>25</v>
      </c>
      <c r="AB87" t="s">
        <v>258</v>
      </c>
    </row>
    <row r="88" spans="2:32" ht="19" customHeight="1" thickBot="1" x14ac:dyDescent="0.4">
      <c r="B88" s="898"/>
      <c r="C88" s="899"/>
      <c r="D88" s="899"/>
      <c r="E88" s="899"/>
      <c r="F88" s="899"/>
      <c r="G88" s="899"/>
      <c r="H88" s="899"/>
      <c r="I88" s="899"/>
      <c r="J88" s="899"/>
      <c r="K88" s="899"/>
      <c r="L88" s="900"/>
      <c r="M88" s="899"/>
      <c r="N88" s="899"/>
      <c r="O88" s="899"/>
      <c r="P88" s="899"/>
      <c r="Q88" s="899"/>
      <c r="R88" s="899"/>
      <c r="S88" s="899"/>
      <c r="T88" s="899"/>
      <c r="U88" s="899"/>
      <c r="V88" s="899"/>
      <c r="W88" s="899"/>
      <c r="X88" s="1115"/>
      <c r="Y88" s="299"/>
      <c r="AA88">
        <v>30</v>
      </c>
      <c r="AB88" t="s">
        <v>259</v>
      </c>
      <c r="AF88">
        <f>O82</f>
        <v>0</v>
      </c>
    </row>
    <row r="89" spans="2:32" x14ac:dyDescent="0.35">
      <c r="B89" s="1987" t="s">
        <v>185</v>
      </c>
      <c r="C89" s="2041"/>
      <c r="D89" s="1988"/>
      <c r="E89" s="1987" t="s">
        <v>140</v>
      </c>
      <c r="F89" s="1988"/>
      <c r="G89" s="1987" t="s">
        <v>178</v>
      </c>
      <c r="H89" s="2041"/>
      <c r="I89" s="1988"/>
      <c r="J89" s="1935" t="s">
        <v>184</v>
      </c>
      <c r="K89" s="1936"/>
      <c r="L89" s="1937"/>
      <c r="M89" s="2044" t="s">
        <v>179</v>
      </c>
      <c r="N89" s="2045"/>
      <c r="O89" s="132"/>
      <c r="P89" s="133"/>
      <c r="Q89" s="897"/>
      <c r="R89" s="43" t="s">
        <v>34</v>
      </c>
      <c r="T89" s="42" t="s">
        <v>758</v>
      </c>
      <c r="U89" s="1121" t="str">
        <f>U40</f>
        <v>n</v>
      </c>
      <c r="V89" s="73" t="s">
        <v>298</v>
      </c>
      <c r="W89" s="1213">
        <f>W40</f>
        <v>8.2500000000000004E-2</v>
      </c>
      <c r="X89" s="1113"/>
      <c r="Y89" s="299"/>
      <c r="AA89">
        <v>31</v>
      </c>
      <c r="AB89" t="s">
        <v>744</v>
      </c>
    </row>
    <row r="90" spans="2:32" ht="16" thickBot="1" x14ac:dyDescent="0.4">
      <c r="B90" s="11" t="s">
        <v>180</v>
      </c>
      <c r="C90" s="1999">
        <f>C41</f>
        <v>0</v>
      </c>
      <c r="D90" s="2000"/>
      <c r="E90" s="2003">
        <f>E41</f>
        <v>0</v>
      </c>
      <c r="F90" s="2004"/>
      <c r="G90" s="15">
        <f>G41</f>
        <v>0</v>
      </c>
      <c r="H90" s="2042">
        <f>H41</f>
        <v>0</v>
      </c>
      <c r="I90" s="2043"/>
      <c r="J90" s="2064">
        <f>J41</f>
        <v>0</v>
      </c>
      <c r="K90" s="2065"/>
      <c r="L90" s="2066"/>
      <c r="M90" s="2703">
        <f>M41</f>
        <v>0.18</v>
      </c>
      <c r="N90" s="2704"/>
      <c r="O90" s="2704"/>
      <c r="P90" s="2705"/>
      <c r="Q90" s="902"/>
      <c r="R90" s="86" t="s">
        <v>50</v>
      </c>
      <c r="U90" s="1932">
        <f>U41</f>
        <v>0</v>
      </c>
      <c r="V90" s="1932"/>
      <c r="X90" s="1113"/>
      <c r="Y90" s="299"/>
      <c r="AA90">
        <v>32</v>
      </c>
      <c r="AB90" t="s">
        <v>260</v>
      </c>
    </row>
    <row r="91" spans="2:32" ht="16" thickBot="1" x14ac:dyDescent="0.4">
      <c r="B91" s="889"/>
      <c r="C91" s="890"/>
      <c r="D91" s="890"/>
      <c r="E91" s="890"/>
      <c r="F91" s="890"/>
      <c r="G91" s="890"/>
      <c r="H91" s="890"/>
      <c r="I91" s="890"/>
      <c r="J91" s="890"/>
      <c r="K91" s="890"/>
      <c r="L91" s="890"/>
      <c r="M91" s="890"/>
      <c r="N91" s="890"/>
      <c r="O91" s="890"/>
      <c r="P91" s="890"/>
      <c r="Q91" s="890"/>
      <c r="R91" s="890"/>
      <c r="S91" s="890"/>
      <c r="T91" s="890"/>
      <c r="U91" s="890"/>
      <c r="V91" s="890"/>
      <c r="W91" s="890"/>
      <c r="X91" s="896"/>
      <c r="Y91" s="299"/>
      <c r="AA91">
        <v>33</v>
      </c>
      <c r="AB91" t="s">
        <v>261</v>
      </c>
      <c r="AF91">
        <f>O86</f>
        <v>0</v>
      </c>
    </row>
    <row r="92" spans="2:32" x14ac:dyDescent="0.35"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9"/>
      <c r="AA92">
        <v>34</v>
      </c>
      <c r="AB92" t="s">
        <v>262</v>
      </c>
      <c r="AF92">
        <f>O84</f>
        <v>0</v>
      </c>
    </row>
    <row r="93" spans="2:32" hidden="1" x14ac:dyDescent="0.35"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9"/>
      <c r="AA93">
        <v>35</v>
      </c>
      <c r="AB93" t="s">
        <v>263</v>
      </c>
    </row>
    <row r="94" spans="2:32" hidden="1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AA94">
        <v>36</v>
      </c>
      <c r="AB94" t="s">
        <v>745</v>
      </c>
    </row>
    <row r="95" spans="2:32" hidden="1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AA95">
        <v>39</v>
      </c>
      <c r="AB95" t="s">
        <v>264</v>
      </c>
    </row>
    <row r="96" spans="2:32" hidden="1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AA96">
        <v>40</v>
      </c>
      <c r="AB96" t="s">
        <v>222</v>
      </c>
    </row>
    <row r="97" spans="27:32" hidden="1" x14ac:dyDescent="0.35">
      <c r="AA97">
        <v>41</v>
      </c>
      <c r="AB97" t="s">
        <v>265</v>
      </c>
    </row>
    <row r="98" spans="27:32" hidden="1" x14ac:dyDescent="0.35">
      <c r="AA98">
        <v>42</v>
      </c>
      <c r="AB98" t="s">
        <v>266</v>
      </c>
    </row>
    <row r="99" spans="27:32" hidden="1" x14ac:dyDescent="0.35">
      <c r="AA99">
        <v>44</v>
      </c>
      <c r="AB99" t="s">
        <v>267</v>
      </c>
    </row>
    <row r="100" spans="27:32" hidden="1" x14ac:dyDescent="0.35">
      <c r="AA100">
        <v>45</v>
      </c>
      <c r="AB100" t="s">
        <v>268</v>
      </c>
    </row>
    <row r="101" spans="27:32" hidden="1" x14ac:dyDescent="0.35">
      <c r="AA101">
        <v>46</v>
      </c>
      <c r="AB101" t="s">
        <v>269</v>
      </c>
    </row>
    <row r="102" spans="27:32" hidden="1" x14ac:dyDescent="0.35">
      <c r="AA102">
        <v>47</v>
      </c>
      <c r="AB102" t="s">
        <v>270</v>
      </c>
    </row>
    <row r="103" spans="27:32" hidden="1" x14ac:dyDescent="0.35">
      <c r="AA103">
        <v>48</v>
      </c>
      <c r="AB103" t="s">
        <v>271</v>
      </c>
    </row>
    <row r="104" spans="27:32" hidden="1" x14ac:dyDescent="0.35">
      <c r="AA104">
        <v>49</v>
      </c>
      <c r="AB104" t="s">
        <v>272</v>
      </c>
    </row>
    <row r="105" spans="27:32" hidden="1" x14ac:dyDescent="0.35">
      <c r="AA105">
        <v>50</v>
      </c>
      <c r="AB105" t="s">
        <v>711</v>
      </c>
      <c r="AF105" s="382"/>
    </row>
    <row r="106" spans="27:32" hidden="1" x14ac:dyDescent="0.35">
      <c r="AA106">
        <v>51</v>
      </c>
      <c r="AB106" t="s">
        <v>712</v>
      </c>
    </row>
    <row r="107" spans="27:32" hidden="1" x14ac:dyDescent="0.35">
      <c r="AA107">
        <v>52</v>
      </c>
      <c r="AB107" t="s">
        <v>273</v>
      </c>
    </row>
    <row r="108" spans="27:32" hidden="1" x14ac:dyDescent="0.35">
      <c r="AA108">
        <v>53</v>
      </c>
      <c r="AB108" t="s">
        <v>274</v>
      </c>
    </row>
    <row r="109" spans="27:32" hidden="1" x14ac:dyDescent="0.35">
      <c r="AA109">
        <v>54</v>
      </c>
      <c r="AB109" t="s">
        <v>275</v>
      </c>
    </row>
    <row r="110" spans="27:32" hidden="1" x14ac:dyDescent="0.35">
      <c r="AA110">
        <v>55</v>
      </c>
      <c r="AB110" t="s">
        <v>276</v>
      </c>
    </row>
    <row r="111" spans="27:32" hidden="1" x14ac:dyDescent="0.35">
      <c r="AA111">
        <v>56</v>
      </c>
      <c r="AB111" t="s">
        <v>277</v>
      </c>
    </row>
    <row r="112" spans="27:32" hidden="1" x14ac:dyDescent="0.35">
      <c r="AA112">
        <v>57</v>
      </c>
      <c r="AB112" t="s">
        <v>715</v>
      </c>
      <c r="AF112" s="382">
        <f>SUM(O62:P68)-O67</f>
        <v>0</v>
      </c>
    </row>
    <row r="113" spans="27:32" hidden="1" x14ac:dyDescent="0.35">
      <c r="AA113">
        <v>58</v>
      </c>
      <c r="AB113" t="s">
        <v>279</v>
      </c>
    </row>
    <row r="114" spans="27:32" hidden="1" x14ac:dyDescent="0.35">
      <c r="AA114">
        <v>59</v>
      </c>
      <c r="AB114" t="s">
        <v>280</v>
      </c>
      <c r="AF114">
        <f>O67</f>
        <v>0</v>
      </c>
    </row>
    <row r="115" spans="27:32" hidden="1" x14ac:dyDescent="0.35">
      <c r="AA115">
        <v>60</v>
      </c>
      <c r="AB115" t="s">
        <v>281</v>
      </c>
      <c r="AF115">
        <f>SUM(O75:P80)-O80</f>
        <v>0</v>
      </c>
    </row>
    <row r="116" spans="27:32" hidden="1" x14ac:dyDescent="0.35">
      <c r="AA116">
        <v>65</v>
      </c>
      <c r="AB116" t="s">
        <v>282</v>
      </c>
      <c r="AF116">
        <f>O80</f>
        <v>0</v>
      </c>
    </row>
    <row r="117" spans="27:32" hidden="1" x14ac:dyDescent="0.35">
      <c r="AA117">
        <v>99</v>
      </c>
      <c r="AB117" t="s">
        <v>894</v>
      </c>
      <c r="AF117" s="261">
        <f>X74</f>
        <v>0</v>
      </c>
    </row>
    <row r="118" spans="27:32" hidden="1" x14ac:dyDescent="0.35">
      <c r="AF118">
        <f>SUM(AF65:AF116)</f>
        <v>0</v>
      </c>
    </row>
    <row r="119" spans="27:32" hidden="1" x14ac:dyDescent="0.35"/>
    <row r="120" spans="27:32" hidden="1" x14ac:dyDescent="0.35"/>
    <row r="121" spans="27:32" hidden="1" x14ac:dyDescent="0.35"/>
    <row r="122" spans="27:32" hidden="1" x14ac:dyDescent="0.35"/>
    <row r="123" spans="27:32" hidden="1" x14ac:dyDescent="0.35"/>
    <row r="124" spans="27:32" hidden="1" x14ac:dyDescent="0.35"/>
    <row r="125" spans="27:32" hidden="1" x14ac:dyDescent="0.35"/>
    <row r="126" spans="27:32" hidden="1" x14ac:dyDescent="0.35"/>
    <row r="127" spans="27:32" hidden="1" x14ac:dyDescent="0.35"/>
    <row r="128" spans="27:32" hidden="1" x14ac:dyDescent="0.35"/>
    <row r="129" hidden="1" x14ac:dyDescent="0.35"/>
    <row r="130" hidden="1" x14ac:dyDescent="0.35"/>
    <row r="131" hidden="1" x14ac:dyDescent="0.35"/>
  </sheetData>
  <mergeCells count="196">
    <mergeCell ref="D8:E8"/>
    <mergeCell ref="D7:E7"/>
    <mergeCell ref="M40:N40"/>
    <mergeCell ref="M41:P41"/>
    <mergeCell ref="O54:P54"/>
    <mergeCell ref="L53:M53"/>
    <mergeCell ref="O53:P53"/>
    <mergeCell ref="B12:C12"/>
    <mergeCell ref="B14:C14"/>
    <mergeCell ref="B15:C15"/>
    <mergeCell ref="B16:C16"/>
    <mergeCell ref="B25:C25"/>
    <mergeCell ref="I53:J53"/>
    <mergeCell ref="J54:K54"/>
    <mergeCell ref="B13:C13"/>
    <mergeCell ref="I52:J52"/>
    <mergeCell ref="B19:C19"/>
    <mergeCell ref="B26:C26"/>
    <mergeCell ref="B35:C35"/>
    <mergeCell ref="B36:C36"/>
    <mergeCell ref="B18:C18"/>
    <mergeCell ref="B20:C20"/>
    <mergeCell ref="B21:C21"/>
    <mergeCell ref="B31:C31"/>
    <mergeCell ref="B32:C32"/>
    <mergeCell ref="B23:C23"/>
    <mergeCell ref="B24:C24"/>
    <mergeCell ref="B28:C28"/>
    <mergeCell ref="B40:D40"/>
    <mergeCell ref="B29:C29"/>
    <mergeCell ref="B30:C30"/>
    <mergeCell ref="B22:C22"/>
    <mergeCell ref="B34:C34"/>
    <mergeCell ref="B27:C27"/>
    <mergeCell ref="B33:C33"/>
    <mergeCell ref="E62:F62"/>
    <mergeCell ref="O65:P65"/>
    <mergeCell ref="B74:P74"/>
    <mergeCell ref="B70:P70"/>
    <mergeCell ref="B75:D75"/>
    <mergeCell ref="O75:P75"/>
    <mergeCell ref="H63:H65"/>
    <mergeCell ref="E65:F65"/>
    <mergeCell ref="E63:F63"/>
    <mergeCell ref="E64:F64"/>
    <mergeCell ref="L61:M61"/>
    <mergeCell ref="I62:J62"/>
    <mergeCell ref="I60:J60"/>
    <mergeCell ref="L62:M62"/>
    <mergeCell ref="L60:M60"/>
    <mergeCell ref="K57:K59"/>
    <mergeCell ref="L55:M55"/>
    <mergeCell ref="I55:J56"/>
    <mergeCell ref="O60:P60"/>
    <mergeCell ref="X9:X10"/>
    <mergeCell ref="W9:W10"/>
    <mergeCell ref="O84:P84"/>
    <mergeCell ref="O85:P85"/>
    <mergeCell ref="R85:S85"/>
    <mergeCell ref="O73:P73"/>
    <mergeCell ref="O71:P71"/>
    <mergeCell ref="O72:P72"/>
    <mergeCell ref="C48:P48"/>
    <mergeCell ref="B84:D84"/>
    <mergeCell ref="M71:N71"/>
    <mergeCell ref="O69:P69"/>
    <mergeCell ref="E68:F68"/>
    <mergeCell ref="I68:J68"/>
    <mergeCell ref="O62:P62"/>
    <mergeCell ref="O63:P63"/>
    <mergeCell ref="L63:M63"/>
    <mergeCell ref="L64:M64"/>
    <mergeCell ref="O66:P66"/>
    <mergeCell ref="E66:F66"/>
    <mergeCell ref="L66:M66"/>
    <mergeCell ref="N61:P61"/>
    <mergeCell ref="L59:M59"/>
    <mergeCell ref="L65:M65"/>
    <mergeCell ref="B76:D76"/>
    <mergeCell ref="C90:D90"/>
    <mergeCell ref="B89:D89"/>
    <mergeCell ref="B87:D87"/>
    <mergeCell ref="B86:D86"/>
    <mergeCell ref="B78:D78"/>
    <mergeCell ref="B79:D79"/>
    <mergeCell ref="E89:F89"/>
    <mergeCell ref="G89:I89"/>
    <mergeCell ref="B80:D80"/>
    <mergeCell ref="B81:P81"/>
    <mergeCell ref="O82:P82"/>
    <mergeCell ref="O87:P87"/>
    <mergeCell ref="O86:P86"/>
    <mergeCell ref="B85:D85"/>
    <mergeCell ref="B82:D82"/>
    <mergeCell ref="B83:D83"/>
    <mergeCell ref="O79:P79"/>
    <mergeCell ref="J77:K78"/>
    <mergeCell ref="B77:D77"/>
    <mergeCell ref="O77:P77"/>
    <mergeCell ref="M77:N77"/>
    <mergeCell ref="U90:V90"/>
    <mergeCell ref="E67:F67"/>
    <mergeCell ref="I67:J67"/>
    <mergeCell ref="L67:M67"/>
    <mergeCell ref="L68:M68"/>
    <mergeCell ref="V74:W74"/>
    <mergeCell ref="O67:P67"/>
    <mergeCell ref="M72:N72"/>
    <mergeCell ref="V86:W86"/>
    <mergeCell ref="H90:I90"/>
    <mergeCell ref="J90:L90"/>
    <mergeCell ref="M90:P90"/>
    <mergeCell ref="O76:P76"/>
    <mergeCell ref="M76:N76"/>
    <mergeCell ref="J76:K76"/>
    <mergeCell ref="E90:F90"/>
    <mergeCell ref="O80:P80"/>
    <mergeCell ref="J89:L89"/>
    <mergeCell ref="M89:N89"/>
    <mergeCell ref="O83:P83"/>
    <mergeCell ref="O68:P68"/>
    <mergeCell ref="E69:F69"/>
    <mergeCell ref="I69:K69"/>
    <mergeCell ref="L69:M69"/>
    <mergeCell ref="J5:N5"/>
    <mergeCell ref="O5:P5"/>
    <mergeCell ref="Q5:R5"/>
    <mergeCell ref="J6:N6"/>
    <mergeCell ref="O6:P6"/>
    <mergeCell ref="Q6:R6"/>
    <mergeCell ref="Q7:R7"/>
    <mergeCell ref="G8:I8"/>
    <mergeCell ref="O78:P78"/>
    <mergeCell ref="F37:I37"/>
    <mergeCell ref="H41:I41"/>
    <mergeCell ref="J41:L41"/>
    <mergeCell ref="E40:F40"/>
    <mergeCell ref="G40:I40"/>
    <mergeCell ref="J40:L40"/>
    <mergeCell ref="I49:J51"/>
    <mergeCell ref="L50:M50"/>
    <mergeCell ref="L51:M51"/>
    <mergeCell ref="K49:K51"/>
    <mergeCell ref="L49:M49"/>
    <mergeCell ref="L54:M54"/>
    <mergeCell ref="L52:M52"/>
    <mergeCell ref="I63:J66"/>
    <mergeCell ref="O64:P64"/>
    <mergeCell ref="W2:X2"/>
    <mergeCell ref="O3:P3"/>
    <mergeCell ref="Q3:R3"/>
    <mergeCell ref="J4:N4"/>
    <mergeCell ref="O4:P4"/>
    <mergeCell ref="Q4:R4"/>
    <mergeCell ref="J7:N7"/>
    <mergeCell ref="O7:P7"/>
    <mergeCell ref="B17:C17"/>
    <mergeCell ref="B11:C11"/>
    <mergeCell ref="I9:J9"/>
    <mergeCell ref="F9:H9"/>
    <mergeCell ref="K9:L9"/>
    <mergeCell ref="J8:N8"/>
    <mergeCell ref="E9:E10"/>
    <mergeCell ref="T9:V9"/>
    <mergeCell ref="Q9:S9"/>
    <mergeCell ref="M9:N9"/>
    <mergeCell ref="O9:P9"/>
    <mergeCell ref="U2:V2"/>
    <mergeCell ref="B10:C10"/>
    <mergeCell ref="B3:E3"/>
    <mergeCell ref="B4:E4"/>
    <mergeCell ref="B5:E5"/>
    <mergeCell ref="U41:V41"/>
    <mergeCell ref="N42:O42"/>
    <mergeCell ref="B58:D58"/>
    <mergeCell ref="B59:D59"/>
    <mergeCell ref="O55:P55"/>
    <mergeCell ref="O56:P56"/>
    <mergeCell ref="L57:M57"/>
    <mergeCell ref="O57:P57"/>
    <mergeCell ref="L56:M56"/>
    <mergeCell ref="O58:P58"/>
    <mergeCell ref="O59:P59"/>
    <mergeCell ref="L58:M58"/>
    <mergeCell ref="U42:V42"/>
    <mergeCell ref="O50:P50"/>
    <mergeCell ref="O51:P51"/>
    <mergeCell ref="R48:S48"/>
    <mergeCell ref="O49:P49"/>
    <mergeCell ref="S45:T45"/>
    <mergeCell ref="I57:J59"/>
    <mergeCell ref="O52:P52"/>
    <mergeCell ref="K42:L42"/>
    <mergeCell ref="K55:K56"/>
    <mergeCell ref="C41:D41"/>
    <mergeCell ref="E41:F41"/>
  </mergeCells>
  <printOptions gridLines="1"/>
  <pageMargins left="0.96" right="0.54" top="0.45" bottom="0.18" header="0.12" footer="0.17"/>
  <pageSetup paperSize="5" scale="65" orientation="landscape" horizontalDpi="4294967293" verticalDpi="1200" r:id="rId1"/>
  <headerFooter alignWithMargins="0">
    <oddHeader>&amp;L&amp;"Arial,Bold"&amp;16               &amp;A&amp;C&amp;"Arial,Bold"&amp;16&amp;F&amp;R&amp;16&amp;D</oddHeader>
  </headerFooter>
  <rowBreaks count="1" manualBreakCount="1">
    <brk id="4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823F-BA90-484A-A2A4-452A7DBE5ACF}">
  <dimension ref="A1:IZ118"/>
  <sheetViews>
    <sheetView topLeftCell="A48" zoomScaleNormal="100" workbookViewId="0">
      <selection activeCell="T50" sqref="T50"/>
    </sheetView>
  </sheetViews>
  <sheetFormatPr defaultColWidth="0" defaultRowHeight="15.5" x14ac:dyDescent="0.35"/>
  <cols>
    <col min="1" max="1" width="4" style="42" customWidth="1"/>
    <col min="2" max="2" width="10.26953125" style="42" customWidth="1"/>
    <col min="3" max="3" width="10.453125" style="42" customWidth="1"/>
    <col min="4" max="4" width="9.26953125" style="42" customWidth="1"/>
    <col min="5" max="5" width="10.81640625" style="42" customWidth="1"/>
    <col min="6" max="6" width="11.26953125" style="42" customWidth="1"/>
    <col min="7" max="7" width="12.1796875" style="42" customWidth="1"/>
    <col min="8" max="19" width="9.7265625" style="42" customWidth="1"/>
    <col min="20" max="20" width="11.1796875" style="42" customWidth="1"/>
    <col min="21" max="21" width="8.81640625" style="42" customWidth="1"/>
    <col min="22" max="22" width="11.81640625" style="42" customWidth="1"/>
    <col min="23" max="23" width="13.1796875" style="42" customWidth="1"/>
    <col min="24" max="24" width="17.54296875" style="42" customWidth="1"/>
    <col min="25" max="25" width="5" customWidth="1"/>
    <col min="26" max="46" width="17.54296875" hidden="1" customWidth="1"/>
    <col min="47" max="47" width="23.26953125" hidden="1" customWidth="1"/>
    <col min="48" max="256" width="17.54296875" hidden="1" customWidth="1"/>
    <col min="257" max="260" width="17.54296875" style="42" hidden="1" customWidth="1"/>
    <col min="261" max="16384" width="2.81640625" style="42" hidden="1"/>
  </cols>
  <sheetData>
    <row r="1" spans="2:60" ht="16" thickBot="1" x14ac:dyDescent="0.4"/>
    <row r="2" spans="2:60" ht="15.75" customHeight="1" thickBot="1" x14ac:dyDescent="0.4">
      <c r="B2" s="883" t="s">
        <v>303</v>
      </c>
      <c r="C2" s="879"/>
      <c r="D2" s="879"/>
      <c r="E2" s="87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2615" t="s">
        <v>305</v>
      </c>
      <c r="V2" s="2615"/>
      <c r="W2" s="2648">
        <v>37456</v>
      </c>
      <c r="X2" s="2649"/>
      <c r="Y2" s="299"/>
    </row>
    <row r="3" spans="2:60" ht="26.25" customHeight="1" thickBot="1" x14ac:dyDescent="0.4">
      <c r="B3" s="2679">
        <f>Summary!C2</f>
        <v>0</v>
      </c>
      <c r="C3" s="2680"/>
      <c r="D3" s="2680"/>
      <c r="E3" s="2681"/>
      <c r="F3" s="298"/>
      <c r="G3" s="298"/>
      <c r="H3" s="1194" t="s">
        <v>131</v>
      </c>
      <c r="I3" s="879"/>
      <c r="J3" s="879"/>
      <c r="K3" s="880" t="s">
        <v>96</v>
      </c>
      <c r="L3" s="879"/>
      <c r="M3" s="879"/>
      <c r="N3" s="879"/>
      <c r="O3" s="1950" t="s">
        <v>125</v>
      </c>
      <c r="P3" s="1950"/>
      <c r="Q3" s="2661" t="s">
        <v>306</v>
      </c>
      <c r="R3" s="2662"/>
      <c r="S3" s="298"/>
      <c r="T3" s="298"/>
      <c r="U3" s="1183" t="s">
        <v>304</v>
      </c>
      <c r="V3" s="1180"/>
      <c r="W3" s="1184" t="str">
        <f>Information!C8</f>
        <v>Chad McKinney</v>
      </c>
      <c r="X3" s="1185"/>
      <c r="Y3" s="299"/>
      <c r="AA3" s="42"/>
      <c r="AB3" s="42"/>
      <c r="AC3" s="42"/>
      <c r="AD3" s="42"/>
      <c r="AE3" s="42"/>
      <c r="AF3" s="42"/>
    </row>
    <row r="4" spans="2:60" ht="18" customHeight="1" x14ac:dyDescent="0.35">
      <c r="B4" s="2682">
        <f>Summary!C3</f>
        <v>0</v>
      </c>
      <c r="C4" s="2683"/>
      <c r="D4" s="2683"/>
      <c r="E4" s="2684"/>
      <c r="F4" s="298"/>
      <c r="G4" s="298"/>
      <c r="H4" s="1195" t="s">
        <v>132</v>
      </c>
      <c r="I4" s="897"/>
      <c r="J4" s="2663">
        <f>Summary!K3</f>
        <v>0</v>
      </c>
      <c r="K4" s="2664"/>
      <c r="L4" s="2664"/>
      <c r="M4" s="2664"/>
      <c r="N4" s="2665"/>
      <c r="O4" s="2666">
        <f>Summary!O3</f>
        <v>0</v>
      </c>
      <c r="P4" s="2667"/>
      <c r="Q4" s="2668"/>
      <c r="R4" s="2669"/>
      <c r="S4" s="298"/>
      <c r="T4" s="298"/>
      <c r="U4" s="1186"/>
      <c r="V4" s="1187"/>
      <c r="W4" s="1187"/>
      <c r="X4" s="1188"/>
      <c r="Y4" s="299"/>
    </row>
    <row r="5" spans="2:60" ht="18" customHeight="1" thickBot="1" x14ac:dyDescent="0.4">
      <c r="B5" s="2685">
        <f>Summary!C4</f>
        <v>0</v>
      </c>
      <c r="C5" s="2686"/>
      <c r="D5" s="2686"/>
      <c r="E5" s="2687"/>
      <c r="F5" s="298"/>
      <c r="G5" s="298"/>
      <c r="H5" s="938"/>
      <c r="I5" s="939" t="s">
        <v>133</v>
      </c>
      <c r="J5" s="2688">
        <f>Summary!K4</f>
        <v>0</v>
      </c>
      <c r="K5" s="2689"/>
      <c r="L5" s="2689"/>
      <c r="M5" s="2689"/>
      <c r="N5" s="2690"/>
      <c r="O5" s="2691">
        <f>Summary!O4</f>
        <v>0</v>
      </c>
      <c r="P5" s="2692"/>
      <c r="Q5" s="2693"/>
      <c r="R5" s="2694"/>
      <c r="S5" s="298"/>
      <c r="T5" s="298"/>
      <c r="U5" s="1186" t="str">
        <f>Information!H5</f>
        <v>Approved by Chad:</v>
      </c>
      <c r="V5" s="1187"/>
      <c r="W5" s="1189"/>
      <c r="X5" s="1190"/>
      <c r="Y5" s="299"/>
    </row>
    <row r="6" spans="2:60" ht="18" customHeight="1" x14ac:dyDescent="0.35">
      <c r="B6" s="255" t="s">
        <v>115</v>
      </c>
      <c r="C6" s="298"/>
      <c r="D6" s="57" t="s">
        <v>125</v>
      </c>
      <c r="F6" s="298"/>
      <c r="G6" s="298"/>
      <c r="H6" s="938"/>
      <c r="I6" s="939" t="s">
        <v>134</v>
      </c>
      <c r="J6" s="2688">
        <f>Summary!K5</f>
        <v>0</v>
      </c>
      <c r="K6" s="2689"/>
      <c r="L6" s="2689"/>
      <c r="M6" s="2689"/>
      <c r="N6" s="2690"/>
      <c r="O6" s="2691">
        <f>Summary!O5</f>
        <v>0</v>
      </c>
      <c r="P6" s="2692"/>
      <c r="Q6" s="2693"/>
      <c r="R6" s="2694"/>
      <c r="S6" s="298"/>
      <c r="T6" s="298"/>
      <c r="U6" s="1186"/>
      <c r="V6" s="1187"/>
      <c r="W6" s="1187"/>
      <c r="X6" s="1188"/>
      <c r="Y6" s="299"/>
    </row>
    <row r="7" spans="2:60" ht="18" customHeight="1" thickBot="1" x14ac:dyDescent="0.4">
      <c r="B7" s="1252">
        <f>Summary!C6</f>
        <v>0</v>
      </c>
      <c r="C7" s="298"/>
      <c r="D7" s="2735">
        <f>Summary!E6</f>
        <v>0</v>
      </c>
      <c r="E7" s="2736"/>
      <c r="F7" s="298"/>
      <c r="G7" s="298"/>
      <c r="H7" s="889"/>
      <c r="I7" s="940" t="s">
        <v>135</v>
      </c>
      <c r="J7" s="2670">
        <f>Summary!K6</f>
        <v>0</v>
      </c>
      <c r="K7" s="2671"/>
      <c r="L7" s="2671"/>
      <c r="M7" s="2671"/>
      <c r="N7" s="2672"/>
      <c r="O7" s="2673">
        <f>Summary!O6</f>
        <v>0</v>
      </c>
      <c r="P7" s="2674"/>
      <c r="Q7" s="2695"/>
      <c r="R7" s="2696"/>
      <c r="S7" s="298"/>
      <c r="T7" s="298"/>
      <c r="U7" s="1191" t="str">
        <f>Information!H6</f>
        <v>Approved by Edward:</v>
      </c>
      <c r="V7" s="1181"/>
      <c r="W7" s="1181"/>
      <c r="X7" s="1182"/>
      <c r="Y7" s="299"/>
    </row>
    <row r="8" spans="2:60" ht="18" customHeight="1" thickBot="1" x14ac:dyDescent="0.4">
      <c r="B8" s="1253">
        <f>Summary!C7</f>
        <v>0</v>
      </c>
      <c r="C8" s="298"/>
      <c r="D8" s="2735">
        <f>Summary!E7</f>
        <v>0</v>
      </c>
      <c r="E8" s="2736"/>
      <c r="F8" s="298"/>
      <c r="G8" s="1963" t="s">
        <v>308</v>
      </c>
      <c r="H8" s="1963"/>
      <c r="I8" s="1963"/>
      <c r="J8" s="2208" t="str">
        <f>Pricing!A2</f>
        <v>Martin Marrieta</v>
      </c>
      <c r="K8" s="2208"/>
      <c r="L8" s="2208"/>
      <c r="M8" s="2208"/>
      <c r="N8" s="2208"/>
      <c r="O8" s="298"/>
      <c r="P8" s="298"/>
      <c r="Q8" s="298"/>
      <c r="R8" s="298"/>
      <c r="S8" s="298"/>
      <c r="T8" s="298"/>
      <c r="V8" s="298"/>
      <c r="W8" s="298"/>
      <c r="X8" s="310"/>
      <c r="Y8" s="299"/>
    </row>
    <row r="9" spans="2:60" ht="18" customHeight="1" x14ac:dyDescent="0.35">
      <c r="B9" s="798"/>
      <c r="C9" s="799"/>
      <c r="D9" s="799"/>
      <c r="E9" s="2269" t="s">
        <v>35</v>
      </c>
      <c r="F9" s="1931" t="s">
        <v>1050</v>
      </c>
      <c r="G9" s="1917"/>
      <c r="H9" s="1982"/>
      <c r="I9" s="1931" t="s">
        <v>289</v>
      </c>
      <c r="J9" s="1982"/>
      <c r="K9" s="1931" t="s">
        <v>317</v>
      </c>
      <c r="L9" s="1982"/>
      <c r="M9" s="1931" t="s">
        <v>318</v>
      </c>
      <c r="N9" s="1982"/>
      <c r="O9" s="1931" t="s">
        <v>319</v>
      </c>
      <c r="P9" s="1982"/>
      <c r="Q9" s="1931" t="s">
        <v>324</v>
      </c>
      <c r="R9" s="1917"/>
      <c r="S9" s="1982"/>
      <c r="T9" s="1931" t="s">
        <v>321</v>
      </c>
      <c r="U9" s="1917"/>
      <c r="V9" s="1982"/>
      <c r="W9" s="2501" t="s">
        <v>296</v>
      </c>
      <c r="X9" s="2503" t="s">
        <v>64</v>
      </c>
      <c r="Y9" s="299"/>
      <c r="AP9" t="s">
        <v>297</v>
      </c>
    </row>
    <row r="10" spans="2:60" ht="29.25" customHeight="1" thickBot="1" x14ac:dyDescent="0.4">
      <c r="B10" s="2640" t="s">
        <v>1042</v>
      </c>
      <c r="C10" s="2638"/>
      <c r="D10" s="1199"/>
      <c r="E10" s="2734"/>
      <c r="F10" s="1071" t="s">
        <v>61</v>
      </c>
      <c r="G10" s="1078" t="s">
        <v>62</v>
      </c>
      <c r="H10" s="1071" t="s">
        <v>63</v>
      </c>
      <c r="I10" s="1078" t="s">
        <v>320</v>
      </c>
      <c r="J10" s="1071" t="s">
        <v>28</v>
      </c>
      <c r="K10" s="1078" t="s">
        <v>320</v>
      </c>
      <c r="L10" s="1071" t="s">
        <v>28</v>
      </c>
      <c r="M10" s="1078" t="s">
        <v>320</v>
      </c>
      <c r="N10" s="1071" t="s">
        <v>28</v>
      </c>
      <c r="O10" s="1078" t="s">
        <v>28</v>
      </c>
      <c r="P10" s="1071" t="s">
        <v>29</v>
      </c>
      <c r="Q10" s="1078" t="s">
        <v>28</v>
      </c>
      <c r="R10" s="1076" t="s">
        <v>29</v>
      </c>
      <c r="S10" s="1200" t="s">
        <v>325</v>
      </c>
      <c r="T10" s="1054" t="s">
        <v>52</v>
      </c>
      <c r="U10" s="1135" t="s">
        <v>334</v>
      </c>
      <c r="V10" s="1200" t="s">
        <v>111</v>
      </c>
      <c r="W10" s="2638"/>
      <c r="X10" s="2639"/>
      <c r="Y10" s="299"/>
      <c r="AO10" t="s">
        <v>227</v>
      </c>
      <c r="AP10" t="s">
        <v>228</v>
      </c>
      <c r="AQ10" t="s">
        <v>229</v>
      </c>
      <c r="AR10" t="s">
        <v>230</v>
      </c>
      <c r="AS10" t="s">
        <v>231</v>
      </c>
      <c r="AT10" t="s">
        <v>232</v>
      </c>
      <c r="AU10" t="s">
        <v>106</v>
      </c>
      <c r="AV10" t="s">
        <v>82</v>
      </c>
      <c r="AW10" t="s">
        <v>330</v>
      </c>
      <c r="AX10" t="s">
        <v>331</v>
      </c>
      <c r="AY10" t="s">
        <v>321</v>
      </c>
      <c r="BB10" t="s">
        <v>10</v>
      </c>
      <c r="BC10" t="s">
        <v>337</v>
      </c>
      <c r="BD10" t="s">
        <v>338</v>
      </c>
      <c r="BE10" t="s">
        <v>339</v>
      </c>
      <c r="BF10" t="s">
        <v>340</v>
      </c>
      <c r="BG10" t="s">
        <v>341</v>
      </c>
      <c r="BH10" t="s">
        <v>342</v>
      </c>
    </row>
    <row r="11" spans="2:60" ht="18" customHeight="1" thickTop="1" x14ac:dyDescent="0.35">
      <c r="B11" s="2677"/>
      <c r="C11" s="2053"/>
      <c r="D11" s="421"/>
      <c r="E11" s="1234"/>
      <c r="F11" s="1235"/>
      <c r="G11" s="1236"/>
      <c r="H11" s="1248"/>
      <c r="I11" s="1236"/>
      <c r="J11" s="1237"/>
      <c r="K11" s="1236"/>
      <c r="L11" s="1237"/>
      <c r="M11" s="1236"/>
      <c r="N11" s="1237"/>
      <c r="O11" s="1236"/>
      <c r="P11" s="1237"/>
      <c r="Q11" s="1236"/>
      <c r="R11" s="1238"/>
      <c r="S11" s="1237"/>
      <c r="T11" s="1239"/>
      <c r="U11" s="1240"/>
      <c r="V11" s="1241"/>
      <c r="W11" s="1192">
        <f>IF(P11=0,0,(F11*I11*J11/16*J11/16*10.680159)+((F11*K11*L11/16*L11/16*10.680159)+(M11*2*N11/16*N11/16*10.680159*F11)+((O11/16*O11/16)*3.145*0.2836*((((G11*2)+(H11*2))*F11*12/P11))))+(Q11/16*Q11/16*10.680159*(F11*12/IF(R11=0,1,R11))*S11))*(1+K$52)+T11*U11*V11*H11/198.62*(1+K$53)</f>
        <v>0</v>
      </c>
      <c r="X11" s="865">
        <f t="shared" ref="X11:X36" si="0">((F11*G11/12*H11/324)+ROUNDUP(T11*U11*V11*H11/46656,0))*(1+K$49)</f>
        <v>0</v>
      </c>
      <c r="Y11" s="299"/>
      <c r="AO11">
        <f>IF($E11=1,$X11,0)</f>
        <v>0</v>
      </c>
      <c r="AP11">
        <f t="shared" ref="AP11:AP35" si="1">IF($E11=2,X11,0)</f>
        <v>0</v>
      </c>
      <c r="AQ11">
        <f t="shared" ref="AQ11:AQ35" si="2">IF($E11=3,X11,0)</f>
        <v>0</v>
      </c>
      <c r="AR11">
        <f t="shared" ref="AR11:AR35" si="3">IF($E11=4,X11,0)</f>
        <v>0</v>
      </c>
      <c r="AS11">
        <f t="shared" ref="AS11:AS35" si="4">IF($E11=5,X11,0)</f>
        <v>0</v>
      </c>
      <c r="AT11">
        <f t="shared" ref="AT11:AT35" si="5">IF($E11=6,X11,0)</f>
        <v>0</v>
      </c>
      <c r="AU11">
        <f>SUM(AO11:AT11)</f>
        <v>0</v>
      </c>
      <c r="AV11">
        <f>W11</f>
        <v>0</v>
      </c>
      <c r="AW11">
        <f>F11*H11/12*2</f>
        <v>0</v>
      </c>
      <c r="AX11">
        <f>F11*H11/12</f>
        <v>0</v>
      </c>
      <c r="AY11">
        <f>(V11+U11)*H11/144*T11</f>
        <v>0</v>
      </c>
      <c r="BB11">
        <f t="shared" ref="BB11:BB36" si="6">W11*G$52*IF(U$40="N",(1+W$40),1)</f>
        <v>0</v>
      </c>
      <c r="BC11">
        <f>(AO11*Pricing!F$2+'Gd Beams or Cont Footings'!AP11*Pricing!G$2+'Gd Beams or Cont Footings'!AQ11*Pricing!H$2+'Gd Beams or Cont Footings'!AR11*Pricing!I$2+'Gd Beams or Cont Footings'!AS11*Pricing!J$2+'Gd Beams or Cont Footings'!AT11*Pricing!K$2)*IF(U$40="N",(1+W$40),1)</f>
        <v>0</v>
      </c>
      <c r="BD11">
        <f t="shared" ref="BD11:BD36" si="7">AX11*H$63+E$66</f>
        <v>0</v>
      </c>
      <c r="BE11">
        <f t="shared" ref="BE11:BE36" si="8">T11*E$62</f>
        <v>0</v>
      </c>
      <c r="BF11">
        <f t="shared" ref="BF11:BF36" si="9">W11/2000*E$67</f>
        <v>0</v>
      </c>
      <c r="BG11" t="e">
        <f t="shared" ref="BG11:BG36" si="10">I$68/E$37*F11</f>
        <v>#DIV/0!</v>
      </c>
      <c r="BH11">
        <f>SUM(O71:P73)+SUM(O75:P80)+SUM(O82:P87)</f>
        <v>0</v>
      </c>
    </row>
    <row r="12" spans="2:60" ht="18" customHeight="1" x14ac:dyDescent="0.35">
      <c r="B12" s="2716"/>
      <c r="C12" s="2717"/>
      <c r="D12" s="445"/>
      <c r="E12" s="393"/>
      <c r="F12" s="1224"/>
      <c r="G12" s="1221"/>
      <c r="H12" s="1249"/>
      <c r="I12" s="1221"/>
      <c r="J12" s="179"/>
      <c r="K12" s="1221"/>
      <c r="L12" s="179"/>
      <c r="M12" s="1221"/>
      <c r="N12" s="179"/>
      <c r="O12" s="1221"/>
      <c r="P12" s="179"/>
      <c r="Q12" s="1221"/>
      <c r="R12" s="1222"/>
      <c r="S12" s="179"/>
      <c r="T12" s="1225"/>
      <c r="U12" s="448"/>
      <c r="V12" s="1228"/>
      <c r="W12" s="1192">
        <f t="shared" ref="W12:W36" si="11">IF(P12=0,0,(F12*I12*J12/16*J12/16*10.680159)+((F12*K12*L12/16*L12/16*10.680159)+(M12*2*N12/16*N12/16*10.680159*F12)+((O12/16*O12/16)*3.145*0.2836*((((G12*2)+(H12*2))*F12*12/P12))))+(Q12/16*Q12/16*10.680159*(F12*12/IF(R12=0,1,R12))*S12))*(1+K$52)+T12*U12*V12*H12/198.62*(1+K$53)</f>
        <v>0</v>
      </c>
      <c r="X12" s="865">
        <f t="shared" si="0"/>
        <v>0</v>
      </c>
      <c r="Y12" s="299"/>
      <c r="AO12">
        <f t="shared" ref="AO12:AO35" si="12">IF(E12=1,X12,0)</f>
        <v>0</v>
      </c>
      <c r="AP12">
        <f t="shared" si="1"/>
        <v>0</v>
      </c>
      <c r="AQ12">
        <f t="shared" si="2"/>
        <v>0</v>
      </c>
      <c r="AR12">
        <f t="shared" si="3"/>
        <v>0</v>
      </c>
      <c r="AS12">
        <f t="shared" si="4"/>
        <v>0</v>
      </c>
      <c r="AT12">
        <f t="shared" si="5"/>
        <v>0</v>
      </c>
      <c r="AU12">
        <f t="shared" ref="AU12:AU36" si="13">SUM(AO12:AT12)</f>
        <v>0</v>
      </c>
      <c r="AW12">
        <f t="shared" ref="AW12:AW36" si="14">F12*H12/12*2</f>
        <v>0</v>
      </c>
      <c r="AX12">
        <f t="shared" ref="AX12:AX36" si="15">F12*H12/12</f>
        <v>0</v>
      </c>
      <c r="AY12">
        <f t="shared" ref="AY12:AY36" si="16">(V12+U12)*H12/144*T12</f>
        <v>0</v>
      </c>
      <c r="BB12">
        <f t="shared" si="6"/>
        <v>0</v>
      </c>
      <c r="BC12">
        <f>(AO12*Pricing!F$2+'Gd Beams or Cont Footings'!AP12*Pricing!G$2+'Gd Beams or Cont Footings'!AQ12*Pricing!H$2+'Gd Beams or Cont Footings'!AR12*Pricing!I$2+'Gd Beams or Cont Footings'!AS12*Pricing!J$2+'Gd Beams or Cont Footings'!AT12*Pricing!K$2)*IF(U$40="N",(1+W$40),1)</f>
        <v>0</v>
      </c>
      <c r="BD12">
        <f t="shared" si="7"/>
        <v>0</v>
      </c>
      <c r="BE12">
        <f t="shared" si="8"/>
        <v>0</v>
      </c>
      <c r="BF12">
        <f t="shared" si="9"/>
        <v>0</v>
      </c>
      <c r="BG12" t="e">
        <f t="shared" si="10"/>
        <v>#DIV/0!</v>
      </c>
    </row>
    <row r="13" spans="2:60" ht="18" customHeight="1" x14ac:dyDescent="0.35">
      <c r="B13" s="2675"/>
      <c r="C13" s="2676"/>
      <c r="D13" s="1223"/>
      <c r="E13" s="1229"/>
      <c r="F13" s="1224"/>
      <c r="G13" s="1219"/>
      <c r="H13" s="1250"/>
      <c r="I13" s="1219"/>
      <c r="J13" s="177"/>
      <c r="K13" s="1219"/>
      <c r="L13" s="177"/>
      <c r="M13" s="1219"/>
      <c r="N13" s="177"/>
      <c r="O13" s="1219"/>
      <c r="P13" s="177"/>
      <c r="Q13" s="1219"/>
      <c r="R13" s="1220"/>
      <c r="S13" s="177"/>
      <c r="T13" s="781"/>
      <c r="U13" s="1226"/>
      <c r="V13" s="1227"/>
      <c r="W13" s="1192">
        <f t="shared" si="11"/>
        <v>0</v>
      </c>
      <c r="X13" s="865">
        <f t="shared" si="0"/>
        <v>0</v>
      </c>
      <c r="Y13" s="299"/>
      <c r="AO13">
        <f t="shared" si="12"/>
        <v>0</v>
      </c>
      <c r="AP13">
        <f t="shared" si="1"/>
        <v>0</v>
      </c>
      <c r="AQ13">
        <f t="shared" si="2"/>
        <v>0</v>
      </c>
      <c r="AR13">
        <f t="shared" si="3"/>
        <v>0</v>
      </c>
      <c r="AS13">
        <f t="shared" si="4"/>
        <v>0</v>
      </c>
      <c r="AT13">
        <f t="shared" si="5"/>
        <v>0</v>
      </c>
      <c r="AU13">
        <f t="shared" si="13"/>
        <v>0</v>
      </c>
      <c r="AW13">
        <f t="shared" si="14"/>
        <v>0</v>
      </c>
      <c r="AX13">
        <f t="shared" si="15"/>
        <v>0</v>
      </c>
      <c r="AY13">
        <f t="shared" si="16"/>
        <v>0</v>
      </c>
      <c r="BB13">
        <f t="shared" si="6"/>
        <v>0</v>
      </c>
      <c r="BC13">
        <f>(AO13*Pricing!F$2+'Gd Beams or Cont Footings'!AP13*Pricing!G$2+'Gd Beams or Cont Footings'!AQ13*Pricing!H$2+'Gd Beams or Cont Footings'!AR13*Pricing!I$2+'Gd Beams or Cont Footings'!AS13*Pricing!J$2+'Gd Beams or Cont Footings'!AT13*Pricing!K$2)*IF(U$40="N",(1+W$40),1)</f>
        <v>0</v>
      </c>
      <c r="BD13">
        <f t="shared" si="7"/>
        <v>0</v>
      </c>
      <c r="BE13">
        <f t="shared" si="8"/>
        <v>0</v>
      </c>
      <c r="BF13">
        <f t="shared" si="9"/>
        <v>0</v>
      </c>
      <c r="BG13" t="e">
        <f t="shared" si="10"/>
        <v>#DIV/0!</v>
      </c>
    </row>
    <row r="14" spans="2:60" ht="18" customHeight="1" x14ac:dyDescent="0.35">
      <c r="B14" s="2716"/>
      <c r="C14" s="2717"/>
      <c r="D14" s="445"/>
      <c r="E14" s="393"/>
      <c r="F14" s="1224"/>
      <c r="G14" s="1221"/>
      <c r="H14" s="1249"/>
      <c r="I14" s="1221"/>
      <c r="J14" s="179"/>
      <c r="K14" s="1221"/>
      <c r="L14" s="179"/>
      <c r="M14" s="1221"/>
      <c r="N14" s="179"/>
      <c r="O14" s="1221"/>
      <c r="P14" s="179"/>
      <c r="Q14" s="1221"/>
      <c r="R14" s="1222"/>
      <c r="S14" s="179"/>
      <c r="T14" s="1225"/>
      <c r="U14" s="448"/>
      <c r="V14" s="1228"/>
      <c r="W14" s="1192">
        <f t="shared" si="11"/>
        <v>0</v>
      </c>
      <c r="X14" s="865">
        <f t="shared" si="0"/>
        <v>0</v>
      </c>
      <c r="Y14" s="299"/>
      <c r="AO14">
        <f t="shared" si="12"/>
        <v>0</v>
      </c>
      <c r="AP14">
        <f t="shared" si="1"/>
        <v>0</v>
      </c>
      <c r="AQ14">
        <f t="shared" si="2"/>
        <v>0</v>
      </c>
      <c r="AR14">
        <f t="shared" si="3"/>
        <v>0</v>
      </c>
      <c r="AS14">
        <f t="shared" si="4"/>
        <v>0</v>
      </c>
      <c r="AT14">
        <f t="shared" si="5"/>
        <v>0</v>
      </c>
      <c r="AU14">
        <f t="shared" si="13"/>
        <v>0</v>
      </c>
      <c r="AW14">
        <f t="shared" si="14"/>
        <v>0</v>
      </c>
      <c r="AX14">
        <f t="shared" si="15"/>
        <v>0</v>
      </c>
      <c r="AY14">
        <f t="shared" si="16"/>
        <v>0</v>
      </c>
      <c r="BB14">
        <f t="shared" si="6"/>
        <v>0</v>
      </c>
      <c r="BC14">
        <f>(AO14*Pricing!F$2+'Gd Beams or Cont Footings'!AP14*Pricing!G$2+'Gd Beams or Cont Footings'!AQ14*Pricing!H$2+'Gd Beams or Cont Footings'!AR14*Pricing!I$2+'Gd Beams or Cont Footings'!AS14*Pricing!J$2+'Gd Beams or Cont Footings'!AT14*Pricing!K$2)*IF(U$40="N",(1+W$40),1)</f>
        <v>0</v>
      </c>
      <c r="BD14">
        <f t="shared" si="7"/>
        <v>0</v>
      </c>
      <c r="BE14">
        <f t="shared" si="8"/>
        <v>0</v>
      </c>
      <c r="BF14">
        <f t="shared" si="9"/>
        <v>0</v>
      </c>
      <c r="BG14" t="e">
        <f t="shared" si="10"/>
        <v>#DIV/0!</v>
      </c>
    </row>
    <row r="15" spans="2:60" ht="18" customHeight="1" x14ac:dyDescent="0.35">
      <c r="B15" s="2675"/>
      <c r="C15" s="2676"/>
      <c r="D15" s="1223"/>
      <c r="E15" s="1229"/>
      <c r="F15" s="1224"/>
      <c r="G15" s="1219"/>
      <c r="H15" s="1250"/>
      <c r="I15" s="1219"/>
      <c r="J15" s="177"/>
      <c r="K15" s="1219"/>
      <c r="L15" s="177"/>
      <c r="M15" s="1219"/>
      <c r="N15" s="177"/>
      <c r="O15" s="1219"/>
      <c r="P15" s="177"/>
      <c r="Q15" s="1219"/>
      <c r="R15" s="1220"/>
      <c r="S15" s="177"/>
      <c r="T15" s="781"/>
      <c r="U15" s="1226"/>
      <c r="V15" s="1227"/>
      <c r="W15" s="1192">
        <f t="shared" si="11"/>
        <v>0</v>
      </c>
      <c r="X15" s="865">
        <f t="shared" si="0"/>
        <v>0</v>
      </c>
      <c r="Y15" s="299"/>
      <c r="AO15">
        <f t="shared" si="12"/>
        <v>0</v>
      </c>
      <c r="AP15">
        <f t="shared" si="1"/>
        <v>0</v>
      </c>
      <c r="AQ15">
        <f t="shared" si="2"/>
        <v>0</v>
      </c>
      <c r="AR15">
        <f t="shared" si="3"/>
        <v>0</v>
      </c>
      <c r="AS15">
        <f t="shared" si="4"/>
        <v>0</v>
      </c>
      <c r="AT15">
        <f t="shared" si="5"/>
        <v>0</v>
      </c>
      <c r="AU15">
        <f t="shared" si="13"/>
        <v>0</v>
      </c>
      <c r="AW15">
        <f t="shared" si="14"/>
        <v>0</v>
      </c>
      <c r="AX15">
        <f t="shared" si="15"/>
        <v>0</v>
      </c>
      <c r="AY15">
        <f t="shared" si="16"/>
        <v>0</v>
      </c>
      <c r="BB15">
        <f t="shared" si="6"/>
        <v>0</v>
      </c>
      <c r="BC15">
        <f>(AO15*Pricing!F$2+'Gd Beams or Cont Footings'!AP15*Pricing!G$2+'Gd Beams or Cont Footings'!AQ15*Pricing!H$2+'Gd Beams or Cont Footings'!AR15*Pricing!I$2+'Gd Beams or Cont Footings'!AS15*Pricing!J$2+'Gd Beams or Cont Footings'!AT15*Pricing!K$2)*IF(U$40="N",(1+W$40),1)</f>
        <v>0</v>
      </c>
      <c r="BD15">
        <f t="shared" si="7"/>
        <v>0</v>
      </c>
      <c r="BE15">
        <f t="shared" si="8"/>
        <v>0</v>
      </c>
      <c r="BF15">
        <f t="shared" si="9"/>
        <v>0</v>
      </c>
      <c r="BG15" t="e">
        <f t="shared" si="10"/>
        <v>#DIV/0!</v>
      </c>
    </row>
    <row r="16" spans="2:60" ht="18" customHeight="1" x14ac:dyDescent="0.35">
      <c r="B16" s="2716"/>
      <c r="C16" s="2717"/>
      <c r="D16" s="445"/>
      <c r="E16" s="393"/>
      <c r="F16" s="1224"/>
      <c r="G16" s="1221"/>
      <c r="H16" s="1249"/>
      <c r="I16" s="1221"/>
      <c r="J16" s="179"/>
      <c r="K16" s="1221"/>
      <c r="L16" s="179"/>
      <c r="M16" s="1221"/>
      <c r="N16" s="179"/>
      <c r="O16" s="1221"/>
      <c r="P16" s="179"/>
      <c r="Q16" s="1221"/>
      <c r="R16" s="1222"/>
      <c r="S16" s="179"/>
      <c r="T16" s="1225"/>
      <c r="U16" s="448"/>
      <c r="V16" s="1228"/>
      <c r="W16" s="1192">
        <f t="shared" si="11"/>
        <v>0</v>
      </c>
      <c r="X16" s="865">
        <f t="shared" si="0"/>
        <v>0</v>
      </c>
      <c r="Y16" s="299"/>
      <c r="AO16">
        <f t="shared" si="12"/>
        <v>0</v>
      </c>
      <c r="AP16">
        <f t="shared" si="1"/>
        <v>0</v>
      </c>
      <c r="AQ16">
        <f t="shared" si="2"/>
        <v>0</v>
      </c>
      <c r="AR16">
        <f t="shared" si="3"/>
        <v>0</v>
      </c>
      <c r="AS16">
        <f t="shared" si="4"/>
        <v>0</v>
      </c>
      <c r="AT16">
        <f t="shared" si="5"/>
        <v>0</v>
      </c>
      <c r="AU16">
        <f t="shared" si="13"/>
        <v>0</v>
      </c>
      <c r="AW16">
        <f t="shared" si="14"/>
        <v>0</v>
      </c>
      <c r="AX16">
        <f t="shared" si="15"/>
        <v>0</v>
      </c>
      <c r="AY16">
        <f t="shared" si="16"/>
        <v>0</v>
      </c>
      <c r="BB16">
        <f t="shared" si="6"/>
        <v>0</v>
      </c>
      <c r="BC16">
        <f>(AO16*Pricing!F$2+'Gd Beams or Cont Footings'!AP16*Pricing!G$2+'Gd Beams or Cont Footings'!AQ16*Pricing!H$2+'Gd Beams or Cont Footings'!AR16*Pricing!I$2+'Gd Beams or Cont Footings'!AS16*Pricing!J$2+'Gd Beams or Cont Footings'!AT16*Pricing!K$2)*IF(U$40="N",(1+W$40),1)</f>
        <v>0</v>
      </c>
      <c r="BD16">
        <f t="shared" si="7"/>
        <v>0</v>
      </c>
      <c r="BE16">
        <f t="shared" si="8"/>
        <v>0</v>
      </c>
      <c r="BF16">
        <f t="shared" si="9"/>
        <v>0</v>
      </c>
      <c r="BG16" t="e">
        <f t="shared" si="10"/>
        <v>#DIV/0!</v>
      </c>
    </row>
    <row r="17" spans="2:59" ht="18" customHeight="1" x14ac:dyDescent="0.35">
      <c r="B17" s="2675"/>
      <c r="C17" s="2676"/>
      <c r="D17" s="1223"/>
      <c r="E17" s="1229"/>
      <c r="F17" s="1224"/>
      <c r="G17" s="1219"/>
      <c r="H17" s="1250"/>
      <c r="I17" s="1219"/>
      <c r="J17" s="177"/>
      <c r="K17" s="1219"/>
      <c r="L17" s="177"/>
      <c r="M17" s="1219"/>
      <c r="N17" s="177"/>
      <c r="O17" s="1219"/>
      <c r="P17" s="177"/>
      <c r="Q17" s="1219"/>
      <c r="R17" s="1220"/>
      <c r="S17" s="177"/>
      <c r="T17" s="781"/>
      <c r="U17" s="1226"/>
      <c r="V17" s="1227"/>
      <c r="W17" s="1192">
        <f t="shared" si="11"/>
        <v>0</v>
      </c>
      <c r="X17" s="865">
        <f t="shared" si="0"/>
        <v>0</v>
      </c>
      <c r="Y17" s="299"/>
      <c r="AO17">
        <f t="shared" si="12"/>
        <v>0</v>
      </c>
      <c r="AP17">
        <f t="shared" si="1"/>
        <v>0</v>
      </c>
      <c r="AQ17">
        <f t="shared" si="2"/>
        <v>0</v>
      </c>
      <c r="AR17">
        <f t="shared" si="3"/>
        <v>0</v>
      </c>
      <c r="AS17">
        <f t="shared" si="4"/>
        <v>0</v>
      </c>
      <c r="AT17">
        <f t="shared" si="5"/>
        <v>0</v>
      </c>
      <c r="AU17">
        <f t="shared" si="13"/>
        <v>0</v>
      </c>
      <c r="AW17">
        <f t="shared" si="14"/>
        <v>0</v>
      </c>
      <c r="AX17">
        <f t="shared" si="15"/>
        <v>0</v>
      </c>
      <c r="AY17">
        <f t="shared" si="16"/>
        <v>0</v>
      </c>
      <c r="BB17">
        <f t="shared" si="6"/>
        <v>0</v>
      </c>
      <c r="BC17">
        <f>(AO17*Pricing!F$2+'Gd Beams or Cont Footings'!AP17*Pricing!G$2+'Gd Beams or Cont Footings'!AQ17*Pricing!H$2+'Gd Beams or Cont Footings'!AR17*Pricing!I$2+'Gd Beams or Cont Footings'!AS17*Pricing!J$2+'Gd Beams or Cont Footings'!AT17*Pricing!K$2)*IF(U$40="N",(1+W$40),1)</f>
        <v>0</v>
      </c>
      <c r="BD17">
        <f t="shared" si="7"/>
        <v>0</v>
      </c>
      <c r="BE17">
        <f t="shared" si="8"/>
        <v>0</v>
      </c>
      <c r="BF17">
        <f t="shared" si="9"/>
        <v>0</v>
      </c>
      <c r="BG17" t="e">
        <f t="shared" si="10"/>
        <v>#DIV/0!</v>
      </c>
    </row>
    <row r="18" spans="2:59" ht="18" customHeight="1" x14ac:dyDescent="0.35">
      <c r="B18" s="2716"/>
      <c r="C18" s="2717"/>
      <c r="D18" s="445"/>
      <c r="E18" s="393"/>
      <c r="F18" s="1224"/>
      <c r="G18" s="1221"/>
      <c r="H18" s="1249"/>
      <c r="I18" s="1221"/>
      <c r="J18" s="179"/>
      <c r="K18" s="1221"/>
      <c r="L18" s="179"/>
      <c r="M18" s="1221"/>
      <c r="N18" s="179"/>
      <c r="O18" s="1221"/>
      <c r="P18" s="179"/>
      <c r="Q18" s="1221"/>
      <c r="R18" s="1222"/>
      <c r="S18" s="179"/>
      <c r="T18" s="1225"/>
      <c r="U18" s="448"/>
      <c r="V18" s="1228"/>
      <c r="W18" s="1192">
        <f t="shared" si="11"/>
        <v>0</v>
      </c>
      <c r="X18" s="865">
        <f t="shared" si="0"/>
        <v>0</v>
      </c>
      <c r="Y18" s="299"/>
      <c r="AO18">
        <f t="shared" si="12"/>
        <v>0</v>
      </c>
      <c r="AP18">
        <f t="shared" si="1"/>
        <v>0</v>
      </c>
      <c r="AQ18">
        <f t="shared" si="2"/>
        <v>0</v>
      </c>
      <c r="AR18">
        <f t="shared" si="3"/>
        <v>0</v>
      </c>
      <c r="AS18">
        <f t="shared" si="4"/>
        <v>0</v>
      </c>
      <c r="AT18">
        <f t="shared" si="5"/>
        <v>0</v>
      </c>
      <c r="AU18">
        <f t="shared" si="13"/>
        <v>0</v>
      </c>
      <c r="AW18">
        <f t="shared" si="14"/>
        <v>0</v>
      </c>
      <c r="AX18">
        <f t="shared" si="15"/>
        <v>0</v>
      </c>
      <c r="AY18">
        <f t="shared" si="16"/>
        <v>0</v>
      </c>
      <c r="BB18">
        <f t="shared" si="6"/>
        <v>0</v>
      </c>
      <c r="BC18">
        <f>(AO18*Pricing!F$2+'Gd Beams or Cont Footings'!AP18*Pricing!G$2+'Gd Beams or Cont Footings'!AQ18*Pricing!H$2+'Gd Beams or Cont Footings'!AR18*Pricing!I$2+'Gd Beams or Cont Footings'!AS18*Pricing!J$2+'Gd Beams or Cont Footings'!AT18*Pricing!K$2)*IF(U$40="N",(1+W$40),1)</f>
        <v>0</v>
      </c>
      <c r="BD18">
        <f t="shared" si="7"/>
        <v>0</v>
      </c>
      <c r="BE18">
        <f t="shared" si="8"/>
        <v>0</v>
      </c>
      <c r="BF18">
        <f t="shared" si="9"/>
        <v>0</v>
      </c>
      <c r="BG18" t="e">
        <f t="shared" si="10"/>
        <v>#DIV/0!</v>
      </c>
    </row>
    <row r="19" spans="2:59" ht="18" customHeight="1" x14ac:dyDescent="0.35">
      <c r="B19" s="2675"/>
      <c r="C19" s="2676"/>
      <c r="D19" s="1223"/>
      <c r="E19" s="1229"/>
      <c r="F19" s="1224"/>
      <c r="G19" s="1219"/>
      <c r="H19" s="1250"/>
      <c r="I19" s="1219"/>
      <c r="J19" s="177"/>
      <c r="K19" s="1219"/>
      <c r="L19" s="177"/>
      <c r="M19" s="1219"/>
      <c r="N19" s="177"/>
      <c r="O19" s="1219"/>
      <c r="P19" s="177"/>
      <c r="Q19" s="1219"/>
      <c r="R19" s="1220"/>
      <c r="S19" s="177"/>
      <c r="T19" s="781"/>
      <c r="U19" s="1226"/>
      <c r="V19" s="1227"/>
      <c r="W19" s="1192">
        <f t="shared" si="11"/>
        <v>0</v>
      </c>
      <c r="X19" s="865">
        <f t="shared" si="0"/>
        <v>0</v>
      </c>
      <c r="Y19" s="299"/>
      <c r="AO19">
        <f t="shared" si="12"/>
        <v>0</v>
      </c>
      <c r="AP19">
        <f t="shared" si="1"/>
        <v>0</v>
      </c>
      <c r="AQ19">
        <f t="shared" si="2"/>
        <v>0</v>
      </c>
      <c r="AR19">
        <f t="shared" si="3"/>
        <v>0</v>
      </c>
      <c r="AS19">
        <f t="shared" si="4"/>
        <v>0</v>
      </c>
      <c r="AT19">
        <f t="shared" si="5"/>
        <v>0</v>
      </c>
      <c r="AU19">
        <f t="shared" si="13"/>
        <v>0</v>
      </c>
      <c r="AW19">
        <f t="shared" si="14"/>
        <v>0</v>
      </c>
      <c r="AX19">
        <f t="shared" si="15"/>
        <v>0</v>
      </c>
      <c r="AY19">
        <f t="shared" si="16"/>
        <v>0</v>
      </c>
      <c r="BB19">
        <f t="shared" si="6"/>
        <v>0</v>
      </c>
      <c r="BC19">
        <f>(AO19*Pricing!F$2+'Gd Beams or Cont Footings'!AP19*Pricing!G$2+'Gd Beams or Cont Footings'!AQ19*Pricing!H$2+'Gd Beams or Cont Footings'!AR19*Pricing!I$2+'Gd Beams or Cont Footings'!AS19*Pricing!J$2+'Gd Beams or Cont Footings'!AT19*Pricing!K$2)*IF(U$40="N",(1+W$40),1)</f>
        <v>0</v>
      </c>
      <c r="BD19">
        <f t="shared" si="7"/>
        <v>0</v>
      </c>
      <c r="BE19">
        <f t="shared" si="8"/>
        <v>0</v>
      </c>
      <c r="BF19">
        <f t="shared" si="9"/>
        <v>0</v>
      </c>
      <c r="BG19" t="e">
        <f t="shared" si="10"/>
        <v>#DIV/0!</v>
      </c>
    </row>
    <row r="20" spans="2:59" ht="18" customHeight="1" x14ac:dyDescent="0.35">
      <c r="B20" s="2716"/>
      <c r="C20" s="2717"/>
      <c r="D20" s="445"/>
      <c r="E20" s="393"/>
      <c r="F20" s="1224"/>
      <c r="G20" s="1221"/>
      <c r="H20" s="1249"/>
      <c r="I20" s="1221"/>
      <c r="J20" s="179"/>
      <c r="K20" s="1221"/>
      <c r="L20" s="179"/>
      <c r="M20" s="1221"/>
      <c r="N20" s="179"/>
      <c r="O20" s="1221"/>
      <c r="P20" s="179"/>
      <c r="Q20" s="1221"/>
      <c r="R20" s="1222"/>
      <c r="S20" s="179"/>
      <c r="T20" s="1225"/>
      <c r="U20" s="448"/>
      <c r="V20" s="1228"/>
      <c r="W20" s="1192">
        <f t="shared" si="11"/>
        <v>0</v>
      </c>
      <c r="X20" s="865">
        <f t="shared" si="0"/>
        <v>0</v>
      </c>
      <c r="Y20" s="299"/>
      <c r="AO20">
        <f t="shared" si="12"/>
        <v>0</v>
      </c>
      <c r="AP20">
        <f t="shared" si="1"/>
        <v>0</v>
      </c>
      <c r="AQ20">
        <f t="shared" si="2"/>
        <v>0</v>
      </c>
      <c r="AR20">
        <f t="shared" si="3"/>
        <v>0</v>
      </c>
      <c r="AS20">
        <f t="shared" si="4"/>
        <v>0</v>
      </c>
      <c r="AT20">
        <f t="shared" si="5"/>
        <v>0</v>
      </c>
      <c r="AU20">
        <f t="shared" si="13"/>
        <v>0</v>
      </c>
      <c r="AW20">
        <f t="shared" si="14"/>
        <v>0</v>
      </c>
      <c r="AX20">
        <f t="shared" si="15"/>
        <v>0</v>
      </c>
      <c r="AY20">
        <f t="shared" si="16"/>
        <v>0</v>
      </c>
      <c r="BB20">
        <f t="shared" si="6"/>
        <v>0</v>
      </c>
      <c r="BC20">
        <f>(AO20*Pricing!F$2+'Gd Beams or Cont Footings'!AP20*Pricing!G$2+'Gd Beams or Cont Footings'!AQ20*Pricing!H$2+'Gd Beams or Cont Footings'!AR20*Pricing!I$2+'Gd Beams or Cont Footings'!AS20*Pricing!J$2+'Gd Beams or Cont Footings'!AT20*Pricing!K$2)*IF(U$40="N",(1+W$40),1)</f>
        <v>0</v>
      </c>
      <c r="BD20">
        <f t="shared" si="7"/>
        <v>0</v>
      </c>
      <c r="BE20">
        <f t="shared" si="8"/>
        <v>0</v>
      </c>
      <c r="BF20">
        <f t="shared" si="9"/>
        <v>0</v>
      </c>
      <c r="BG20" t="e">
        <f t="shared" si="10"/>
        <v>#DIV/0!</v>
      </c>
    </row>
    <row r="21" spans="2:59" ht="18" customHeight="1" x14ac:dyDescent="0.35">
      <c r="B21" s="2675"/>
      <c r="C21" s="2676"/>
      <c r="D21" s="1223"/>
      <c r="E21" s="1229"/>
      <c r="F21" s="1224"/>
      <c r="G21" s="1219"/>
      <c r="H21" s="1250"/>
      <c r="I21" s="1219"/>
      <c r="J21" s="177"/>
      <c r="K21" s="1219"/>
      <c r="L21" s="177"/>
      <c r="M21" s="1219"/>
      <c r="N21" s="177"/>
      <c r="O21" s="1219"/>
      <c r="P21" s="177"/>
      <c r="Q21" s="1219"/>
      <c r="R21" s="1220"/>
      <c r="S21" s="177"/>
      <c r="T21" s="781"/>
      <c r="U21" s="1226"/>
      <c r="V21" s="1227"/>
      <c r="W21" s="1192">
        <f t="shared" si="11"/>
        <v>0</v>
      </c>
      <c r="X21" s="865">
        <f t="shared" si="0"/>
        <v>0</v>
      </c>
      <c r="Y21" s="299"/>
      <c r="AO21">
        <f t="shared" si="12"/>
        <v>0</v>
      </c>
      <c r="AP21">
        <f t="shared" si="1"/>
        <v>0</v>
      </c>
      <c r="AQ21">
        <f t="shared" si="2"/>
        <v>0</v>
      </c>
      <c r="AR21">
        <f t="shared" si="3"/>
        <v>0</v>
      </c>
      <c r="AS21">
        <f t="shared" si="4"/>
        <v>0</v>
      </c>
      <c r="AT21">
        <f t="shared" si="5"/>
        <v>0</v>
      </c>
      <c r="AU21">
        <f t="shared" si="13"/>
        <v>0</v>
      </c>
      <c r="AW21">
        <f t="shared" si="14"/>
        <v>0</v>
      </c>
      <c r="AX21">
        <f t="shared" si="15"/>
        <v>0</v>
      </c>
      <c r="AY21">
        <f t="shared" si="16"/>
        <v>0</v>
      </c>
      <c r="BB21">
        <f t="shared" si="6"/>
        <v>0</v>
      </c>
      <c r="BC21">
        <f>(AO21*Pricing!F$2+'Gd Beams or Cont Footings'!AP21*Pricing!G$2+'Gd Beams or Cont Footings'!AQ21*Pricing!H$2+'Gd Beams or Cont Footings'!AR21*Pricing!I$2+'Gd Beams or Cont Footings'!AS21*Pricing!J$2+'Gd Beams or Cont Footings'!AT21*Pricing!K$2)*IF(U$40="N",(1+W$40),1)</f>
        <v>0</v>
      </c>
      <c r="BD21">
        <f t="shared" si="7"/>
        <v>0</v>
      </c>
      <c r="BE21">
        <f t="shared" si="8"/>
        <v>0</v>
      </c>
      <c r="BF21">
        <f t="shared" si="9"/>
        <v>0</v>
      </c>
      <c r="BG21" t="e">
        <f t="shared" si="10"/>
        <v>#DIV/0!</v>
      </c>
    </row>
    <row r="22" spans="2:59" ht="18" customHeight="1" x14ac:dyDescent="0.35">
      <c r="B22" s="2716"/>
      <c r="C22" s="2717"/>
      <c r="D22" s="445"/>
      <c r="E22" s="393"/>
      <c r="F22" s="1224"/>
      <c r="G22" s="1221"/>
      <c r="H22" s="1249"/>
      <c r="I22" s="1221"/>
      <c r="J22" s="179"/>
      <c r="K22" s="1221"/>
      <c r="L22" s="179"/>
      <c r="M22" s="1221"/>
      <c r="N22" s="179"/>
      <c r="O22" s="1221"/>
      <c r="P22" s="179"/>
      <c r="Q22" s="1221"/>
      <c r="R22" s="1222"/>
      <c r="S22" s="179"/>
      <c r="T22" s="1225"/>
      <c r="U22" s="448"/>
      <c r="V22" s="1228"/>
      <c r="W22" s="1192">
        <f t="shared" si="11"/>
        <v>0</v>
      </c>
      <c r="X22" s="865">
        <f t="shared" si="0"/>
        <v>0</v>
      </c>
      <c r="Y22" s="299"/>
      <c r="AO22">
        <f t="shared" si="12"/>
        <v>0</v>
      </c>
      <c r="AP22">
        <f t="shared" si="1"/>
        <v>0</v>
      </c>
      <c r="AQ22">
        <f t="shared" si="2"/>
        <v>0</v>
      </c>
      <c r="AR22">
        <f t="shared" si="3"/>
        <v>0</v>
      </c>
      <c r="AS22">
        <f t="shared" si="4"/>
        <v>0</v>
      </c>
      <c r="AT22">
        <f t="shared" si="5"/>
        <v>0</v>
      </c>
      <c r="AU22">
        <f t="shared" si="13"/>
        <v>0</v>
      </c>
      <c r="AW22">
        <f t="shared" si="14"/>
        <v>0</v>
      </c>
      <c r="AX22">
        <f t="shared" si="15"/>
        <v>0</v>
      </c>
      <c r="AY22">
        <f t="shared" si="16"/>
        <v>0</v>
      </c>
      <c r="BB22">
        <f t="shared" si="6"/>
        <v>0</v>
      </c>
      <c r="BC22">
        <f>(AO22*Pricing!F$2+'Gd Beams or Cont Footings'!AP22*Pricing!G$2+'Gd Beams or Cont Footings'!AQ22*Pricing!H$2+'Gd Beams or Cont Footings'!AR22*Pricing!I$2+'Gd Beams or Cont Footings'!AS22*Pricing!J$2+'Gd Beams or Cont Footings'!AT22*Pricing!K$2)*IF(U$40="N",(1+W$40),1)</f>
        <v>0</v>
      </c>
      <c r="BD22">
        <f t="shared" si="7"/>
        <v>0</v>
      </c>
      <c r="BE22">
        <f t="shared" si="8"/>
        <v>0</v>
      </c>
      <c r="BF22">
        <f t="shared" si="9"/>
        <v>0</v>
      </c>
      <c r="BG22" t="e">
        <f t="shared" si="10"/>
        <v>#DIV/0!</v>
      </c>
    </row>
    <row r="23" spans="2:59" ht="18" customHeight="1" x14ac:dyDescent="0.35">
      <c r="B23" s="2675"/>
      <c r="C23" s="2676"/>
      <c r="D23" s="1223"/>
      <c r="E23" s="1229"/>
      <c r="F23" s="1224"/>
      <c r="G23" s="1219"/>
      <c r="H23" s="1250"/>
      <c r="I23" s="1219"/>
      <c r="J23" s="177"/>
      <c r="K23" s="1219"/>
      <c r="L23" s="177"/>
      <c r="M23" s="1219"/>
      <c r="N23" s="177"/>
      <c r="O23" s="1219"/>
      <c r="P23" s="177"/>
      <c r="Q23" s="1219"/>
      <c r="R23" s="1220"/>
      <c r="S23" s="177"/>
      <c r="T23" s="781"/>
      <c r="U23" s="1226"/>
      <c r="V23" s="1227"/>
      <c r="W23" s="1192">
        <f t="shared" si="11"/>
        <v>0</v>
      </c>
      <c r="X23" s="865">
        <f t="shared" si="0"/>
        <v>0</v>
      </c>
      <c r="Y23" s="299"/>
      <c r="AO23">
        <f t="shared" si="12"/>
        <v>0</v>
      </c>
      <c r="AP23">
        <f t="shared" si="1"/>
        <v>0</v>
      </c>
      <c r="AQ23">
        <f t="shared" si="2"/>
        <v>0</v>
      </c>
      <c r="AR23">
        <f t="shared" si="3"/>
        <v>0</v>
      </c>
      <c r="AS23">
        <f t="shared" si="4"/>
        <v>0</v>
      </c>
      <c r="AT23">
        <f t="shared" si="5"/>
        <v>0</v>
      </c>
      <c r="AU23">
        <f t="shared" si="13"/>
        <v>0</v>
      </c>
      <c r="AW23">
        <f t="shared" si="14"/>
        <v>0</v>
      </c>
      <c r="AX23">
        <f t="shared" si="15"/>
        <v>0</v>
      </c>
      <c r="AY23">
        <f t="shared" si="16"/>
        <v>0</v>
      </c>
      <c r="BB23">
        <f t="shared" si="6"/>
        <v>0</v>
      </c>
      <c r="BC23">
        <f>(AO23*Pricing!F$2+'Gd Beams or Cont Footings'!AP23*Pricing!G$2+'Gd Beams or Cont Footings'!AQ23*Pricing!H$2+'Gd Beams or Cont Footings'!AR23*Pricing!I$2+'Gd Beams or Cont Footings'!AS23*Pricing!J$2+'Gd Beams or Cont Footings'!AT23*Pricing!K$2)*IF(U$40="N",(1+W$40),1)</f>
        <v>0</v>
      </c>
      <c r="BD23">
        <f t="shared" si="7"/>
        <v>0</v>
      </c>
      <c r="BE23">
        <f t="shared" si="8"/>
        <v>0</v>
      </c>
      <c r="BF23">
        <f t="shared" si="9"/>
        <v>0</v>
      </c>
      <c r="BG23" t="e">
        <f t="shared" si="10"/>
        <v>#DIV/0!</v>
      </c>
    </row>
    <row r="24" spans="2:59" ht="18" customHeight="1" x14ac:dyDescent="0.35">
      <c r="B24" s="2716"/>
      <c r="C24" s="2717"/>
      <c r="D24" s="445"/>
      <c r="E24" s="393"/>
      <c r="F24" s="1224"/>
      <c r="G24" s="1221"/>
      <c r="H24" s="1249"/>
      <c r="I24" s="1221"/>
      <c r="J24" s="179"/>
      <c r="K24" s="1221"/>
      <c r="L24" s="179"/>
      <c r="M24" s="1221"/>
      <c r="N24" s="179"/>
      <c r="O24" s="1221"/>
      <c r="P24" s="179"/>
      <c r="Q24" s="1221"/>
      <c r="R24" s="1222"/>
      <c r="S24" s="179"/>
      <c r="T24" s="1225"/>
      <c r="U24" s="448"/>
      <c r="V24" s="1228"/>
      <c r="W24" s="1192">
        <f t="shared" si="11"/>
        <v>0</v>
      </c>
      <c r="X24" s="865">
        <f t="shared" si="0"/>
        <v>0</v>
      </c>
      <c r="Y24" s="299"/>
      <c r="AO24">
        <f t="shared" si="12"/>
        <v>0</v>
      </c>
      <c r="AP24">
        <f t="shared" si="1"/>
        <v>0</v>
      </c>
      <c r="AQ24">
        <f t="shared" si="2"/>
        <v>0</v>
      </c>
      <c r="AR24">
        <f t="shared" si="3"/>
        <v>0</v>
      </c>
      <c r="AS24">
        <f t="shared" si="4"/>
        <v>0</v>
      </c>
      <c r="AT24">
        <f t="shared" si="5"/>
        <v>0</v>
      </c>
      <c r="AU24">
        <f t="shared" si="13"/>
        <v>0</v>
      </c>
      <c r="AW24">
        <f t="shared" si="14"/>
        <v>0</v>
      </c>
      <c r="AX24">
        <f t="shared" si="15"/>
        <v>0</v>
      </c>
      <c r="AY24">
        <f t="shared" si="16"/>
        <v>0</v>
      </c>
      <c r="BB24">
        <f t="shared" si="6"/>
        <v>0</v>
      </c>
      <c r="BC24">
        <f>(AO24*Pricing!F$2+'Gd Beams or Cont Footings'!AP24*Pricing!G$2+'Gd Beams or Cont Footings'!AQ24*Pricing!H$2+'Gd Beams or Cont Footings'!AR24*Pricing!I$2+'Gd Beams or Cont Footings'!AS24*Pricing!J$2+'Gd Beams or Cont Footings'!AT24*Pricing!K$2)*IF(U$40="N",(1+W$40),1)</f>
        <v>0</v>
      </c>
      <c r="BD24">
        <f t="shared" si="7"/>
        <v>0</v>
      </c>
      <c r="BE24">
        <f t="shared" si="8"/>
        <v>0</v>
      </c>
      <c r="BF24">
        <f t="shared" si="9"/>
        <v>0</v>
      </c>
      <c r="BG24" t="e">
        <f t="shared" si="10"/>
        <v>#DIV/0!</v>
      </c>
    </row>
    <row r="25" spans="2:59" ht="18" customHeight="1" x14ac:dyDescent="0.35">
      <c r="B25" s="2675"/>
      <c r="C25" s="2676"/>
      <c r="D25" s="1223"/>
      <c r="E25" s="1229"/>
      <c r="F25" s="1224"/>
      <c r="G25" s="1219"/>
      <c r="H25" s="1250"/>
      <c r="I25" s="1219"/>
      <c r="J25" s="177"/>
      <c r="K25" s="1219"/>
      <c r="L25" s="177"/>
      <c r="M25" s="1219"/>
      <c r="N25" s="177"/>
      <c r="O25" s="1219"/>
      <c r="P25" s="177"/>
      <c r="Q25" s="1219"/>
      <c r="R25" s="1220"/>
      <c r="S25" s="177"/>
      <c r="T25" s="781"/>
      <c r="U25" s="1226"/>
      <c r="V25" s="1227"/>
      <c r="W25" s="1192">
        <f t="shared" si="11"/>
        <v>0</v>
      </c>
      <c r="X25" s="865">
        <f t="shared" si="0"/>
        <v>0</v>
      </c>
      <c r="Y25" s="299"/>
      <c r="AO25">
        <f t="shared" si="12"/>
        <v>0</v>
      </c>
      <c r="AP25">
        <f t="shared" si="1"/>
        <v>0</v>
      </c>
      <c r="AQ25">
        <f t="shared" si="2"/>
        <v>0</v>
      </c>
      <c r="AR25">
        <f t="shared" si="3"/>
        <v>0</v>
      </c>
      <c r="AS25">
        <f t="shared" si="4"/>
        <v>0</v>
      </c>
      <c r="AT25">
        <f t="shared" si="5"/>
        <v>0</v>
      </c>
      <c r="AU25">
        <f t="shared" si="13"/>
        <v>0</v>
      </c>
      <c r="AW25">
        <f t="shared" si="14"/>
        <v>0</v>
      </c>
      <c r="AX25">
        <f t="shared" si="15"/>
        <v>0</v>
      </c>
      <c r="AY25">
        <f t="shared" si="16"/>
        <v>0</v>
      </c>
      <c r="BB25">
        <f t="shared" si="6"/>
        <v>0</v>
      </c>
      <c r="BC25">
        <f>(AO25*Pricing!F$2+'Gd Beams or Cont Footings'!AP25*Pricing!G$2+'Gd Beams or Cont Footings'!AQ25*Pricing!H$2+'Gd Beams or Cont Footings'!AR25*Pricing!I$2+'Gd Beams or Cont Footings'!AS25*Pricing!J$2+'Gd Beams or Cont Footings'!AT25*Pricing!K$2)*IF(U$40="N",(1+W$40),1)</f>
        <v>0</v>
      </c>
      <c r="BD25">
        <f t="shared" si="7"/>
        <v>0</v>
      </c>
      <c r="BE25">
        <f t="shared" si="8"/>
        <v>0</v>
      </c>
      <c r="BF25">
        <f t="shared" si="9"/>
        <v>0</v>
      </c>
      <c r="BG25" t="e">
        <f t="shared" si="10"/>
        <v>#DIV/0!</v>
      </c>
    </row>
    <row r="26" spans="2:59" ht="18" customHeight="1" x14ac:dyDescent="0.35">
      <c r="B26" s="2716"/>
      <c r="C26" s="2717"/>
      <c r="D26" s="445"/>
      <c r="E26" s="393"/>
      <c r="F26" s="1224"/>
      <c r="G26" s="1221"/>
      <c r="H26" s="1249"/>
      <c r="I26" s="1221"/>
      <c r="J26" s="179"/>
      <c r="K26" s="1221"/>
      <c r="L26" s="179"/>
      <c r="M26" s="1221"/>
      <c r="N26" s="179"/>
      <c r="O26" s="1221"/>
      <c r="P26" s="179"/>
      <c r="Q26" s="1221"/>
      <c r="R26" s="1222"/>
      <c r="S26" s="179"/>
      <c r="T26" s="1225"/>
      <c r="U26" s="448"/>
      <c r="V26" s="1228"/>
      <c r="W26" s="1192">
        <f t="shared" si="11"/>
        <v>0</v>
      </c>
      <c r="X26" s="865">
        <f t="shared" si="0"/>
        <v>0</v>
      </c>
      <c r="Y26" s="299"/>
      <c r="AO26">
        <f t="shared" si="12"/>
        <v>0</v>
      </c>
      <c r="AP26">
        <f t="shared" si="1"/>
        <v>0</v>
      </c>
      <c r="AQ26">
        <f t="shared" si="2"/>
        <v>0</v>
      </c>
      <c r="AR26">
        <f t="shared" si="3"/>
        <v>0</v>
      </c>
      <c r="AS26">
        <f t="shared" si="4"/>
        <v>0</v>
      </c>
      <c r="AT26">
        <f t="shared" si="5"/>
        <v>0</v>
      </c>
      <c r="AU26">
        <f t="shared" si="13"/>
        <v>0</v>
      </c>
      <c r="AW26">
        <f t="shared" si="14"/>
        <v>0</v>
      </c>
      <c r="AX26">
        <f t="shared" si="15"/>
        <v>0</v>
      </c>
      <c r="AY26">
        <f t="shared" si="16"/>
        <v>0</v>
      </c>
      <c r="BB26">
        <f t="shared" si="6"/>
        <v>0</v>
      </c>
      <c r="BC26">
        <f>(AO26*Pricing!F$2+'Gd Beams or Cont Footings'!AP26*Pricing!G$2+'Gd Beams or Cont Footings'!AQ26*Pricing!H$2+'Gd Beams or Cont Footings'!AR26*Pricing!I$2+'Gd Beams or Cont Footings'!AS26*Pricing!J$2+'Gd Beams or Cont Footings'!AT26*Pricing!K$2)*IF(U$40="N",(1+W$40),1)</f>
        <v>0</v>
      </c>
      <c r="BD26">
        <f t="shared" si="7"/>
        <v>0</v>
      </c>
      <c r="BE26">
        <f t="shared" si="8"/>
        <v>0</v>
      </c>
      <c r="BF26">
        <f t="shared" si="9"/>
        <v>0</v>
      </c>
      <c r="BG26" t="e">
        <f t="shared" si="10"/>
        <v>#DIV/0!</v>
      </c>
    </row>
    <row r="27" spans="2:59" ht="18" customHeight="1" x14ac:dyDescent="0.35">
      <c r="B27" s="2675"/>
      <c r="C27" s="2676"/>
      <c r="D27" s="1223"/>
      <c r="E27" s="1229"/>
      <c r="F27" s="1224"/>
      <c r="G27" s="1219"/>
      <c r="H27" s="1250"/>
      <c r="I27" s="1219"/>
      <c r="J27" s="177"/>
      <c r="K27" s="1219"/>
      <c r="L27" s="177"/>
      <c r="M27" s="1219"/>
      <c r="N27" s="177"/>
      <c r="O27" s="1219"/>
      <c r="P27" s="177"/>
      <c r="Q27" s="1219"/>
      <c r="R27" s="1220"/>
      <c r="S27" s="177"/>
      <c r="T27" s="781"/>
      <c r="U27" s="1226"/>
      <c r="V27" s="1227"/>
      <c r="W27" s="1192">
        <f t="shared" si="11"/>
        <v>0</v>
      </c>
      <c r="X27" s="865">
        <f t="shared" si="0"/>
        <v>0</v>
      </c>
      <c r="Y27" s="299"/>
      <c r="AO27">
        <f t="shared" si="12"/>
        <v>0</v>
      </c>
      <c r="AP27">
        <f t="shared" si="1"/>
        <v>0</v>
      </c>
      <c r="AQ27">
        <f t="shared" si="2"/>
        <v>0</v>
      </c>
      <c r="AR27">
        <f t="shared" si="3"/>
        <v>0</v>
      </c>
      <c r="AS27">
        <f t="shared" si="4"/>
        <v>0</v>
      </c>
      <c r="AT27">
        <f t="shared" si="5"/>
        <v>0</v>
      </c>
      <c r="AU27">
        <f t="shared" si="13"/>
        <v>0</v>
      </c>
      <c r="AW27">
        <f t="shared" si="14"/>
        <v>0</v>
      </c>
      <c r="AX27">
        <f t="shared" si="15"/>
        <v>0</v>
      </c>
      <c r="AY27">
        <f t="shared" si="16"/>
        <v>0</v>
      </c>
      <c r="BB27">
        <f t="shared" si="6"/>
        <v>0</v>
      </c>
      <c r="BC27">
        <f>(AO27*Pricing!F$2+'Gd Beams or Cont Footings'!AP27*Pricing!G$2+'Gd Beams or Cont Footings'!AQ27*Pricing!H$2+'Gd Beams or Cont Footings'!AR27*Pricing!I$2+'Gd Beams or Cont Footings'!AS27*Pricing!J$2+'Gd Beams or Cont Footings'!AT27*Pricing!K$2)*IF(U$40="N",(1+W$40),1)</f>
        <v>0</v>
      </c>
      <c r="BD27">
        <f t="shared" si="7"/>
        <v>0</v>
      </c>
      <c r="BE27">
        <f t="shared" si="8"/>
        <v>0</v>
      </c>
      <c r="BF27">
        <f t="shared" si="9"/>
        <v>0</v>
      </c>
      <c r="BG27" t="e">
        <f t="shared" si="10"/>
        <v>#DIV/0!</v>
      </c>
    </row>
    <row r="28" spans="2:59" ht="18" customHeight="1" x14ac:dyDescent="0.35">
      <c r="B28" s="2716"/>
      <c r="C28" s="2717"/>
      <c r="D28" s="445"/>
      <c r="E28" s="393"/>
      <c r="F28" s="1224"/>
      <c r="G28" s="1221"/>
      <c r="H28" s="1249"/>
      <c r="I28" s="1221"/>
      <c r="J28" s="179"/>
      <c r="K28" s="1221"/>
      <c r="L28" s="179"/>
      <c r="M28" s="1221"/>
      <c r="N28" s="179"/>
      <c r="O28" s="1221"/>
      <c r="P28" s="179"/>
      <c r="Q28" s="1221"/>
      <c r="R28" s="1222"/>
      <c r="S28" s="179"/>
      <c r="T28" s="1225"/>
      <c r="U28" s="448"/>
      <c r="V28" s="1228"/>
      <c r="W28" s="1192">
        <f t="shared" si="11"/>
        <v>0</v>
      </c>
      <c r="X28" s="865">
        <f t="shared" si="0"/>
        <v>0</v>
      </c>
      <c r="Y28" s="299"/>
      <c r="AO28">
        <f t="shared" si="12"/>
        <v>0</v>
      </c>
      <c r="AP28">
        <f t="shared" si="1"/>
        <v>0</v>
      </c>
      <c r="AQ28">
        <f t="shared" si="2"/>
        <v>0</v>
      </c>
      <c r="AR28">
        <f t="shared" si="3"/>
        <v>0</v>
      </c>
      <c r="AS28">
        <f t="shared" si="4"/>
        <v>0</v>
      </c>
      <c r="AT28">
        <f t="shared" si="5"/>
        <v>0</v>
      </c>
      <c r="AU28">
        <f t="shared" si="13"/>
        <v>0</v>
      </c>
      <c r="AW28">
        <f t="shared" si="14"/>
        <v>0</v>
      </c>
      <c r="AX28">
        <f t="shared" si="15"/>
        <v>0</v>
      </c>
      <c r="AY28">
        <f t="shared" si="16"/>
        <v>0</v>
      </c>
      <c r="BB28">
        <f t="shared" si="6"/>
        <v>0</v>
      </c>
      <c r="BC28">
        <f>(AO28*Pricing!F$2+'Gd Beams or Cont Footings'!AP28*Pricing!G$2+'Gd Beams or Cont Footings'!AQ28*Pricing!H$2+'Gd Beams or Cont Footings'!AR28*Pricing!I$2+'Gd Beams or Cont Footings'!AS28*Pricing!J$2+'Gd Beams or Cont Footings'!AT28*Pricing!K$2)*IF(U$40="N",(1+W$40),1)</f>
        <v>0</v>
      </c>
      <c r="BD28">
        <f t="shared" si="7"/>
        <v>0</v>
      </c>
      <c r="BE28">
        <f t="shared" si="8"/>
        <v>0</v>
      </c>
      <c r="BF28">
        <f t="shared" si="9"/>
        <v>0</v>
      </c>
      <c r="BG28" t="e">
        <f t="shared" si="10"/>
        <v>#DIV/0!</v>
      </c>
    </row>
    <row r="29" spans="2:59" ht="18" customHeight="1" x14ac:dyDescent="0.35">
      <c r="B29" s="2675"/>
      <c r="C29" s="2676"/>
      <c r="D29" s="1223"/>
      <c r="E29" s="1229"/>
      <c r="F29" s="1224"/>
      <c r="G29" s="1219"/>
      <c r="H29" s="1250"/>
      <c r="I29" s="1219"/>
      <c r="J29" s="177"/>
      <c r="K29" s="1219"/>
      <c r="L29" s="177"/>
      <c r="M29" s="1219"/>
      <c r="N29" s="177"/>
      <c r="O29" s="1219"/>
      <c r="P29" s="177"/>
      <c r="Q29" s="1219"/>
      <c r="R29" s="1220"/>
      <c r="S29" s="177"/>
      <c r="T29" s="781"/>
      <c r="U29" s="1226"/>
      <c r="V29" s="1227"/>
      <c r="W29" s="1192">
        <f t="shared" si="11"/>
        <v>0</v>
      </c>
      <c r="X29" s="865">
        <f t="shared" si="0"/>
        <v>0</v>
      </c>
      <c r="Y29" s="299"/>
      <c r="AO29">
        <f t="shared" si="12"/>
        <v>0</v>
      </c>
      <c r="AP29">
        <f t="shared" si="1"/>
        <v>0</v>
      </c>
      <c r="AQ29">
        <f t="shared" si="2"/>
        <v>0</v>
      </c>
      <c r="AR29">
        <f t="shared" si="3"/>
        <v>0</v>
      </c>
      <c r="AS29">
        <f t="shared" si="4"/>
        <v>0</v>
      </c>
      <c r="AT29">
        <f t="shared" si="5"/>
        <v>0</v>
      </c>
      <c r="AU29">
        <f t="shared" si="13"/>
        <v>0</v>
      </c>
      <c r="AW29">
        <f t="shared" si="14"/>
        <v>0</v>
      </c>
      <c r="AX29">
        <f t="shared" si="15"/>
        <v>0</v>
      </c>
      <c r="AY29">
        <f t="shared" si="16"/>
        <v>0</v>
      </c>
      <c r="BB29">
        <f t="shared" si="6"/>
        <v>0</v>
      </c>
      <c r="BC29">
        <f>(AO29*Pricing!F$2+'Gd Beams or Cont Footings'!AP29*Pricing!G$2+'Gd Beams or Cont Footings'!AQ29*Pricing!H$2+'Gd Beams or Cont Footings'!AR29*Pricing!I$2+'Gd Beams or Cont Footings'!AS29*Pricing!J$2+'Gd Beams or Cont Footings'!AT29*Pricing!K$2)*IF(U$40="N",(1+W$40),1)</f>
        <v>0</v>
      </c>
      <c r="BD29">
        <f t="shared" si="7"/>
        <v>0</v>
      </c>
      <c r="BE29">
        <f t="shared" si="8"/>
        <v>0</v>
      </c>
      <c r="BF29">
        <f t="shared" si="9"/>
        <v>0</v>
      </c>
      <c r="BG29" t="e">
        <f t="shared" si="10"/>
        <v>#DIV/0!</v>
      </c>
    </row>
    <row r="30" spans="2:59" ht="18" customHeight="1" x14ac:dyDescent="0.35">
      <c r="B30" s="2716"/>
      <c r="C30" s="2717"/>
      <c r="D30" s="445"/>
      <c r="E30" s="393"/>
      <c r="F30" s="1224"/>
      <c r="G30" s="1221"/>
      <c r="H30" s="1249"/>
      <c r="I30" s="1221"/>
      <c r="J30" s="179"/>
      <c r="K30" s="1221"/>
      <c r="L30" s="179"/>
      <c r="M30" s="1221"/>
      <c r="N30" s="179"/>
      <c r="O30" s="1221"/>
      <c r="P30" s="179"/>
      <c r="Q30" s="1221"/>
      <c r="R30" s="1222"/>
      <c r="S30" s="179"/>
      <c r="T30" s="1225"/>
      <c r="U30" s="448"/>
      <c r="V30" s="1228"/>
      <c r="W30" s="1192">
        <f t="shared" si="11"/>
        <v>0</v>
      </c>
      <c r="X30" s="865">
        <f t="shared" si="0"/>
        <v>0</v>
      </c>
      <c r="Y30" s="299"/>
      <c r="AO30">
        <f t="shared" si="12"/>
        <v>0</v>
      </c>
      <c r="AP30">
        <f t="shared" si="1"/>
        <v>0</v>
      </c>
      <c r="AQ30">
        <f t="shared" si="2"/>
        <v>0</v>
      </c>
      <c r="AR30">
        <f t="shared" si="3"/>
        <v>0</v>
      </c>
      <c r="AS30">
        <f t="shared" si="4"/>
        <v>0</v>
      </c>
      <c r="AT30">
        <f t="shared" si="5"/>
        <v>0</v>
      </c>
      <c r="AU30">
        <f t="shared" si="13"/>
        <v>0</v>
      </c>
      <c r="AW30">
        <f t="shared" si="14"/>
        <v>0</v>
      </c>
      <c r="AX30">
        <f t="shared" si="15"/>
        <v>0</v>
      </c>
      <c r="AY30">
        <f t="shared" si="16"/>
        <v>0</v>
      </c>
      <c r="BB30">
        <f t="shared" si="6"/>
        <v>0</v>
      </c>
      <c r="BC30">
        <f>(AO30*Pricing!F$2+'Gd Beams or Cont Footings'!AP30*Pricing!G$2+'Gd Beams or Cont Footings'!AQ30*Pricing!H$2+'Gd Beams or Cont Footings'!AR30*Pricing!I$2+'Gd Beams or Cont Footings'!AS30*Pricing!J$2+'Gd Beams or Cont Footings'!AT30*Pricing!K$2)*IF(U$40="N",(1+W$40),1)</f>
        <v>0</v>
      </c>
      <c r="BD30">
        <f t="shared" si="7"/>
        <v>0</v>
      </c>
      <c r="BE30">
        <f t="shared" si="8"/>
        <v>0</v>
      </c>
      <c r="BF30">
        <f t="shared" si="9"/>
        <v>0</v>
      </c>
      <c r="BG30" t="e">
        <f t="shared" si="10"/>
        <v>#DIV/0!</v>
      </c>
    </row>
    <row r="31" spans="2:59" ht="18" customHeight="1" x14ac:dyDescent="0.35">
      <c r="B31" s="2675"/>
      <c r="C31" s="2676"/>
      <c r="D31" s="1223"/>
      <c r="E31" s="1229"/>
      <c r="F31" s="1224"/>
      <c r="G31" s="1219"/>
      <c r="H31" s="1250"/>
      <c r="I31" s="1219"/>
      <c r="J31" s="177"/>
      <c r="K31" s="1219"/>
      <c r="L31" s="177"/>
      <c r="M31" s="1219"/>
      <c r="N31" s="177"/>
      <c r="O31" s="1219"/>
      <c r="P31" s="177"/>
      <c r="Q31" s="1219"/>
      <c r="R31" s="1220"/>
      <c r="S31" s="177"/>
      <c r="T31" s="781"/>
      <c r="U31" s="1226"/>
      <c r="V31" s="1227"/>
      <c r="W31" s="1192">
        <f t="shared" si="11"/>
        <v>0</v>
      </c>
      <c r="X31" s="865">
        <f t="shared" si="0"/>
        <v>0</v>
      </c>
      <c r="Y31" s="299"/>
      <c r="AO31">
        <f t="shared" si="12"/>
        <v>0</v>
      </c>
      <c r="AP31">
        <f t="shared" si="1"/>
        <v>0</v>
      </c>
      <c r="AQ31">
        <f t="shared" si="2"/>
        <v>0</v>
      </c>
      <c r="AR31">
        <f t="shared" si="3"/>
        <v>0</v>
      </c>
      <c r="AS31">
        <f t="shared" si="4"/>
        <v>0</v>
      </c>
      <c r="AT31">
        <f t="shared" si="5"/>
        <v>0</v>
      </c>
      <c r="AU31">
        <f t="shared" si="13"/>
        <v>0</v>
      </c>
      <c r="AW31">
        <f t="shared" si="14"/>
        <v>0</v>
      </c>
      <c r="AX31">
        <f t="shared" si="15"/>
        <v>0</v>
      </c>
      <c r="AY31">
        <f t="shared" si="16"/>
        <v>0</v>
      </c>
      <c r="BB31">
        <f t="shared" si="6"/>
        <v>0</v>
      </c>
      <c r="BC31">
        <f>(AO31*Pricing!F$2+'Gd Beams or Cont Footings'!AP31*Pricing!G$2+'Gd Beams or Cont Footings'!AQ31*Pricing!H$2+'Gd Beams or Cont Footings'!AR31*Pricing!I$2+'Gd Beams or Cont Footings'!AS31*Pricing!J$2+'Gd Beams or Cont Footings'!AT31*Pricing!K$2)*IF(U$40="N",(1+W$40),1)</f>
        <v>0</v>
      </c>
      <c r="BD31">
        <f t="shared" si="7"/>
        <v>0</v>
      </c>
      <c r="BE31">
        <f t="shared" si="8"/>
        <v>0</v>
      </c>
      <c r="BF31">
        <f t="shared" si="9"/>
        <v>0</v>
      </c>
      <c r="BG31" t="e">
        <f t="shared" si="10"/>
        <v>#DIV/0!</v>
      </c>
    </row>
    <row r="32" spans="2:59" ht="18" customHeight="1" x14ac:dyDescent="0.35">
      <c r="B32" s="2716"/>
      <c r="C32" s="2717"/>
      <c r="D32" s="445"/>
      <c r="E32" s="393"/>
      <c r="F32" s="1224"/>
      <c r="G32" s="1221"/>
      <c r="H32" s="1249"/>
      <c r="I32" s="1221"/>
      <c r="J32" s="179"/>
      <c r="K32" s="1221"/>
      <c r="L32" s="179"/>
      <c r="M32" s="1221"/>
      <c r="N32" s="179"/>
      <c r="O32" s="1221"/>
      <c r="P32" s="179"/>
      <c r="Q32" s="1221"/>
      <c r="R32" s="1222"/>
      <c r="S32" s="179"/>
      <c r="T32" s="1225"/>
      <c r="U32" s="448"/>
      <c r="V32" s="1228"/>
      <c r="W32" s="1192">
        <f t="shared" si="11"/>
        <v>0</v>
      </c>
      <c r="X32" s="865">
        <f t="shared" si="0"/>
        <v>0</v>
      </c>
      <c r="Y32" s="299"/>
      <c r="AO32">
        <f t="shared" si="12"/>
        <v>0</v>
      </c>
      <c r="AP32">
        <f t="shared" si="1"/>
        <v>0</v>
      </c>
      <c r="AQ32">
        <f t="shared" si="2"/>
        <v>0</v>
      </c>
      <c r="AR32">
        <f t="shared" si="3"/>
        <v>0</v>
      </c>
      <c r="AS32">
        <f t="shared" si="4"/>
        <v>0</v>
      </c>
      <c r="AT32">
        <f t="shared" si="5"/>
        <v>0</v>
      </c>
      <c r="AU32">
        <f t="shared" si="13"/>
        <v>0</v>
      </c>
      <c r="AW32">
        <f t="shared" si="14"/>
        <v>0</v>
      </c>
      <c r="AX32">
        <f t="shared" si="15"/>
        <v>0</v>
      </c>
      <c r="AY32">
        <f t="shared" si="16"/>
        <v>0</v>
      </c>
      <c r="BB32">
        <f t="shared" si="6"/>
        <v>0</v>
      </c>
      <c r="BC32">
        <f>(AO32*Pricing!F$2+'Gd Beams or Cont Footings'!AP32*Pricing!G$2+'Gd Beams or Cont Footings'!AQ32*Pricing!H$2+'Gd Beams or Cont Footings'!AR32*Pricing!I$2+'Gd Beams or Cont Footings'!AS32*Pricing!J$2+'Gd Beams or Cont Footings'!AT32*Pricing!K$2)*IF(U$40="N",(1+W$40),1)</f>
        <v>0</v>
      </c>
      <c r="BD32">
        <f t="shared" si="7"/>
        <v>0</v>
      </c>
      <c r="BE32">
        <f t="shared" si="8"/>
        <v>0</v>
      </c>
      <c r="BF32">
        <f t="shared" si="9"/>
        <v>0</v>
      </c>
      <c r="BG32" t="e">
        <f t="shared" si="10"/>
        <v>#DIV/0!</v>
      </c>
    </row>
    <row r="33" spans="2:59" ht="18" customHeight="1" x14ac:dyDescent="0.35">
      <c r="B33" s="2675"/>
      <c r="C33" s="2676"/>
      <c r="D33" s="1223"/>
      <c r="E33" s="1229"/>
      <c r="F33" s="1224"/>
      <c r="G33" s="1219"/>
      <c r="H33" s="1250"/>
      <c r="I33" s="1219"/>
      <c r="J33" s="177"/>
      <c r="K33" s="1219"/>
      <c r="L33" s="177"/>
      <c r="M33" s="1219"/>
      <c r="N33" s="177"/>
      <c r="O33" s="1219"/>
      <c r="P33" s="177"/>
      <c r="Q33" s="1219"/>
      <c r="R33" s="1220"/>
      <c r="S33" s="177"/>
      <c r="T33" s="781"/>
      <c r="U33" s="1226"/>
      <c r="V33" s="1227"/>
      <c r="W33" s="1192">
        <f t="shared" si="11"/>
        <v>0</v>
      </c>
      <c r="X33" s="865">
        <f t="shared" si="0"/>
        <v>0</v>
      </c>
      <c r="Y33" s="299"/>
      <c r="AO33">
        <f t="shared" si="12"/>
        <v>0</v>
      </c>
      <c r="AP33">
        <f t="shared" si="1"/>
        <v>0</v>
      </c>
      <c r="AQ33">
        <f t="shared" si="2"/>
        <v>0</v>
      </c>
      <c r="AR33">
        <f t="shared" si="3"/>
        <v>0</v>
      </c>
      <c r="AS33">
        <f t="shared" si="4"/>
        <v>0</v>
      </c>
      <c r="AT33">
        <f t="shared" si="5"/>
        <v>0</v>
      </c>
      <c r="AU33">
        <f t="shared" si="13"/>
        <v>0</v>
      </c>
      <c r="AW33">
        <f t="shared" si="14"/>
        <v>0</v>
      </c>
      <c r="AX33">
        <f t="shared" si="15"/>
        <v>0</v>
      </c>
      <c r="AY33">
        <f t="shared" si="16"/>
        <v>0</v>
      </c>
      <c r="BB33">
        <f t="shared" si="6"/>
        <v>0</v>
      </c>
      <c r="BC33">
        <f>(AO33*Pricing!F$2+'Gd Beams or Cont Footings'!AP33*Pricing!G$2+'Gd Beams or Cont Footings'!AQ33*Pricing!H$2+'Gd Beams or Cont Footings'!AR33*Pricing!I$2+'Gd Beams or Cont Footings'!AS33*Pricing!J$2+'Gd Beams or Cont Footings'!AT33*Pricing!K$2)*IF(U$40="N",(1+W$40),1)</f>
        <v>0</v>
      </c>
      <c r="BD33">
        <f t="shared" si="7"/>
        <v>0</v>
      </c>
      <c r="BE33">
        <f t="shared" si="8"/>
        <v>0</v>
      </c>
      <c r="BF33">
        <f t="shared" si="9"/>
        <v>0</v>
      </c>
      <c r="BG33" t="e">
        <f t="shared" si="10"/>
        <v>#DIV/0!</v>
      </c>
    </row>
    <row r="34" spans="2:59" ht="18" customHeight="1" x14ac:dyDescent="0.35">
      <c r="B34" s="2716"/>
      <c r="C34" s="2717"/>
      <c r="D34" s="445"/>
      <c r="E34" s="393"/>
      <c r="F34" s="1224"/>
      <c r="G34" s="1221"/>
      <c r="H34" s="1249"/>
      <c r="I34" s="1221"/>
      <c r="J34" s="179"/>
      <c r="K34" s="1221"/>
      <c r="L34" s="179"/>
      <c r="M34" s="1221"/>
      <c r="N34" s="179"/>
      <c r="O34" s="1221"/>
      <c r="P34" s="179"/>
      <c r="Q34" s="1221"/>
      <c r="R34" s="1222"/>
      <c r="S34" s="179"/>
      <c r="T34" s="1225"/>
      <c r="U34" s="448"/>
      <c r="V34" s="1228"/>
      <c r="W34" s="1192">
        <f t="shared" si="11"/>
        <v>0</v>
      </c>
      <c r="X34" s="865">
        <f t="shared" si="0"/>
        <v>0</v>
      </c>
      <c r="Y34" s="299"/>
      <c r="AO34">
        <f t="shared" si="12"/>
        <v>0</v>
      </c>
      <c r="AP34">
        <f t="shared" si="1"/>
        <v>0</v>
      </c>
      <c r="AQ34">
        <f t="shared" si="2"/>
        <v>0</v>
      </c>
      <c r="AR34">
        <f t="shared" si="3"/>
        <v>0</v>
      </c>
      <c r="AS34">
        <f t="shared" si="4"/>
        <v>0</v>
      </c>
      <c r="AT34">
        <f t="shared" si="5"/>
        <v>0</v>
      </c>
      <c r="AU34">
        <f t="shared" si="13"/>
        <v>0</v>
      </c>
      <c r="AW34">
        <f t="shared" si="14"/>
        <v>0</v>
      </c>
      <c r="AX34">
        <f t="shared" si="15"/>
        <v>0</v>
      </c>
      <c r="AY34">
        <f t="shared" si="16"/>
        <v>0</v>
      </c>
      <c r="BB34">
        <f t="shared" si="6"/>
        <v>0</v>
      </c>
      <c r="BC34">
        <f>(AO34*Pricing!F$2+'Gd Beams or Cont Footings'!AP34*Pricing!G$2+'Gd Beams or Cont Footings'!AQ34*Pricing!H$2+'Gd Beams or Cont Footings'!AR34*Pricing!I$2+'Gd Beams or Cont Footings'!AS34*Pricing!J$2+'Gd Beams or Cont Footings'!AT34*Pricing!K$2)*IF(U$40="N",(1+W$40),1)</f>
        <v>0</v>
      </c>
      <c r="BD34">
        <f t="shared" si="7"/>
        <v>0</v>
      </c>
      <c r="BE34">
        <f t="shared" si="8"/>
        <v>0</v>
      </c>
      <c r="BF34">
        <f t="shared" si="9"/>
        <v>0</v>
      </c>
      <c r="BG34" t="e">
        <f t="shared" si="10"/>
        <v>#DIV/0!</v>
      </c>
    </row>
    <row r="35" spans="2:59" ht="18" customHeight="1" x14ac:dyDescent="0.35">
      <c r="B35" s="2675"/>
      <c r="C35" s="2676"/>
      <c r="D35" s="1223"/>
      <c r="E35" s="1229"/>
      <c r="F35" s="1224"/>
      <c r="G35" s="1219"/>
      <c r="H35" s="1250"/>
      <c r="I35" s="1219"/>
      <c r="J35" s="177"/>
      <c r="K35" s="1219"/>
      <c r="L35" s="177"/>
      <c r="M35" s="1219"/>
      <c r="N35" s="177"/>
      <c r="O35" s="1219"/>
      <c r="P35" s="177"/>
      <c r="Q35" s="1219"/>
      <c r="R35" s="1220"/>
      <c r="S35" s="177"/>
      <c r="T35" s="781"/>
      <c r="U35" s="1226"/>
      <c r="V35" s="1227"/>
      <c r="W35" s="1192">
        <f t="shared" si="11"/>
        <v>0</v>
      </c>
      <c r="X35" s="865">
        <f t="shared" si="0"/>
        <v>0</v>
      </c>
      <c r="Y35" s="299"/>
      <c r="AO35">
        <f t="shared" si="12"/>
        <v>0</v>
      </c>
      <c r="AP35">
        <f t="shared" si="1"/>
        <v>0</v>
      </c>
      <c r="AQ35">
        <f t="shared" si="2"/>
        <v>0</v>
      </c>
      <c r="AR35">
        <f t="shared" si="3"/>
        <v>0</v>
      </c>
      <c r="AS35">
        <f t="shared" si="4"/>
        <v>0</v>
      </c>
      <c r="AT35">
        <f t="shared" si="5"/>
        <v>0</v>
      </c>
      <c r="AU35">
        <f t="shared" si="13"/>
        <v>0</v>
      </c>
      <c r="AW35">
        <f t="shared" si="14"/>
        <v>0</v>
      </c>
      <c r="AX35">
        <f t="shared" si="15"/>
        <v>0</v>
      </c>
      <c r="AY35">
        <f t="shared" si="16"/>
        <v>0</v>
      </c>
      <c r="BB35">
        <f t="shared" si="6"/>
        <v>0</v>
      </c>
      <c r="BC35">
        <f>(AO35*Pricing!F$2+'Gd Beams or Cont Footings'!AP35*Pricing!G$2+'Gd Beams or Cont Footings'!AQ35*Pricing!H$2+'Gd Beams or Cont Footings'!AR35*Pricing!I$2+'Gd Beams or Cont Footings'!AS35*Pricing!J$2+'Gd Beams or Cont Footings'!AT35*Pricing!K$2)*IF(U$40="N",(1+W$40),1)</f>
        <v>0</v>
      </c>
      <c r="BD35">
        <f t="shared" si="7"/>
        <v>0</v>
      </c>
      <c r="BE35">
        <f t="shared" si="8"/>
        <v>0</v>
      </c>
      <c r="BF35">
        <f t="shared" si="9"/>
        <v>0</v>
      </c>
      <c r="BG35" t="e">
        <f t="shared" si="10"/>
        <v>#DIV/0!</v>
      </c>
    </row>
    <row r="36" spans="2:59" ht="18" customHeight="1" thickBot="1" x14ac:dyDescent="0.4">
      <c r="B36" s="2069"/>
      <c r="C36" s="2070"/>
      <c r="D36" s="188"/>
      <c r="E36" s="628"/>
      <c r="F36" s="1245"/>
      <c r="G36" s="130"/>
      <c r="H36" s="1251"/>
      <c r="I36" s="130"/>
      <c r="J36" s="181"/>
      <c r="K36" s="130"/>
      <c r="L36" s="181"/>
      <c r="M36" s="130"/>
      <c r="N36" s="181"/>
      <c r="O36" s="130"/>
      <c r="P36" s="181"/>
      <c r="Q36" s="130"/>
      <c r="R36" s="1246"/>
      <c r="S36" s="181"/>
      <c r="T36" s="1216"/>
      <c r="U36" s="187"/>
      <c r="V36" s="430"/>
      <c r="W36" s="1192">
        <f t="shared" si="11"/>
        <v>0</v>
      </c>
      <c r="X36" s="1193">
        <f t="shared" si="0"/>
        <v>0</v>
      </c>
      <c r="Y36" s="299"/>
      <c r="AA36" s="42"/>
      <c r="AB36" s="42"/>
      <c r="AC36" s="42"/>
      <c r="AD36" s="42"/>
      <c r="AE36" s="42"/>
      <c r="AF36" s="42"/>
      <c r="AO36">
        <f>IF(E36=1,W36,0)</f>
        <v>0</v>
      </c>
      <c r="AP36">
        <f>IF($E36=2,W36,0)</f>
        <v>0</v>
      </c>
      <c r="AQ36">
        <f>IF($E36=3,W36,0)</f>
        <v>0</v>
      </c>
      <c r="AR36">
        <f>IF($E36=4,W36,0)</f>
        <v>0</v>
      </c>
      <c r="AS36">
        <f>IF($E36=5,W36,0)</f>
        <v>0</v>
      </c>
      <c r="AT36">
        <f>IF($E36=6,W36,0)</f>
        <v>0</v>
      </c>
      <c r="AU36">
        <f t="shared" si="13"/>
        <v>0</v>
      </c>
      <c r="AW36">
        <f t="shared" si="14"/>
        <v>0</v>
      </c>
      <c r="AX36">
        <f t="shared" si="15"/>
        <v>0</v>
      </c>
      <c r="AY36">
        <f t="shared" si="16"/>
        <v>0</v>
      </c>
      <c r="BB36">
        <f t="shared" si="6"/>
        <v>0</v>
      </c>
      <c r="BC36">
        <f>(AO36*Pricing!F$2+'Gd Beams or Cont Footings'!AP36*Pricing!G$2+'Gd Beams or Cont Footings'!AQ36*Pricing!H$2+'Gd Beams or Cont Footings'!AR36*Pricing!I$2+'Gd Beams or Cont Footings'!AS36*Pricing!J$2+'Gd Beams or Cont Footings'!AT36*Pricing!K$2)*IF(U$40="N",(1+W$40),1)</f>
        <v>0</v>
      </c>
      <c r="BD36">
        <f t="shared" si="7"/>
        <v>0</v>
      </c>
      <c r="BE36">
        <f t="shared" si="8"/>
        <v>0</v>
      </c>
      <c r="BF36">
        <f t="shared" si="9"/>
        <v>0</v>
      </c>
      <c r="BG36" t="e">
        <f t="shared" si="10"/>
        <v>#DIV/0!</v>
      </c>
    </row>
    <row r="37" spans="2:59" ht="15" customHeight="1" x14ac:dyDescent="0.35">
      <c r="B37" s="313"/>
      <c r="C37" s="298"/>
      <c r="D37" s="298"/>
      <c r="E37" s="587">
        <f>SUM(F11:F36)</f>
        <v>0</v>
      </c>
      <c r="F37" s="2697" t="s">
        <v>55</v>
      </c>
      <c r="G37" s="2697"/>
      <c r="H37" s="2697"/>
      <c r="I37" s="2697"/>
      <c r="J37" s="298"/>
      <c r="K37" s="298"/>
      <c r="L37" s="298"/>
      <c r="M37" s="298"/>
      <c r="N37" s="298"/>
      <c r="O37" s="298"/>
      <c r="P37" s="298"/>
      <c r="Q37" s="299"/>
      <c r="R37" s="299"/>
      <c r="S37" s="299" t="s">
        <v>54</v>
      </c>
      <c r="T37" s="309"/>
      <c r="U37" s="309"/>
      <c r="V37" s="322">
        <f>SUM(W11:W36)</f>
        <v>0</v>
      </c>
      <c r="W37" s="323"/>
      <c r="X37" s="323">
        <f>SUM(X11:X36)</f>
        <v>0</v>
      </c>
      <c r="Y37" s="299"/>
      <c r="AA37" s="42"/>
      <c r="AB37" s="42"/>
      <c r="AC37" s="42"/>
      <c r="AD37" s="42"/>
      <c r="AE37" s="42"/>
      <c r="AF37" s="42"/>
      <c r="AO37">
        <f t="shared" ref="AO37:BG37" si="17">SUM(AO11:AO36)</f>
        <v>0</v>
      </c>
      <c r="AP37">
        <f t="shared" si="17"/>
        <v>0</v>
      </c>
      <c r="AQ37">
        <f t="shared" si="17"/>
        <v>0</v>
      </c>
      <c r="AR37">
        <f t="shared" si="17"/>
        <v>0</v>
      </c>
      <c r="AS37">
        <f t="shared" si="17"/>
        <v>0</v>
      </c>
      <c r="AT37">
        <f t="shared" si="17"/>
        <v>0</v>
      </c>
      <c r="AU37">
        <f t="shared" si="17"/>
        <v>0</v>
      </c>
      <c r="AV37">
        <f t="shared" si="17"/>
        <v>0</v>
      </c>
      <c r="AW37">
        <f t="shared" si="17"/>
        <v>0</v>
      </c>
      <c r="AX37">
        <f>SUM(AX11:AX36)</f>
        <v>0</v>
      </c>
      <c r="AY37">
        <f t="shared" si="17"/>
        <v>0</v>
      </c>
      <c r="AZ37">
        <f t="shared" si="17"/>
        <v>0</v>
      </c>
      <c r="BA37">
        <f t="shared" si="17"/>
        <v>0</v>
      </c>
      <c r="BB37">
        <f t="shared" si="17"/>
        <v>0</v>
      </c>
      <c r="BC37">
        <f t="shared" si="17"/>
        <v>0</v>
      </c>
      <c r="BD37">
        <f t="shared" si="17"/>
        <v>0</v>
      </c>
      <c r="BE37">
        <f t="shared" si="17"/>
        <v>0</v>
      </c>
      <c r="BF37">
        <f t="shared" si="17"/>
        <v>0</v>
      </c>
      <c r="BG37" t="e">
        <f t="shared" si="17"/>
        <v>#DIV/0!</v>
      </c>
    </row>
    <row r="38" spans="2:59" ht="15" customHeight="1" thickBot="1" x14ac:dyDescent="0.4">
      <c r="B38" s="314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30"/>
      <c r="R38" s="330"/>
      <c r="S38" s="330" t="s">
        <v>56</v>
      </c>
      <c r="T38" s="306"/>
      <c r="U38" s="306"/>
      <c r="V38" s="331">
        <f>ROUNDUP(V37/2000,0)</f>
        <v>0</v>
      </c>
      <c r="W38" s="325"/>
      <c r="X38" s="325"/>
      <c r="Y38" s="299"/>
      <c r="AA38" s="42"/>
      <c r="AB38" s="42"/>
      <c r="AC38" s="42"/>
      <c r="AD38" s="42"/>
      <c r="AE38" s="42"/>
      <c r="AF38" s="42"/>
    </row>
    <row r="39" spans="2:59" ht="15" customHeight="1" thickBot="1" x14ac:dyDescent="0.4">
      <c r="B39" s="898"/>
      <c r="C39" s="899"/>
      <c r="D39" s="899"/>
      <c r="E39" s="899"/>
      <c r="F39" s="899"/>
      <c r="G39" s="899"/>
      <c r="H39" s="899"/>
      <c r="I39" s="899"/>
      <c r="J39" s="899"/>
      <c r="K39" s="899"/>
      <c r="L39" s="900"/>
      <c r="M39" s="899"/>
      <c r="N39" s="899"/>
      <c r="O39" s="899"/>
      <c r="P39" s="899"/>
      <c r="Q39" s="899"/>
      <c r="R39" s="899"/>
      <c r="S39" s="899"/>
      <c r="T39" s="899"/>
      <c r="U39" s="899"/>
      <c r="V39" s="899"/>
      <c r="W39" s="899"/>
      <c r="X39" s="1115"/>
      <c r="Y39" s="299"/>
    </row>
    <row r="40" spans="2:59" ht="15" customHeight="1" x14ac:dyDescent="0.35">
      <c r="B40" s="1987" t="s">
        <v>185</v>
      </c>
      <c r="C40" s="2041"/>
      <c r="D40" s="1988"/>
      <c r="E40" s="1987" t="s">
        <v>140</v>
      </c>
      <c r="F40" s="1988"/>
      <c r="G40" s="1987" t="s">
        <v>178</v>
      </c>
      <c r="H40" s="2041"/>
      <c r="I40" s="1988"/>
      <c r="J40" s="1935" t="s">
        <v>184</v>
      </c>
      <c r="K40" s="1936"/>
      <c r="L40" s="1937"/>
      <c r="M40" s="2044" t="s">
        <v>179</v>
      </c>
      <c r="N40" s="2045"/>
      <c r="O40" s="132"/>
      <c r="P40" s="133"/>
      <c r="Q40" s="897"/>
      <c r="R40" s="43" t="s">
        <v>34</v>
      </c>
      <c r="T40" s="42" t="s">
        <v>758</v>
      </c>
      <c r="U40" s="803" t="str">
        <f>Summary!P65</f>
        <v>n</v>
      </c>
      <c r="V40" s="73" t="s">
        <v>298</v>
      </c>
      <c r="W40" s="1214">
        <f>Summary!R65</f>
        <v>8.2500000000000004E-2</v>
      </c>
      <c r="X40" s="1113"/>
      <c r="Y40" s="299"/>
    </row>
    <row r="41" spans="2:59" ht="27" customHeight="1" thickBot="1" x14ac:dyDescent="0.4">
      <c r="B41" s="11" t="s">
        <v>180</v>
      </c>
      <c r="C41" s="1999">
        <f>IF(AX37=0,0,E41/AX37)</f>
        <v>0</v>
      </c>
      <c r="D41" s="2000"/>
      <c r="E41" s="2602">
        <f>U41*(1+M41+Summary!P64)</f>
        <v>0</v>
      </c>
      <c r="F41" s="2004"/>
      <c r="G41" s="15">
        <f>IF(E41=0,0,H41/E41)</f>
        <v>0</v>
      </c>
      <c r="H41" s="2042">
        <f>E41-U41</f>
        <v>0</v>
      </c>
      <c r="I41" s="2043"/>
      <c r="J41" s="2064">
        <f>IF(AX37+AY37=0,0,U41/AX37)</f>
        <v>0</v>
      </c>
      <c r="K41" s="2065"/>
      <c r="L41" s="2066"/>
      <c r="M41" s="2720">
        <f>Summary!P63</f>
        <v>0.18</v>
      </c>
      <c r="N41" s="2721"/>
      <c r="O41" s="2721"/>
      <c r="P41" s="2722"/>
      <c r="Q41" s="902"/>
      <c r="R41" s="86" t="s">
        <v>50</v>
      </c>
      <c r="U41" s="1932">
        <f>SUM(O49:P59)+SUM(O62:P68)+SUM(O71:P73)+SUM(O75:P80)+SUM(O82:P87)+X87+O60+SUM(L62:M68)</f>
        <v>0</v>
      </c>
      <c r="V41" s="1932"/>
      <c r="X41" s="1113"/>
      <c r="Y41" s="299"/>
    </row>
    <row r="42" spans="2:59" ht="15" customHeight="1" thickBot="1" x14ac:dyDescent="0.4">
      <c r="B42" s="889"/>
      <c r="C42" s="890"/>
      <c r="D42" s="890"/>
      <c r="E42" s="890"/>
      <c r="F42" s="890"/>
      <c r="G42" s="890"/>
      <c r="H42" s="890"/>
      <c r="I42" s="891" t="s">
        <v>891</v>
      </c>
      <c r="J42" s="892"/>
      <c r="K42" s="2036"/>
      <c r="L42" s="2037"/>
      <c r="M42" s="893"/>
      <c r="N42" s="1899">
        <f>IF(K42&gt;0,(K42-E41)/(1+M41),0)</f>
        <v>0</v>
      </c>
      <c r="O42" s="1899"/>
      <c r="P42" s="890"/>
      <c r="Q42" s="890"/>
      <c r="R42" s="890"/>
      <c r="S42" s="890"/>
      <c r="T42" s="890"/>
      <c r="U42" s="2245">
        <f>AF118</f>
        <v>0</v>
      </c>
      <c r="V42" s="2622"/>
      <c r="W42" s="890"/>
      <c r="X42" s="896"/>
      <c r="Y42" s="299"/>
    </row>
    <row r="43" spans="2:59" x14ac:dyDescent="0.35">
      <c r="B43" s="42" t="s">
        <v>635</v>
      </c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298"/>
      <c r="R43" s="298"/>
      <c r="S43" s="298"/>
      <c r="T43" s="298"/>
      <c r="U43" s="298"/>
      <c r="V43" s="298"/>
      <c r="W43" s="298"/>
      <c r="X43" s="298"/>
      <c r="Y43" s="299"/>
    </row>
    <row r="44" spans="2:59" x14ac:dyDescent="0.35">
      <c r="B44" s="298"/>
      <c r="C44" s="739"/>
      <c r="D44" s="739"/>
      <c r="E44" s="739"/>
      <c r="F44" s="739"/>
      <c r="G44" s="739"/>
      <c r="H44" s="739"/>
      <c r="I44" s="739"/>
      <c r="J44" s="739"/>
      <c r="K44" s="739"/>
      <c r="L44" s="739"/>
      <c r="M44" s="739"/>
      <c r="N44" s="739"/>
      <c r="O44" s="739"/>
      <c r="P44" s="739"/>
      <c r="Q44" s="298"/>
      <c r="R44" s="298" t="s">
        <v>706</v>
      </c>
      <c r="S44" s="298"/>
      <c r="T44" s="298"/>
      <c r="U44" s="298"/>
      <c r="V44" s="298"/>
      <c r="W44" s="298"/>
      <c r="X44" s="298"/>
      <c r="Y44" s="299"/>
    </row>
    <row r="45" spans="2:59" ht="20.25" customHeight="1" x14ac:dyDescent="0.35">
      <c r="B45" s="298"/>
      <c r="C45" s="739"/>
      <c r="D45" s="739"/>
      <c r="E45" s="739"/>
      <c r="F45" s="739"/>
      <c r="G45" s="739"/>
      <c r="H45" s="739"/>
      <c r="I45" s="739"/>
      <c r="J45" s="739"/>
      <c r="K45" s="739"/>
      <c r="L45" s="739"/>
      <c r="M45" s="739"/>
      <c r="N45" s="739"/>
      <c r="O45" s="739"/>
      <c r="P45" s="739"/>
      <c r="Q45" s="298"/>
      <c r="R45" s="298"/>
      <c r="S45" s="2658">
        <f>IF(I63=0,0,(SUM(X50:X64)+O60)/I63)</f>
        <v>0</v>
      </c>
      <c r="T45" s="2658"/>
      <c r="U45" s="298"/>
      <c r="V45" s="298"/>
      <c r="W45" s="298"/>
      <c r="X45" s="298"/>
      <c r="Y45" s="299"/>
    </row>
    <row r="46" spans="2:59" ht="19" customHeight="1" x14ac:dyDescent="0.35">
      <c r="B46" s="298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298"/>
      <c r="R46" s="298"/>
      <c r="S46" s="298"/>
      <c r="T46" s="298"/>
      <c r="U46" s="298"/>
      <c r="V46" s="298"/>
      <c r="W46" s="298"/>
      <c r="X46" s="298"/>
      <c r="Y46" s="299"/>
    </row>
    <row r="47" spans="2:59" ht="19" customHeight="1" thickBot="1" x14ac:dyDescent="0.4">
      <c r="B47" s="298"/>
      <c r="C47" s="739"/>
      <c r="D47" s="739"/>
      <c r="E47" s="739"/>
      <c r="F47" s="739"/>
      <c r="G47" s="739"/>
      <c r="H47" s="739"/>
      <c r="I47" s="739"/>
      <c r="J47" s="739"/>
      <c r="K47" s="739"/>
      <c r="L47" s="739"/>
      <c r="M47" s="739"/>
      <c r="N47" s="739"/>
      <c r="O47" s="739"/>
      <c r="P47" s="739"/>
      <c r="Q47" s="298"/>
      <c r="R47" s="298"/>
      <c r="S47" s="298"/>
      <c r="T47" s="306"/>
      <c r="U47" s="306"/>
      <c r="V47" s="306"/>
      <c r="W47" s="306"/>
      <c r="X47" s="298"/>
      <c r="Y47" s="299"/>
    </row>
    <row r="48" spans="2:59" ht="38.25" customHeight="1" thickBot="1" x14ac:dyDescent="0.4">
      <c r="B48" s="862" t="s">
        <v>226</v>
      </c>
      <c r="C48" s="2294" t="s">
        <v>167</v>
      </c>
      <c r="D48" s="2295"/>
      <c r="E48" s="2295"/>
      <c r="F48" s="2295"/>
      <c r="G48" s="2295"/>
      <c r="H48" s="2295"/>
      <c r="I48" s="2295"/>
      <c r="J48" s="2295"/>
      <c r="K48" s="2295"/>
      <c r="L48" s="2295"/>
      <c r="M48" s="2295"/>
      <c r="N48" s="2295"/>
      <c r="O48" s="2295"/>
      <c r="P48" s="2296"/>
      <c r="Q48" s="862" t="s">
        <v>284</v>
      </c>
      <c r="R48" s="2656" t="s">
        <v>196</v>
      </c>
      <c r="S48" s="2657"/>
      <c r="T48" s="1082" t="s">
        <v>52</v>
      </c>
      <c r="U48" s="1256"/>
      <c r="V48" s="834" t="s">
        <v>7</v>
      </c>
      <c r="W48" s="1256"/>
      <c r="X48" s="1074"/>
      <c r="Y48" s="299"/>
    </row>
    <row r="49" spans="2:32" ht="19" customHeight="1" x14ac:dyDescent="0.35">
      <c r="B49" s="12">
        <v>1</v>
      </c>
      <c r="C49" s="42" t="str">
        <f>IF(B49=1,Pricing!F$1,IF(B49=2,Pricing!G$1,IF(B49=3,Pricing!H$1,IF(B49=4,Pricing!I$1,IF(B49=5,Pricing!J$1,IF(B49=6,Pricing!K$1,0))))))</f>
        <v>3000 PSI W/ ASH PIERS, SOG</v>
      </c>
      <c r="G49" s="1203">
        <f>IF(B49=1,Pricing!F$2,IF(B49=2,Pricing!G$2,IF(B49=3,Pricing!H$2,IF(B49=4,Pricing!I$2,IF(B49=5,Pricing!J$2,IF(B49=6,Pricing!K$2,0))))))</f>
        <v>147</v>
      </c>
      <c r="H49" s="88" t="s">
        <v>168</v>
      </c>
      <c r="I49" s="2032" t="s">
        <v>323</v>
      </c>
      <c r="J49" s="2033"/>
      <c r="K49" s="2698">
        <v>0.08</v>
      </c>
      <c r="L49" s="1908">
        <f>IF(B49=1,AO$37,IF(B49=2,AP$37,IF(B49=3,AQ$37,IF(B49=4,AR$37,IF(B49=5,AS$37,IF(B49=6,AT$37))))))</f>
        <v>0</v>
      </c>
      <c r="M49" s="1909"/>
      <c r="N49" s="58" t="s">
        <v>102</v>
      </c>
      <c r="O49" s="2248">
        <f>L49*G49*(IF(U$40="N",1+W$40,1))</f>
        <v>0</v>
      </c>
      <c r="P49" s="2249"/>
      <c r="Q49" s="797">
        <v>2</v>
      </c>
      <c r="R49" s="193" t="s">
        <v>466</v>
      </c>
      <c r="S49" s="106"/>
      <c r="T49" s="747">
        <v>0.5</v>
      </c>
      <c r="U49" s="106"/>
      <c r="V49" s="195">
        <f>BB69</f>
        <v>0</v>
      </c>
      <c r="W49" s="106"/>
      <c r="X49" s="118">
        <f>V49*T49</f>
        <v>0</v>
      </c>
      <c r="Y49" s="299"/>
    </row>
    <row r="50" spans="2:32" ht="19" customHeight="1" x14ac:dyDescent="0.35">
      <c r="B50" s="13">
        <v>2</v>
      </c>
      <c r="C50" s="42" t="str">
        <f>IF(B50=1,Pricing!F$1,IF(B50=2,Pricing!G$1,IF(B50=3,Pricing!H$1,IF(B50=4,Pricing!I$1,IF(B50=5,Pricing!J$1,IF(B50=6,Pricing!K$1,0))))))</f>
        <v>3500 Psi</v>
      </c>
      <c r="G50" s="1140">
        <f>IF(B50=1,Pricing!F$2,IF(B50=2,Pricing!G$2,IF(B50=3,Pricing!H$2,IF(B50=4,Pricing!I$2,IF(B50=5,Pricing!J$2,IF(B50=6,Pricing!K$2,0))))))</f>
        <v>152</v>
      </c>
      <c r="H50" s="88" t="s">
        <v>168</v>
      </c>
      <c r="I50" s="2032"/>
      <c r="J50" s="2033"/>
      <c r="K50" s="2698"/>
      <c r="L50" s="1908">
        <f>IF(B50=1,AO$37,IF(B50=2,AP$37,IF(B50=3,AQ$37,IF(B50=4,AR$37,IF(B50=5,AS$37,IF(B50=6,AT$37))))))</f>
        <v>0</v>
      </c>
      <c r="M50" s="1909"/>
      <c r="N50" s="58" t="s">
        <v>102</v>
      </c>
      <c r="O50" s="2248">
        <f>L50*G50*(IF(U$40="N",1+W$40,1))</f>
        <v>0</v>
      </c>
      <c r="P50" s="2249"/>
      <c r="Q50" s="797">
        <v>2</v>
      </c>
      <c r="R50" s="193" t="s">
        <v>203</v>
      </c>
      <c r="S50" s="106"/>
      <c r="T50" s="194">
        <f>I63*0.5</f>
        <v>0</v>
      </c>
      <c r="U50" s="387" t="s">
        <v>197</v>
      </c>
      <c r="V50" s="195">
        <f>Pricing!N3</f>
        <v>0.5625</v>
      </c>
      <c r="W50" s="401" t="s">
        <v>99</v>
      </c>
      <c r="X50" s="118">
        <f t="shared" ref="X50:X61" si="18">IF(U$40="Y",T50*V50,T50*V50*(1+W$40))</f>
        <v>0</v>
      </c>
      <c r="Y50" s="299"/>
    </row>
    <row r="51" spans="2:32" ht="19" customHeight="1" thickBot="1" x14ac:dyDescent="0.4">
      <c r="B51" s="334">
        <v>3</v>
      </c>
      <c r="C51" s="75" t="str">
        <f>IF(B51=1,Pricing!F$1,IF(B51=2,Pricing!G$1,IF(B51=3,Pricing!H$1,IF(B51=4,Pricing!I$1,IF(B51=5,Pricing!J$1,IF(B51=6,Pricing!K$1,0))))))</f>
        <v>4000 psi</v>
      </c>
      <c r="D51" s="75"/>
      <c r="E51" s="75"/>
      <c r="F51" s="80"/>
      <c r="G51" s="1141">
        <f>IF(B51=1,Pricing!F$2,IF(B51=2,Pricing!G$2,IF(B51=3,Pricing!H$2,IF(B51=4,Pricing!I$2,IF(B51=5,Pricing!J$2,IF(B51=6,Pricing!K$2,0))))))</f>
        <v>157</v>
      </c>
      <c r="H51" s="90" t="s">
        <v>168</v>
      </c>
      <c r="I51" s="2034"/>
      <c r="J51" s="2035"/>
      <c r="K51" s="2699"/>
      <c r="L51" s="1908">
        <f>IF(B51=1,AO$37,IF(B51=2,AP$37,IF(B51=3,AQ$37,IF(B51=4,AR$37,IF(B51=5,AS$37,IF(B51=6,AT$37))))))</f>
        <v>0</v>
      </c>
      <c r="M51" s="1909"/>
      <c r="N51" s="91" t="s">
        <v>102</v>
      </c>
      <c r="O51" s="2248">
        <f>L51*G51*(IF(U$40="N",1+W$40,1))</f>
        <v>0</v>
      </c>
      <c r="P51" s="2249"/>
      <c r="Q51" s="797">
        <v>2</v>
      </c>
      <c r="R51" s="193" t="s">
        <v>204</v>
      </c>
      <c r="S51" s="106"/>
      <c r="T51" s="194">
        <f>T50</f>
        <v>0</v>
      </c>
      <c r="U51" s="387" t="s">
        <v>197</v>
      </c>
      <c r="V51" s="195">
        <f>Pricing!N4</f>
        <v>0.65625</v>
      </c>
      <c r="W51" s="401" t="s">
        <v>99</v>
      </c>
      <c r="X51" s="118">
        <f t="shared" si="18"/>
        <v>0</v>
      </c>
      <c r="Y51" s="299"/>
    </row>
    <row r="52" spans="2:32" ht="19" customHeight="1" thickTop="1" x14ac:dyDescent="0.35">
      <c r="B52" s="313"/>
      <c r="C52" s="92" t="s">
        <v>104</v>
      </c>
      <c r="G52" s="1140">
        <f>Pricing!D22</f>
        <v>0.6</v>
      </c>
      <c r="H52" s="88" t="s">
        <v>88</v>
      </c>
      <c r="I52" s="2246" t="s">
        <v>202</v>
      </c>
      <c r="J52" s="2247"/>
      <c r="K52" s="1208">
        <v>0.1</v>
      </c>
      <c r="L52" s="2062">
        <f>V37</f>
        <v>0</v>
      </c>
      <c r="M52" s="2063"/>
      <c r="N52" s="42" t="s">
        <v>32</v>
      </c>
      <c r="O52" s="2366">
        <f>G52*L52*(IF(U40="N",1+W40,1))</f>
        <v>0</v>
      </c>
      <c r="P52" s="2367"/>
      <c r="Q52" s="797">
        <v>2</v>
      </c>
      <c r="R52" s="193" t="s">
        <v>206</v>
      </c>
      <c r="S52" s="106"/>
      <c r="T52" s="194"/>
      <c r="U52" s="387" t="s">
        <v>197</v>
      </c>
      <c r="V52" s="195">
        <f>Pricing!N5</f>
        <v>1</v>
      </c>
      <c r="W52" s="401" t="s">
        <v>99</v>
      </c>
      <c r="X52" s="118">
        <f t="shared" si="18"/>
        <v>0</v>
      </c>
      <c r="Y52" s="299"/>
    </row>
    <row r="53" spans="2:32" ht="19" customHeight="1" x14ac:dyDescent="0.35">
      <c r="B53" s="313"/>
      <c r="C53" s="92"/>
      <c r="G53" s="1140">
        <f>Pricing!F5</f>
        <v>0</v>
      </c>
      <c r="H53" s="88" t="s">
        <v>69</v>
      </c>
      <c r="I53" s="2008" t="s">
        <v>202</v>
      </c>
      <c r="J53" s="2009"/>
      <c r="K53" s="1209">
        <v>0.05</v>
      </c>
      <c r="L53" s="1908"/>
      <c r="M53" s="1909"/>
      <c r="N53" s="42" t="s">
        <v>95</v>
      </c>
      <c r="O53" s="2248">
        <f>L53*G53*(IF(U40="N",1+W40,1))*(K53+1)</f>
        <v>0</v>
      </c>
      <c r="P53" s="2249"/>
      <c r="Q53" s="797">
        <v>2</v>
      </c>
      <c r="R53" s="193" t="s">
        <v>205</v>
      </c>
      <c r="S53" s="106"/>
      <c r="T53" s="194">
        <f>T50</f>
        <v>0</v>
      </c>
      <c r="U53" s="387" t="s">
        <v>197</v>
      </c>
      <c r="V53" s="195">
        <f>Pricing!N6</f>
        <v>1.25</v>
      </c>
      <c r="W53" s="401" t="s">
        <v>99</v>
      </c>
      <c r="X53" s="118">
        <f t="shared" si="18"/>
        <v>0</v>
      </c>
      <c r="Y53" s="299"/>
    </row>
    <row r="54" spans="2:32" ht="19" customHeight="1" thickBot="1" x14ac:dyDescent="0.4">
      <c r="B54" s="313"/>
      <c r="C54" s="93" t="s">
        <v>302</v>
      </c>
      <c r="D54" s="75"/>
      <c r="E54" s="75"/>
      <c r="F54" s="75"/>
      <c r="G54" s="1141">
        <v>0.35</v>
      </c>
      <c r="H54" s="90" t="s">
        <v>69</v>
      </c>
      <c r="I54" s="75" t="s">
        <v>199</v>
      </c>
      <c r="J54" s="2723">
        <v>0</v>
      </c>
      <c r="K54" s="2723"/>
      <c r="L54" s="2061"/>
      <c r="M54" s="2061"/>
      <c r="N54" s="75" t="s">
        <v>95</v>
      </c>
      <c r="O54" s="2373">
        <f>IF(M36="y",IF(J54=0,L54*G54,J54),0)*(IF(T$61="N",1+V$61,1))</f>
        <v>0</v>
      </c>
      <c r="P54" s="2374"/>
      <c r="Q54" s="797">
        <v>2</v>
      </c>
      <c r="R54" s="193" t="s">
        <v>207</v>
      </c>
      <c r="S54" s="106"/>
      <c r="T54" s="194">
        <v>0</v>
      </c>
      <c r="U54" s="106" t="s">
        <v>209</v>
      </c>
      <c r="V54" s="195">
        <f>Pricing!N7</f>
        <v>50</v>
      </c>
      <c r="W54" s="401" t="s">
        <v>290</v>
      </c>
      <c r="X54" s="118">
        <f t="shared" si="18"/>
        <v>0</v>
      </c>
      <c r="Y54" s="299"/>
    </row>
    <row r="55" spans="2:32" ht="19" customHeight="1" thickTop="1" x14ac:dyDescent="0.35">
      <c r="B55" s="332"/>
      <c r="C55" s="58" t="s">
        <v>103</v>
      </c>
      <c r="G55" s="1142">
        <v>25</v>
      </c>
      <c r="H55" s="88" t="s">
        <v>169</v>
      </c>
      <c r="I55" s="2444" t="s">
        <v>202</v>
      </c>
      <c r="J55" s="2445"/>
      <c r="K55" s="2659">
        <v>0.05</v>
      </c>
      <c r="L55" s="1909">
        <f>AI29</f>
        <v>0</v>
      </c>
      <c r="M55" s="1909"/>
      <c r="N55" s="42" t="s">
        <v>102</v>
      </c>
      <c r="O55" s="2366">
        <f>L55*G55*IF(R24="N",1+U24,1)</f>
        <v>0</v>
      </c>
      <c r="P55" s="2367"/>
      <c r="Q55" s="797">
        <v>2</v>
      </c>
      <c r="R55" s="193" t="s">
        <v>225</v>
      </c>
      <c r="S55" s="106"/>
      <c r="T55" s="194">
        <f>ROUNDUP(E35/2/25,0)</f>
        <v>0</v>
      </c>
      <c r="U55" s="106" t="s">
        <v>224</v>
      </c>
      <c r="V55" s="195">
        <f>Pricing!N14</f>
        <v>18</v>
      </c>
      <c r="W55" s="401" t="s">
        <v>291</v>
      </c>
      <c r="X55" s="118">
        <f t="shared" si="18"/>
        <v>0</v>
      </c>
      <c r="Y55" s="299"/>
    </row>
    <row r="56" spans="2:32" ht="19" customHeight="1" thickBot="1" x14ac:dyDescent="0.4">
      <c r="B56" s="313"/>
      <c r="C56" s="134" t="s">
        <v>344</v>
      </c>
      <c r="D56" s="75"/>
      <c r="E56" s="95"/>
      <c r="F56" s="75"/>
      <c r="G56" s="1143">
        <v>20</v>
      </c>
      <c r="H56" s="90" t="s">
        <v>124</v>
      </c>
      <c r="I56" s="2446"/>
      <c r="J56" s="2447"/>
      <c r="K56" s="2660"/>
      <c r="L56" s="2061"/>
      <c r="M56" s="2061"/>
      <c r="N56" s="75" t="s">
        <v>95</v>
      </c>
      <c r="O56" s="2300">
        <f>L56*G56</f>
        <v>0</v>
      </c>
      <c r="P56" s="2301"/>
      <c r="Q56" s="797">
        <v>2</v>
      </c>
      <c r="R56" s="193" t="s">
        <v>0</v>
      </c>
      <c r="S56" s="106"/>
      <c r="T56" s="194">
        <f>ROUNDUP(I63/1800,0)</f>
        <v>0</v>
      </c>
      <c r="U56" s="106" t="s">
        <v>6</v>
      </c>
      <c r="V56" s="195">
        <f>Pricing!N15</f>
        <v>42</v>
      </c>
      <c r="W56" s="401" t="s">
        <v>292</v>
      </c>
      <c r="X56" s="118">
        <f t="shared" si="18"/>
        <v>0</v>
      </c>
      <c r="Y56" s="299"/>
    </row>
    <row r="57" spans="2:32" ht="19" customHeight="1" thickTop="1" x14ac:dyDescent="0.35">
      <c r="B57" s="313"/>
      <c r="C57" s="92"/>
      <c r="E57" s="73"/>
      <c r="G57" s="1204">
        <v>0.17</v>
      </c>
      <c r="H57" s="42" t="s">
        <v>171</v>
      </c>
      <c r="I57" s="2444" t="s">
        <v>202</v>
      </c>
      <c r="J57" s="2445"/>
      <c r="K57" s="2715">
        <v>0.1</v>
      </c>
      <c r="L57" s="1908"/>
      <c r="M57" s="1909"/>
      <c r="N57" s="42" t="s">
        <v>95</v>
      </c>
      <c r="O57" s="2261">
        <f>G57*L57</f>
        <v>0</v>
      </c>
      <c r="P57" s="2262"/>
      <c r="Q57" s="797">
        <v>2</v>
      </c>
      <c r="R57" s="193" t="s">
        <v>2</v>
      </c>
      <c r="S57" s="106"/>
      <c r="T57" s="194">
        <f>ROUNDUP(I63/1000,0)</f>
        <v>0</v>
      </c>
      <c r="U57" s="106" t="s">
        <v>6</v>
      </c>
      <c r="V57" s="195">
        <f>Pricing!N16</f>
        <v>42</v>
      </c>
      <c r="W57" s="401" t="s">
        <v>292</v>
      </c>
      <c r="X57" s="118">
        <f t="shared" si="18"/>
        <v>0</v>
      </c>
      <c r="Y57" s="299"/>
    </row>
    <row r="58" spans="2:32" ht="19" customHeight="1" x14ac:dyDescent="0.35">
      <c r="B58" s="2259" t="s">
        <v>192</v>
      </c>
      <c r="C58" s="1972"/>
      <c r="D58" s="1972"/>
      <c r="E58" s="73" t="s">
        <v>301</v>
      </c>
      <c r="F58" s="842" t="s">
        <v>198</v>
      </c>
      <c r="G58" s="757">
        <v>3</v>
      </c>
      <c r="H58" s="88" t="s">
        <v>69</v>
      </c>
      <c r="I58" s="2607"/>
      <c r="J58" s="2608"/>
      <c r="K58" s="2659"/>
      <c r="L58" s="1908">
        <f>IF(F58="Y",E37*(1+K57),0)</f>
        <v>0</v>
      </c>
      <c r="M58" s="1909"/>
      <c r="N58" s="42" t="s">
        <v>42</v>
      </c>
      <c r="O58" s="2261">
        <f>L58*G58</f>
        <v>0</v>
      </c>
      <c r="P58" s="2262"/>
      <c r="Q58" s="797">
        <v>2</v>
      </c>
      <c r="R58" s="193" t="s">
        <v>1</v>
      </c>
      <c r="S58" s="106"/>
      <c r="T58" s="194">
        <f>T57</f>
        <v>0</v>
      </c>
      <c r="U58" s="106" t="s">
        <v>6</v>
      </c>
      <c r="V58" s="195">
        <f>Pricing!N17</f>
        <v>42</v>
      </c>
      <c r="W58" s="401" t="s">
        <v>292</v>
      </c>
      <c r="X58" s="118">
        <f t="shared" si="18"/>
        <v>0</v>
      </c>
      <c r="Y58" s="299"/>
    </row>
    <row r="59" spans="2:32" ht="19" customHeight="1" thickBot="1" x14ac:dyDescent="0.4">
      <c r="B59" s="2654" t="s">
        <v>563</v>
      </c>
      <c r="C59" s="2655"/>
      <c r="D59" s="2655"/>
      <c r="E59" s="95" t="s">
        <v>301</v>
      </c>
      <c r="F59" s="1168" t="s">
        <v>198</v>
      </c>
      <c r="G59" s="1145">
        <v>3</v>
      </c>
      <c r="H59" s="90" t="s">
        <v>170</v>
      </c>
      <c r="I59" s="2446"/>
      <c r="J59" s="2447"/>
      <c r="K59" s="2660"/>
      <c r="L59" s="2060">
        <f>IF(F59="Y",E37*2*(1+K57),0)</f>
        <v>0</v>
      </c>
      <c r="M59" s="2061"/>
      <c r="N59" s="75" t="s">
        <v>42</v>
      </c>
      <c r="O59" s="2373">
        <f>L59*G59</f>
        <v>0</v>
      </c>
      <c r="P59" s="2374"/>
      <c r="Q59" s="797">
        <v>2</v>
      </c>
      <c r="R59" s="193" t="s">
        <v>210</v>
      </c>
      <c r="S59" s="106"/>
      <c r="T59" s="194">
        <f>AM29*12/48/50</f>
        <v>0</v>
      </c>
      <c r="U59" s="106" t="s">
        <v>6</v>
      </c>
      <c r="V59" s="195">
        <f>Pricing!N33</f>
        <v>25.5</v>
      </c>
      <c r="W59" s="401" t="s">
        <v>292</v>
      </c>
      <c r="X59" s="118">
        <f t="shared" si="18"/>
        <v>0</v>
      </c>
      <c r="Y59" s="299"/>
      <c r="AA59" t="s">
        <v>237</v>
      </c>
    </row>
    <row r="60" spans="2:32" ht="19" customHeight="1" thickTop="1" thickBot="1" x14ac:dyDescent="0.4">
      <c r="B60" s="47"/>
      <c r="C60" s="47" t="s">
        <v>70</v>
      </c>
      <c r="D60" s="49"/>
      <c r="E60" s="49"/>
      <c r="F60" s="49"/>
      <c r="G60" s="1257">
        <v>0</v>
      </c>
      <c r="H60" s="96" t="s">
        <v>193</v>
      </c>
      <c r="I60" s="2360" t="s">
        <v>195</v>
      </c>
      <c r="J60" s="2361"/>
      <c r="K60" s="1212">
        <v>0.3</v>
      </c>
      <c r="L60" s="2362">
        <f>AW37</f>
        <v>0</v>
      </c>
      <c r="M60" s="2363"/>
      <c r="N60" s="49" t="s">
        <v>95</v>
      </c>
      <c r="O60" s="2351">
        <f>G60*K60*L60</f>
        <v>0</v>
      </c>
      <c r="P60" s="2352"/>
      <c r="Q60" s="797">
        <v>2</v>
      </c>
      <c r="R60" s="193" t="s">
        <v>236</v>
      </c>
      <c r="S60" s="106"/>
      <c r="T60" s="194">
        <f>BE51+AE112</f>
        <v>0</v>
      </c>
      <c r="U60" s="106" t="s">
        <v>197</v>
      </c>
      <c r="V60" s="195">
        <f>Pricing!N18</f>
        <v>0.78</v>
      </c>
      <c r="W60" s="401" t="s">
        <v>99</v>
      </c>
      <c r="X60" s="118">
        <f t="shared" si="18"/>
        <v>0</v>
      </c>
      <c r="Y60" s="299"/>
      <c r="AA60" t="s">
        <v>126</v>
      </c>
      <c r="AB60">
        <v>0</v>
      </c>
    </row>
    <row r="61" spans="2:32" ht="19" customHeight="1" thickBot="1" x14ac:dyDescent="0.4">
      <c r="B61" s="835" t="s">
        <v>221</v>
      </c>
      <c r="C61" s="834"/>
      <c r="D61" s="834" t="s">
        <v>299</v>
      </c>
      <c r="E61" s="834"/>
      <c r="F61" s="834"/>
      <c r="G61" s="834"/>
      <c r="H61" s="834"/>
      <c r="I61" s="834"/>
      <c r="J61" s="834"/>
      <c r="K61" s="834"/>
      <c r="L61" s="2306" t="s">
        <v>45</v>
      </c>
      <c r="M61" s="2306"/>
      <c r="N61" s="2306" t="s">
        <v>300</v>
      </c>
      <c r="O61" s="2306"/>
      <c r="P61" s="2307"/>
      <c r="Q61" s="797">
        <v>2</v>
      </c>
      <c r="R61" s="193" t="s">
        <v>119</v>
      </c>
      <c r="S61" s="106"/>
      <c r="T61" s="194">
        <v>0</v>
      </c>
      <c r="U61" s="106" t="s">
        <v>197</v>
      </c>
      <c r="V61" s="195">
        <f>Pricing!N19</f>
        <v>0.16</v>
      </c>
      <c r="W61" s="401" t="s">
        <v>99</v>
      </c>
      <c r="X61" s="118">
        <f t="shared" si="18"/>
        <v>0</v>
      </c>
      <c r="Y61" s="299"/>
      <c r="AA61" t="s">
        <v>238</v>
      </c>
      <c r="AB61">
        <v>0</v>
      </c>
    </row>
    <row r="62" spans="2:32" ht="19" customHeight="1" x14ac:dyDescent="0.35">
      <c r="B62" s="250" t="s">
        <v>321</v>
      </c>
      <c r="C62" s="48"/>
      <c r="D62" s="251" t="s">
        <v>200</v>
      </c>
      <c r="E62" s="2028">
        <v>5.25</v>
      </c>
      <c r="F62" s="2028"/>
      <c r="G62" s="116" t="s">
        <v>670</v>
      </c>
      <c r="H62" s="48"/>
      <c r="I62" s="2637">
        <f>AY37</f>
        <v>0</v>
      </c>
      <c r="J62" s="1959"/>
      <c r="K62" s="116" t="s">
        <v>562</v>
      </c>
      <c r="L62" s="2359">
        <f>IF(D62="N",E62*I62,0)</f>
        <v>0</v>
      </c>
      <c r="M62" s="2359"/>
      <c r="N62" s="48"/>
      <c r="O62" s="2732">
        <f>IF(D62="y",E62*I62,0)</f>
        <v>0</v>
      </c>
      <c r="P62" s="2733"/>
      <c r="Q62" s="797">
        <v>2</v>
      </c>
      <c r="R62" s="193" t="s">
        <v>218</v>
      </c>
      <c r="S62" s="106"/>
      <c r="T62" s="194">
        <v>0</v>
      </c>
      <c r="U62" s="106" t="s">
        <v>6</v>
      </c>
      <c r="V62" s="195">
        <f>Pricing!N20</f>
        <v>45</v>
      </c>
      <c r="W62" s="401" t="s">
        <v>292</v>
      </c>
      <c r="X62" s="118">
        <f>IF(U$40="Y",T62*V62,T62*V62*(1+W$40))</f>
        <v>0</v>
      </c>
      <c r="Y62" s="299"/>
      <c r="AA62" t="s">
        <v>283</v>
      </c>
      <c r="AB62">
        <v>0</v>
      </c>
    </row>
    <row r="63" spans="2:32" ht="19" customHeight="1" x14ac:dyDescent="0.35">
      <c r="B63" s="43" t="s">
        <v>329</v>
      </c>
      <c r="C63" s="57"/>
      <c r="D63" s="97" t="s">
        <v>200</v>
      </c>
      <c r="E63" s="1844">
        <v>5</v>
      </c>
      <c r="F63" s="1845"/>
      <c r="G63" s="88" t="s">
        <v>671</v>
      </c>
      <c r="H63" s="2431">
        <f>SUM(E63:F65)</f>
        <v>12</v>
      </c>
      <c r="I63" s="2557">
        <f>AX37</f>
        <v>0</v>
      </c>
      <c r="J63" s="2558"/>
      <c r="K63" s="42" t="s">
        <v>332</v>
      </c>
      <c r="L63" s="2231">
        <f t="shared" ref="L63:L68" si="19">IF(D63="N",E63*I63,0)</f>
        <v>0</v>
      </c>
      <c r="M63" s="2231"/>
      <c r="O63" s="2730">
        <f>IF(D63="y",I$63*E63,0)</f>
        <v>0</v>
      </c>
      <c r="P63" s="2731"/>
      <c r="Q63" s="797">
        <v>2</v>
      </c>
      <c r="R63" s="193"/>
      <c r="S63" s="106"/>
      <c r="T63" s="106"/>
      <c r="U63" s="106"/>
      <c r="V63" s="195">
        <f>BB70</f>
        <v>0</v>
      </c>
      <c r="W63" s="106"/>
      <c r="X63" s="118">
        <f>V63*T63</f>
        <v>0</v>
      </c>
      <c r="Y63" s="299"/>
      <c r="AA63" t="s">
        <v>239</v>
      </c>
      <c r="AB63" t="s">
        <v>240</v>
      </c>
      <c r="AF63" t="s">
        <v>92</v>
      </c>
    </row>
    <row r="64" spans="2:32" ht="19" customHeight="1" x14ac:dyDescent="0.35">
      <c r="B64" s="92" t="s">
        <v>162</v>
      </c>
      <c r="C64" s="57"/>
      <c r="D64" s="98" t="s">
        <v>200</v>
      </c>
      <c r="E64" s="1844">
        <v>5</v>
      </c>
      <c r="F64" s="1845"/>
      <c r="G64" s="88" t="s">
        <v>671</v>
      </c>
      <c r="H64" s="2431"/>
      <c r="I64" s="2559"/>
      <c r="J64" s="2560"/>
      <c r="K64" s="42" t="s">
        <v>332</v>
      </c>
      <c r="L64" s="2231">
        <f t="shared" si="19"/>
        <v>0</v>
      </c>
      <c r="M64" s="2231"/>
      <c r="O64" s="2730">
        <f>IF(D64="y",I$63*E64,0)</f>
        <v>0</v>
      </c>
      <c r="P64" s="2731"/>
      <c r="Q64" s="797">
        <v>2</v>
      </c>
      <c r="R64" s="193" t="s">
        <v>123</v>
      </c>
      <c r="S64" s="106"/>
      <c r="T64" s="106"/>
      <c r="U64" s="106" t="s">
        <v>208</v>
      </c>
      <c r="V64" s="195">
        <f>BH61</f>
        <v>0</v>
      </c>
      <c r="W64" s="401" t="s">
        <v>294</v>
      </c>
      <c r="X64" s="118">
        <f>V64*T64</f>
        <v>0</v>
      </c>
      <c r="Y64" s="299"/>
    </row>
    <row r="65" spans="2:32" ht="19" customHeight="1" x14ac:dyDescent="0.35">
      <c r="B65" s="92" t="s">
        <v>84</v>
      </c>
      <c r="C65" s="57"/>
      <c r="D65" s="98" t="s">
        <v>200</v>
      </c>
      <c r="E65" s="1844">
        <v>2</v>
      </c>
      <c r="F65" s="1845"/>
      <c r="G65" s="88" t="s">
        <v>671</v>
      </c>
      <c r="H65" s="2431"/>
      <c r="I65" s="2559"/>
      <c r="J65" s="2560"/>
      <c r="K65" s="42" t="s">
        <v>332</v>
      </c>
      <c r="L65" s="2231">
        <f t="shared" si="19"/>
        <v>0</v>
      </c>
      <c r="M65" s="2231"/>
      <c r="O65" s="2730">
        <f>IF(D65="y",I$63*E65,0)</f>
        <v>0</v>
      </c>
      <c r="P65" s="2731"/>
      <c r="Q65" s="797">
        <v>2</v>
      </c>
      <c r="R65" s="193"/>
      <c r="S65" s="106"/>
      <c r="T65" s="194"/>
      <c r="U65" s="106"/>
      <c r="V65" s="195">
        <v>0</v>
      </c>
      <c r="W65" s="106"/>
      <c r="X65" s="118">
        <f t="shared" ref="X65:X73" si="20">T65*V65</f>
        <v>0</v>
      </c>
      <c r="Y65" s="299"/>
      <c r="AA65">
        <v>0</v>
      </c>
      <c r="AB65" t="s">
        <v>241</v>
      </c>
    </row>
    <row r="66" spans="2:32" ht="19" customHeight="1" x14ac:dyDescent="0.35">
      <c r="B66" s="92" t="s">
        <v>322</v>
      </c>
      <c r="C66" s="57"/>
      <c r="D66" s="98" t="s">
        <v>200</v>
      </c>
      <c r="E66" s="1844"/>
      <c r="F66" s="1845"/>
      <c r="G66" s="88" t="s">
        <v>671</v>
      </c>
      <c r="I66" s="2561"/>
      <c r="J66" s="2562"/>
      <c r="K66" s="42" t="s">
        <v>332</v>
      </c>
      <c r="L66" s="2231">
        <f t="shared" si="19"/>
        <v>0</v>
      </c>
      <c r="M66" s="2231"/>
      <c r="O66" s="2730">
        <f>IF(D66="y",I$63*E66,0)</f>
        <v>0</v>
      </c>
      <c r="P66" s="2731"/>
      <c r="Q66" s="797">
        <v>2</v>
      </c>
      <c r="R66" s="193"/>
      <c r="S66" s="106"/>
      <c r="T66" s="194"/>
      <c r="U66" s="106"/>
      <c r="V66" s="195">
        <v>0</v>
      </c>
      <c r="W66" s="106"/>
      <c r="X66" s="118">
        <f t="shared" si="20"/>
        <v>0</v>
      </c>
      <c r="Y66" s="299"/>
      <c r="AA66">
        <v>1</v>
      </c>
      <c r="AB66" t="s">
        <v>242</v>
      </c>
    </row>
    <row r="67" spans="2:32" ht="19" customHeight="1" x14ac:dyDescent="0.35">
      <c r="B67" s="92" t="s">
        <v>33</v>
      </c>
      <c r="C67" s="57"/>
      <c r="D67" s="98" t="s">
        <v>200</v>
      </c>
      <c r="E67" s="1844">
        <v>400</v>
      </c>
      <c r="F67" s="1845"/>
      <c r="G67" s="88" t="s">
        <v>89</v>
      </c>
      <c r="I67" s="1909">
        <f>(L52/2000)</f>
        <v>0</v>
      </c>
      <c r="J67" s="1909"/>
      <c r="K67" s="42" t="s">
        <v>183</v>
      </c>
      <c r="L67" s="2231">
        <f t="shared" si="19"/>
        <v>0</v>
      </c>
      <c r="M67" s="2231"/>
      <c r="O67" s="2730">
        <f>IF(D67="y",I67*E67,0)</f>
        <v>0</v>
      </c>
      <c r="P67" s="2731"/>
      <c r="Q67" s="797">
        <v>2</v>
      </c>
      <c r="R67" s="193"/>
      <c r="S67" s="106"/>
      <c r="T67" s="194">
        <f>BE56+BM56</f>
        <v>0</v>
      </c>
      <c r="U67" s="106"/>
      <c r="V67" s="195">
        <f>BH56</f>
        <v>0</v>
      </c>
      <c r="W67" s="106"/>
      <c r="X67" s="118">
        <f t="shared" si="20"/>
        <v>0</v>
      </c>
      <c r="Y67" s="299"/>
      <c r="AA67">
        <v>2</v>
      </c>
      <c r="AB67" t="s">
        <v>243</v>
      </c>
      <c r="AF67" s="261">
        <f>SUM(X50:X73)+O53+O57</f>
        <v>0</v>
      </c>
    </row>
    <row r="68" spans="2:32" ht="19" customHeight="1" thickBot="1" x14ac:dyDescent="0.4">
      <c r="B68" s="134" t="s">
        <v>326</v>
      </c>
      <c r="C68" s="87"/>
      <c r="D68" s="333" t="s">
        <v>235</v>
      </c>
      <c r="E68" s="2712">
        <v>20</v>
      </c>
      <c r="F68" s="2713"/>
      <c r="G68" s="75" t="s">
        <v>327</v>
      </c>
      <c r="H68" s="75"/>
      <c r="I68" s="2061">
        <f>AU37</f>
        <v>0</v>
      </c>
      <c r="J68" s="2061"/>
      <c r="K68" s="75" t="s">
        <v>328</v>
      </c>
      <c r="L68" s="2701">
        <f t="shared" si="19"/>
        <v>0</v>
      </c>
      <c r="M68" s="2701"/>
      <c r="N68" s="75"/>
      <c r="O68" s="2724">
        <f>IF(D68="y",I68*E68,0)</f>
        <v>0</v>
      </c>
      <c r="P68" s="2725"/>
      <c r="Q68" s="797">
        <v>2</v>
      </c>
      <c r="R68" s="193"/>
      <c r="S68" s="106"/>
      <c r="T68" s="194">
        <f>BE58+BM58</f>
        <v>0</v>
      </c>
      <c r="U68" s="106"/>
      <c r="V68" s="195">
        <f>BH58</f>
        <v>0</v>
      </c>
      <c r="W68" s="106"/>
      <c r="X68" s="118">
        <f t="shared" si="20"/>
        <v>0</v>
      </c>
      <c r="Y68" s="299"/>
      <c r="AA68">
        <v>3</v>
      </c>
      <c r="AB68" t="s">
        <v>244</v>
      </c>
      <c r="AF68">
        <f>O55</f>
        <v>0</v>
      </c>
    </row>
    <row r="69" spans="2:32" ht="19" customHeight="1" thickTop="1" thickBot="1" x14ac:dyDescent="0.4">
      <c r="B69" s="6" t="s">
        <v>223</v>
      </c>
      <c r="C69" s="4"/>
      <c r="D69" s="5"/>
      <c r="E69" s="2726">
        <f>IF(I63=0,0,(O69+L69)/I63)</f>
        <v>0</v>
      </c>
      <c r="F69" s="2727"/>
      <c r="G69" s="76"/>
      <c r="H69" s="49"/>
      <c r="I69" s="2707" t="s">
        <v>50</v>
      </c>
      <c r="J69" s="2707"/>
      <c r="K69" s="2707"/>
      <c r="L69" s="2232">
        <f>SUM(L62:M68)</f>
        <v>0</v>
      </c>
      <c r="M69" s="2232"/>
      <c r="N69" s="49"/>
      <c r="O69" s="2728">
        <f>SUM(O62:P68)</f>
        <v>0</v>
      </c>
      <c r="P69" s="2729"/>
      <c r="Q69" s="797">
        <v>2</v>
      </c>
      <c r="R69" s="193"/>
      <c r="S69" s="106"/>
      <c r="T69" s="194">
        <f>BE59+BM59</f>
        <v>0</v>
      </c>
      <c r="U69" s="402"/>
      <c r="V69" s="195">
        <f>BH59</f>
        <v>0</v>
      </c>
      <c r="W69" s="106"/>
      <c r="X69" s="118">
        <f t="shared" si="20"/>
        <v>0</v>
      </c>
      <c r="Y69" s="299"/>
      <c r="AA69">
        <v>4</v>
      </c>
      <c r="AB69" t="s">
        <v>245</v>
      </c>
      <c r="AF69">
        <f>O56</f>
        <v>0</v>
      </c>
    </row>
    <row r="70" spans="2:32" ht="19" customHeight="1" thickBot="1" x14ac:dyDescent="0.4">
      <c r="B70" s="2294" t="s">
        <v>194</v>
      </c>
      <c r="C70" s="2295"/>
      <c r="D70" s="2295"/>
      <c r="E70" s="2295"/>
      <c r="F70" s="2295"/>
      <c r="G70" s="2295"/>
      <c r="H70" s="2295"/>
      <c r="I70" s="2295"/>
      <c r="J70" s="2295"/>
      <c r="K70" s="2295"/>
      <c r="L70" s="2295"/>
      <c r="M70" s="2295"/>
      <c r="N70" s="2295"/>
      <c r="O70" s="2295"/>
      <c r="P70" s="2296"/>
      <c r="Q70" s="797">
        <v>2</v>
      </c>
      <c r="R70" s="193" t="s">
        <v>219</v>
      </c>
      <c r="S70" s="106"/>
      <c r="T70" s="194">
        <f>I63/3</f>
        <v>0</v>
      </c>
      <c r="U70" s="106"/>
      <c r="V70" s="195">
        <f>Pricing!N3</f>
        <v>0.5625</v>
      </c>
      <c r="W70" s="106" t="s">
        <v>18</v>
      </c>
      <c r="X70" s="118">
        <f t="shared" si="20"/>
        <v>0</v>
      </c>
      <c r="Y70" s="299"/>
      <c r="AA70">
        <v>5</v>
      </c>
      <c r="AB70" t="s">
        <v>246</v>
      </c>
      <c r="AF70">
        <f>O52</f>
        <v>0</v>
      </c>
    </row>
    <row r="71" spans="2:32" ht="19" customHeight="1" x14ac:dyDescent="0.35">
      <c r="B71" s="100" t="s">
        <v>173</v>
      </c>
      <c r="C71" s="48"/>
      <c r="D71" s="101"/>
      <c r="E71" s="752">
        <v>0</v>
      </c>
      <c r="F71" s="48" t="s">
        <v>187</v>
      </c>
      <c r="G71" s="1150">
        <v>390</v>
      </c>
      <c r="H71" s="167" t="s">
        <v>172</v>
      </c>
      <c r="I71" s="48"/>
      <c r="J71" s="48"/>
      <c r="K71" s="48"/>
      <c r="L71" s="48"/>
      <c r="M71" s="2525">
        <f>IF(E41=0,0,(SUM(O71:P73))/E41)</f>
        <v>0</v>
      </c>
      <c r="N71" s="2526"/>
      <c r="O71" s="2349">
        <f>E71*G71</f>
        <v>0</v>
      </c>
      <c r="P71" s="2350"/>
      <c r="Q71" s="797">
        <v>2</v>
      </c>
      <c r="R71" s="193" t="s">
        <v>233</v>
      </c>
      <c r="S71" s="106"/>
      <c r="T71" s="194">
        <f>T70/2*T49</f>
        <v>0</v>
      </c>
      <c r="U71" s="106"/>
      <c r="V71" s="195">
        <f>Pricing!N4</f>
        <v>0.65625</v>
      </c>
      <c r="W71" s="106" t="s">
        <v>18</v>
      </c>
      <c r="X71" s="118">
        <f t="shared" si="20"/>
        <v>0</v>
      </c>
      <c r="Y71" s="299"/>
      <c r="AA71">
        <v>6</v>
      </c>
      <c r="AB71" t="s">
        <v>248</v>
      </c>
      <c r="AF71">
        <f>SUM(X75:X80)</f>
        <v>0</v>
      </c>
    </row>
    <row r="72" spans="2:32" ht="19" customHeight="1" x14ac:dyDescent="0.35">
      <c r="B72" s="92" t="s">
        <v>158</v>
      </c>
      <c r="E72" s="753">
        <v>0</v>
      </c>
      <c r="F72" s="103" t="s">
        <v>187</v>
      </c>
      <c r="G72" s="1201">
        <v>295</v>
      </c>
      <c r="H72" s="168" t="s">
        <v>172</v>
      </c>
      <c r="M72" s="2076">
        <f>SUM(O71:P73)</f>
        <v>0</v>
      </c>
      <c r="N72" s="2077"/>
      <c r="O72" s="2261">
        <f>E72*G72</f>
        <v>0</v>
      </c>
      <c r="P72" s="2262"/>
      <c r="Q72" s="797">
        <v>2</v>
      </c>
      <c r="R72" s="193" t="s">
        <v>336</v>
      </c>
      <c r="S72" s="106"/>
      <c r="T72" s="194">
        <f>BE57+BM57</f>
        <v>0</v>
      </c>
      <c r="U72" s="106" t="s">
        <v>288</v>
      </c>
      <c r="V72" s="195">
        <f>Pricing!N27</f>
        <v>15</v>
      </c>
      <c r="W72" s="401" t="s">
        <v>293</v>
      </c>
      <c r="X72" s="118">
        <f t="shared" si="20"/>
        <v>0</v>
      </c>
      <c r="Y72" s="299"/>
      <c r="AA72">
        <v>7</v>
      </c>
      <c r="AB72" t="s">
        <v>247</v>
      </c>
      <c r="AF72">
        <f>O54</f>
        <v>0</v>
      </c>
    </row>
    <row r="73" spans="2:32" ht="19" customHeight="1" thickBot="1" x14ac:dyDescent="0.4">
      <c r="B73" s="105" t="s">
        <v>188</v>
      </c>
      <c r="C73" s="49"/>
      <c r="D73" s="49"/>
      <c r="E73" s="754">
        <f>E71</f>
        <v>0</v>
      </c>
      <c r="F73" s="49" t="s">
        <v>187</v>
      </c>
      <c r="G73" s="768">
        <v>100</v>
      </c>
      <c r="H73" s="49" t="s">
        <v>172</v>
      </c>
      <c r="I73" s="49"/>
      <c r="J73" s="49"/>
      <c r="K73" s="49"/>
      <c r="L73" s="49"/>
      <c r="M73" s="49"/>
      <c r="N73" s="49"/>
      <c r="O73" s="2335">
        <f>E73*G73</f>
        <v>0</v>
      </c>
      <c r="P73" s="2336"/>
      <c r="Q73" s="797">
        <v>2</v>
      </c>
      <c r="R73" s="193"/>
      <c r="S73" s="106"/>
      <c r="T73" s="194">
        <f>BE58+BM58</f>
        <v>0</v>
      </c>
      <c r="U73" s="106"/>
      <c r="V73" s="195">
        <f>BH58</f>
        <v>0</v>
      </c>
      <c r="W73" s="106"/>
      <c r="X73" s="118">
        <f t="shared" si="20"/>
        <v>0</v>
      </c>
      <c r="Y73" s="299"/>
      <c r="AA73">
        <v>8</v>
      </c>
      <c r="AB73" t="s">
        <v>249</v>
      </c>
      <c r="AF73">
        <f>SUM(O49:P51)</f>
        <v>0</v>
      </c>
    </row>
    <row r="74" spans="2:32" ht="19" customHeight="1" thickBot="1" x14ac:dyDescent="0.4">
      <c r="B74" s="2294" t="s">
        <v>44</v>
      </c>
      <c r="C74" s="2295"/>
      <c r="D74" s="2295"/>
      <c r="E74" s="2295"/>
      <c r="F74" s="2295"/>
      <c r="G74" s="2295"/>
      <c r="H74" s="2295"/>
      <c r="I74" s="2295"/>
      <c r="J74" s="2295"/>
      <c r="K74" s="2295"/>
      <c r="L74" s="2295"/>
      <c r="M74" s="2295"/>
      <c r="N74" s="2295"/>
      <c r="O74" s="2295"/>
      <c r="P74" s="2296"/>
      <c r="Q74" s="797">
        <v>2</v>
      </c>
      <c r="R74" s="1128" t="s">
        <v>892</v>
      </c>
      <c r="S74" s="852"/>
      <c r="T74" s="851"/>
      <c r="U74" s="853"/>
      <c r="V74" s="2243"/>
      <c r="W74" s="2244"/>
      <c r="X74" s="850">
        <f>V74</f>
        <v>0</v>
      </c>
      <c r="Y74" s="299"/>
      <c r="AA74">
        <v>9</v>
      </c>
      <c r="AB74" t="s">
        <v>234</v>
      </c>
      <c r="AF74">
        <f>SUM(O58:P59)</f>
        <v>0</v>
      </c>
    </row>
    <row r="75" spans="2:32" ht="19" customHeight="1" thickTop="1" x14ac:dyDescent="0.35">
      <c r="B75" s="2297" t="s">
        <v>90</v>
      </c>
      <c r="C75" s="2298"/>
      <c r="D75" s="2337"/>
      <c r="E75" s="752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5" s="48" t="s">
        <v>107</v>
      </c>
      <c r="G75" s="1150">
        <f>Pricing!D31</f>
        <v>385</v>
      </c>
      <c r="H75" s="116" t="s">
        <v>172</v>
      </c>
      <c r="I75" s="48"/>
      <c r="J75" s="48"/>
      <c r="K75" s="48"/>
      <c r="L75" s="48"/>
      <c r="M75" s="50"/>
      <c r="N75" s="50"/>
      <c r="O75" s="2349">
        <f>(IF(AND(E75&gt;0,E75&lt;4),E75*G75,0)+IF(AND(E75&gt;3,E75&lt;8),G75*3,0)+IF(AND(E75&gt;7,E75&lt;21),E75/7*G75*3,0)+IF(AND(E75&gt;20,E75&lt;30),G75*9,0)+IF(E75&gt;29,E75/30*G75*9,0))*(1+W$40+J$77)</f>
        <v>0</v>
      </c>
      <c r="P75" s="2350"/>
      <c r="Q75" s="797">
        <v>6</v>
      </c>
      <c r="R75" s="193" t="s">
        <v>287</v>
      </c>
      <c r="S75" s="106"/>
      <c r="T75" s="106">
        <f>ROUNDUP(I63/12000,0)</f>
        <v>0</v>
      </c>
      <c r="U75" s="106" t="s">
        <v>288</v>
      </c>
      <c r="V75" s="195">
        <f>BH65</f>
        <v>0</v>
      </c>
      <c r="W75" s="401" t="s">
        <v>293</v>
      </c>
      <c r="X75" s="111">
        <f>T75*V75</f>
        <v>0</v>
      </c>
      <c r="Y75" s="299"/>
      <c r="AA75">
        <v>10</v>
      </c>
      <c r="AB75" t="s">
        <v>250</v>
      </c>
      <c r="AF75">
        <f>SUM(X81:X83)</f>
        <v>0</v>
      </c>
    </row>
    <row r="76" spans="2:32" ht="19" customHeight="1" thickBot="1" x14ac:dyDescent="0.4">
      <c r="B76" s="2259" t="s">
        <v>91</v>
      </c>
      <c r="C76" s="1972"/>
      <c r="D76" s="2260"/>
      <c r="E76" s="755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6" s="42" t="s">
        <v>107</v>
      </c>
      <c r="G76" s="1151">
        <f>Pricing!D33</f>
        <v>350</v>
      </c>
      <c r="H76" s="88" t="s">
        <v>172</v>
      </c>
      <c r="J76" s="2083" t="s">
        <v>469</v>
      </c>
      <c r="K76" s="2084"/>
      <c r="M76" s="2404">
        <f>IF(E41=0,0,(SUM(O75:P80))/E41)</f>
        <v>0</v>
      </c>
      <c r="N76" s="2405"/>
      <c r="O76" s="2261">
        <f>(IF(AND(E76&gt;0,E76&lt;4),E76*G76,0)+IF(AND(E76&gt;3,E76&lt;8),G76*3,0)+IF(AND(E76&gt;7,E76&lt;21),E76/7*G76*3,0)+IF(AND(E76&gt;20,E76&lt;30),G76*9,0)+IF(E76&gt;29,E76/30*G76*9,0))*(1+W$40+J$77)</f>
        <v>0</v>
      </c>
      <c r="P76" s="2262"/>
      <c r="Q76" s="797">
        <v>6</v>
      </c>
      <c r="R76" s="193" t="s">
        <v>286</v>
      </c>
      <c r="S76" s="106"/>
      <c r="T76" s="106"/>
      <c r="U76" s="106"/>
      <c r="V76" s="195">
        <v>0</v>
      </c>
      <c r="W76" s="401" t="s">
        <v>99</v>
      </c>
      <c r="X76" s="118">
        <f t="shared" ref="X76:X83" si="21">V76*T76</f>
        <v>0</v>
      </c>
      <c r="Y76" s="299"/>
      <c r="AA76">
        <v>11</v>
      </c>
      <c r="AB76" t="s">
        <v>251</v>
      </c>
    </row>
    <row r="77" spans="2:32" ht="19" customHeight="1" thickTop="1" x14ac:dyDescent="0.35">
      <c r="B77" s="2259" t="s">
        <v>662</v>
      </c>
      <c r="C77" s="1972"/>
      <c r="D77" s="2260"/>
      <c r="E77" s="755">
        <f>E75</f>
        <v>0</v>
      </c>
      <c r="F77" s="106" t="s">
        <v>107</v>
      </c>
      <c r="G77" s="1151">
        <f>Pricing!D42</f>
        <v>200</v>
      </c>
      <c r="H77" s="88" t="s">
        <v>172</v>
      </c>
      <c r="J77" s="2565">
        <v>0.5</v>
      </c>
      <c r="K77" s="2566"/>
      <c r="M77" s="2076">
        <f>SUM(O75:P80)</f>
        <v>0</v>
      </c>
      <c r="N77" s="2077"/>
      <c r="O77" s="2261">
        <f>(IF(AND(E77&gt;0,E77&lt;4),E77*G77,0)+IF(AND(E77&gt;3,E77&lt;8),G77*3,0)+IF(AND(E77&gt;7,E77&lt;21),E77/7*G77*3,0)+IF(AND(E77&gt;20,E77&lt;30),G77*9,0)+IF(E77&gt;29,E77/30*G77*9,0))*(1+W$40+J$77)</f>
        <v>0</v>
      </c>
      <c r="P77" s="2262"/>
      <c r="Q77" s="797">
        <v>6</v>
      </c>
      <c r="R77" s="193" t="s">
        <v>285</v>
      </c>
      <c r="S77" s="106"/>
      <c r="T77" s="197">
        <f>L52</f>
        <v>0</v>
      </c>
      <c r="U77" s="106" t="s">
        <v>32</v>
      </c>
      <c r="V77" s="195">
        <v>0.02</v>
      </c>
      <c r="W77" s="401" t="s">
        <v>88</v>
      </c>
      <c r="X77" s="118">
        <f>V77*T77</f>
        <v>0</v>
      </c>
      <c r="Y77" s="299"/>
      <c r="AA77">
        <v>12</v>
      </c>
      <c r="AB77" t="s">
        <v>252</v>
      </c>
    </row>
    <row r="78" spans="2:32" ht="19" customHeight="1" x14ac:dyDescent="0.35">
      <c r="B78" s="2259" t="s">
        <v>160</v>
      </c>
      <c r="C78" s="1972"/>
      <c r="D78" s="2260"/>
      <c r="E78" s="755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78" s="42" t="s">
        <v>107</v>
      </c>
      <c r="G78" s="1151">
        <f>Pricing!D37</f>
        <v>65</v>
      </c>
      <c r="H78" s="88" t="s">
        <v>172</v>
      </c>
      <c r="J78" s="2567"/>
      <c r="K78" s="2568"/>
      <c r="O78" s="2261">
        <f>(IF(AND(E78&gt;0,E78&lt;4),E78*G78,0)+IF(AND(E78&gt;3,E78&lt;8),G78*3,0)+IF(AND(E78&gt;7,E78&lt;21),E78/7*G78*3,0)+IF(AND(E78&gt;20,E78&lt;30),G78*9,0)+IF(E78&gt;29,E78/30*G78*9,0))*(1+W$40+J$77)</f>
        <v>0</v>
      </c>
      <c r="P78" s="2262"/>
      <c r="Q78" s="797">
        <v>6</v>
      </c>
      <c r="R78" s="193"/>
      <c r="S78" s="106"/>
      <c r="T78" s="106"/>
      <c r="U78" s="106"/>
      <c r="V78" s="195">
        <v>0</v>
      </c>
      <c r="W78" s="106"/>
      <c r="X78" s="118">
        <f>V78*T78</f>
        <v>0</v>
      </c>
      <c r="Y78" s="299"/>
      <c r="AA78">
        <v>15</v>
      </c>
      <c r="AB78" t="s">
        <v>253</v>
      </c>
    </row>
    <row r="79" spans="2:32" ht="19" customHeight="1" x14ac:dyDescent="0.35">
      <c r="B79" s="2259" t="s">
        <v>175</v>
      </c>
      <c r="C79" s="1972"/>
      <c r="D79" s="2260"/>
      <c r="E79" s="755"/>
      <c r="F79" s="42" t="s">
        <v>107</v>
      </c>
      <c r="G79" s="1151">
        <f>Pricing!D39</f>
        <v>420</v>
      </c>
      <c r="H79" s="88" t="s">
        <v>172</v>
      </c>
      <c r="O79" s="2261">
        <f>(IF(AND(E79&gt;0,E79&lt;4),E79*G79,0)+IF(AND(E79&gt;3,E79&lt;8),G79*3,0)+IF(AND(E79&gt;7,E79&lt;21),E79/7*G79*3,0)+IF(AND(E79&gt;20,E79&lt;30),G79*9,0)+IF(E79&gt;29,E79/30*G79*9,0))*(1+W$40+J$77)</f>
        <v>0</v>
      </c>
      <c r="P79" s="2262"/>
      <c r="Q79" s="797">
        <v>6</v>
      </c>
      <c r="R79" s="193"/>
      <c r="S79" s="106"/>
      <c r="T79" s="106"/>
      <c r="U79" s="106"/>
      <c r="V79" s="195">
        <v>0</v>
      </c>
      <c r="W79" s="106"/>
      <c r="X79" s="118">
        <f>V79*T79</f>
        <v>0</v>
      </c>
      <c r="Y79" s="299"/>
      <c r="AA79">
        <v>16</v>
      </c>
      <c r="AB79" t="s">
        <v>841</v>
      </c>
    </row>
    <row r="80" spans="2:32" ht="19" customHeight="1" thickBot="1" x14ac:dyDescent="0.4">
      <c r="B80" s="2318" t="s">
        <v>108</v>
      </c>
      <c r="C80" s="2308"/>
      <c r="D80" s="2344"/>
      <c r="E80" s="829">
        <f>IF(E$71&gt;0,IF(E$71&lt;=3,E$71,7),0)+IF(E$71&gt;5,IF(E$71&lt;=10,7,0),0)+IF(E$71&gt;10,IF(E$71&lt;=15,14,0),0)+IF(E$71&gt;15,IF(E$71&lt;=20,23,0),0)+IF(E$71&gt;20,IF(E$71&lt;=40,53,0),0)+IF(E$71&gt;40,IF(E$71&lt;=60,83,0),0)+IF(E$71&gt;60,IF(E$71&lt;=80,113,0),0)+IF(E$71&gt;80,IF(E$71&lt;=100,143,0),0)</f>
        <v>0</v>
      </c>
      <c r="F80" s="49" t="s">
        <v>107</v>
      </c>
      <c r="G80" s="1152">
        <v>35</v>
      </c>
      <c r="H80" s="96" t="s">
        <v>172</v>
      </c>
      <c r="I80" s="49"/>
      <c r="J80" s="49"/>
      <c r="K80" s="49"/>
      <c r="L80" s="49"/>
      <c r="M80" s="117"/>
      <c r="N80" s="49"/>
      <c r="O80" s="2335">
        <f>(IF(AND(E80&gt;0,E80&lt;4),E80*G80,0)+IF(AND(E80&gt;3,E80&lt;8),G80*3,0)+IF(AND(E80&gt;7,E80&lt;21),E80/7*G80*3,0)+IF(AND(E80&gt;20,E80&lt;30),G80*9,0)+IF(E80&gt;29,E80/30*G80*9,0))</f>
        <v>0</v>
      </c>
      <c r="P80" s="2336"/>
      <c r="Q80" s="797">
        <v>6</v>
      </c>
      <c r="R80" s="198"/>
      <c r="S80" s="199"/>
      <c r="T80" s="199"/>
      <c r="U80" s="199"/>
      <c r="V80" s="201">
        <v>0</v>
      </c>
      <c r="W80" s="199"/>
      <c r="X80" s="119">
        <f t="shared" si="21"/>
        <v>0</v>
      </c>
      <c r="Y80" s="299"/>
      <c r="AA80">
        <v>17</v>
      </c>
      <c r="AB80" t="s">
        <v>842</v>
      </c>
    </row>
    <row r="81" spans="2:32" ht="19" customHeight="1" thickTop="1" thickBot="1" x14ac:dyDescent="0.4">
      <c r="B81" s="2305" t="s">
        <v>174</v>
      </c>
      <c r="C81" s="2306"/>
      <c r="D81" s="2306"/>
      <c r="E81" s="2306"/>
      <c r="F81" s="2306"/>
      <c r="G81" s="2306"/>
      <c r="H81" s="2306"/>
      <c r="I81" s="2306"/>
      <c r="J81" s="2306"/>
      <c r="K81" s="2306"/>
      <c r="L81" s="2306"/>
      <c r="M81" s="2306"/>
      <c r="N81" s="2306"/>
      <c r="O81" s="2306"/>
      <c r="P81" s="2307"/>
      <c r="Q81" s="797">
        <v>10</v>
      </c>
      <c r="R81" s="193"/>
      <c r="S81" s="106"/>
      <c r="T81" s="106"/>
      <c r="U81" s="106"/>
      <c r="V81" s="195">
        <f>BB68</f>
        <v>0</v>
      </c>
      <c r="W81" s="106"/>
      <c r="X81" s="111">
        <f t="shared" si="21"/>
        <v>0</v>
      </c>
      <c r="Y81" s="299"/>
      <c r="AA81">
        <v>18</v>
      </c>
      <c r="AB81" t="s">
        <v>844</v>
      </c>
      <c r="AF81" s="261">
        <f>O60</f>
        <v>0</v>
      </c>
    </row>
    <row r="82" spans="2:32" ht="19" customHeight="1" x14ac:dyDescent="0.35">
      <c r="B82" s="2709" t="s">
        <v>85</v>
      </c>
      <c r="C82" s="2149"/>
      <c r="D82" s="2710"/>
      <c r="E82" s="756">
        <f>Pricing!D41</f>
        <v>16</v>
      </c>
      <c r="F82" s="169" t="s">
        <v>117</v>
      </c>
      <c r="G82" s="1147">
        <f>SUM(L49:M51)</f>
        <v>0</v>
      </c>
      <c r="H82" s="116" t="s">
        <v>190</v>
      </c>
      <c r="I82" s="48"/>
      <c r="J82" s="48"/>
      <c r="K82" s="48"/>
      <c r="L82" s="48"/>
      <c r="M82" s="48"/>
      <c r="N82" s="48"/>
      <c r="O82" s="2312">
        <f t="shared" ref="O82:O87" si="22">E82*G82</f>
        <v>0</v>
      </c>
      <c r="P82" s="2340"/>
      <c r="Q82" s="797">
        <v>10</v>
      </c>
      <c r="R82" s="193" t="s">
        <v>211</v>
      </c>
      <c r="S82" s="106"/>
      <c r="T82" s="431">
        <f>ROUNDUP(I63/300/55,0)</f>
        <v>0</v>
      </c>
      <c r="U82" s="106" t="s">
        <v>213</v>
      </c>
      <c r="V82" s="195">
        <f>Pricing!N42</f>
        <v>540</v>
      </c>
      <c r="W82" s="401" t="s">
        <v>295</v>
      </c>
      <c r="X82" s="118">
        <f>V82*T82</f>
        <v>0</v>
      </c>
      <c r="Y82" s="299"/>
      <c r="AA82">
        <v>20</v>
      </c>
      <c r="AB82" t="s">
        <v>93</v>
      </c>
      <c r="AF82">
        <f>SUM(O71:P72)</f>
        <v>0</v>
      </c>
    </row>
    <row r="83" spans="2:32" ht="19" customHeight="1" thickBot="1" x14ac:dyDescent="0.4">
      <c r="B83" s="2708" t="s">
        <v>189</v>
      </c>
      <c r="C83" s="2015"/>
      <c r="D83" s="2016"/>
      <c r="E83" s="1087"/>
      <c r="F83" s="88" t="s">
        <v>69</v>
      </c>
      <c r="G83" s="846"/>
      <c r="H83" s="88" t="s">
        <v>69</v>
      </c>
      <c r="O83" s="2316">
        <f t="shared" si="22"/>
        <v>0</v>
      </c>
      <c r="P83" s="2317"/>
      <c r="Q83" s="797">
        <v>10</v>
      </c>
      <c r="R83" s="198" t="s">
        <v>212</v>
      </c>
      <c r="S83" s="199"/>
      <c r="T83" s="199">
        <f>BE64</f>
        <v>0</v>
      </c>
      <c r="U83" s="199" t="s">
        <v>213</v>
      </c>
      <c r="V83" s="202">
        <f>BH64</f>
        <v>0</v>
      </c>
      <c r="W83" s="426" t="s">
        <v>295</v>
      </c>
      <c r="X83" s="119">
        <f t="shared" si="21"/>
        <v>0</v>
      </c>
      <c r="Y83" s="299"/>
      <c r="AA83">
        <v>21</v>
      </c>
      <c r="AB83" t="s">
        <v>254</v>
      </c>
      <c r="AF83">
        <f>O73</f>
        <v>0</v>
      </c>
    </row>
    <row r="84" spans="2:32" ht="19" customHeight="1" thickTop="1" x14ac:dyDescent="0.35">
      <c r="B84" s="2708" t="s">
        <v>176</v>
      </c>
      <c r="C84" s="2015"/>
      <c r="D84" s="2016"/>
      <c r="E84" s="1087"/>
      <c r="F84" s="170" t="s">
        <v>118</v>
      </c>
      <c r="G84" s="846"/>
      <c r="H84" s="88" t="s">
        <v>118</v>
      </c>
      <c r="O84" s="2316">
        <f t="shared" si="22"/>
        <v>0</v>
      </c>
      <c r="P84" s="2317"/>
      <c r="Q84" s="797"/>
      <c r="R84" s="43"/>
      <c r="X84" s="111"/>
      <c r="Y84" s="299"/>
      <c r="AA84">
        <v>22</v>
      </c>
      <c r="AB84" t="s">
        <v>255</v>
      </c>
      <c r="AF84">
        <f>SUM(L62:M68)</f>
        <v>0</v>
      </c>
    </row>
    <row r="85" spans="2:32" ht="19" customHeight="1" x14ac:dyDescent="0.35">
      <c r="B85" s="2708" t="s">
        <v>108</v>
      </c>
      <c r="C85" s="2015"/>
      <c r="D85" s="2016"/>
      <c r="E85" s="1206">
        <v>0</v>
      </c>
      <c r="F85" s="171"/>
      <c r="G85" s="846">
        <v>1000</v>
      </c>
      <c r="H85" s="172" t="s">
        <v>177</v>
      </c>
      <c r="O85" s="2316">
        <f t="shared" si="22"/>
        <v>0</v>
      </c>
      <c r="P85" s="2317"/>
      <c r="Q85" s="797"/>
      <c r="R85" s="2314" t="s">
        <v>216</v>
      </c>
      <c r="S85" s="2315"/>
      <c r="T85" s="42">
        <v>18</v>
      </c>
      <c r="U85" s="42" t="s">
        <v>217</v>
      </c>
      <c r="X85" s="112"/>
      <c r="Y85" s="299"/>
      <c r="AA85">
        <v>23</v>
      </c>
      <c r="AB85" t="s">
        <v>256</v>
      </c>
      <c r="AF85">
        <f>O87</f>
        <v>0</v>
      </c>
    </row>
    <row r="86" spans="2:32" ht="19" customHeight="1" thickBot="1" x14ac:dyDescent="0.4">
      <c r="B86" s="2708" t="s">
        <v>307</v>
      </c>
      <c r="C86" s="2015"/>
      <c r="D86" s="2016"/>
      <c r="E86" s="758">
        <v>6</v>
      </c>
      <c r="F86" s="109" t="s">
        <v>124</v>
      </c>
      <c r="G86" s="848">
        <f>(L49+L50+L51)*1.3</f>
        <v>0</v>
      </c>
      <c r="H86" s="42" t="s">
        <v>31</v>
      </c>
      <c r="O86" s="2316">
        <f t="shared" si="22"/>
        <v>0</v>
      </c>
      <c r="P86" s="2317"/>
      <c r="Q86" s="797"/>
      <c r="R86" s="47" t="s">
        <v>214</v>
      </c>
      <c r="S86" s="49"/>
      <c r="T86" s="49">
        <f>T60*12/T85</f>
        <v>0</v>
      </c>
      <c r="U86" s="49" t="s">
        <v>215</v>
      </c>
      <c r="V86" s="2313">
        <f>BH67</f>
        <v>0</v>
      </c>
      <c r="W86" s="2313"/>
      <c r="X86" s="22">
        <f>V86*T86</f>
        <v>0</v>
      </c>
      <c r="Y86" s="299"/>
      <c r="AA86">
        <v>24</v>
      </c>
      <c r="AB86" t="s">
        <v>257</v>
      </c>
    </row>
    <row r="87" spans="2:32" ht="19" customHeight="1" thickBot="1" x14ac:dyDescent="0.4">
      <c r="B87" s="2005" t="s">
        <v>186</v>
      </c>
      <c r="C87" s="2006"/>
      <c r="D87" s="2007"/>
      <c r="E87" s="1207">
        <v>0</v>
      </c>
      <c r="F87" s="249" t="s">
        <v>97</v>
      </c>
      <c r="G87" s="1202">
        <v>250</v>
      </c>
      <c r="H87" s="96" t="s">
        <v>68</v>
      </c>
      <c r="I87" s="49"/>
      <c r="J87" s="49"/>
      <c r="K87" s="49"/>
      <c r="L87" s="49"/>
      <c r="M87" s="49"/>
      <c r="N87" s="49"/>
      <c r="O87" s="2319">
        <f t="shared" si="22"/>
        <v>0</v>
      </c>
      <c r="P87" s="2320"/>
      <c r="Q87" s="797"/>
      <c r="X87" s="1131">
        <f>SUM(X50:X86)</f>
        <v>0</v>
      </c>
      <c r="Y87" s="299"/>
      <c r="AA87">
        <v>25</v>
      </c>
      <c r="AB87" t="s">
        <v>258</v>
      </c>
    </row>
    <row r="88" spans="2:32" ht="19" customHeight="1" thickBot="1" x14ac:dyDescent="0.4">
      <c r="B88" s="898"/>
      <c r="C88" s="899"/>
      <c r="D88" s="899"/>
      <c r="E88" s="899"/>
      <c r="F88" s="899"/>
      <c r="G88" s="899"/>
      <c r="H88" s="899"/>
      <c r="I88" s="899"/>
      <c r="J88" s="899"/>
      <c r="K88" s="899"/>
      <c r="L88" s="900"/>
      <c r="M88" s="899"/>
      <c r="N88" s="899"/>
      <c r="O88" s="899"/>
      <c r="P88" s="899"/>
      <c r="Q88" s="899"/>
      <c r="R88" s="899"/>
      <c r="S88" s="899"/>
      <c r="T88" s="899"/>
      <c r="U88" s="899"/>
      <c r="V88" s="899"/>
      <c r="W88" s="899"/>
      <c r="X88" s="1115"/>
      <c r="Y88" s="299"/>
      <c r="AA88">
        <v>30</v>
      </c>
      <c r="AB88" t="s">
        <v>259</v>
      </c>
      <c r="AF88">
        <f>O82</f>
        <v>0</v>
      </c>
    </row>
    <row r="89" spans="2:32" x14ac:dyDescent="0.35">
      <c r="B89" s="1987" t="s">
        <v>185</v>
      </c>
      <c r="C89" s="2041"/>
      <c r="D89" s="1988"/>
      <c r="E89" s="1987" t="s">
        <v>140</v>
      </c>
      <c r="F89" s="1988"/>
      <c r="G89" s="1987" t="s">
        <v>178</v>
      </c>
      <c r="H89" s="2041"/>
      <c r="I89" s="1988"/>
      <c r="J89" s="1935" t="s">
        <v>184</v>
      </c>
      <c r="K89" s="1936"/>
      <c r="L89" s="1937"/>
      <c r="M89" s="2044" t="s">
        <v>179</v>
      </c>
      <c r="N89" s="2045"/>
      <c r="O89" s="132"/>
      <c r="P89" s="133"/>
      <c r="Q89" s="897"/>
      <c r="R89" s="43" t="s">
        <v>34</v>
      </c>
      <c r="T89" s="42" t="s">
        <v>758</v>
      </c>
      <c r="U89" s="728" t="str">
        <f>U40</f>
        <v>n</v>
      </c>
      <c r="V89" s="73" t="s">
        <v>298</v>
      </c>
      <c r="W89" s="729">
        <f>W40</f>
        <v>8.2500000000000004E-2</v>
      </c>
      <c r="X89" s="1113"/>
      <c r="Y89" s="299"/>
      <c r="AA89">
        <v>31</v>
      </c>
      <c r="AB89" t="s">
        <v>744</v>
      </c>
    </row>
    <row r="90" spans="2:32" ht="16" thickBot="1" x14ac:dyDescent="0.4">
      <c r="B90" s="11" t="s">
        <v>180</v>
      </c>
      <c r="C90" s="1999">
        <f>C41</f>
        <v>0</v>
      </c>
      <c r="D90" s="2000"/>
      <c r="E90" s="2003">
        <f>E41</f>
        <v>0</v>
      </c>
      <c r="F90" s="2004"/>
      <c r="G90" s="15">
        <f>G41</f>
        <v>0</v>
      </c>
      <c r="H90" s="2042">
        <f>H41</f>
        <v>0</v>
      </c>
      <c r="I90" s="2043"/>
      <c r="J90" s="2064">
        <f>J41</f>
        <v>0</v>
      </c>
      <c r="K90" s="2065"/>
      <c r="L90" s="2066"/>
      <c r="M90" s="1879">
        <f>M41</f>
        <v>0.18</v>
      </c>
      <c r="N90" s="1880"/>
      <c r="O90" s="1880"/>
      <c r="P90" s="1881"/>
      <c r="Q90" s="902"/>
      <c r="R90" s="86" t="s">
        <v>50</v>
      </c>
      <c r="U90" s="1932">
        <f>U41</f>
        <v>0</v>
      </c>
      <c r="V90" s="1932"/>
      <c r="X90" s="1113"/>
      <c r="Y90" s="299"/>
      <c r="AA90">
        <v>32</v>
      </c>
      <c r="AB90" t="s">
        <v>260</v>
      </c>
    </row>
    <row r="91" spans="2:32" ht="16" thickBot="1" x14ac:dyDescent="0.4">
      <c r="B91" s="889"/>
      <c r="C91" s="890"/>
      <c r="D91" s="890"/>
      <c r="E91" s="890"/>
      <c r="F91" s="890"/>
      <c r="G91" s="890"/>
      <c r="H91" s="890"/>
      <c r="I91" s="890"/>
      <c r="J91" s="890"/>
      <c r="K91" s="890"/>
      <c r="L91" s="890"/>
      <c r="M91" s="890"/>
      <c r="N91" s="890"/>
      <c r="O91" s="890"/>
      <c r="P91" s="890"/>
      <c r="Q91" s="890"/>
      <c r="R91" s="890"/>
      <c r="S91" s="890"/>
      <c r="T91" s="890"/>
      <c r="U91" s="890"/>
      <c r="V91" s="890"/>
      <c r="W91" s="890"/>
      <c r="X91" s="896"/>
      <c r="Y91" s="299"/>
      <c r="AA91">
        <v>33</v>
      </c>
      <c r="AB91" t="s">
        <v>261</v>
      </c>
      <c r="AF91">
        <f>O86</f>
        <v>0</v>
      </c>
    </row>
    <row r="92" spans="2:32" x14ac:dyDescent="0.35"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9"/>
      <c r="AA92">
        <v>34</v>
      </c>
      <c r="AB92" t="s">
        <v>262</v>
      </c>
      <c r="AF92">
        <f>O84</f>
        <v>0</v>
      </c>
    </row>
    <row r="93" spans="2:32" x14ac:dyDescent="0.35"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9"/>
      <c r="AA93">
        <v>35</v>
      </c>
      <c r="AB93" t="s">
        <v>263</v>
      </c>
    </row>
    <row r="94" spans="2:32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AA94">
        <v>36</v>
      </c>
      <c r="AB94" t="s">
        <v>745</v>
      </c>
    </row>
    <row r="95" spans="2:32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AA95">
        <v>39</v>
      </c>
      <c r="AB95" t="s">
        <v>264</v>
      </c>
    </row>
    <row r="96" spans="2:32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AA96">
        <v>40</v>
      </c>
      <c r="AB96" t="s">
        <v>222</v>
      </c>
    </row>
    <row r="97" spans="27:32" x14ac:dyDescent="0.35">
      <c r="AA97">
        <v>41</v>
      </c>
      <c r="AB97" t="s">
        <v>265</v>
      </c>
    </row>
    <row r="98" spans="27:32" x14ac:dyDescent="0.35">
      <c r="AA98">
        <v>42</v>
      </c>
      <c r="AB98" t="s">
        <v>266</v>
      </c>
    </row>
    <row r="99" spans="27:32" x14ac:dyDescent="0.35">
      <c r="AA99">
        <v>44</v>
      </c>
      <c r="AB99" t="s">
        <v>267</v>
      </c>
    </row>
    <row r="100" spans="27:32" x14ac:dyDescent="0.35">
      <c r="AA100">
        <v>45</v>
      </c>
      <c r="AB100" t="s">
        <v>268</v>
      </c>
    </row>
    <row r="101" spans="27:32" x14ac:dyDescent="0.35">
      <c r="AA101">
        <v>46</v>
      </c>
      <c r="AB101" t="s">
        <v>269</v>
      </c>
    </row>
    <row r="102" spans="27:32" x14ac:dyDescent="0.35">
      <c r="AA102">
        <v>47</v>
      </c>
      <c r="AB102" t="s">
        <v>270</v>
      </c>
    </row>
    <row r="103" spans="27:32" x14ac:dyDescent="0.35">
      <c r="AA103">
        <v>48</v>
      </c>
      <c r="AB103" t="s">
        <v>271</v>
      </c>
    </row>
    <row r="104" spans="27:32" x14ac:dyDescent="0.35">
      <c r="AA104">
        <v>49</v>
      </c>
      <c r="AB104" t="s">
        <v>272</v>
      </c>
    </row>
    <row r="105" spans="27:32" x14ac:dyDescent="0.35">
      <c r="AA105">
        <v>50</v>
      </c>
      <c r="AB105" t="s">
        <v>711</v>
      </c>
      <c r="AF105" s="382"/>
    </row>
    <row r="106" spans="27:32" x14ac:dyDescent="0.35">
      <c r="AA106">
        <v>51</v>
      </c>
      <c r="AB106" t="s">
        <v>712</v>
      </c>
    </row>
    <row r="107" spans="27:32" x14ac:dyDescent="0.35">
      <c r="AA107">
        <v>52</v>
      </c>
      <c r="AB107" t="s">
        <v>273</v>
      </c>
    </row>
    <row r="108" spans="27:32" x14ac:dyDescent="0.35">
      <c r="AA108">
        <v>53</v>
      </c>
      <c r="AB108" t="s">
        <v>274</v>
      </c>
    </row>
    <row r="109" spans="27:32" x14ac:dyDescent="0.35">
      <c r="AA109">
        <v>54</v>
      </c>
      <c r="AB109" t="s">
        <v>275</v>
      </c>
    </row>
    <row r="110" spans="27:32" x14ac:dyDescent="0.35">
      <c r="AA110">
        <v>55</v>
      </c>
      <c r="AB110" t="s">
        <v>276</v>
      </c>
    </row>
    <row r="111" spans="27:32" x14ac:dyDescent="0.35">
      <c r="AA111">
        <v>56</v>
      </c>
      <c r="AB111" t="s">
        <v>277</v>
      </c>
    </row>
    <row r="112" spans="27:32" x14ac:dyDescent="0.35">
      <c r="AA112">
        <v>57</v>
      </c>
      <c r="AB112" t="s">
        <v>715</v>
      </c>
      <c r="AF112" s="382">
        <f>SUM(O62:P68)-O67</f>
        <v>0</v>
      </c>
    </row>
    <row r="113" spans="27:32" x14ac:dyDescent="0.35">
      <c r="AA113">
        <v>58</v>
      </c>
      <c r="AB113" t="s">
        <v>279</v>
      </c>
    </row>
    <row r="114" spans="27:32" x14ac:dyDescent="0.35">
      <c r="AA114">
        <v>59</v>
      </c>
      <c r="AB114" t="s">
        <v>280</v>
      </c>
      <c r="AF114">
        <f>O67</f>
        <v>0</v>
      </c>
    </row>
    <row r="115" spans="27:32" x14ac:dyDescent="0.35">
      <c r="AA115">
        <v>60</v>
      </c>
      <c r="AB115" t="s">
        <v>281</v>
      </c>
      <c r="AF115">
        <f>SUM(O75:P80)-O80</f>
        <v>0</v>
      </c>
    </row>
    <row r="116" spans="27:32" x14ac:dyDescent="0.35">
      <c r="AA116">
        <v>65</v>
      </c>
      <c r="AB116" t="s">
        <v>282</v>
      </c>
      <c r="AF116">
        <f>O80</f>
        <v>0</v>
      </c>
    </row>
    <row r="117" spans="27:32" x14ac:dyDescent="0.35">
      <c r="AA117">
        <v>99</v>
      </c>
      <c r="AB117" t="s">
        <v>894</v>
      </c>
      <c r="AF117" s="261">
        <f>X74</f>
        <v>0</v>
      </c>
    </row>
    <row r="118" spans="27:32" x14ac:dyDescent="0.35">
      <c r="AF118">
        <f>SUM(AF65:AF116)</f>
        <v>0</v>
      </c>
    </row>
  </sheetData>
  <mergeCells count="196">
    <mergeCell ref="U2:V2"/>
    <mergeCell ref="W2:X2"/>
    <mergeCell ref="B3:E3"/>
    <mergeCell ref="O3:P3"/>
    <mergeCell ref="Q3:R3"/>
    <mergeCell ref="B4:E4"/>
    <mergeCell ref="J4:N4"/>
    <mergeCell ref="O4:P4"/>
    <mergeCell ref="Q4:R4"/>
    <mergeCell ref="D7:E7"/>
    <mergeCell ref="J7:N7"/>
    <mergeCell ref="O7:P7"/>
    <mergeCell ref="Q7:R7"/>
    <mergeCell ref="D8:E8"/>
    <mergeCell ref="G8:I8"/>
    <mergeCell ref="J8:N8"/>
    <mergeCell ref="B5:E5"/>
    <mergeCell ref="J5:N5"/>
    <mergeCell ref="O5:P5"/>
    <mergeCell ref="Q5:R5"/>
    <mergeCell ref="J6:N6"/>
    <mergeCell ref="O6:P6"/>
    <mergeCell ref="Q6:R6"/>
    <mergeCell ref="X9:X10"/>
    <mergeCell ref="B10:C10"/>
    <mergeCell ref="B11:C11"/>
    <mergeCell ref="E9:E10"/>
    <mergeCell ref="F9:H9"/>
    <mergeCell ref="I9:J9"/>
    <mergeCell ref="K9:L9"/>
    <mergeCell ref="M9:N9"/>
    <mergeCell ref="O9:P9"/>
    <mergeCell ref="B12:C12"/>
    <mergeCell ref="B13:C13"/>
    <mergeCell ref="B14:C14"/>
    <mergeCell ref="B15:C15"/>
    <mergeCell ref="B16:C16"/>
    <mergeCell ref="B17:C17"/>
    <mergeCell ref="Q9:S9"/>
    <mergeCell ref="T9:V9"/>
    <mergeCell ref="W9:W10"/>
    <mergeCell ref="B24:C24"/>
    <mergeCell ref="B25:C25"/>
    <mergeCell ref="B26:C26"/>
    <mergeCell ref="B27:C27"/>
    <mergeCell ref="B28:C28"/>
    <mergeCell ref="B29:C29"/>
    <mergeCell ref="B18:C18"/>
    <mergeCell ref="B19:C19"/>
    <mergeCell ref="B20:C20"/>
    <mergeCell ref="B21:C21"/>
    <mergeCell ref="B22:C22"/>
    <mergeCell ref="B23:C23"/>
    <mergeCell ref="B36:C36"/>
    <mergeCell ref="F37:I37"/>
    <mergeCell ref="B40:D40"/>
    <mergeCell ref="E40:F40"/>
    <mergeCell ref="G40:I40"/>
    <mergeCell ref="J40:L40"/>
    <mergeCell ref="B30:C30"/>
    <mergeCell ref="B31:C31"/>
    <mergeCell ref="B32:C32"/>
    <mergeCell ref="B33:C33"/>
    <mergeCell ref="B34:C34"/>
    <mergeCell ref="B35:C35"/>
    <mergeCell ref="U41:V41"/>
    <mergeCell ref="K42:L42"/>
    <mergeCell ref="N42:O42"/>
    <mergeCell ref="U42:V42"/>
    <mergeCell ref="S45:T45"/>
    <mergeCell ref="C48:P48"/>
    <mergeCell ref="R48:S48"/>
    <mergeCell ref="M40:N40"/>
    <mergeCell ref="C41:D41"/>
    <mergeCell ref="E41:F41"/>
    <mergeCell ref="H41:I41"/>
    <mergeCell ref="J41:L41"/>
    <mergeCell ref="M41:P41"/>
    <mergeCell ref="I52:J52"/>
    <mergeCell ref="L52:M52"/>
    <mergeCell ref="O52:P52"/>
    <mergeCell ref="I53:J53"/>
    <mergeCell ref="L53:M53"/>
    <mergeCell ref="O53:P53"/>
    <mergeCell ref="I49:J51"/>
    <mergeCell ref="K49:K51"/>
    <mergeCell ref="L49:M49"/>
    <mergeCell ref="O49:P49"/>
    <mergeCell ref="L50:M50"/>
    <mergeCell ref="O50:P50"/>
    <mergeCell ref="L51:M51"/>
    <mergeCell ref="O51:P51"/>
    <mergeCell ref="J54:K54"/>
    <mergeCell ref="L54:M54"/>
    <mergeCell ref="O54:P54"/>
    <mergeCell ref="I55:J56"/>
    <mergeCell ref="K55:K56"/>
    <mergeCell ref="L55:M55"/>
    <mergeCell ref="O55:P55"/>
    <mergeCell ref="L56:M56"/>
    <mergeCell ref="O56:P56"/>
    <mergeCell ref="I57:J59"/>
    <mergeCell ref="K57:K59"/>
    <mergeCell ref="L57:M57"/>
    <mergeCell ref="O57:P57"/>
    <mergeCell ref="B58:D58"/>
    <mergeCell ref="L58:M58"/>
    <mergeCell ref="O58:P58"/>
    <mergeCell ref="B59:D59"/>
    <mergeCell ref="L59:M59"/>
    <mergeCell ref="O59:P59"/>
    <mergeCell ref="I60:J60"/>
    <mergeCell ref="L60:M60"/>
    <mergeCell ref="O60:P60"/>
    <mergeCell ref="L61:M61"/>
    <mergeCell ref="N61:P61"/>
    <mergeCell ref="E62:F62"/>
    <mergeCell ref="I62:J62"/>
    <mergeCell ref="L62:M62"/>
    <mergeCell ref="O62:P62"/>
    <mergeCell ref="E63:F63"/>
    <mergeCell ref="H63:H65"/>
    <mergeCell ref="I63:J66"/>
    <mergeCell ref="L63:M63"/>
    <mergeCell ref="O63:P63"/>
    <mergeCell ref="E64:F64"/>
    <mergeCell ref="L64:M64"/>
    <mergeCell ref="O64:P64"/>
    <mergeCell ref="E65:F65"/>
    <mergeCell ref="L65:M65"/>
    <mergeCell ref="E68:F68"/>
    <mergeCell ref="I68:J68"/>
    <mergeCell ref="L68:M68"/>
    <mergeCell ref="O68:P68"/>
    <mergeCell ref="E69:F69"/>
    <mergeCell ref="I69:K69"/>
    <mergeCell ref="L69:M69"/>
    <mergeCell ref="O69:P69"/>
    <mergeCell ref="O65:P65"/>
    <mergeCell ref="E66:F66"/>
    <mergeCell ref="L66:M66"/>
    <mergeCell ref="O66:P66"/>
    <mergeCell ref="E67:F67"/>
    <mergeCell ref="I67:J67"/>
    <mergeCell ref="L67:M67"/>
    <mergeCell ref="O67:P67"/>
    <mergeCell ref="B74:P74"/>
    <mergeCell ref="V74:W74"/>
    <mergeCell ref="B75:D75"/>
    <mergeCell ref="O75:P75"/>
    <mergeCell ref="B76:D76"/>
    <mergeCell ref="J76:K76"/>
    <mergeCell ref="M76:N76"/>
    <mergeCell ref="O76:P76"/>
    <mergeCell ref="B70:P70"/>
    <mergeCell ref="M71:N71"/>
    <mergeCell ref="O71:P71"/>
    <mergeCell ref="M72:N72"/>
    <mergeCell ref="O72:P72"/>
    <mergeCell ref="O73:P73"/>
    <mergeCell ref="B79:D79"/>
    <mergeCell ref="O79:P79"/>
    <mergeCell ref="B80:D80"/>
    <mergeCell ref="O80:P80"/>
    <mergeCell ref="B81:P81"/>
    <mergeCell ref="B82:D82"/>
    <mergeCell ref="O82:P82"/>
    <mergeCell ref="B77:D77"/>
    <mergeCell ref="J77:K78"/>
    <mergeCell ref="M77:N77"/>
    <mergeCell ref="O77:P77"/>
    <mergeCell ref="B78:D78"/>
    <mergeCell ref="O78:P78"/>
    <mergeCell ref="R85:S85"/>
    <mergeCell ref="B86:D86"/>
    <mergeCell ref="O86:P86"/>
    <mergeCell ref="V86:W86"/>
    <mergeCell ref="B87:D87"/>
    <mergeCell ref="O87:P87"/>
    <mergeCell ref="B83:D83"/>
    <mergeCell ref="O83:P83"/>
    <mergeCell ref="B84:D84"/>
    <mergeCell ref="O84:P84"/>
    <mergeCell ref="B85:D85"/>
    <mergeCell ref="O85:P85"/>
    <mergeCell ref="U90:V90"/>
    <mergeCell ref="B89:D89"/>
    <mergeCell ref="E89:F89"/>
    <mergeCell ref="G89:I89"/>
    <mergeCell ref="J89:L89"/>
    <mergeCell ref="M89:N89"/>
    <mergeCell ref="C90:D90"/>
    <mergeCell ref="E90:F90"/>
    <mergeCell ref="H90:I90"/>
    <mergeCell ref="J90:L90"/>
    <mergeCell ref="M90:P90"/>
  </mergeCells>
  <printOptions gridLines="1"/>
  <pageMargins left="0.96" right="0.54" top="0.45" bottom="0.18" header="0.12" footer="0.17"/>
  <pageSetup paperSize="5" scale="65" orientation="landscape" horizontalDpi="4294967293" verticalDpi="1200" r:id="rId1"/>
  <headerFooter alignWithMargins="0">
    <oddHeader>&amp;L&amp;"Arial,Bold"&amp;16               &amp;A&amp;C&amp;"Arial,Bold"&amp;16&amp;F&amp;R&amp;16&amp;D</oddHeader>
  </headerFooter>
  <rowBreaks count="1" manualBreakCount="1">
    <brk id="4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V177"/>
  <sheetViews>
    <sheetView topLeftCell="A115" zoomScaleNormal="100" zoomScaleSheetLayoutView="65" workbookViewId="0">
      <selection activeCell="G162" sqref="G162"/>
    </sheetView>
  </sheetViews>
  <sheetFormatPr defaultColWidth="0" defaultRowHeight="15.5" zeroHeight="1" x14ac:dyDescent="0.35"/>
  <cols>
    <col min="1" max="1" width="3.26953125" customWidth="1"/>
    <col min="2" max="2" width="8.1796875" style="42" customWidth="1"/>
    <col min="3" max="3" width="10.453125" style="42" customWidth="1"/>
    <col min="4" max="4" width="7.453125" style="42" customWidth="1"/>
    <col min="5" max="5" width="10.81640625" style="42" customWidth="1"/>
    <col min="6" max="6" width="9.453125" style="42" customWidth="1"/>
    <col min="7" max="7" width="10.26953125" style="42" customWidth="1"/>
    <col min="8" max="8" width="12.7265625" style="42" customWidth="1"/>
    <col min="9" max="19" width="9.7265625" style="42" customWidth="1"/>
    <col min="20" max="20" width="10.7265625" style="42" customWidth="1"/>
    <col min="21" max="21" width="8.81640625" style="42" customWidth="1"/>
    <col min="22" max="22" width="13" style="42" customWidth="1"/>
    <col min="23" max="23" width="13.1796875" style="42" customWidth="1"/>
    <col min="24" max="24" width="15.7265625" style="42" customWidth="1"/>
    <col min="25" max="25" width="15.453125" customWidth="1"/>
    <col min="26" max="26" width="2.453125" customWidth="1"/>
    <col min="27" max="31" width="9.1796875" hidden="1" customWidth="1"/>
    <col min="32" max="32" width="14.1796875" hidden="1" customWidth="1"/>
    <col min="33" max="47" width="9.1796875" hidden="1" customWidth="1"/>
    <col min="48" max="48" width="11.26953125" hidden="1" customWidth="1"/>
    <col min="49" max="49" width="9.81640625" hidden="1" customWidth="1"/>
    <col min="50" max="50" width="10.1796875" hidden="1" customWidth="1"/>
    <col min="51" max="51" width="10.26953125" hidden="1" customWidth="1"/>
    <col min="52" max="52" width="11.7265625" hidden="1" customWidth="1"/>
    <col min="53" max="53" width="15.54296875" hidden="1" customWidth="1"/>
    <col min="54" max="54" width="9.1796875" hidden="1" customWidth="1"/>
    <col min="55" max="55" width="11.54296875" hidden="1" customWidth="1"/>
    <col min="56" max="56" width="20.81640625" hidden="1" customWidth="1"/>
    <col min="57" max="57" width="19" hidden="1" customWidth="1"/>
    <col min="58" max="58" width="20.81640625" hidden="1" customWidth="1"/>
    <col min="59" max="59" width="16.81640625" hidden="1" customWidth="1"/>
    <col min="60" max="60" width="13.7265625" hidden="1" customWidth="1"/>
    <col min="61" max="61" width="26.54296875" hidden="1" customWidth="1"/>
    <col min="62" max="62" width="10.81640625" hidden="1" customWidth="1"/>
    <col min="63" max="64" width="12.54296875" hidden="1" customWidth="1"/>
    <col min="65" max="65" width="9.1796875" hidden="1" customWidth="1"/>
    <col min="66" max="66" width="11.81640625" hidden="1" customWidth="1"/>
    <col min="67" max="67" width="2.1796875" hidden="1" customWidth="1"/>
    <col min="68" max="256" width="9.1796875" hidden="1" customWidth="1"/>
    <col min="257" max="16384" width="2.453125" hidden="1"/>
  </cols>
  <sheetData>
    <row r="1" spans="2:63" ht="16" thickBot="1" x14ac:dyDescent="0.4"/>
    <row r="2" spans="2:63" ht="15.75" customHeight="1" thickBot="1" x14ac:dyDescent="0.4">
      <c r="B2" s="883"/>
      <c r="C2" s="879"/>
      <c r="D2" s="879"/>
      <c r="E2" s="87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2615" t="s">
        <v>305</v>
      </c>
      <c r="V2" s="2615"/>
      <c r="W2" s="2648">
        <v>37456</v>
      </c>
      <c r="X2" s="2649"/>
      <c r="Y2" s="299"/>
      <c r="Z2" s="299"/>
      <c r="AA2" t="s">
        <v>237</v>
      </c>
    </row>
    <row r="3" spans="2:63" ht="26.25" customHeight="1" thickBot="1" x14ac:dyDescent="0.4">
      <c r="B3" s="1947">
        <f>Summary!C2</f>
        <v>0</v>
      </c>
      <c r="C3" s="1948"/>
      <c r="D3" s="1948"/>
      <c r="E3" s="1949"/>
      <c r="F3" s="298"/>
      <c r="G3" s="298"/>
      <c r="H3" s="877"/>
      <c r="I3" s="878" t="s">
        <v>131</v>
      </c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S3" s="298"/>
      <c r="T3" s="298"/>
      <c r="U3" s="792" t="s">
        <v>304</v>
      </c>
      <c r="V3" s="942"/>
      <c r="W3" s="943" t="str">
        <f>Information!C8</f>
        <v>Chad McKinney</v>
      </c>
      <c r="X3" s="944"/>
      <c r="Y3" s="299"/>
      <c r="Z3" s="299"/>
      <c r="AA3" t="s">
        <v>126</v>
      </c>
      <c r="AB3">
        <v>0</v>
      </c>
    </row>
    <row r="4" spans="2:63" ht="18" customHeight="1" x14ac:dyDescent="0.35">
      <c r="B4" s="1952">
        <f>Summary!C3</f>
        <v>0</v>
      </c>
      <c r="C4" s="1953"/>
      <c r="D4" s="1953"/>
      <c r="E4" s="1954"/>
      <c r="F4" s="298"/>
      <c r="G4" s="298"/>
      <c r="H4" s="938"/>
      <c r="I4" s="939" t="s">
        <v>132</v>
      </c>
      <c r="J4" s="2223">
        <f>Summary!K3</f>
        <v>0</v>
      </c>
      <c r="K4" s="2224"/>
      <c r="L4" s="2224"/>
      <c r="M4" s="2224"/>
      <c r="N4" s="2224"/>
      <c r="O4" s="2523">
        <f>Summary!O3</f>
        <v>0</v>
      </c>
      <c r="P4" s="2523"/>
      <c r="Q4" s="1964">
        <f>Summary!P3</f>
        <v>0</v>
      </c>
      <c r="R4" s="1965"/>
      <c r="S4" s="298"/>
      <c r="T4" s="298"/>
      <c r="U4" s="790"/>
      <c r="V4" s="770"/>
      <c r="W4" s="770"/>
      <c r="X4" s="876"/>
      <c r="Y4" s="299"/>
      <c r="Z4" s="299"/>
      <c r="AA4" t="s">
        <v>238</v>
      </c>
      <c r="AB4">
        <v>0</v>
      </c>
    </row>
    <row r="5" spans="2:63" ht="18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2273">
        <f>Summary!K4</f>
        <v>0</v>
      </c>
      <c r="K5" s="2274"/>
      <c r="L5" s="2274"/>
      <c r="M5" s="2274"/>
      <c r="N5" s="2274"/>
      <c r="O5" s="1969">
        <f>Summary!O4</f>
        <v>0</v>
      </c>
      <c r="P5" s="1969"/>
      <c r="Q5" s="1927">
        <f>Summary!P4</f>
        <v>0</v>
      </c>
      <c r="R5" s="1928"/>
      <c r="S5" s="298"/>
      <c r="T5" s="298"/>
      <c r="U5" s="790" t="str">
        <f>Information!H5</f>
        <v>Approved by Chad:</v>
      </c>
      <c r="V5" s="770"/>
      <c r="W5" s="945"/>
      <c r="X5" s="946"/>
      <c r="Y5" s="299"/>
      <c r="Z5" s="299"/>
      <c r="AA5" t="s">
        <v>283</v>
      </c>
      <c r="AB5">
        <v>0</v>
      </c>
    </row>
    <row r="6" spans="2:63" ht="18" customHeight="1" x14ac:dyDescent="0.35">
      <c r="B6" s="92" t="s">
        <v>115</v>
      </c>
      <c r="D6" s="57" t="s">
        <v>125</v>
      </c>
      <c r="F6" s="298"/>
      <c r="G6" s="298"/>
      <c r="H6" s="938"/>
      <c r="I6" s="939" t="s">
        <v>134</v>
      </c>
      <c r="J6" s="2273">
        <f>Summary!K5</f>
        <v>0</v>
      </c>
      <c r="K6" s="2274"/>
      <c r="L6" s="2274"/>
      <c r="M6" s="2274"/>
      <c r="N6" s="2274"/>
      <c r="O6" s="1969">
        <f>Summary!O5</f>
        <v>0</v>
      </c>
      <c r="P6" s="1969"/>
      <c r="Q6" s="1927">
        <f>Summary!P5</f>
        <v>0</v>
      </c>
      <c r="R6" s="1928"/>
      <c r="S6" s="298"/>
      <c r="T6" s="298"/>
      <c r="U6" s="790"/>
      <c r="V6" s="770"/>
      <c r="W6" s="770"/>
      <c r="X6" s="876"/>
      <c r="Y6" s="299"/>
      <c r="Z6" s="299"/>
      <c r="AA6" t="s">
        <v>239</v>
      </c>
      <c r="AB6" t="s">
        <v>240</v>
      </c>
      <c r="AF6" t="s">
        <v>92</v>
      </c>
    </row>
    <row r="7" spans="2:63" ht="18" customHeight="1" thickBot="1" x14ac:dyDescent="0.4">
      <c r="B7" s="1313">
        <v>0</v>
      </c>
      <c r="C7" s="298"/>
      <c r="D7" s="1969">
        <v>0</v>
      </c>
      <c r="E7" s="1969"/>
      <c r="F7" s="298"/>
      <c r="G7" s="298"/>
      <c r="H7" s="889"/>
      <c r="I7" s="940" t="s">
        <v>135</v>
      </c>
      <c r="J7" s="2228">
        <f>Summary!K6</f>
        <v>0</v>
      </c>
      <c r="K7" s="2229"/>
      <c r="L7" s="2229"/>
      <c r="M7" s="2229"/>
      <c r="N7" s="2229"/>
      <c r="O7" s="2519">
        <f>Summary!O6</f>
        <v>0</v>
      </c>
      <c r="P7" s="2519"/>
      <c r="Q7" s="1970">
        <f>Summary!P6</f>
        <v>0</v>
      </c>
      <c r="R7" s="1971"/>
      <c r="S7" s="298"/>
      <c r="T7" s="298"/>
      <c r="U7" s="791" t="str">
        <f>Information!H6</f>
        <v>Approved by Edward:</v>
      </c>
      <c r="V7" s="947"/>
      <c r="W7" s="947"/>
      <c r="X7" s="948"/>
      <c r="Y7" s="299"/>
      <c r="Z7" s="299"/>
    </row>
    <row r="8" spans="2:63" ht="18" customHeight="1" thickBot="1" x14ac:dyDescent="0.4">
      <c r="B8" s="1313">
        <v>0</v>
      </c>
      <c r="C8" s="298"/>
      <c r="D8" s="1969">
        <v>0</v>
      </c>
      <c r="E8" s="1969"/>
      <c r="F8" s="298"/>
      <c r="G8" s="2008" t="s">
        <v>308</v>
      </c>
      <c r="H8" s="2008"/>
      <c r="I8" s="2008"/>
      <c r="J8" s="1972" t="str">
        <f>Pricing!A2</f>
        <v>Martin Marrieta</v>
      </c>
      <c r="K8" s="1972"/>
      <c r="L8" s="1972"/>
      <c r="M8" s="1972"/>
      <c r="N8" s="1972"/>
      <c r="O8" s="298"/>
      <c r="P8" s="298"/>
      <c r="Q8" s="298"/>
      <c r="R8" s="298"/>
      <c r="S8" s="298"/>
      <c r="T8" s="298"/>
      <c r="U8" s="298"/>
      <c r="V8" s="298"/>
      <c r="W8" s="298"/>
      <c r="X8" s="311"/>
      <c r="Y8" s="299"/>
      <c r="Z8" s="299"/>
      <c r="AA8">
        <v>0</v>
      </c>
      <c r="AB8" t="s">
        <v>241</v>
      </c>
    </row>
    <row r="9" spans="2:63" ht="25.5" customHeight="1" x14ac:dyDescent="0.35">
      <c r="B9" s="801"/>
      <c r="C9" s="799"/>
      <c r="D9" s="2766" t="s">
        <v>35</v>
      </c>
      <c r="E9" s="2771" t="s">
        <v>534</v>
      </c>
      <c r="F9" s="2772"/>
      <c r="G9" s="2772"/>
      <c r="H9" s="2773"/>
      <c r="I9" s="1264"/>
      <c r="J9" s="2764" t="s">
        <v>608</v>
      </c>
      <c r="K9" s="2765"/>
      <c r="L9" s="1917" t="s">
        <v>536</v>
      </c>
      <c r="M9" s="1917"/>
      <c r="N9" s="1982"/>
      <c r="O9" s="1931" t="s">
        <v>535</v>
      </c>
      <c r="P9" s="1917"/>
      <c r="Q9" s="1982"/>
      <c r="R9" s="2501" t="s">
        <v>615</v>
      </c>
      <c r="S9" s="1265"/>
      <c r="T9" s="2501" t="s">
        <v>609</v>
      </c>
      <c r="U9" s="1266"/>
      <c r="V9" s="2501" t="s">
        <v>638</v>
      </c>
      <c r="W9" s="1975" t="s">
        <v>64</v>
      </c>
      <c r="X9" s="2508" t="s">
        <v>614</v>
      </c>
      <c r="Y9" s="2503" t="s">
        <v>616</v>
      </c>
      <c r="AH9">
        <f>SUM(AH123:AH1733)</f>
        <v>0</v>
      </c>
      <c r="AL9" t="s">
        <v>617</v>
      </c>
    </row>
    <row r="10" spans="2:63" ht="39.75" customHeight="1" thickBot="1" x14ac:dyDescent="0.4">
      <c r="B10" s="2768" t="s">
        <v>1061</v>
      </c>
      <c r="C10" s="2760"/>
      <c r="D10" s="2767"/>
      <c r="E10" s="1294" t="s">
        <v>61</v>
      </c>
      <c r="F10" s="1295" t="s">
        <v>544</v>
      </c>
      <c r="G10" s="1295" t="s">
        <v>611</v>
      </c>
      <c r="H10" s="1296" t="s">
        <v>610</v>
      </c>
      <c r="I10" s="1297" t="s">
        <v>52</v>
      </c>
      <c r="J10" s="1295" t="s">
        <v>612</v>
      </c>
      <c r="K10" s="1298" t="s">
        <v>613</v>
      </c>
      <c r="L10" s="1293" t="s">
        <v>29</v>
      </c>
      <c r="M10" s="1295" t="s">
        <v>28</v>
      </c>
      <c r="N10" s="1296" t="s">
        <v>540</v>
      </c>
      <c r="O10" s="1295" t="s">
        <v>29</v>
      </c>
      <c r="P10" s="1293" t="s">
        <v>28</v>
      </c>
      <c r="Q10" s="1299" t="s">
        <v>539</v>
      </c>
      <c r="R10" s="2760"/>
      <c r="S10" s="1296" t="s">
        <v>28</v>
      </c>
      <c r="T10" s="2760"/>
      <c r="U10" s="1298" t="s">
        <v>28</v>
      </c>
      <c r="V10" s="2760"/>
      <c r="W10" s="1976"/>
      <c r="X10" s="2761"/>
      <c r="Y10" s="2759"/>
      <c r="Z10" s="289"/>
      <c r="AJ10" t="s">
        <v>631</v>
      </c>
      <c r="AK10" t="s">
        <v>227</v>
      </c>
      <c r="AL10" t="s">
        <v>228</v>
      </c>
      <c r="AM10" t="s">
        <v>229</v>
      </c>
      <c r="AN10" t="s">
        <v>230</v>
      </c>
      <c r="AO10" t="s">
        <v>231</v>
      </c>
      <c r="AP10" t="s">
        <v>232</v>
      </c>
      <c r="AQ10" t="s">
        <v>106</v>
      </c>
      <c r="AR10" t="s">
        <v>82</v>
      </c>
      <c r="AS10" t="s">
        <v>98</v>
      </c>
      <c r="AT10" t="s">
        <v>618</v>
      </c>
      <c r="AU10" t="s">
        <v>619</v>
      </c>
      <c r="AV10" t="s">
        <v>620</v>
      </c>
      <c r="AW10" t="s">
        <v>57</v>
      </c>
      <c r="AX10" t="s">
        <v>58</v>
      </c>
      <c r="AY10" t="s">
        <v>10</v>
      </c>
      <c r="AZ10" s="293" t="s">
        <v>337</v>
      </c>
      <c r="BA10" s="293" t="s">
        <v>622</v>
      </c>
      <c r="BB10" s="293" t="s">
        <v>623</v>
      </c>
      <c r="BC10" s="293" t="s">
        <v>340</v>
      </c>
      <c r="BD10" s="293" t="s">
        <v>341</v>
      </c>
      <c r="BE10" s="293" t="s">
        <v>624</v>
      </c>
      <c r="BF10" s="293" t="s">
        <v>66</v>
      </c>
      <c r="BK10" t="s">
        <v>552</v>
      </c>
    </row>
    <row r="11" spans="2:63" ht="18" customHeight="1" x14ac:dyDescent="0.35">
      <c r="B11" s="2769">
        <v>1</v>
      </c>
      <c r="C11" s="2770"/>
      <c r="D11" s="1360"/>
      <c r="E11" s="1274"/>
      <c r="F11" s="1275"/>
      <c r="G11" s="1275"/>
      <c r="H11" s="1241"/>
      <c r="I11" s="1276"/>
      <c r="J11" s="1240"/>
      <c r="K11" s="1277"/>
      <c r="L11" s="1278"/>
      <c r="M11" s="1278"/>
      <c r="N11" s="1237"/>
      <c r="O11" s="1236"/>
      <c r="P11" s="1278"/>
      <c r="Q11" s="1237"/>
      <c r="R11" s="1278"/>
      <c r="S11" s="1237"/>
      <c r="T11" s="1278"/>
      <c r="U11" s="1279"/>
      <c r="V11" s="1280">
        <f>IF(I11=0,0,(IF(L11=0,0,E11*(G11-H11)*12/L11*N11*(M11/16*M11/16*10.7028))+IF(O11=0,0,((G11-H11)*12/O11*E11*Q11)*P11/16*P11/16*10.7028)+(R11*E11+R11*(G11-H11))*2*(S11/16*S11/16*10.7028)+IF(J11&gt;0,R11*E11+R11*(G11-H11)*2*(S11/16*S11/16*10.7028))+IF(I11=0,0,T11*4*U11/16*U11/16*10.7028))*(1+K$137))</f>
        <v>0</v>
      </c>
      <c r="W11" s="1281">
        <f>IF(I11=0,0,((E11*F11/12*(G11-H11)/27)-(J11*K11*F11/324))*(1+K$134))</f>
        <v>0</v>
      </c>
      <c r="X11" s="1282">
        <f>(G11-H11)*E11</f>
        <v>0</v>
      </c>
      <c r="Y11" s="1283">
        <f>IF(I11=0,0,SUM(AZ11:BF11)/I11)</f>
        <v>0</v>
      </c>
      <c r="Z11" s="42"/>
      <c r="AJ11">
        <f>IF(I11&gt;0,1,0)</f>
        <v>0</v>
      </c>
      <c r="AK11">
        <f>IF($D11=1,$W11*$I11,0)</f>
        <v>0</v>
      </c>
      <c r="AL11">
        <f>IF($D11=2,$W11*$I11,0)</f>
        <v>0</v>
      </c>
      <c r="AM11">
        <f>IF($D11=3,$W11*$I11,0)</f>
        <v>0</v>
      </c>
      <c r="AN11">
        <f>IF($D11=4,$W11*$I11,0)</f>
        <v>0</v>
      </c>
      <c r="AO11">
        <f>IF($D11=5,$W11*$I11,0)</f>
        <v>0</v>
      </c>
      <c r="AP11">
        <f>IF($D11=6,$W11*$I11,0)</f>
        <v>0</v>
      </c>
      <c r="AQ11">
        <f>SUM(AK11:AP11)</f>
        <v>0</v>
      </c>
      <c r="AR11">
        <f>V11*I11</f>
        <v>0</v>
      </c>
      <c r="AS11" s="290">
        <f>X11*I11</f>
        <v>0</v>
      </c>
      <c r="AT11">
        <f>I11</f>
        <v>0</v>
      </c>
      <c r="AU11" s="290">
        <f>(E11*2+(G11-H11)*2)*I11</f>
        <v>0</v>
      </c>
      <c r="AV11">
        <f>E11*I11</f>
        <v>0</v>
      </c>
      <c r="AW11">
        <f>IF(F11&gt;0,IF(F11&lt;6,AU11,0),0)</f>
        <v>0</v>
      </c>
      <c r="AX11">
        <f>IF(F11&gt;0,IF(F11&gt;5.5,AU11,0),0)</f>
        <v>0</v>
      </c>
      <c r="AY11">
        <f t="shared" ref="AY11:AY42" si="0">V11*I11*G$137*IF(U$123="Y",1,(1+W$123))</f>
        <v>0</v>
      </c>
      <c r="AZ11" s="293">
        <f>(AK11*Pricing!F$2+AL11*Pricing!G$2+AM11*Pricing!H$2+AN11*Pricing!I$2+AO11*Pricing!J$2+AP11*Pricing!K$2)*IF(U$123="Y",1,(1+W$123))</f>
        <v>0</v>
      </c>
      <c r="BA11" s="294">
        <f t="shared" ref="BA11:BA42" si="1">AS11*(H$148+E$151)+IF(I$148=0,0,(L$147+O$147)/I$148*AS11)</f>
        <v>0</v>
      </c>
      <c r="BB11" s="293" t="e">
        <f t="shared" ref="BB11:BB42" si="2">M$157/AS$120*AS11</f>
        <v>#DIV/0!</v>
      </c>
      <c r="BC11" s="294">
        <f t="shared" ref="BC11:BC42" si="3">AR11/2000*E$152</f>
        <v>0</v>
      </c>
      <c r="BD11" s="294">
        <f t="shared" ref="BD11:BD42" si="4">AV11*6.5*H$153/27*E$153</f>
        <v>0</v>
      </c>
      <c r="BE11" s="295" t="e">
        <f t="shared" ref="BE11:BE42" si="5">IF(AS$120=0,0,SUM(O$160:P$165)+SUM(O$167:P$172)+X$172)/AS$120*AS11</f>
        <v>#DIV/0!</v>
      </c>
      <c r="BF11" s="296" t="e">
        <f t="shared" ref="BF11:BF42" si="6">SUM(O$141:P$144)/AV$120*AV11</f>
        <v>#DIV/0!</v>
      </c>
    </row>
    <row r="12" spans="2:63" ht="18" customHeight="1" x14ac:dyDescent="0.35">
      <c r="B12" s="2739">
        <v>2</v>
      </c>
      <c r="C12" s="2740"/>
      <c r="D12" s="1361"/>
      <c r="E12" s="1273"/>
      <c r="F12" s="1261"/>
      <c r="G12" s="1261"/>
      <c r="H12" s="1228"/>
      <c r="I12" s="777"/>
      <c r="J12" s="448"/>
      <c r="K12" s="1262"/>
      <c r="L12" s="180"/>
      <c r="M12" s="180"/>
      <c r="N12" s="179"/>
      <c r="O12" s="1221"/>
      <c r="P12" s="180"/>
      <c r="Q12" s="179"/>
      <c r="R12" s="180"/>
      <c r="S12" s="179"/>
      <c r="T12" s="180"/>
      <c r="U12" s="1263"/>
      <c r="V12" s="1270">
        <f>IF(I12=0,0,(IF(L12=0,0,E12*(G12-H12)*12/L12*N12*(M12/16*M12/16*10.7028))+IF(O12=0,0,((G12-H12)*12/O12*E12*Q12)*P12/16*P12/16*10.7028)+(R12*E12+R12*(G12-H12))*2*(S12/16*S12/16*10.7028)+IF(J12&gt;0,R12*E12+R12*(G12-H12)*2*(S12/16*S12/16*10.7028))+IF(I12=0,0,T12*4*U12/16*U12/16*10.7028))*(1+K$137))</f>
        <v>0</v>
      </c>
      <c r="W12" s="1271">
        <f>IF(I12=0,0,((E12*F12/12*(G12-H12)/27)-(J12*K12*F12/324))*(1+K$134))</f>
        <v>0</v>
      </c>
      <c r="X12" s="1272">
        <f>(G12-H12)*E12</f>
        <v>0</v>
      </c>
      <c r="Y12" s="1284">
        <f>IF(I12=0,0,SUM(AZ12:BF12)/I12)</f>
        <v>0</v>
      </c>
      <c r="Z12" s="42"/>
      <c r="AJ12">
        <f t="shared" ref="AJ12:AJ95" si="7">IF(I12&gt;0,1,0)</f>
        <v>0</v>
      </c>
      <c r="AK12">
        <f t="shared" ref="AK12:AK119" si="8">IF($D12=1,$W12*$I12,0)</f>
        <v>0</v>
      </c>
      <c r="AL12">
        <f t="shared" ref="AL12:AL119" si="9">IF($D12=2,$W12*$I12,0)</f>
        <v>0</v>
      </c>
      <c r="AM12">
        <f t="shared" ref="AM12:AM119" si="10">IF($D12=3,$W12*$I12,0)</f>
        <v>0</v>
      </c>
      <c r="AN12">
        <f t="shared" ref="AN12:AN119" si="11">IF($D12=4,$W12*$I12,0)</f>
        <v>0</v>
      </c>
      <c r="AO12">
        <f t="shared" ref="AO12:AO119" si="12">IF($D12=5,$W12*$I12,0)</f>
        <v>0</v>
      </c>
      <c r="AP12">
        <f t="shared" ref="AP12:AP119" si="13">IF($D12=6,$W12*$I12,0)</f>
        <v>0</v>
      </c>
      <c r="AQ12">
        <f t="shared" ref="AQ12:AQ95" si="14">SUM(AK12:AP12)</f>
        <v>0</v>
      </c>
      <c r="AR12">
        <f t="shared" ref="AR12:AR95" si="15">V12*I12</f>
        <v>0</v>
      </c>
      <c r="AS12" s="290">
        <f t="shared" ref="AS12:AS95" si="16">X12*I12</f>
        <v>0</v>
      </c>
      <c r="AT12">
        <f t="shared" ref="AT12:AT95" si="17">I12</f>
        <v>0</v>
      </c>
      <c r="AU12" s="290">
        <f t="shared" ref="AU12:AU95" si="18">(E12*2+(G12-H12)*2)*I12</f>
        <v>0</v>
      </c>
      <c r="AV12">
        <f t="shared" ref="AV12:AV95" si="19">E12*I12</f>
        <v>0</v>
      </c>
      <c r="AW12">
        <f t="shared" ref="AW12:AW95" si="20">IF(F12&gt;0,IF(F12&lt;6,AU12,0),0)</f>
        <v>0</v>
      </c>
      <c r="AX12">
        <f t="shared" ref="AX12:AX95" si="21">IF(F12&gt;0,IF(F12&gt;5.5,AU12,0),0)</f>
        <v>0</v>
      </c>
      <c r="AY12">
        <f t="shared" si="0"/>
        <v>0</v>
      </c>
      <c r="AZ12" s="293">
        <f>(AK12*Pricing!F$2+AL12*Pricing!G$2+AM12*Pricing!H$2+AN12*Pricing!I$2+AO12*Pricing!J$2+AP12*Pricing!K$2)*IF(U$123="Y",1,(1+W$123))</f>
        <v>0</v>
      </c>
      <c r="BA12" s="294">
        <f t="shared" si="1"/>
        <v>0</v>
      </c>
      <c r="BB12" s="293" t="e">
        <f t="shared" si="2"/>
        <v>#DIV/0!</v>
      </c>
      <c r="BC12" s="294">
        <f t="shared" si="3"/>
        <v>0</v>
      </c>
      <c r="BD12" s="294">
        <f t="shared" si="4"/>
        <v>0</v>
      </c>
      <c r="BE12" s="295" t="e">
        <f t="shared" si="5"/>
        <v>#DIV/0!</v>
      </c>
      <c r="BF12" s="296" t="e">
        <f t="shared" si="6"/>
        <v>#DIV/0!</v>
      </c>
    </row>
    <row r="13" spans="2:63" ht="18" customHeight="1" x14ac:dyDescent="0.35">
      <c r="B13" s="2739">
        <v>3</v>
      </c>
      <c r="C13" s="2740"/>
      <c r="D13" s="1362"/>
      <c r="E13" s="1273"/>
      <c r="F13" s="1258"/>
      <c r="G13" s="1258"/>
      <c r="H13" s="1227"/>
      <c r="I13" s="777"/>
      <c r="J13" s="1226"/>
      <c r="K13" s="1259"/>
      <c r="L13" s="178"/>
      <c r="M13" s="178"/>
      <c r="N13" s="177"/>
      <c r="O13" s="1219"/>
      <c r="P13" s="178"/>
      <c r="Q13" s="177"/>
      <c r="R13" s="178"/>
      <c r="S13" s="177"/>
      <c r="T13" s="178"/>
      <c r="U13" s="1260"/>
      <c r="V13" s="1267">
        <f t="shared" ref="V13:V76" si="22">IF(I13=0,0,(IF(L13=0,0,E13*(G13-H13)*12/L13*N13*(M13/16*M13/16*10.7028))+IF(O13=0,0,((G13-H13)*12/O13*E13*Q13)*P13/16*P13/16*10.7028)+(R13*E13+R13*(G13-H13))*2*(S13/16*S13/16*10.7028)+IF(J13&gt;0,R13*E13+R13*(G13-H13)*2*(S13/16*S13/16*10.7028))+IF(I13=0,0,T13*4*U13/16*U13/16*10.7028))*(1+K$137))</f>
        <v>0</v>
      </c>
      <c r="W13" s="1268">
        <f t="shared" ref="W13:W76" si="23">IF(I13=0,0,((E13*F13/12*(G13-H13)/27)-(J13*K13*F13/324))*(1+K$134))</f>
        <v>0</v>
      </c>
      <c r="X13" s="1269">
        <f>(G13-H13)*E13</f>
        <v>0</v>
      </c>
      <c r="Y13" s="1285">
        <f>IF(I13=0,0,SUM(AZ13:BF13)/I13)</f>
        <v>0</v>
      </c>
      <c r="Z13" s="42"/>
      <c r="AJ13">
        <f t="shared" si="7"/>
        <v>0</v>
      </c>
      <c r="AK13">
        <f t="shared" si="8"/>
        <v>0</v>
      </c>
      <c r="AL13">
        <f t="shared" si="9"/>
        <v>0</v>
      </c>
      <c r="AM13">
        <f t="shared" si="10"/>
        <v>0</v>
      </c>
      <c r="AN13">
        <f t="shared" si="11"/>
        <v>0</v>
      </c>
      <c r="AO13">
        <f t="shared" si="12"/>
        <v>0</v>
      </c>
      <c r="AP13">
        <f t="shared" si="13"/>
        <v>0</v>
      </c>
      <c r="AQ13">
        <f t="shared" si="14"/>
        <v>0</v>
      </c>
      <c r="AR13">
        <f t="shared" si="15"/>
        <v>0</v>
      </c>
      <c r="AS13" s="290">
        <f t="shared" si="16"/>
        <v>0</v>
      </c>
      <c r="AT13">
        <f t="shared" si="17"/>
        <v>0</v>
      </c>
      <c r="AU13" s="290">
        <f t="shared" si="18"/>
        <v>0</v>
      </c>
      <c r="AV13">
        <f t="shared" si="19"/>
        <v>0</v>
      </c>
      <c r="AW13">
        <f t="shared" si="20"/>
        <v>0</v>
      </c>
      <c r="AX13">
        <f t="shared" si="21"/>
        <v>0</v>
      </c>
      <c r="AY13">
        <f t="shared" si="0"/>
        <v>0</v>
      </c>
      <c r="AZ13" s="293">
        <f>(AK13*Pricing!F$2+AL13*Pricing!G$2+AM13*Pricing!H$2+AN13*Pricing!I$2+AO13*Pricing!J$2+AP13*Pricing!K$2)*IF(U$123="Y",1,(1+W$123))</f>
        <v>0</v>
      </c>
      <c r="BA13" s="294">
        <f t="shared" si="1"/>
        <v>0</v>
      </c>
      <c r="BB13" s="293" t="e">
        <f t="shared" si="2"/>
        <v>#DIV/0!</v>
      </c>
      <c r="BC13" s="294">
        <f t="shared" si="3"/>
        <v>0</v>
      </c>
      <c r="BD13" s="294">
        <f t="shared" si="4"/>
        <v>0</v>
      </c>
      <c r="BE13" s="295" t="e">
        <f t="shared" si="5"/>
        <v>#DIV/0!</v>
      </c>
      <c r="BF13" s="296" t="e">
        <f t="shared" si="6"/>
        <v>#DIV/0!</v>
      </c>
    </row>
    <row r="14" spans="2:63" ht="18" customHeight="1" x14ac:dyDescent="0.35">
      <c r="B14" s="2739">
        <v>4</v>
      </c>
      <c r="C14" s="2740"/>
      <c r="D14" s="1361"/>
      <c r="E14" s="1273"/>
      <c r="F14" s="1261"/>
      <c r="G14" s="1261"/>
      <c r="H14" s="1228"/>
      <c r="I14" s="777"/>
      <c r="J14" s="448"/>
      <c r="K14" s="1262"/>
      <c r="L14" s="180"/>
      <c r="M14" s="180"/>
      <c r="N14" s="179"/>
      <c r="O14" s="1221"/>
      <c r="P14" s="180"/>
      <c r="Q14" s="179"/>
      <c r="R14" s="180"/>
      <c r="S14" s="179"/>
      <c r="T14" s="180"/>
      <c r="U14" s="1263"/>
      <c r="V14" s="1270">
        <f t="shared" si="22"/>
        <v>0</v>
      </c>
      <c r="W14" s="1271">
        <f t="shared" si="23"/>
        <v>0</v>
      </c>
      <c r="X14" s="1272">
        <f t="shared" ref="X14:X77" si="24">(G14-H14)*E14</f>
        <v>0</v>
      </c>
      <c r="Y14" s="1284">
        <f t="shared" ref="Y14:Y77" si="25">IF(I14=0,0,SUM(AZ14:BF14)/I14)</f>
        <v>0</v>
      </c>
      <c r="Z14" s="42"/>
      <c r="AJ14">
        <f t="shared" si="7"/>
        <v>0</v>
      </c>
      <c r="AK14">
        <f t="shared" si="8"/>
        <v>0</v>
      </c>
      <c r="AL14">
        <f t="shared" si="9"/>
        <v>0</v>
      </c>
      <c r="AM14">
        <f t="shared" si="10"/>
        <v>0</v>
      </c>
      <c r="AN14">
        <f t="shared" si="11"/>
        <v>0</v>
      </c>
      <c r="AO14">
        <f t="shared" si="12"/>
        <v>0</v>
      </c>
      <c r="AP14">
        <f t="shared" si="13"/>
        <v>0</v>
      </c>
      <c r="AQ14">
        <f t="shared" si="14"/>
        <v>0</v>
      </c>
      <c r="AR14">
        <f t="shared" si="15"/>
        <v>0</v>
      </c>
      <c r="AS14" s="290">
        <f t="shared" si="16"/>
        <v>0</v>
      </c>
      <c r="AT14">
        <f t="shared" si="17"/>
        <v>0</v>
      </c>
      <c r="AU14" s="290">
        <f t="shared" si="18"/>
        <v>0</v>
      </c>
      <c r="AV14">
        <f t="shared" si="19"/>
        <v>0</v>
      </c>
      <c r="AW14">
        <f t="shared" si="20"/>
        <v>0</v>
      </c>
      <c r="AX14">
        <f t="shared" si="21"/>
        <v>0</v>
      </c>
      <c r="AY14">
        <f t="shared" si="0"/>
        <v>0</v>
      </c>
      <c r="AZ14" s="293">
        <f>(AK14*Pricing!F$2+AL14*Pricing!G$2+AM14*Pricing!H$2+AN14*Pricing!I$2+AO14*Pricing!J$2+AP14*Pricing!K$2)*IF(U$123="Y",1,(1+W$123))</f>
        <v>0</v>
      </c>
      <c r="BA14" s="294">
        <f t="shared" si="1"/>
        <v>0</v>
      </c>
      <c r="BB14" s="293" t="e">
        <f t="shared" si="2"/>
        <v>#DIV/0!</v>
      </c>
      <c r="BC14" s="294">
        <f t="shared" si="3"/>
        <v>0</v>
      </c>
      <c r="BD14" s="294">
        <f t="shared" si="4"/>
        <v>0</v>
      </c>
      <c r="BE14" s="295" t="e">
        <f t="shared" si="5"/>
        <v>#DIV/0!</v>
      </c>
      <c r="BF14" s="296" t="e">
        <f t="shared" si="6"/>
        <v>#DIV/0!</v>
      </c>
    </row>
    <row r="15" spans="2:63" ht="18" customHeight="1" x14ac:dyDescent="0.35">
      <c r="B15" s="2739">
        <v>5</v>
      </c>
      <c r="C15" s="2740"/>
      <c r="D15" s="1362"/>
      <c r="E15" s="1273"/>
      <c r="F15" s="1258"/>
      <c r="G15" s="1258"/>
      <c r="H15" s="1227"/>
      <c r="I15" s="777"/>
      <c r="J15" s="1226"/>
      <c r="K15" s="1259"/>
      <c r="L15" s="178"/>
      <c r="M15" s="178"/>
      <c r="N15" s="177"/>
      <c r="O15" s="1219"/>
      <c r="P15" s="178"/>
      <c r="Q15" s="177"/>
      <c r="R15" s="178"/>
      <c r="S15" s="177"/>
      <c r="T15" s="178"/>
      <c r="U15" s="1260"/>
      <c r="V15" s="1267">
        <f t="shared" si="22"/>
        <v>0</v>
      </c>
      <c r="W15" s="1268">
        <f t="shared" si="23"/>
        <v>0</v>
      </c>
      <c r="X15" s="1269">
        <f t="shared" si="24"/>
        <v>0</v>
      </c>
      <c r="Y15" s="1285">
        <f t="shared" si="25"/>
        <v>0</v>
      </c>
      <c r="Z15" s="42"/>
      <c r="AJ15">
        <f t="shared" si="7"/>
        <v>0</v>
      </c>
      <c r="AK15">
        <f t="shared" si="8"/>
        <v>0</v>
      </c>
      <c r="AL15">
        <f t="shared" si="9"/>
        <v>0</v>
      </c>
      <c r="AM15">
        <f t="shared" si="10"/>
        <v>0</v>
      </c>
      <c r="AN15">
        <f t="shared" si="11"/>
        <v>0</v>
      </c>
      <c r="AO15">
        <f t="shared" si="12"/>
        <v>0</v>
      </c>
      <c r="AP15">
        <f t="shared" si="13"/>
        <v>0</v>
      </c>
      <c r="AQ15">
        <f t="shared" si="14"/>
        <v>0</v>
      </c>
      <c r="AR15">
        <f t="shared" si="15"/>
        <v>0</v>
      </c>
      <c r="AS15" s="290">
        <f t="shared" si="16"/>
        <v>0</v>
      </c>
      <c r="AT15">
        <f t="shared" si="17"/>
        <v>0</v>
      </c>
      <c r="AU15" s="290">
        <f t="shared" si="18"/>
        <v>0</v>
      </c>
      <c r="AV15">
        <f t="shared" si="19"/>
        <v>0</v>
      </c>
      <c r="AW15">
        <f t="shared" si="20"/>
        <v>0</v>
      </c>
      <c r="AX15">
        <f t="shared" si="21"/>
        <v>0</v>
      </c>
      <c r="AY15">
        <f t="shared" si="0"/>
        <v>0</v>
      </c>
      <c r="AZ15" s="293">
        <f>(AK15*Pricing!F$2+AL15*Pricing!G$2+AM15*Pricing!H$2+AN15*Pricing!I$2+AO15*Pricing!J$2+AP15*Pricing!K$2)*IF(U$123="Y",1,(1+W$123))</f>
        <v>0</v>
      </c>
      <c r="BA15" s="294">
        <f t="shared" si="1"/>
        <v>0</v>
      </c>
      <c r="BB15" s="293" t="e">
        <f t="shared" si="2"/>
        <v>#DIV/0!</v>
      </c>
      <c r="BC15" s="294">
        <f t="shared" si="3"/>
        <v>0</v>
      </c>
      <c r="BD15" s="294">
        <f t="shared" si="4"/>
        <v>0</v>
      </c>
      <c r="BE15" s="295" t="e">
        <f t="shared" si="5"/>
        <v>#DIV/0!</v>
      </c>
      <c r="BF15" s="296" t="e">
        <f t="shared" si="6"/>
        <v>#DIV/0!</v>
      </c>
    </row>
    <row r="16" spans="2:63" ht="18" customHeight="1" x14ac:dyDescent="0.35">
      <c r="B16" s="2739">
        <v>6</v>
      </c>
      <c r="C16" s="2740"/>
      <c r="D16" s="1361"/>
      <c r="E16" s="1273"/>
      <c r="F16" s="1261"/>
      <c r="G16" s="1261"/>
      <c r="H16" s="1228"/>
      <c r="I16" s="777"/>
      <c r="J16" s="448"/>
      <c r="K16" s="1262"/>
      <c r="L16" s="180"/>
      <c r="M16" s="180"/>
      <c r="N16" s="179"/>
      <c r="O16" s="1221"/>
      <c r="P16" s="180"/>
      <c r="Q16" s="179"/>
      <c r="R16" s="180"/>
      <c r="S16" s="179"/>
      <c r="T16" s="180"/>
      <c r="U16" s="1263"/>
      <c r="V16" s="1270">
        <f t="shared" si="22"/>
        <v>0</v>
      </c>
      <c r="W16" s="1271">
        <f t="shared" si="23"/>
        <v>0</v>
      </c>
      <c r="X16" s="1272">
        <f t="shared" si="24"/>
        <v>0</v>
      </c>
      <c r="Y16" s="1284">
        <f t="shared" si="25"/>
        <v>0</v>
      </c>
      <c r="Z16" s="42"/>
      <c r="AJ16">
        <f t="shared" si="7"/>
        <v>0</v>
      </c>
      <c r="AK16">
        <f t="shared" si="8"/>
        <v>0</v>
      </c>
      <c r="AL16">
        <f t="shared" si="9"/>
        <v>0</v>
      </c>
      <c r="AM16">
        <f t="shared" si="10"/>
        <v>0</v>
      </c>
      <c r="AN16">
        <f t="shared" si="11"/>
        <v>0</v>
      </c>
      <c r="AO16">
        <f t="shared" si="12"/>
        <v>0</v>
      </c>
      <c r="AP16">
        <f t="shared" si="13"/>
        <v>0</v>
      </c>
      <c r="AQ16">
        <f t="shared" si="14"/>
        <v>0</v>
      </c>
      <c r="AR16">
        <f t="shared" si="15"/>
        <v>0</v>
      </c>
      <c r="AS16" s="290">
        <f t="shared" si="16"/>
        <v>0</v>
      </c>
      <c r="AT16">
        <f t="shared" si="17"/>
        <v>0</v>
      </c>
      <c r="AU16" s="290">
        <f t="shared" si="18"/>
        <v>0</v>
      </c>
      <c r="AV16">
        <f t="shared" si="19"/>
        <v>0</v>
      </c>
      <c r="AW16">
        <f t="shared" si="20"/>
        <v>0</v>
      </c>
      <c r="AX16">
        <f t="shared" si="21"/>
        <v>0</v>
      </c>
      <c r="AY16">
        <f t="shared" si="0"/>
        <v>0</v>
      </c>
      <c r="AZ16" s="293">
        <f>(AK16*Pricing!F$2+AL16*Pricing!G$2+AM16*Pricing!H$2+AN16*Pricing!I$2+AO16*Pricing!J$2+AP16*Pricing!K$2)*IF(U$123="Y",1,(1+W$123))</f>
        <v>0</v>
      </c>
      <c r="BA16" s="294">
        <f t="shared" si="1"/>
        <v>0</v>
      </c>
      <c r="BB16" s="293" t="e">
        <f t="shared" si="2"/>
        <v>#DIV/0!</v>
      </c>
      <c r="BC16" s="294">
        <f t="shared" si="3"/>
        <v>0</v>
      </c>
      <c r="BD16" s="294">
        <f t="shared" si="4"/>
        <v>0</v>
      </c>
      <c r="BE16" s="295" t="e">
        <f t="shared" si="5"/>
        <v>#DIV/0!</v>
      </c>
      <c r="BF16" s="296" t="e">
        <f t="shared" si="6"/>
        <v>#DIV/0!</v>
      </c>
    </row>
    <row r="17" spans="2:58" ht="18" customHeight="1" x14ac:dyDescent="0.35">
      <c r="B17" s="2739">
        <v>7</v>
      </c>
      <c r="C17" s="2740"/>
      <c r="D17" s="1362"/>
      <c r="E17" s="1273"/>
      <c r="F17" s="1258"/>
      <c r="G17" s="1258"/>
      <c r="H17" s="1227"/>
      <c r="I17" s="777"/>
      <c r="J17" s="1226"/>
      <c r="K17" s="1259"/>
      <c r="L17" s="178"/>
      <c r="M17" s="178"/>
      <c r="N17" s="177"/>
      <c r="O17" s="1219"/>
      <c r="P17" s="178"/>
      <c r="Q17" s="177"/>
      <c r="R17" s="178"/>
      <c r="S17" s="177"/>
      <c r="T17" s="178"/>
      <c r="U17" s="1260"/>
      <c r="V17" s="1267">
        <f t="shared" si="22"/>
        <v>0</v>
      </c>
      <c r="W17" s="1268">
        <f t="shared" si="23"/>
        <v>0</v>
      </c>
      <c r="X17" s="1269">
        <f t="shared" si="24"/>
        <v>0</v>
      </c>
      <c r="Y17" s="1285">
        <f t="shared" si="25"/>
        <v>0</v>
      </c>
      <c r="Z17" s="42"/>
      <c r="AJ17">
        <f t="shared" si="7"/>
        <v>0</v>
      </c>
      <c r="AK17">
        <f t="shared" si="8"/>
        <v>0</v>
      </c>
      <c r="AL17">
        <f t="shared" si="9"/>
        <v>0</v>
      </c>
      <c r="AM17">
        <f t="shared" si="10"/>
        <v>0</v>
      </c>
      <c r="AN17">
        <f t="shared" si="11"/>
        <v>0</v>
      </c>
      <c r="AO17">
        <f t="shared" si="12"/>
        <v>0</v>
      </c>
      <c r="AP17">
        <f t="shared" si="13"/>
        <v>0</v>
      </c>
      <c r="AQ17">
        <f t="shared" si="14"/>
        <v>0</v>
      </c>
      <c r="AR17">
        <f t="shared" si="15"/>
        <v>0</v>
      </c>
      <c r="AS17" s="290">
        <f t="shared" si="16"/>
        <v>0</v>
      </c>
      <c r="AT17">
        <f t="shared" si="17"/>
        <v>0</v>
      </c>
      <c r="AU17" s="290">
        <f t="shared" si="18"/>
        <v>0</v>
      </c>
      <c r="AV17">
        <f t="shared" si="19"/>
        <v>0</v>
      </c>
      <c r="AW17">
        <f t="shared" si="20"/>
        <v>0</v>
      </c>
      <c r="AX17">
        <f t="shared" si="21"/>
        <v>0</v>
      </c>
      <c r="AY17">
        <f t="shared" si="0"/>
        <v>0</v>
      </c>
      <c r="AZ17" s="293">
        <f>(AK17*Pricing!F$2+AL17*Pricing!G$2+AM17*Pricing!H$2+AN17*Pricing!I$2+AO17*Pricing!J$2+AP17*Pricing!K$2)*IF(U$123="Y",1,(1+W$123))</f>
        <v>0</v>
      </c>
      <c r="BA17" s="294">
        <f t="shared" si="1"/>
        <v>0</v>
      </c>
      <c r="BB17" s="293" t="e">
        <f t="shared" si="2"/>
        <v>#DIV/0!</v>
      </c>
      <c r="BC17" s="294">
        <f t="shared" si="3"/>
        <v>0</v>
      </c>
      <c r="BD17" s="294">
        <f t="shared" si="4"/>
        <v>0</v>
      </c>
      <c r="BE17" s="295" t="e">
        <f t="shared" si="5"/>
        <v>#DIV/0!</v>
      </c>
      <c r="BF17" s="296" t="e">
        <f t="shared" si="6"/>
        <v>#DIV/0!</v>
      </c>
    </row>
    <row r="18" spans="2:58" ht="18" customHeight="1" x14ac:dyDescent="0.35">
      <c r="B18" s="2739">
        <v>8</v>
      </c>
      <c r="C18" s="2740"/>
      <c r="D18" s="1361"/>
      <c r="E18" s="1273"/>
      <c r="F18" s="1261"/>
      <c r="G18" s="1261"/>
      <c r="H18" s="1228"/>
      <c r="I18" s="777"/>
      <c r="J18" s="448"/>
      <c r="K18" s="1262"/>
      <c r="L18" s="180"/>
      <c r="M18" s="180"/>
      <c r="N18" s="179"/>
      <c r="O18" s="1221"/>
      <c r="P18" s="180"/>
      <c r="Q18" s="179"/>
      <c r="R18" s="180"/>
      <c r="S18" s="179"/>
      <c r="T18" s="180"/>
      <c r="U18" s="1263"/>
      <c r="V18" s="1270">
        <f t="shared" si="22"/>
        <v>0</v>
      </c>
      <c r="W18" s="1271">
        <f t="shared" si="23"/>
        <v>0</v>
      </c>
      <c r="X18" s="1272">
        <f t="shared" si="24"/>
        <v>0</v>
      </c>
      <c r="Y18" s="1284">
        <f t="shared" si="25"/>
        <v>0</v>
      </c>
      <c r="Z18" s="42"/>
      <c r="AJ18">
        <f t="shared" si="7"/>
        <v>0</v>
      </c>
      <c r="AK18">
        <f t="shared" si="8"/>
        <v>0</v>
      </c>
      <c r="AL18">
        <f t="shared" si="9"/>
        <v>0</v>
      </c>
      <c r="AM18">
        <f t="shared" si="10"/>
        <v>0</v>
      </c>
      <c r="AN18">
        <f t="shared" si="11"/>
        <v>0</v>
      </c>
      <c r="AO18">
        <f t="shared" si="12"/>
        <v>0</v>
      </c>
      <c r="AP18">
        <f t="shared" si="13"/>
        <v>0</v>
      </c>
      <c r="AQ18">
        <f t="shared" si="14"/>
        <v>0</v>
      </c>
      <c r="AR18">
        <f t="shared" si="15"/>
        <v>0</v>
      </c>
      <c r="AS18" s="290">
        <f t="shared" si="16"/>
        <v>0</v>
      </c>
      <c r="AT18">
        <f t="shared" si="17"/>
        <v>0</v>
      </c>
      <c r="AU18" s="290">
        <f t="shared" si="18"/>
        <v>0</v>
      </c>
      <c r="AV18">
        <f t="shared" si="19"/>
        <v>0</v>
      </c>
      <c r="AW18">
        <f t="shared" si="20"/>
        <v>0</v>
      </c>
      <c r="AX18">
        <f t="shared" si="21"/>
        <v>0</v>
      </c>
      <c r="AY18">
        <f t="shared" si="0"/>
        <v>0</v>
      </c>
      <c r="AZ18" s="293">
        <f>(AK18*Pricing!F$2+AL18*Pricing!G$2+AM18*Pricing!H$2+AN18*Pricing!I$2+AO18*Pricing!J$2+AP18*Pricing!K$2)*IF(U$123="Y",1,(1+W$123))</f>
        <v>0</v>
      </c>
      <c r="BA18" s="294">
        <f t="shared" si="1"/>
        <v>0</v>
      </c>
      <c r="BB18" s="293" t="e">
        <f t="shared" si="2"/>
        <v>#DIV/0!</v>
      </c>
      <c r="BC18" s="294">
        <f t="shared" si="3"/>
        <v>0</v>
      </c>
      <c r="BD18" s="294">
        <f t="shared" si="4"/>
        <v>0</v>
      </c>
      <c r="BE18" s="295" t="e">
        <f t="shared" si="5"/>
        <v>#DIV/0!</v>
      </c>
      <c r="BF18" s="296" t="e">
        <f t="shared" si="6"/>
        <v>#DIV/0!</v>
      </c>
    </row>
    <row r="19" spans="2:58" ht="18" customHeight="1" x14ac:dyDescent="0.35">
      <c r="B19" s="2739">
        <v>9</v>
      </c>
      <c r="C19" s="2740"/>
      <c r="D19" s="1362"/>
      <c r="E19" s="1273"/>
      <c r="F19" s="1258"/>
      <c r="G19" s="1258"/>
      <c r="H19" s="1227"/>
      <c r="I19" s="777"/>
      <c r="J19" s="1226"/>
      <c r="K19" s="1259"/>
      <c r="L19" s="178"/>
      <c r="M19" s="178"/>
      <c r="N19" s="177"/>
      <c r="O19" s="1219"/>
      <c r="P19" s="178"/>
      <c r="Q19" s="177"/>
      <c r="R19" s="178"/>
      <c r="S19" s="177"/>
      <c r="T19" s="178"/>
      <c r="U19" s="1260"/>
      <c r="V19" s="1267">
        <f t="shared" si="22"/>
        <v>0</v>
      </c>
      <c r="W19" s="1268">
        <f t="shared" si="23"/>
        <v>0</v>
      </c>
      <c r="X19" s="1269">
        <f t="shared" si="24"/>
        <v>0</v>
      </c>
      <c r="Y19" s="1285">
        <f t="shared" si="25"/>
        <v>0</v>
      </c>
      <c r="Z19" s="42"/>
      <c r="AJ19">
        <f t="shared" si="7"/>
        <v>0</v>
      </c>
      <c r="AK19">
        <f t="shared" si="8"/>
        <v>0</v>
      </c>
      <c r="AL19">
        <f t="shared" si="9"/>
        <v>0</v>
      </c>
      <c r="AM19">
        <f t="shared" si="10"/>
        <v>0</v>
      </c>
      <c r="AN19">
        <f t="shared" si="11"/>
        <v>0</v>
      </c>
      <c r="AO19">
        <f t="shared" si="12"/>
        <v>0</v>
      </c>
      <c r="AP19">
        <f t="shared" si="13"/>
        <v>0</v>
      </c>
      <c r="AQ19">
        <f t="shared" si="14"/>
        <v>0</v>
      </c>
      <c r="AR19">
        <f t="shared" si="15"/>
        <v>0</v>
      </c>
      <c r="AS19" s="290">
        <f t="shared" si="16"/>
        <v>0</v>
      </c>
      <c r="AT19">
        <f t="shared" si="17"/>
        <v>0</v>
      </c>
      <c r="AU19" s="290">
        <f t="shared" si="18"/>
        <v>0</v>
      </c>
      <c r="AV19">
        <f t="shared" si="19"/>
        <v>0</v>
      </c>
      <c r="AW19">
        <f t="shared" si="20"/>
        <v>0</v>
      </c>
      <c r="AX19">
        <f t="shared" si="21"/>
        <v>0</v>
      </c>
      <c r="AY19">
        <f t="shared" si="0"/>
        <v>0</v>
      </c>
      <c r="AZ19" s="293">
        <f>(AK19*Pricing!F$2+AL19*Pricing!G$2+AM19*Pricing!H$2+AN19*Pricing!I$2+AO19*Pricing!J$2+AP19*Pricing!K$2)*IF(U$123="Y",1,(1+W$123))</f>
        <v>0</v>
      </c>
      <c r="BA19" s="294">
        <f t="shared" si="1"/>
        <v>0</v>
      </c>
      <c r="BB19" s="293" t="e">
        <f t="shared" si="2"/>
        <v>#DIV/0!</v>
      </c>
      <c r="BC19" s="294">
        <f t="shared" si="3"/>
        <v>0</v>
      </c>
      <c r="BD19" s="294">
        <f t="shared" si="4"/>
        <v>0</v>
      </c>
      <c r="BE19" s="295" t="e">
        <f t="shared" si="5"/>
        <v>#DIV/0!</v>
      </c>
      <c r="BF19" s="296" t="e">
        <f t="shared" si="6"/>
        <v>#DIV/0!</v>
      </c>
    </row>
    <row r="20" spans="2:58" ht="18" customHeight="1" x14ac:dyDescent="0.35">
      <c r="B20" s="2739">
        <v>10</v>
      </c>
      <c r="C20" s="2740"/>
      <c r="D20" s="1361"/>
      <c r="E20" s="1273"/>
      <c r="F20" s="1261"/>
      <c r="G20" s="1261"/>
      <c r="H20" s="1228"/>
      <c r="I20" s="777"/>
      <c r="J20" s="448"/>
      <c r="K20" s="1262"/>
      <c r="L20" s="180"/>
      <c r="M20" s="180"/>
      <c r="N20" s="179"/>
      <c r="O20" s="1221"/>
      <c r="P20" s="180"/>
      <c r="Q20" s="179"/>
      <c r="R20" s="180"/>
      <c r="S20" s="179"/>
      <c r="T20" s="180"/>
      <c r="U20" s="1263"/>
      <c r="V20" s="1270">
        <f t="shared" si="22"/>
        <v>0</v>
      </c>
      <c r="W20" s="1271">
        <f t="shared" si="23"/>
        <v>0</v>
      </c>
      <c r="X20" s="1272">
        <f t="shared" si="24"/>
        <v>0</v>
      </c>
      <c r="Y20" s="1284">
        <f t="shared" si="25"/>
        <v>0</v>
      </c>
      <c r="Z20" s="42"/>
      <c r="AJ20">
        <f t="shared" si="7"/>
        <v>0</v>
      </c>
      <c r="AK20">
        <f t="shared" si="8"/>
        <v>0</v>
      </c>
      <c r="AL20">
        <f t="shared" si="9"/>
        <v>0</v>
      </c>
      <c r="AM20">
        <f t="shared" si="10"/>
        <v>0</v>
      </c>
      <c r="AN20">
        <f t="shared" si="11"/>
        <v>0</v>
      </c>
      <c r="AO20">
        <f t="shared" si="12"/>
        <v>0</v>
      </c>
      <c r="AP20">
        <f t="shared" si="13"/>
        <v>0</v>
      </c>
      <c r="AQ20">
        <f t="shared" si="14"/>
        <v>0</v>
      </c>
      <c r="AR20">
        <f t="shared" si="15"/>
        <v>0</v>
      </c>
      <c r="AS20" s="290">
        <f t="shared" si="16"/>
        <v>0</v>
      </c>
      <c r="AT20">
        <f t="shared" si="17"/>
        <v>0</v>
      </c>
      <c r="AU20" s="290">
        <f t="shared" si="18"/>
        <v>0</v>
      </c>
      <c r="AV20">
        <f t="shared" si="19"/>
        <v>0</v>
      </c>
      <c r="AW20">
        <f t="shared" si="20"/>
        <v>0</v>
      </c>
      <c r="AX20">
        <f t="shared" si="21"/>
        <v>0</v>
      </c>
      <c r="AY20">
        <f t="shared" si="0"/>
        <v>0</v>
      </c>
      <c r="AZ20" s="293">
        <f>(AK20*Pricing!F$2+AL20*Pricing!G$2+AM20*Pricing!H$2+AN20*Pricing!I$2+AO20*Pricing!J$2+AP20*Pricing!K$2)*IF(U$123="Y",1,(1+W$123))</f>
        <v>0</v>
      </c>
      <c r="BA20" s="294">
        <f t="shared" si="1"/>
        <v>0</v>
      </c>
      <c r="BB20" s="293" t="e">
        <f t="shared" si="2"/>
        <v>#DIV/0!</v>
      </c>
      <c r="BC20" s="294">
        <f t="shared" si="3"/>
        <v>0</v>
      </c>
      <c r="BD20" s="294">
        <f t="shared" si="4"/>
        <v>0</v>
      </c>
      <c r="BE20" s="295" t="e">
        <f t="shared" si="5"/>
        <v>#DIV/0!</v>
      </c>
      <c r="BF20" s="296" t="e">
        <f t="shared" si="6"/>
        <v>#DIV/0!</v>
      </c>
    </row>
    <row r="21" spans="2:58" ht="18" customHeight="1" x14ac:dyDescent="0.35">
      <c r="B21" s="2739">
        <v>11</v>
      </c>
      <c r="C21" s="2740"/>
      <c r="D21" s="1362"/>
      <c r="E21" s="1273"/>
      <c r="F21" s="1258"/>
      <c r="G21" s="1258"/>
      <c r="H21" s="1227"/>
      <c r="I21" s="777"/>
      <c r="J21" s="1226"/>
      <c r="K21" s="1259"/>
      <c r="L21" s="178"/>
      <c r="M21" s="178"/>
      <c r="N21" s="177"/>
      <c r="O21" s="1219"/>
      <c r="P21" s="178"/>
      <c r="Q21" s="177"/>
      <c r="R21" s="178"/>
      <c r="S21" s="177"/>
      <c r="T21" s="178"/>
      <c r="U21" s="1260"/>
      <c r="V21" s="1267">
        <f t="shared" si="22"/>
        <v>0</v>
      </c>
      <c r="W21" s="1268">
        <f t="shared" si="23"/>
        <v>0</v>
      </c>
      <c r="X21" s="1269">
        <f t="shared" si="24"/>
        <v>0</v>
      </c>
      <c r="Y21" s="1285">
        <f t="shared" si="25"/>
        <v>0</v>
      </c>
      <c r="Z21" s="42"/>
      <c r="AJ21">
        <f t="shared" si="7"/>
        <v>0</v>
      </c>
      <c r="AK21">
        <f t="shared" si="8"/>
        <v>0</v>
      </c>
      <c r="AL21">
        <f t="shared" si="9"/>
        <v>0</v>
      </c>
      <c r="AM21">
        <f t="shared" si="10"/>
        <v>0</v>
      </c>
      <c r="AN21">
        <f t="shared" si="11"/>
        <v>0</v>
      </c>
      <c r="AO21">
        <f t="shared" si="12"/>
        <v>0</v>
      </c>
      <c r="AP21">
        <f t="shared" si="13"/>
        <v>0</v>
      </c>
      <c r="AQ21">
        <f t="shared" si="14"/>
        <v>0</v>
      </c>
      <c r="AR21">
        <f t="shared" si="15"/>
        <v>0</v>
      </c>
      <c r="AS21" s="290">
        <f t="shared" si="16"/>
        <v>0</v>
      </c>
      <c r="AT21">
        <f t="shared" si="17"/>
        <v>0</v>
      </c>
      <c r="AU21" s="290">
        <f t="shared" si="18"/>
        <v>0</v>
      </c>
      <c r="AV21">
        <f t="shared" si="19"/>
        <v>0</v>
      </c>
      <c r="AW21">
        <f t="shared" si="20"/>
        <v>0</v>
      </c>
      <c r="AX21">
        <f t="shared" si="21"/>
        <v>0</v>
      </c>
      <c r="AY21">
        <f t="shared" si="0"/>
        <v>0</v>
      </c>
      <c r="AZ21" s="293">
        <f>(AK21*Pricing!F$2+AL21*Pricing!G$2+AM21*Pricing!H$2+AN21*Pricing!I$2+AO21*Pricing!J$2+AP21*Pricing!K$2)*IF(U$123="Y",1,(1+W$123))</f>
        <v>0</v>
      </c>
      <c r="BA21" s="294">
        <f t="shared" si="1"/>
        <v>0</v>
      </c>
      <c r="BB21" s="293" t="e">
        <f t="shared" si="2"/>
        <v>#DIV/0!</v>
      </c>
      <c r="BC21" s="294">
        <f t="shared" si="3"/>
        <v>0</v>
      </c>
      <c r="BD21" s="294">
        <f t="shared" si="4"/>
        <v>0</v>
      </c>
      <c r="BE21" s="295" t="e">
        <f t="shared" si="5"/>
        <v>#DIV/0!</v>
      </c>
      <c r="BF21" s="296" t="e">
        <f t="shared" si="6"/>
        <v>#DIV/0!</v>
      </c>
    </row>
    <row r="22" spans="2:58" ht="18" customHeight="1" x14ac:dyDescent="0.35">
      <c r="B22" s="2739">
        <v>12</v>
      </c>
      <c r="C22" s="2740"/>
      <c r="D22" s="1361"/>
      <c r="E22" s="1273"/>
      <c r="F22" s="1261"/>
      <c r="G22" s="1261"/>
      <c r="H22" s="1228"/>
      <c r="I22" s="777"/>
      <c r="J22" s="448"/>
      <c r="K22" s="1262"/>
      <c r="L22" s="180"/>
      <c r="M22" s="180"/>
      <c r="N22" s="179"/>
      <c r="O22" s="1221"/>
      <c r="P22" s="180"/>
      <c r="Q22" s="179"/>
      <c r="R22" s="180"/>
      <c r="S22" s="179"/>
      <c r="T22" s="180"/>
      <c r="U22" s="1263"/>
      <c r="V22" s="1270">
        <f t="shared" si="22"/>
        <v>0</v>
      </c>
      <c r="W22" s="1271">
        <f t="shared" si="23"/>
        <v>0</v>
      </c>
      <c r="X22" s="1272">
        <f t="shared" si="24"/>
        <v>0</v>
      </c>
      <c r="Y22" s="1284">
        <f t="shared" si="25"/>
        <v>0</v>
      </c>
      <c r="Z22" s="42"/>
      <c r="AJ22">
        <f t="shared" si="7"/>
        <v>0</v>
      </c>
      <c r="AK22">
        <f t="shared" si="8"/>
        <v>0</v>
      </c>
      <c r="AL22">
        <f t="shared" si="9"/>
        <v>0</v>
      </c>
      <c r="AM22">
        <f t="shared" si="10"/>
        <v>0</v>
      </c>
      <c r="AN22">
        <f t="shared" si="11"/>
        <v>0</v>
      </c>
      <c r="AO22">
        <f t="shared" si="12"/>
        <v>0</v>
      </c>
      <c r="AP22">
        <f t="shared" si="13"/>
        <v>0</v>
      </c>
      <c r="AQ22">
        <f t="shared" si="14"/>
        <v>0</v>
      </c>
      <c r="AR22">
        <f t="shared" si="15"/>
        <v>0</v>
      </c>
      <c r="AS22" s="290">
        <f t="shared" si="16"/>
        <v>0</v>
      </c>
      <c r="AT22">
        <f t="shared" si="17"/>
        <v>0</v>
      </c>
      <c r="AU22" s="290">
        <f t="shared" si="18"/>
        <v>0</v>
      </c>
      <c r="AV22">
        <f t="shared" si="19"/>
        <v>0</v>
      </c>
      <c r="AW22">
        <f t="shared" si="20"/>
        <v>0</v>
      </c>
      <c r="AX22">
        <f t="shared" si="21"/>
        <v>0</v>
      </c>
      <c r="AY22">
        <f t="shared" si="0"/>
        <v>0</v>
      </c>
      <c r="AZ22" s="293">
        <f>(AK22*Pricing!F$2+AL22*Pricing!G$2+AM22*Pricing!H$2+AN22*Pricing!I$2+AO22*Pricing!J$2+AP22*Pricing!K$2)*IF(U$123="Y",1,(1+W$123))</f>
        <v>0</v>
      </c>
      <c r="BA22" s="294">
        <f t="shared" si="1"/>
        <v>0</v>
      </c>
      <c r="BB22" s="293" t="e">
        <f t="shared" si="2"/>
        <v>#DIV/0!</v>
      </c>
      <c r="BC22" s="294">
        <f t="shared" si="3"/>
        <v>0</v>
      </c>
      <c r="BD22" s="294">
        <f t="shared" si="4"/>
        <v>0</v>
      </c>
      <c r="BE22" s="295" t="e">
        <f t="shared" si="5"/>
        <v>#DIV/0!</v>
      </c>
      <c r="BF22" s="296" t="e">
        <f t="shared" si="6"/>
        <v>#DIV/0!</v>
      </c>
    </row>
    <row r="23" spans="2:58" ht="18" customHeight="1" x14ac:dyDescent="0.35">
      <c r="B23" s="2739">
        <v>13</v>
      </c>
      <c r="C23" s="2740"/>
      <c r="D23" s="1362"/>
      <c r="E23" s="1273"/>
      <c r="F23" s="1258"/>
      <c r="G23" s="1258"/>
      <c r="H23" s="1227"/>
      <c r="I23" s="777"/>
      <c r="J23" s="1226"/>
      <c r="K23" s="1259"/>
      <c r="L23" s="178"/>
      <c r="M23" s="178"/>
      <c r="N23" s="177"/>
      <c r="O23" s="1219"/>
      <c r="P23" s="178"/>
      <c r="Q23" s="177"/>
      <c r="R23" s="178"/>
      <c r="S23" s="177"/>
      <c r="T23" s="178"/>
      <c r="U23" s="1260"/>
      <c r="V23" s="1267">
        <f t="shared" si="22"/>
        <v>0</v>
      </c>
      <c r="W23" s="1268">
        <f t="shared" si="23"/>
        <v>0</v>
      </c>
      <c r="X23" s="1269">
        <f t="shared" si="24"/>
        <v>0</v>
      </c>
      <c r="Y23" s="1285">
        <f t="shared" si="25"/>
        <v>0</v>
      </c>
      <c r="Z23" s="42"/>
      <c r="AJ23">
        <f t="shared" si="7"/>
        <v>0</v>
      </c>
      <c r="AK23">
        <f t="shared" si="8"/>
        <v>0</v>
      </c>
      <c r="AL23">
        <f t="shared" si="9"/>
        <v>0</v>
      </c>
      <c r="AM23">
        <f t="shared" si="10"/>
        <v>0</v>
      </c>
      <c r="AN23">
        <f t="shared" si="11"/>
        <v>0</v>
      </c>
      <c r="AO23">
        <f t="shared" si="12"/>
        <v>0</v>
      </c>
      <c r="AP23">
        <f t="shared" si="13"/>
        <v>0</v>
      </c>
      <c r="AQ23">
        <f t="shared" si="14"/>
        <v>0</v>
      </c>
      <c r="AR23">
        <f t="shared" si="15"/>
        <v>0</v>
      </c>
      <c r="AS23" s="290">
        <f t="shared" si="16"/>
        <v>0</v>
      </c>
      <c r="AT23">
        <f t="shared" si="17"/>
        <v>0</v>
      </c>
      <c r="AU23" s="290">
        <f t="shared" si="18"/>
        <v>0</v>
      </c>
      <c r="AV23">
        <f t="shared" si="19"/>
        <v>0</v>
      </c>
      <c r="AW23">
        <f t="shared" si="20"/>
        <v>0</v>
      </c>
      <c r="AX23">
        <f t="shared" si="21"/>
        <v>0</v>
      </c>
      <c r="AY23">
        <f t="shared" si="0"/>
        <v>0</v>
      </c>
      <c r="AZ23" s="293">
        <f>(AK23*Pricing!F$2+AL23*Pricing!G$2+AM23*Pricing!H$2+AN23*Pricing!I$2+AO23*Pricing!J$2+AP23*Pricing!K$2)*IF(U$123="Y",1,(1+W$123))</f>
        <v>0</v>
      </c>
      <c r="BA23" s="294">
        <f t="shared" si="1"/>
        <v>0</v>
      </c>
      <c r="BB23" s="293" t="e">
        <f t="shared" si="2"/>
        <v>#DIV/0!</v>
      </c>
      <c r="BC23" s="294">
        <f t="shared" si="3"/>
        <v>0</v>
      </c>
      <c r="BD23" s="294">
        <f t="shared" si="4"/>
        <v>0</v>
      </c>
      <c r="BE23" s="295" t="e">
        <f t="shared" si="5"/>
        <v>#DIV/0!</v>
      </c>
      <c r="BF23" s="296" t="e">
        <f t="shared" si="6"/>
        <v>#DIV/0!</v>
      </c>
    </row>
    <row r="24" spans="2:58" ht="18" customHeight="1" x14ac:dyDescent="0.35">
      <c r="B24" s="2739">
        <v>14</v>
      </c>
      <c r="C24" s="2740"/>
      <c r="D24" s="1361"/>
      <c r="E24" s="1273"/>
      <c r="F24" s="1261"/>
      <c r="G24" s="1261"/>
      <c r="H24" s="1228"/>
      <c r="I24" s="777"/>
      <c r="J24" s="448"/>
      <c r="K24" s="1262"/>
      <c r="L24" s="180"/>
      <c r="M24" s="180"/>
      <c r="N24" s="179"/>
      <c r="O24" s="1221"/>
      <c r="P24" s="180"/>
      <c r="Q24" s="179"/>
      <c r="R24" s="180"/>
      <c r="S24" s="179"/>
      <c r="T24" s="180"/>
      <c r="U24" s="1263"/>
      <c r="V24" s="1270">
        <f t="shared" si="22"/>
        <v>0</v>
      </c>
      <c r="W24" s="1271">
        <f t="shared" si="23"/>
        <v>0</v>
      </c>
      <c r="X24" s="1272">
        <f t="shared" si="24"/>
        <v>0</v>
      </c>
      <c r="Y24" s="1284">
        <f t="shared" si="25"/>
        <v>0</v>
      </c>
      <c r="Z24" s="42"/>
      <c r="AJ24">
        <f t="shared" si="7"/>
        <v>0</v>
      </c>
      <c r="AK24">
        <f t="shared" si="8"/>
        <v>0</v>
      </c>
      <c r="AL24">
        <f t="shared" si="9"/>
        <v>0</v>
      </c>
      <c r="AM24">
        <f t="shared" si="10"/>
        <v>0</v>
      </c>
      <c r="AN24">
        <f t="shared" si="11"/>
        <v>0</v>
      </c>
      <c r="AO24">
        <f t="shared" si="12"/>
        <v>0</v>
      </c>
      <c r="AP24">
        <f t="shared" si="13"/>
        <v>0</v>
      </c>
      <c r="AQ24">
        <f t="shared" si="14"/>
        <v>0</v>
      </c>
      <c r="AR24">
        <f t="shared" si="15"/>
        <v>0</v>
      </c>
      <c r="AS24" s="290">
        <f t="shared" si="16"/>
        <v>0</v>
      </c>
      <c r="AT24">
        <f t="shared" si="17"/>
        <v>0</v>
      </c>
      <c r="AU24" s="290">
        <f t="shared" si="18"/>
        <v>0</v>
      </c>
      <c r="AV24">
        <f t="shared" si="19"/>
        <v>0</v>
      </c>
      <c r="AW24">
        <f t="shared" si="20"/>
        <v>0</v>
      </c>
      <c r="AX24">
        <f t="shared" si="21"/>
        <v>0</v>
      </c>
      <c r="AY24">
        <f t="shared" si="0"/>
        <v>0</v>
      </c>
      <c r="AZ24" s="293">
        <f>(AK24*Pricing!F$2+AL24*Pricing!G$2+AM24*Pricing!H$2+AN24*Pricing!I$2+AO24*Pricing!J$2+AP24*Pricing!K$2)*IF(U$123="Y",1,(1+W$123))</f>
        <v>0</v>
      </c>
      <c r="BA24" s="294">
        <f t="shared" si="1"/>
        <v>0</v>
      </c>
      <c r="BB24" s="293" t="e">
        <f t="shared" si="2"/>
        <v>#DIV/0!</v>
      </c>
      <c r="BC24" s="294">
        <f t="shared" si="3"/>
        <v>0</v>
      </c>
      <c r="BD24" s="294">
        <f t="shared" si="4"/>
        <v>0</v>
      </c>
      <c r="BE24" s="295" t="e">
        <f t="shared" si="5"/>
        <v>#DIV/0!</v>
      </c>
      <c r="BF24" s="296" t="e">
        <f t="shared" si="6"/>
        <v>#DIV/0!</v>
      </c>
    </row>
    <row r="25" spans="2:58" ht="18" customHeight="1" x14ac:dyDescent="0.35">
      <c r="B25" s="2739">
        <v>15</v>
      </c>
      <c r="C25" s="2740"/>
      <c r="D25" s="1362"/>
      <c r="E25" s="1273"/>
      <c r="F25" s="1258"/>
      <c r="G25" s="1258"/>
      <c r="H25" s="1227"/>
      <c r="I25" s="777"/>
      <c r="J25" s="1226"/>
      <c r="K25" s="1259"/>
      <c r="L25" s="178"/>
      <c r="M25" s="178"/>
      <c r="N25" s="177"/>
      <c r="O25" s="1219"/>
      <c r="P25" s="178"/>
      <c r="Q25" s="177"/>
      <c r="R25" s="178"/>
      <c r="S25" s="177"/>
      <c r="T25" s="178"/>
      <c r="U25" s="1260"/>
      <c r="V25" s="1267">
        <f t="shared" si="22"/>
        <v>0</v>
      </c>
      <c r="W25" s="1268">
        <f t="shared" si="23"/>
        <v>0</v>
      </c>
      <c r="X25" s="1269">
        <f t="shared" si="24"/>
        <v>0</v>
      </c>
      <c r="Y25" s="1285">
        <f t="shared" si="25"/>
        <v>0</v>
      </c>
      <c r="Z25" s="42"/>
      <c r="AJ25">
        <f t="shared" si="7"/>
        <v>0</v>
      </c>
      <c r="AK25">
        <f t="shared" si="8"/>
        <v>0</v>
      </c>
      <c r="AL25">
        <f t="shared" si="9"/>
        <v>0</v>
      </c>
      <c r="AM25">
        <f t="shared" si="10"/>
        <v>0</v>
      </c>
      <c r="AN25">
        <f t="shared" si="11"/>
        <v>0</v>
      </c>
      <c r="AO25">
        <f t="shared" si="12"/>
        <v>0</v>
      </c>
      <c r="AP25">
        <f t="shared" si="13"/>
        <v>0</v>
      </c>
      <c r="AQ25">
        <f t="shared" si="14"/>
        <v>0</v>
      </c>
      <c r="AR25">
        <f t="shared" si="15"/>
        <v>0</v>
      </c>
      <c r="AS25" s="290">
        <f t="shared" si="16"/>
        <v>0</v>
      </c>
      <c r="AT25">
        <f t="shared" si="17"/>
        <v>0</v>
      </c>
      <c r="AU25" s="290">
        <f t="shared" si="18"/>
        <v>0</v>
      </c>
      <c r="AV25">
        <f t="shared" si="19"/>
        <v>0</v>
      </c>
      <c r="AW25">
        <f t="shared" si="20"/>
        <v>0</v>
      </c>
      <c r="AX25">
        <f t="shared" si="21"/>
        <v>0</v>
      </c>
      <c r="AY25">
        <f t="shared" si="0"/>
        <v>0</v>
      </c>
      <c r="AZ25" s="293">
        <f>(AK25*Pricing!F$2+AL25*Pricing!G$2+AM25*Pricing!H$2+AN25*Pricing!I$2+AO25*Pricing!J$2+AP25*Pricing!K$2)*IF(U$123="Y",1,(1+W$123))</f>
        <v>0</v>
      </c>
      <c r="BA25" s="294">
        <f t="shared" si="1"/>
        <v>0</v>
      </c>
      <c r="BB25" s="293" t="e">
        <f t="shared" si="2"/>
        <v>#DIV/0!</v>
      </c>
      <c r="BC25" s="294">
        <f t="shared" si="3"/>
        <v>0</v>
      </c>
      <c r="BD25" s="294">
        <f t="shared" si="4"/>
        <v>0</v>
      </c>
      <c r="BE25" s="295" t="e">
        <f t="shared" si="5"/>
        <v>#DIV/0!</v>
      </c>
      <c r="BF25" s="296" t="e">
        <f t="shared" si="6"/>
        <v>#DIV/0!</v>
      </c>
    </row>
    <row r="26" spans="2:58" ht="18" customHeight="1" x14ac:dyDescent="0.35">
      <c r="B26" s="2739">
        <v>16</v>
      </c>
      <c r="C26" s="2740"/>
      <c r="D26" s="1361"/>
      <c r="E26" s="1273"/>
      <c r="F26" s="1261"/>
      <c r="G26" s="1261"/>
      <c r="H26" s="1228"/>
      <c r="I26" s="777"/>
      <c r="J26" s="448"/>
      <c r="K26" s="1262"/>
      <c r="L26" s="180"/>
      <c r="M26" s="180"/>
      <c r="N26" s="179"/>
      <c r="O26" s="1221"/>
      <c r="P26" s="180"/>
      <c r="Q26" s="179"/>
      <c r="R26" s="180"/>
      <c r="S26" s="179"/>
      <c r="T26" s="180"/>
      <c r="U26" s="1263"/>
      <c r="V26" s="1270">
        <f t="shared" si="22"/>
        <v>0</v>
      </c>
      <c r="W26" s="1271">
        <f t="shared" si="23"/>
        <v>0</v>
      </c>
      <c r="X26" s="1272">
        <f t="shared" si="24"/>
        <v>0</v>
      </c>
      <c r="Y26" s="1284">
        <f t="shared" si="25"/>
        <v>0</v>
      </c>
      <c r="Z26" s="42"/>
      <c r="AJ26">
        <f t="shared" si="7"/>
        <v>0</v>
      </c>
      <c r="AK26">
        <f t="shared" si="8"/>
        <v>0</v>
      </c>
      <c r="AL26">
        <f t="shared" si="9"/>
        <v>0</v>
      </c>
      <c r="AM26">
        <f t="shared" si="10"/>
        <v>0</v>
      </c>
      <c r="AN26">
        <f t="shared" si="11"/>
        <v>0</v>
      </c>
      <c r="AO26">
        <f t="shared" si="12"/>
        <v>0</v>
      </c>
      <c r="AP26">
        <f t="shared" si="13"/>
        <v>0</v>
      </c>
      <c r="AQ26">
        <f t="shared" si="14"/>
        <v>0</v>
      </c>
      <c r="AR26">
        <f t="shared" si="15"/>
        <v>0</v>
      </c>
      <c r="AS26" s="290">
        <f t="shared" si="16"/>
        <v>0</v>
      </c>
      <c r="AT26">
        <f t="shared" si="17"/>
        <v>0</v>
      </c>
      <c r="AU26" s="290">
        <f t="shared" si="18"/>
        <v>0</v>
      </c>
      <c r="AV26">
        <f t="shared" si="19"/>
        <v>0</v>
      </c>
      <c r="AW26">
        <f t="shared" si="20"/>
        <v>0</v>
      </c>
      <c r="AX26">
        <f t="shared" si="21"/>
        <v>0</v>
      </c>
      <c r="AY26">
        <f t="shared" si="0"/>
        <v>0</v>
      </c>
      <c r="AZ26" s="293">
        <f>(AK26*Pricing!F$2+AL26*Pricing!G$2+AM26*Pricing!H$2+AN26*Pricing!I$2+AO26*Pricing!J$2+AP26*Pricing!K$2)*IF(U$123="Y",1,(1+W$123))</f>
        <v>0</v>
      </c>
      <c r="BA26" s="294">
        <f t="shared" si="1"/>
        <v>0</v>
      </c>
      <c r="BB26" s="293" t="e">
        <f t="shared" si="2"/>
        <v>#DIV/0!</v>
      </c>
      <c r="BC26" s="294">
        <f t="shared" si="3"/>
        <v>0</v>
      </c>
      <c r="BD26" s="294">
        <f t="shared" si="4"/>
        <v>0</v>
      </c>
      <c r="BE26" s="295" t="e">
        <f t="shared" si="5"/>
        <v>#DIV/0!</v>
      </c>
      <c r="BF26" s="296" t="e">
        <f t="shared" si="6"/>
        <v>#DIV/0!</v>
      </c>
    </row>
    <row r="27" spans="2:58" ht="18" customHeight="1" x14ac:dyDescent="0.35">
      <c r="B27" s="2739">
        <v>17</v>
      </c>
      <c r="C27" s="2740"/>
      <c r="D27" s="1362"/>
      <c r="E27" s="1273"/>
      <c r="F27" s="1258"/>
      <c r="G27" s="1258"/>
      <c r="H27" s="1227"/>
      <c r="I27" s="777"/>
      <c r="J27" s="1226"/>
      <c r="K27" s="1259"/>
      <c r="L27" s="178"/>
      <c r="M27" s="178"/>
      <c r="N27" s="177"/>
      <c r="O27" s="1219"/>
      <c r="P27" s="178"/>
      <c r="Q27" s="177"/>
      <c r="R27" s="178"/>
      <c r="S27" s="177"/>
      <c r="T27" s="178"/>
      <c r="U27" s="1260"/>
      <c r="V27" s="1267">
        <f t="shared" si="22"/>
        <v>0</v>
      </c>
      <c r="W27" s="1268">
        <f t="shared" si="23"/>
        <v>0</v>
      </c>
      <c r="X27" s="1269">
        <f t="shared" si="24"/>
        <v>0</v>
      </c>
      <c r="Y27" s="1285">
        <f t="shared" si="25"/>
        <v>0</v>
      </c>
      <c r="Z27" s="42"/>
      <c r="AJ27">
        <f t="shared" si="7"/>
        <v>0</v>
      </c>
      <c r="AK27">
        <f t="shared" si="8"/>
        <v>0</v>
      </c>
      <c r="AL27">
        <f t="shared" si="9"/>
        <v>0</v>
      </c>
      <c r="AM27">
        <f t="shared" si="10"/>
        <v>0</v>
      </c>
      <c r="AN27">
        <f t="shared" si="11"/>
        <v>0</v>
      </c>
      <c r="AO27">
        <f t="shared" si="12"/>
        <v>0</v>
      </c>
      <c r="AP27">
        <f t="shared" si="13"/>
        <v>0</v>
      </c>
      <c r="AQ27">
        <f t="shared" si="14"/>
        <v>0</v>
      </c>
      <c r="AR27">
        <f t="shared" si="15"/>
        <v>0</v>
      </c>
      <c r="AS27" s="290">
        <f t="shared" si="16"/>
        <v>0</v>
      </c>
      <c r="AT27">
        <f t="shared" si="17"/>
        <v>0</v>
      </c>
      <c r="AU27" s="290">
        <f t="shared" si="18"/>
        <v>0</v>
      </c>
      <c r="AV27">
        <f t="shared" si="19"/>
        <v>0</v>
      </c>
      <c r="AW27">
        <f t="shared" si="20"/>
        <v>0</v>
      </c>
      <c r="AX27">
        <f t="shared" si="21"/>
        <v>0</v>
      </c>
      <c r="AY27">
        <f t="shared" si="0"/>
        <v>0</v>
      </c>
      <c r="AZ27" s="293">
        <f>(AK27*Pricing!F$2+AL27*Pricing!G$2+AM27*Pricing!H$2+AN27*Pricing!I$2+AO27*Pricing!J$2+AP27*Pricing!K$2)*IF(U$123="Y",1,(1+W$123))</f>
        <v>0</v>
      </c>
      <c r="BA27" s="294">
        <f t="shared" si="1"/>
        <v>0</v>
      </c>
      <c r="BB27" s="293" t="e">
        <f t="shared" si="2"/>
        <v>#DIV/0!</v>
      </c>
      <c r="BC27" s="294">
        <f t="shared" si="3"/>
        <v>0</v>
      </c>
      <c r="BD27" s="294">
        <f t="shared" si="4"/>
        <v>0</v>
      </c>
      <c r="BE27" s="295" t="e">
        <f t="shared" si="5"/>
        <v>#DIV/0!</v>
      </c>
      <c r="BF27" s="296" t="e">
        <f t="shared" si="6"/>
        <v>#DIV/0!</v>
      </c>
    </row>
    <row r="28" spans="2:58" ht="18" customHeight="1" x14ac:dyDescent="0.35">
      <c r="B28" s="2739">
        <v>18</v>
      </c>
      <c r="C28" s="2740"/>
      <c r="D28" s="1361"/>
      <c r="E28" s="1273"/>
      <c r="F28" s="1261"/>
      <c r="G28" s="1261"/>
      <c r="H28" s="1228"/>
      <c r="I28" s="777"/>
      <c r="J28" s="448"/>
      <c r="K28" s="1262"/>
      <c r="L28" s="180"/>
      <c r="M28" s="180"/>
      <c r="N28" s="179"/>
      <c r="O28" s="1221"/>
      <c r="P28" s="180"/>
      <c r="Q28" s="179"/>
      <c r="R28" s="180"/>
      <c r="S28" s="179"/>
      <c r="T28" s="180"/>
      <c r="U28" s="1263"/>
      <c r="V28" s="1270">
        <f t="shared" si="22"/>
        <v>0</v>
      </c>
      <c r="W28" s="1271">
        <f t="shared" si="23"/>
        <v>0</v>
      </c>
      <c r="X28" s="1272">
        <f t="shared" si="24"/>
        <v>0</v>
      </c>
      <c r="Y28" s="1284">
        <f t="shared" si="25"/>
        <v>0</v>
      </c>
      <c r="Z28" s="42"/>
      <c r="AJ28">
        <f t="shared" si="7"/>
        <v>0</v>
      </c>
      <c r="AK28">
        <f t="shared" si="8"/>
        <v>0</v>
      </c>
      <c r="AL28">
        <f t="shared" si="9"/>
        <v>0</v>
      </c>
      <c r="AM28">
        <f t="shared" si="10"/>
        <v>0</v>
      </c>
      <c r="AN28">
        <f t="shared" si="11"/>
        <v>0</v>
      </c>
      <c r="AO28">
        <f t="shared" si="12"/>
        <v>0</v>
      </c>
      <c r="AP28">
        <f t="shared" si="13"/>
        <v>0</v>
      </c>
      <c r="AQ28">
        <f t="shared" si="14"/>
        <v>0</v>
      </c>
      <c r="AR28">
        <f t="shared" si="15"/>
        <v>0</v>
      </c>
      <c r="AS28" s="290">
        <f t="shared" si="16"/>
        <v>0</v>
      </c>
      <c r="AT28">
        <f t="shared" si="17"/>
        <v>0</v>
      </c>
      <c r="AU28" s="290">
        <f t="shared" si="18"/>
        <v>0</v>
      </c>
      <c r="AV28">
        <f t="shared" si="19"/>
        <v>0</v>
      </c>
      <c r="AW28">
        <f t="shared" si="20"/>
        <v>0</v>
      </c>
      <c r="AX28">
        <f t="shared" si="21"/>
        <v>0</v>
      </c>
      <c r="AY28">
        <f t="shared" si="0"/>
        <v>0</v>
      </c>
      <c r="AZ28" s="293">
        <f>(AK28*Pricing!F$2+AL28*Pricing!G$2+AM28*Pricing!H$2+AN28*Pricing!I$2+AO28*Pricing!J$2+AP28*Pricing!K$2)*IF(U$123="Y",1,(1+W$123))</f>
        <v>0</v>
      </c>
      <c r="BA28" s="294">
        <f t="shared" si="1"/>
        <v>0</v>
      </c>
      <c r="BB28" s="293" t="e">
        <f t="shared" si="2"/>
        <v>#DIV/0!</v>
      </c>
      <c r="BC28" s="294">
        <f t="shared" si="3"/>
        <v>0</v>
      </c>
      <c r="BD28" s="294">
        <f t="shared" si="4"/>
        <v>0</v>
      </c>
      <c r="BE28" s="295" t="e">
        <f t="shared" si="5"/>
        <v>#DIV/0!</v>
      </c>
      <c r="BF28" s="296" t="e">
        <f t="shared" si="6"/>
        <v>#DIV/0!</v>
      </c>
    </row>
    <row r="29" spans="2:58" ht="18" customHeight="1" x14ac:dyDescent="0.35">
      <c r="B29" s="2739">
        <v>19</v>
      </c>
      <c r="C29" s="2740"/>
      <c r="D29" s="1362"/>
      <c r="E29" s="1273"/>
      <c r="F29" s="1258"/>
      <c r="G29" s="1258"/>
      <c r="H29" s="1227"/>
      <c r="I29" s="777"/>
      <c r="J29" s="1226"/>
      <c r="K29" s="1259"/>
      <c r="L29" s="178"/>
      <c r="M29" s="178"/>
      <c r="N29" s="177"/>
      <c r="O29" s="1219"/>
      <c r="P29" s="178"/>
      <c r="Q29" s="177"/>
      <c r="R29" s="178"/>
      <c r="S29" s="177"/>
      <c r="T29" s="178"/>
      <c r="U29" s="1260"/>
      <c r="V29" s="1267">
        <f t="shared" si="22"/>
        <v>0</v>
      </c>
      <c r="W29" s="1268">
        <f t="shared" si="23"/>
        <v>0</v>
      </c>
      <c r="X29" s="1269">
        <f t="shared" si="24"/>
        <v>0</v>
      </c>
      <c r="Y29" s="1285">
        <f t="shared" si="25"/>
        <v>0</v>
      </c>
      <c r="Z29" s="42"/>
      <c r="AJ29">
        <f t="shared" si="7"/>
        <v>0</v>
      </c>
      <c r="AK29">
        <f t="shared" si="8"/>
        <v>0</v>
      </c>
      <c r="AL29">
        <f t="shared" si="9"/>
        <v>0</v>
      </c>
      <c r="AM29">
        <f t="shared" si="10"/>
        <v>0</v>
      </c>
      <c r="AN29">
        <f t="shared" si="11"/>
        <v>0</v>
      </c>
      <c r="AO29">
        <f t="shared" si="12"/>
        <v>0</v>
      </c>
      <c r="AP29">
        <f t="shared" si="13"/>
        <v>0</v>
      </c>
      <c r="AQ29">
        <f t="shared" si="14"/>
        <v>0</v>
      </c>
      <c r="AR29">
        <f t="shared" si="15"/>
        <v>0</v>
      </c>
      <c r="AS29" s="290">
        <f t="shared" si="16"/>
        <v>0</v>
      </c>
      <c r="AT29">
        <f t="shared" si="17"/>
        <v>0</v>
      </c>
      <c r="AU29" s="290">
        <f t="shared" si="18"/>
        <v>0</v>
      </c>
      <c r="AV29">
        <f t="shared" si="19"/>
        <v>0</v>
      </c>
      <c r="AW29">
        <f t="shared" si="20"/>
        <v>0</v>
      </c>
      <c r="AX29">
        <f t="shared" si="21"/>
        <v>0</v>
      </c>
      <c r="AY29">
        <f t="shared" si="0"/>
        <v>0</v>
      </c>
      <c r="AZ29" s="293">
        <f>(AK29*Pricing!F$2+AL29*Pricing!G$2+AM29*Pricing!H$2+AN29*Pricing!I$2+AO29*Pricing!J$2+AP29*Pricing!K$2)*IF(U$123="Y",1,(1+W$123))</f>
        <v>0</v>
      </c>
      <c r="BA29" s="294">
        <f t="shared" si="1"/>
        <v>0</v>
      </c>
      <c r="BB29" s="293" t="e">
        <f t="shared" si="2"/>
        <v>#DIV/0!</v>
      </c>
      <c r="BC29" s="294">
        <f t="shared" si="3"/>
        <v>0</v>
      </c>
      <c r="BD29" s="294">
        <f t="shared" si="4"/>
        <v>0</v>
      </c>
      <c r="BE29" s="295" t="e">
        <f t="shared" si="5"/>
        <v>#DIV/0!</v>
      </c>
      <c r="BF29" s="296" t="e">
        <f t="shared" si="6"/>
        <v>#DIV/0!</v>
      </c>
    </row>
    <row r="30" spans="2:58" ht="18" customHeight="1" x14ac:dyDescent="0.35">
      <c r="B30" s="2739">
        <v>20</v>
      </c>
      <c r="C30" s="2740"/>
      <c r="D30" s="1361"/>
      <c r="E30" s="1273"/>
      <c r="F30" s="1261"/>
      <c r="G30" s="1261"/>
      <c r="H30" s="1228"/>
      <c r="I30" s="777"/>
      <c r="J30" s="448"/>
      <c r="K30" s="1262"/>
      <c r="L30" s="180"/>
      <c r="M30" s="180"/>
      <c r="N30" s="179"/>
      <c r="O30" s="1221"/>
      <c r="P30" s="180"/>
      <c r="Q30" s="179"/>
      <c r="R30" s="180"/>
      <c r="S30" s="179"/>
      <c r="T30" s="180"/>
      <c r="U30" s="1263"/>
      <c r="V30" s="1270">
        <f t="shared" si="22"/>
        <v>0</v>
      </c>
      <c r="W30" s="1271">
        <f t="shared" si="23"/>
        <v>0</v>
      </c>
      <c r="X30" s="1272">
        <f t="shared" si="24"/>
        <v>0</v>
      </c>
      <c r="Y30" s="1284">
        <f t="shared" si="25"/>
        <v>0</v>
      </c>
      <c r="Z30" s="42"/>
      <c r="AJ30">
        <f t="shared" si="7"/>
        <v>0</v>
      </c>
      <c r="AK30">
        <f t="shared" si="8"/>
        <v>0</v>
      </c>
      <c r="AL30">
        <f t="shared" si="9"/>
        <v>0</v>
      </c>
      <c r="AM30">
        <f t="shared" si="10"/>
        <v>0</v>
      </c>
      <c r="AN30">
        <f t="shared" si="11"/>
        <v>0</v>
      </c>
      <c r="AO30">
        <f t="shared" si="12"/>
        <v>0</v>
      </c>
      <c r="AP30">
        <f t="shared" si="13"/>
        <v>0</v>
      </c>
      <c r="AQ30">
        <f t="shared" si="14"/>
        <v>0</v>
      </c>
      <c r="AR30">
        <f t="shared" si="15"/>
        <v>0</v>
      </c>
      <c r="AS30" s="290">
        <f t="shared" si="16"/>
        <v>0</v>
      </c>
      <c r="AT30">
        <f t="shared" si="17"/>
        <v>0</v>
      </c>
      <c r="AU30" s="290">
        <f t="shared" si="18"/>
        <v>0</v>
      </c>
      <c r="AV30">
        <f t="shared" si="19"/>
        <v>0</v>
      </c>
      <c r="AW30">
        <f t="shared" si="20"/>
        <v>0</v>
      </c>
      <c r="AX30">
        <f t="shared" si="21"/>
        <v>0</v>
      </c>
      <c r="AY30">
        <f t="shared" si="0"/>
        <v>0</v>
      </c>
      <c r="AZ30" s="293">
        <f>(AK30*Pricing!F$2+AL30*Pricing!G$2+AM30*Pricing!H$2+AN30*Pricing!I$2+AO30*Pricing!J$2+AP30*Pricing!K$2)*IF(U$123="Y",1,(1+W$123))</f>
        <v>0</v>
      </c>
      <c r="BA30" s="294">
        <f t="shared" si="1"/>
        <v>0</v>
      </c>
      <c r="BB30" s="293" t="e">
        <f t="shared" si="2"/>
        <v>#DIV/0!</v>
      </c>
      <c r="BC30" s="294">
        <f t="shared" si="3"/>
        <v>0</v>
      </c>
      <c r="BD30" s="294">
        <f t="shared" si="4"/>
        <v>0</v>
      </c>
      <c r="BE30" s="295" t="e">
        <f t="shared" si="5"/>
        <v>#DIV/0!</v>
      </c>
      <c r="BF30" s="296" t="e">
        <f t="shared" si="6"/>
        <v>#DIV/0!</v>
      </c>
    </row>
    <row r="31" spans="2:58" ht="18" customHeight="1" x14ac:dyDescent="0.35">
      <c r="B31" s="2739">
        <v>21</v>
      </c>
      <c r="C31" s="2740"/>
      <c r="D31" s="1362"/>
      <c r="E31" s="1273"/>
      <c r="F31" s="1258"/>
      <c r="G31" s="1258"/>
      <c r="H31" s="1227"/>
      <c r="I31" s="777"/>
      <c r="J31" s="1226"/>
      <c r="K31" s="1259"/>
      <c r="L31" s="178"/>
      <c r="M31" s="178"/>
      <c r="N31" s="177"/>
      <c r="O31" s="1219"/>
      <c r="P31" s="178"/>
      <c r="Q31" s="177"/>
      <c r="R31" s="178"/>
      <c r="S31" s="177"/>
      <c r="T31" s="178"/>
      <c r="U31" s="1260"/>
      <c r="V31" s="1267">
        <f t="shared" si="22"/>
        <v>0</v>
      </c>
      <c r="W31" s="1268">
        <f t="shared" si="23"/>
        <v>0</v>
      </c>
      <c r="X31" s="1269">
        <f t="shared" si="24"/>
        <v>0</v>
      </c>
      <c r="Y31" s="1285">
        <f t="shared" si="25"/>
        <v>0</v>
      </c>
      <c r="Z31" s="42"/>
      <c r="AJ31">
        <f t="shared" si="7"/>
        <v>0</v>
      </c>
      <c r="AK31">
        <f t="shared" si="8"/>
        <v>0</v>
      </c>
      <c r="AL31">
        <f t="shared" si="9"/>
        <v>0</v>
      </c>
      <c r="AM31">
        <f t="shared" si="10"/>
        <v>0</v>
      </c>
      <c r="AN31">
        <f t="shared" si="11"/>
        <v>0</v>
      </c>
      <c r="AO31">
        <f t="shared" si="12"/>
        <v>0</v>
      </c>
      <c r="AP31">
        <f t="shared" si="13"/>
        <v>0</v>
      </c>
      <c r="AQ31">
        <f t="shared" si="14"/>
        <v>0</v>
      </c>
      <c r="AR31">
        <f t="shared" si="15"/>
        <v>0</v>
      </c>
      <c r="AS31" s="290">
        <f t="shared" si="16"/>
        <v>0</v>
      </c>
      <c r="AT31">
        <f t="shared" si="17"/>
        <v>0</v>
      </c>
      <c r="AU31" s="290">
        <f t="shared" si="18"/>
        <v>0</v>
      </c>
      <c r="AV31">
        <f t="shared" si="19"/>
        <v>0</v>
      </c>
      <c r="AW31">
        <f t="shared" si="20"/>
        <v>0</v>
      </c>
      <c r="AX31">
        <f t="shared" si="21"/>
        <v>0</v>
      </c>
      <c r="AY31">
        <f t="shared" si="0"/>
        <v>0</v>
      </c>
      <c r="AZ31" s="293">
        <f>(AK31*Pricing!F$2+AL31*Pricing!G$2+AM31*Pricing!H$2+AN31*Pricing!I$2+AO31*Pricing!J$2+AP31*Pricing!K$2)*IF(U$123="Y",1,(1+W$123))</f>
        <v>0</v>
      </c>
      <c r="BA31" s="294">
        <f t="shared" si="1"/>
        <v>0</v>
      </c>
      <c r="BB31" s="293" t="e">
        <f t="shared" si="2"/>
        <v>#DIV/0!</v>
      </c>
      <c r="BC31" s="294">
        <f t="shared" si="3"/>
        <v>0</v>
      </c>
      <c r="BD31" s="294">
        <f t="shared" si="4"/>
        <v>0</v>
      </c>
      <c r="BE31" s="295" t="e">
        <f t="shared" si="5"/>
        <v>#DIV/0!</v>
      </c>
      <c r="BF31" s="296" t="e">
        <f t="shared" si="6"/>
        <v>#DIV/0!</v>
      </c>
    </row>
    <row r="32" spans="2:58" ht="18" customHeight="1" x14ac:dyDescent="0.35">
      <c r="B32" s="2739">
        <v>22</v>
      </c>
      <c r="C32" s="2740"/>
      <c r="D32" s="1361"/>
      <c r="E32" s="1273"/>
      <c r="F32" s="1261"/>
      <c r="G32" s="1261"/>
      <c r="H32" s="1228"/>
      <c r="I32" s="777"/>
      <c r="J32" s="448"/>
      <c r="K32" s="1262"/>
      <c r="L32" s="180"/>
      <c r="M32" s="180"/>
      <c r="N32" s="179"/>
      <c r="O32" s="1221"/>
      <c r="P32" s="180"/>
      <c r="Q32" s="179"/>
      <c r="R32" s="180"/>
      <c r="S32" s="179"/>
      <c r="T32" s="180"/>
      <c r="U32" s="1263"/>
      <c r="V32" s="1270">
        <f t="shared" si="22"/>
        <v>0</v>
      </c>
      <c r="W32" s="1271">
        <f t="shared" si="23"/>
        <v>0</v>
      </c>
      <c r="X32" s="1272">
        <f t="shared" si="24"/>
        <v>0</v>
      </c>
      <c r="Y32" s="1284">
        <f t="shared" si="25"/>
        <v>0</v>
      </c>
      <c r="Z32" s="42"/>
      <c r="AJ32">
        <f t="shared" si="7"/>
        <v>0</v>
      </c>
      <c r="AK32">
        <f t="shared" si="8"/>
        <v>0</v>
      </c>
      <c r="AL32">
        <f t="shared" si="9"/>
        <v>0</v>
      </c>
      <c r="AM32">
        <f t="shared" si="10"/>
        <v>0</v>
      </c>
      <c r="AN32">
        <f t="shared" si="11"/>
        <v>0</v>
      </c>
      <c r="AO32">
        <f t="shared" si="12"/>
        <v>0</v>
      </c>
      <c r="AP32">
        <f t="shared" si="13"/>
        <v>0</v>
      </c>
      <c r="AQ32">
        <f t="shared" si="14"/>
        <v>0</v>
      </c>
      <c r="AR32">
        <f t="shared" si="15"/>
        <v>0</v>
      </c>
      <c r="AS32" s="290">
        <f t="shared" si="16"/>
        <v>0</v>
      </c>
      <c r="AT32">
        <f t="shared" si="17"/>
        <v>0</v>
      </c>
      <c r="AU32" s="290">
        <f t="shared" si="18"/>
        <v>0</v>
      </c>
      <c r="AV32">
        <f t="shared" si="19"/>
        <v>0</v>
      </c>
      <c r="AW32">
        <f t="shared" si="20"/>
        <v>0</v>
      </c>
      <c r="AX32">
        <f t="shared" si="21"/>
        <v>0</v>
      </c>
      <c r="AY32">
        <f t="shared" si="0"/>
        <v>0</v>
      </c>
      <c r="AZ32" s="293">
        <f>(AK32*Pricing!F$2+AL32*Pricing!G$2+AM32*Pricing!H$2+AN32*Pricing!I$2+AO32*Pricing!J$2+AP32*Pricing!K$2)*IF(U$123="Y",1,(1+W$123))</f>
        <v>0</v>
      </c>
      <c r="BA32" s="294">
        <f t="shared" si="1"/>
        <v>0</v>
      </c>
      <c r="BB32" s="293" t="e">
        <f t="shared" si="2"/>
        <v>#DIV/0!</v>
      </c>
      <c r="BC32" s="294">
        <f t="shared" si="3"/>
        <v>0</v>
      </c>
      <c r="BD32" s="294">
        <f t="shared" si="4"/>
        <v>0</v>
      </c>
      <c r="BE32" s="295" t="e">
        <f t="shared" si="5"/>
        <v>#DIV/0!</v>
      </c>
      <c r="BF32" s="296" t="e">
        <f t="shared" si="6"/>
        <v>#DIV/0!</v>
      </c>
    </row>
    <row r="33" spans="2:58" ht="18" customHeight="1" x14ac:dyDescent="0.35">
      <c r="B33" s="2739">
        <v>23</v>
      </c>
      <c r="C33" s="2740"/>
      <c r="D33" s="1362"/>
      <c r="E33" s="1273"/>
      <c r="F33" s="1258"/>
      <c r="G33" s="1258"/>
      <c r="H33" s="1227"/>
      <c r="I33" s="777"/>
      <c r="J33" s="1226"/>
      <c r="K33" s="1259"/>
      <c r="L33" s="178"/>
      <c r="M33" s="178"/>
      <c r="N33" s="177"/>
      <c r="O33" s="1219"/>
      <c r="P33" s="178"/>
      <c r="Q33" s="177"/>
      <c r="R33" s="178"/>
      <c r="S33" s="177"/>
      <c r="T33" s="178"/>
      <c r="U33" s="1260"/>
      <c r="V33" s="1267">
        <f t="shared" si="22"/>
        <v>0</v>
      </c>
      <c r="W33" s="1268">
        <f t="shared" si="23"/>
        <v>0</v>
      </c>
      <c r="X33" s="1269">
        <f t="shared" si="24"/>
        <v>0</v>
      </c>
      <c r="Y33" s="1285">
        <f t="shared" si="25"/>
        <v>0</v>
      </c>
      <c r="Z33" s="42"/>
      <c r="AJ33">
        <f t="shared" si="7"/>
        <v>0</v>
      </c>
      <c r="AK33">
        <f t="shared" si="8"/>
        <v>0</v>
      </c>
      <c r="AL33">
        <f t="shared" si="9"/>
        <v>0</v>
      </c>
      <c r="AM33">
        <f t="shared" si="10"/>
        <v>0</v>
      </c>
      <c r="AN33">
        <f t="shared" si="11"/>
        <v>0</v>
      </c>
      <c r="AO33">
        <f t="shared" si="12"/>
        <v>0</v>
      </c>
      <c r="AP33">
        <f t="shared" si="13"/>
        <v>0</v>
      </c>
      <c r="AQ33">
        <f t="shared" si="14"/>
        <v>0</v>
      </c>
      <c r="AR33">
        <f t="shared" si="15"/>
        <v>0</v>
      </c>
      <c r="AS33" s="290">
        <f t="shared" si="16"/>
        <v>0</v>
      </c>
      <c r="AT33">
        <f t="shared" si="17"/>
        <v>0</v>
      </c>
      <c r="AU33" s="290">
        <f t="shared" si="18"/>
        <v>0</v>
      </c>
      <c r="AV33">
        <f t="shared" si="19"/>
        <v>0</v>
      </c>
      <c r="AW33">
        <f t="shared" si="20"/>
        <v>0</v>
      </c>
      <c r="AX33">
        <f t="shared" si="21"/>
        <v>0</v>
      </c>
      <c r="AY33">
        <f t="shared" si="0"/>
        <v>0</v>
      </c>
      <c r="AZ33" s="293">
        <f>(AK33*Pricing!F$2+AL33*Pricing!G$2+AM33*Pricing!H$2+AN33*Pricing!I$2+AO33*Pricing!J$2+AP33*Pricing!K$2)*IF(U$123="Y",1,(1+W$123))</f>
        <v>0</v>
      </c>
      <c r="BA33" s="294">
        <f t="shared" si="1"/>
        <v>0</v>
      </c>
      <c r="BB33" s="293" t="e">
        <f t="shared" si="2"/>
        <v>#DIV/0!</v>
      </c>
      <c r="BC33" s="294">
        <f t="shared" si="3"/>
        <v>0</v>
      </c>
      <c r="BD33" s="294">
        <f t="shared" si="4"/>
        <v>0</v>
      </c>
      <c r="BE33" s="295" t="e">
        <f t="shared" si="5"/>
        <v>#DIV/0!</v>
      </c>
      <c r="BF33" s="296" t="e">
        <f t="shared" si="6"/>
        <v>#DIV/0!</v>
      </c>
    </row>
    <row r="34" spans="2:58" ht="18" customHeight="1" x14ac:dyDescent="0.35">
      <c r="B34" s="2739">
        <v>24</v>
      </c>
      <c r="C34" s="2740"/>
      <c r="D34" s="1361"/>
      <c r="E34" s="1273"/>
      <c r="F34" s="1261"/>
      <c r="G34" s="1261"/>
      <c r="H34" s="1228"/>
      <c r="I34" s="777"/>
      <c r="J34" s="448"/>
      <c r="K34" s="1262"/>
      <c r="L34" s="180"/>
      <c r="M34" s="180"/>
      <c r="N34" s="179"/>
      <c r="O34" s="1221"/>
      <c r="P34" s="180"/>
      <c r="Q34" s="179"/>
      <c r="R34" s="180"/>
      <c r="S34" s="179"/>
      <c r="T34" s="180"/>
      <c r="U34" s="1263"/>
      <c r="V34" s="1270">
        <f t="shared" si="22"/>
        <v>0</v>
      </c>
      <c r="W34" s="1271">
        <f t="shared" si="23"/>
        <v>0</v>
      </c>
      <c r="X34" s="1272">
        <f t="shared" si="24"/>
        <v>0</v>
      </c>
      <c r="Y34" s="1284">
        <f t="shared" si="25"/>
        <v>0</v>
      </c>
      <c r="Z34" s="42"/>
      <c r="AJ34">
        <f t="shared" si="7"/>
        <v>0</v>
      </c>
      <c r="AK34">
        <f t="shared" si="8"/>
        <v>0</v>
      </c>
      <c r="AL34">
        <f t="shared" si="9"/>
        <v>0</v>
      </c>
      <c r="AM34">
        <f t="shared" si="10"/>
        <v>0</v>
      </c>
      <c r="AN34">
        <f t="shared" si="11"/>
        <v>0</v>
      </c>
      <c r="AO34">
        <f t="shared" si="12"/>
        <v>0</v>
      </c>
      <c r="AP34">
        <f t="shared" si="13"/>
        <v>0</v>
      </c>
      <c r="AQ34">
        <f t="shared" si="14"/>
        <v>0</v>
      </c>
      <c r="AR34">
        <f t="shared" si="15"/>
        <v>0</v>
      </c>
      <c r="AS34" s="290">
        <f t="shared" si="16"/>
        <v>0</v>
      </c>
      <c r="AT34">
        <f t="shared" si="17"/>
        <v>0</v>
      </c>
      <c r="AU34" s="290">
        <f t="shared" si="18"/>
        <v>0</v>
      </c>
      <c r="AV34">
        <f t="shared" si="19"/>
        <v>0</v>
      </c>
      <c r="AW34">
        <f t="shared" si="20"/>
        <v>0</v>
      </c>
      <c r="AX34">
        <f t="shared" si="21"/>
        <v>0</v>
      </c>
      <c r="AY34">
        <f t="shared" si="0"/>
        <v>0</v>
      </c>
      <c r="AZ34" s="293">
        <f>(AK34*Pricing!F$2+AL34*Pricing!G$2+AM34*Pricing!H$2+AN34*Pricing!I$2+AO34*Pricing!J$2+AP34*Pricing!K$2)*IF(U$123="Y",1,(1+W$123))</f>
        <v>0</v>
      </c>
      <c r="BA34" s="294">
        <f t="shared" si="1"/>
        <v>0</v>
      </c>
      <c r="BB34" s="293" t="e">
        <f t="shared" si="2"/>
        <v>#DIV/0!</v>
      </c>
      <c r="BC34" s="294">
        <f t="shared" si="3"/>
        <v>0</v>
      </c>
      <c r="BD34" s="294">
        <f t="shared" si="4"/>
        <v>0</v>
      </c>
      <c r="BE34" s="295" t="e">
        <f t="shared" si="5"/>
        <v>#DIV/0!</v>
      </c>
      <c r="BF34" s="296" t="e">
        <f t="shared" si="6"/>
        <v>#DIV/0!</v>
      </c>
    </row>
    <row r="35" spans="2:58" ht="18" customHeight="1" x14ac:dyDescent="0.35">
      <c r="B35" s="2739">
        <v>25</v>
      </c>
      <c r="C35" s="2740"/>
      <c r="D35" s="1362"/>
      <c r="E35" s="1273"/>
      <c r="F35" s="1258"/>
      <c r="G35" s="1258"/>
      <c r="H35" s="1227"/>
      <c r="I35" s="777"/>
      <c r="J35" s="1226"/>
      <c r="K35" s="1259"/>
      <c r="L35" s="178"/>
      <c r="M35" s="178"/>
      <c r="N35" s="177"/>
      <c r="O35" s="1219"/>
      <c r="P35" s="178"/>
      <c r="Q35" s="177"/>
      <c r="R35" s="178"/>
      <c r="S35" s="177"/>
      <c r="T35" s="178"/>
      <c r="U35" s="1260"/>
      <c r="V35" s="1267">
        <f t="shared" si="22"/>
        <v>0</v>
      </c>
      <c r="W35" s="1268">
        <f t="shared" si="23"/>
        <v>0</v>
      </c>
      <c r="X35" s="1269">
        <f t="shared" si="24"/>
        <v>0</v>
      </c>
      <c r="Y35" s="1285">
        <f t="shared" si="25"/>
        <v>0</v>
      </c>
      <c r="Z35" s="42"/>
      <c r="AJ35">
        <f t="shared" si="7"/>
        <v>0</v>
      </c>
      <c r="AK35">
        <f t="shared" si="8"/>
        <v>0</v>
      </c>
      <c r="AL35">
        <f t="shared" si="9"/>
        <v>0</v>
      </c>
      <c r="AM35">
        <f t="shared" si="10"/>
        <v>0</v>
      </c>
      <c r="AN35">
        <f t="shared" si="11"/>
        <v>0</v>
      </c>
      <c r="AO35">
        <f t="shared" si="12"/>
        <v>0</v>
      </c>
      <c r="AP35">
        <f t="shared" si="13"/>
        <v>0</v>
      </c>
      <c r="AQ35">
        <f t="shared" si="14"/>
        <v>0</v>
      </c>
      <c r="AR35">
        <f t="shared" si="15"/>
        <v>0</v>
      </c>
      <c r="AS35" s="290">
        <f t="shared" si="16"/>
        <v>0</v>
      </c>
      <c r="AT35">
        <f t="shared" si="17"/>
        <v>0</v>
      </c>
      <c r="AU35" s="290">
        <f t="shared" si="18"/>
        <v>0</v>
      </c>
      <c r="AV35">
        <f t="shared" si="19"/>
        <v>0</v>
      </c>
      <c r="AW35">
        <f t="shared" si="20"/>
        <v>0</v>
      </c>
      <c r="AX35">
        <f t="shared" si="21"/>
        <v>0</v>
      </c>
      <c r="AY35">
        <f t="shared" si="0"/>
        <v>0</v>
      </c>
      <c r="AZ35" s="293">
        <f>(AK35*Pricing!F$2+AL35*Pricing!G$2+AM35*Pricing!H$2+AN35*Pricing!I$2+AO35*Pricing!J$2+AP35*Pricing!K$2)*IF(U$123="Y",1,(1+W$123))</f>
        <v>0</v>
      </c>
      <c r="BA35" s="294">
        <f t="shared" si="1"/>
        <v>0</v>
      </c>
      <c r="BB35" s="293" t="e">
        <f t="shared" si="2"/>
        <v>#DIV/0!</v>
      </c>
      <c r="BC35" s="294">
        <f t="shared" si="3"/>
        <v>0</v>
      </c>
      <c r="BD35" s="294">
        <f t="shared" si="4"/>
        <v>0</v>
      </c>
      <c r="BE35" s="295" t="e">
        <f t="shared" si="5"/>
        <v>#DIV/0!</v>
      </c>
      <c r="BF35" s="296" t="e">
        <f t="shared" si="6"/>
        <v>#DIV/0!</v>
      </c>
    </row>
    <row r="36" spans="2:58" ht="18" customHeight="1" x14ac:dyDescent="0.35">
      <c r="B36" s="2739">
        <v>26</v>
      </c>
      <c r="C36" s="2740"/>
      <c r="D36" s="1361"/>
      <c r="E36" s="1273"/>
      <c r="F36" s="1261"/>
      <c r="G36" s="1261"/>
      <c r="H36" s="1228"/>
      <c r="I36" s="777"/>
      <c r="J36" s="448"/>
      <c r="K36" s="1262"/>
      <c r="L36" s="180"/>
      <c r="M36" s="180"/>
      <c r="N36" s="179"/>
      <c r="O36" s="1221"/>
      <c r="P36" s="180"/>
      <c r="Q36" s="179"/>
      <c r="R36" s="180"/>
      <c r="S36" s="179"/>
      <c r="T36" s="180"/>
      <c r="U36" s="1263"/>
      <c r="V36" s="1270">
        <f t="shared" si="22"/>
        <v>0</v>
      </c>
      <c r="W36" s="1271">
        <f t="shared" si="23"/>
        <v>0</v>
      </c>
      <c r="X36" s="1272">
        <f t="shared" si="24"/>
        <v>0</v>
      </c>
      <c r="Y36" s="1284">
        <f t="shared" si="25"/>
        <v>0</v>
      </c>
      <c r="Z36" s="42"/>
      <c r="AJ36">
        <f t="shared" si="7"/>
        <v>0</v>
      </c>
      <c r="AK36">
        <f t="shared" si="8"/>
        <v>0</v>
      </c>
      <c r="AL36">
        <f t="shared" si="9"/>
        <v>0</v>
      </c>
      <c r="AM36">
        <f t="shared" si="10"/>
        <v>0</v>
      </c>
      <c r="AN36">
        <f t="shared" si="11"/>
        <v>0</v>
      </c>
      <c r="AO36">
        <f t="shared" si="12"/>
        <v>0</v>
      </c>
      <c r="AP36">
        <f t="shared" si="13"/>
        <v>0</v>
      </c>
      <c r="AQ36">
        <f t="shared" si="14"/>
        <v>0</v>
      </c>
      <c r="AR36">
        <f t="shared" si="15"/>
        <v>0</v>
      </c>
      <c r="AS36" s="290">
        <f t="shared" si="16"/>
        <v>0</v>
      </c>
      <c r="AT36">
        <f t="shared" si="17"/>
        <v>0</v>
      </c>
      <c r="AU36" s="290">
        <f t="shared" si="18"/>
        <v>0</v>
      </c>
      <c r="AV36">
        <f t="shared" si="19"/>
        <v>0</v>
      </c>
      <c r="AW36">
        <f t="shared" si="20"/>
        <v>0</v>
      </c>
      <c r="AX36">
        <f t="shared" si="21"/>
        <v>0</v>
      </c>
      <c r="AY36">
        <f t="shared" si="0"/>
        <v>0</v>
      </c>
      <c r="AZ36" s="293">
        <f>(AK36*Pricing!F$2+AL36*Pricing!G$2+AM36*Pricing!H$2+AN36*Pricing!I$2+AO36*Pricing!J$2+AP36*Pricing!K$2)*IF(U$123="Y",1,(1+W$123))</f>
        <v>0</v>
      </c>
      <c r="BA36" s="294">
        <f t="shared" si="1"/>
        <v>0</v>
      </c>
      <c r="BB36" s="293" t="e">
        <f t="shared" si="2"/>
        <v>#DIV/0!</v>
      </c>
      <c r="BC36" s="294">
        <f t="shared" si="3"/>
        <v>0</v>
      </c>
      <c r="BD36" s="294">
        <f t="shared" si="4"/>
        <v>0</v>
      </c>
      <c r="BE36" s="295" t="e">
        <f t="shared" si="5"/>
        <v>#DIV/0!</v>
      </c>
      <c r="BF36" s="296" t="e">
        <f t="shared" si="6"/>
        <v>#DIV/0!</v>
      </c>
    </row>
    <row r="37" spans="2:58" ht="18" customHeight="1" x14ac:dyDescent="0.35">
      <c r="B37" s="2739">
        <v>27</v>
      </c>
      <c r="C37" s="2740"/>
      <c r="D37" s="1362"/>
      <c r="E37" s="1273"/>
      <c r="F37" s="1258"/>
      <c r="G37" s="1258"/>
      <c r="H37" s="1227"/>
      <c r="I37" s="777"/>
      <c r="J37" s="1226"/>
      <c r="K37" s="1259"/>
      <c r="L37" s="178"/>
      <c r="M37" s="178"/>
      <c r="N37" s="177"/>
      <c r="O37" s="1219"/>
      <c r="P37" s="178"/>
      <c r="Q37" s="177"/>
      <c r="R37" s="178"/>
      <c r="S37" s="177"/>
      <c r="T37" s="178"/>
      <c r="U37" s="1260"/>
      <c r="V37" s="1267">
        <f t="shared" si="22"/>
        <v>0</v>
      </c>
      <c r="W37" s="1268">
        <f t="shared" si="23"/>
        <v>0</v>
      </c>
      <c r="X37" s="1269">
        <f t="shared" si="24"/>
        <v>0</v>
      </c>
      <c r="Y37" s="1285">
        <f t="shared" si="25"/>
        <v>0</v>
      </c>
      <c r="Z37" s="42"/>
      <c r="AJ37">
        <f t="shared" si="7"/>
        <v>0</v>
      </c>
      <c r="AK37">
        <f t="shared" si="8"/>
        <v>0</v>
      </c>
      <c r="AL37">
        <f t="shared" si="9"/>
        <v>0</v>
      </c>
      <c r="AM37">
        <f t="shared" si="10"/>
        <v>0</v>
      </c>
      <c r="AN37">
        <f t="shared" si="11"/>
        <v>0</v>
      </c>
      <c r="AO37">
        <f t="shared" si="12"/>
        <v>0</v>
      </c>
      <c r="AP37">
        <f t="shared" si="13"/>
        <v>0</v>
      </c>
      <c r="AQ37">
        <f t="shared" si="14"/>
        <v>0</v>
      </c>
      <c r="AR37">
        <f t="shared" si="15"/>
        <v>0</v>
      </c>
      <c r="AS37" s="290">
        <f t="shared" si="16"/>
        <v>0</v>
      </c>
      <c r="AT37">
        <f t="shared" si="17"/>
        <v>0</v>
      </c>
      <c r="AU37" s="290">
        <f t="shared" si="18"/>
        <v>0</v>
      </c>
      <c r="AV37">
        <f t="shared" si="19"/>
        <v>0</v>
      </c>
      <c r="AW37">
        <f t="shared" si="20"/>
        <v>0</v>
      </c>
      <c r="AX37">
        <f t="shared" si="21"/>
        <v>0</v>
      </c>
      <c r="AY37">
        <f t="shared" si="0"/>
        <v>0</v>
      </c>
      <c r="AZ37" s="293">
        <f>(AK37*Pricing!F$2+AL37*Pricing!G$2+AM37*Pricing!H$2+AN37*Pricing!I$2+AO37*Pricing!J$2+AP37*Pricing!K$2)*IF(U$123="Y",1,(1+W$123))</f>
        <v>0</v>
      </c>
      <c r="BA37" s="294">
        <f t="shared" si="1"/>
        <v>0</v>
      </c>
      <c r="BB37" s="293" t="e">
        <f t="shared" si="2"/>
        <v>#DIV/0!</v>
      </c>
      <c r="BC37" s="294">
        <f t="shared" si="3"/>
        <v>0</v>
      </c>
      <c r="BD37" s="294">
        <f t="shared" si="4"/>
        <v>0</v>
      </c>
      <c r="BE37" s="295" t="e">
        <f t="shared" si="5"/>
        <v>#DIV/0!</v>
      </c>
      <c r="BF37" s="296" t="e">
        <f t="shared" si="6"/>
        <v>#DIV/0!</v>
      </c>
    </row>
    <row r="38" spans="2:58" ht="18" customHeight="1" x14ac:dyDescent="0.35">
      <c r="B38" s="2739">
        <v>28</v>
      </c>
      <c r="C38" s="2740"/>
      <c r="D38" s="1361"/>
      <c r="E38" s="1273"/>
      <c r="F38" s="1261"/>
      <c r="G38" s="1261"/>
      <c r="H38" s="1228"/>
      <c r="I38" s="777"/>
      <c r="J38" s="448"/>
      <c r="K38" s="1262"/>
      <c r="L38" s="180"/>
      <c r="M38" s="180"/>
      <c r="N38" s="179"/>
      <c r="O38" s="1221"/>
      <c r="P38" s="180"/>
      <c r="Q38" s="179"/>
      <c r="R38" s="180"/>
      <c r="S38" s="179"/>
      <c r="T38" s="180"/>
      <c r="U38" s="1263"/>
      <c r="V38" s="1270">
        <f t="shared" si="22"/>
        <v>0</v>
      </c>
      <c r="W38" s="1271">
        <f t="shared" si="23"/>
        <v>0</v>
      </c>
      <c r="X38" s="1272">
        <f t="shared" si="24"/>
        <v>0</v>
      </c>
      <c r="Y38" s="1284">
        <f t="shared" si="25"/>
        <v>0</v>
      </c>
      <c r="Z38" s="42"/>
      <c r="AJ38">
        <f t="shared" si="7"/>
        <v>0</v>
      </c>
      <c r="AK38">
        <f t="shared" si="8"/>
        <v>0</v>
      </c>
      <c r="AL38">
        <f t="shared" si="9"/>
        <v>0</v>
      </c>
      <c r="AM38">
        <f t="shared" si="10"/>
        <v>0</v>
      </c>
      <c r="AN38">
        <f t="shared" si="11"/>
        <v>0</v>
      </c>
      <c r="AO38">
        <f t="shared" si="12"/>
        <v>0</v>
      </c>
      <c r="AP38">
        <f t="shared" si="13"/>
        <v>0</v>
      </c>
      <c r="AQ38">
        <f t="shared" si="14"/>
        <v>0</v>
      </c>
      <c r="AR38">
        <f t="shared" si="15"/>
        <v>0</v>
      </c>
      <c r="AS38" s="290">
        <f t="shared" si="16"/>
        <v>0</v>
      </c>
      <c r="AT38">
        <f t="shared" si="17"/>
        <v>0</v>
      </c>
      <c r="AU38" s="290">
        <f t="shared" si="18"/>
        <v>0</v>
      </c>
      <c r="AV38">
        <f t="shared" si="19"/>
        <v>0</v>
      </c>
      <c r="AW38">
        <f t="shared" si="20"/>
        <v>0</v>
      </c>
      <c r="AX38">
        <f t="shared" si="21"/>
        <v>0</v>
      </c>
      <c r="AY38">
        <f t="shared" si="0"/>
        <v>0</v>
      </c>
      <c r="AZ38" s="293">
        <f>(AK38*Pricing!F$2+AL38*Pricing!G$2+AM38*Pricing!H$2+AN38*Pricing!I$2+AO38*Pricing!J$2+AP38*Pricing!K$2)*IF(U$123="Y",1,(1+W$123))</f>
        <v>0</v>
      </c>
      <c r="BA38" s="294">
        <f t="shared" si="1"/>
        <v>0</v>
      </c>
      <c r="BB38" s="293" t="e">
        <f t="shared" si="2"/>
        <v>#DIV/0!</v>
      </c>
      <c r="BC38" s="294">
        <f t="shared" si="3"/>
        <v>0</v>
      </c>
      <c r="BD38" s="294">
        <f t="shared" si="4"/>
        <v>0</v>
      </c>
      <c r="BE38" s="295" t="e">
        <f t="shared" si="5"/>
        <v>#DIV/0!</v>
      </c>
      <c r="BF38" s="296" t="e">
        <f t="shared" si="6"/>
        <v>#DIV/0!</v>
      </c>
    </row>
    <row r="39" spans="2:58" ht="18" customHeight="1" x14ac:dyDescent="0.35">
      <c r="B39" s="2739">
        <v>29</v>
      </c>
      <c r="C39" s="2740"/>
      <c r="D39" s="1362"/>
      <c r="E39" s="1273"/>
      <c r="F39" s="1258"/>
      <c r="G39" s="1258"/>
      <c r="H39" s="1227"/>
      <c r="I39" s="777"/>
      <c r="J39" s="1226"/>
      <c r="K39" s="1259"/>
      <c r="L39" s="178"/>
      <c r="M39" s="178"/>
      <c r="N39" s="177"/>
      <c r="O39" s="1219"/>
      <c r="P39" s="178"/>
      <c r="Q39" s="177"/>
      <c r="R39" s="178"/>
      <c r="S39" s="177"/>
      <c r="T39" s="178"/>
      <c r="U39" s="1260"/>
      <c r="V39" s="1267">
        <f t="shared" si="22"/>
        <v>0</v>
      </c>
      <c r="W39" s="1268">
        <f t="shared" si="23"/>
        <v>0</v>
      </c>
      <c r="X39" s="1269">
        <f t="shared" si="24"/>
        <v>0</v>
      </c>
      <c r="Y39" s="1285">
        <f t="shared" si="25"/>
        <v>0</v>
      </c>
      <c r="Z39" s="42"/>
      <c r="AJ39">
        <f t="shared" si="7"/>
        <v>0</v>
      </c>
      <c r="AK39">
        <f t="shared" si="8"/>
        <v>0</v>
      </c>
      <c r="AL39">
        <f t="shared" si="9"/>
        <v>0</v>
      </c>
      <c r="AM39">
        <f t="shared" si="10"/>
        <v>0</v>
      </c>
      <c r="AN39">
        <f t="shared" si="11"/>
        <v>0</v>
      </c>
      <c r="AO39">
        <f t="shared" si="12"/>
        <v>0</v>
      </c>
      <c r="AP39">
        <f t="shared" si="13"/>
        <v>0</v>
      </c>
      <c r="AQ39">
        <f t="shared" si="14"/>
        <v>0</v>
      </c>
      <c r="AR39">
        <f t="shared" si="15"/>
        <v>0</v>
      </c>
      <c r="AS39" s="290">
        <f t="shared" si="16"/>
        <v>0</v>
      </c>
      <c r="AT39">
        <f t="shared" si="17"/>
        <v>0</v>
      </c>
      <c r="AU39" s="290">
        <f t="shared" si="18"/>
        <v>0</v>
      </c>
      <c r="AV39">
        <f t="shared" si="19"/>
        <v>0</v>
      </c>
      <c r="AW39">
        <f t="shared" si="20"/>
        <v>0</v>
      </c>
      <c r="AX39">
        <f t="shared" si="21"/>
        <v>0</v>
      </c>
      <c r="AY39">
        <f t="shared" si="0"/>
        <v>0</v>
      </c>
      <c r="AZ39" s="293">
        <f>(AK39*Pricing!F$2+AL39*Pricing!G$2+AM39*Pricing!H$2+AN39*Pricing!I$2+AO39*Pricing!J$2+AP39*Pricing!K$2)*IF(U$123="Y",1,(1+W$123))</f>
        <v>0</v>
      </c>
      <c r="BA39" s="294">
        <f t="shared" si="1"/>
        <v>0</v>
      </c>
      <c r="BB39" s="293" t="e">
        <f t="shared" si="2"/>
        <v>#DIV/0!</v>
      </c>
      <c r="BC39" s="294">
        <f t="shared" si="3"/>
        <v>0</v>
      </c>
      <c r="BD39" s="294">
        <f t="shared" si="4"/>
        <v>0</v>
      </c>
      <c r="BE39" s="295" t="e">
        <f t="shared" si="5"/>
        <v>#DIV/0!</v>
      </c>
      <c r="BF39" s="296" t="e">
        <f t="shared" si="6"/>
        <v>#DIV/0!</v>
      </c>
    </row>
    <row r="40" spans="2:58" ht="18" customHeight="1" x14ac:dyDescent="0.35">
      <c r="B40" s="2739">
        <v>30</v>
      </c>
      <c r="C40" s="2740"/>
      <c r="D40" s="1361"/>
      <c r="E40" s="1273"/>
      <c r="F40" s="1261"/>
      <c r="G40" s="1261"/>
      <c r="H40" s="1228"/>
      <c r="I40" s="777"/>
      <c r="J40" s="448"/>
      <c r="K40" s="1262"/>
      <c r="L40" s="180"/>
      <c r="M40" s="180"/>
      <c r="N40" s="179"/>
      <c r="O40" s="1221"/>
      <c r="P40" s="180"/>
      <c r="Q40" s="179"/>
      <c r="R40" s="180"/>
      <c r="S40" s="179"/>
      <c r="T40" s="180"/>
      <c r="U40" s="1263"/>
      <c r="V40" s="1270">
        <f t="shared" si="22"/>
        <v>0</v>
      </c>
      <c r="W40" s="1271">
        <f t="shared" si="23"/>
        <v>0</v>
      </c>
      <c r="X40" s="1272">
        <f t="shared" si="24"/>
        <v>0</v>
      </c>
      <c r="Y40" s="1284">
        <f t="shared" si="25"/>
        <v>0</v>
      </c>
      <c r="Z40" s="42"/>
      <c r="AJ40">
        <f t="shared" si="7"/>
        <v>0</v>
      </c>
      <c r="AK40">
        <f t="shared" si="8"/>
        <v>0</v>
      </c>
      <c r="AL40">
        <f t="shared" si="9"/>
        <v>0</v>
      </c>
      <c r="AM40">
        <f t="shared" si="10"/>
        <v>0</v>
      </c>
      <c r="AN40">
        <f t="shared" si="11"/>
        <v>0</v>
      </c>
      <c r="AO40">
        <f t="shared" si="12"/>
        <v>0</v>
      </c>
      <c r="AP40">
        <f t="shared" si="13"/>
        <v>0</v>
      </c>
      <c r="AQ40">
        <f t="shared" si="14"/>
        <v>0</v>
      </c>
      <c r="AR40">
        <f t="shared" si="15"/>
        <v>0</v>
      </c>
      <c r="AS40" s="290">
        <f t="shared" si="16"/>
        <v>0</v>
      </c>
      <c r="AT40">
        <f t="shared" si="17"/>
        <v>0</v>
      </c>
      <c r="AU40" s="290">
        <f t="shared" si="18"/>
        <v>0</v>
      </c>
      <c r="AV40">
        <f t="shared" si="19"/>
        <v>0</v>
      </c>
      <c r="AW40">
        <f t="shared" si="20"/>
        <v>0</v>
      </c>
      <c r="AX40">
        <f t="shared" si="21"/>
        <v>0</v>
      </c>
      <c r="AY40">
        <f t="shared" si="0"/>
        <v>0</v>
      </c>
      <c r="AZ40" s="293">
        <f>(AK40*Pricing!F$2+AL40*Pricing!G$2+AM40*Pricing!H$2+AN40*Pricing!I$2+AO40*Pricing!J$2+AP40*Pricing!K$2)*IF(U$123="Y",1,(1+W$123))</f>
        <v>0</v>
      </c>
      <c r="BA40" s="294">
        <f t="shared" si="1"/>
        <v>0</v>
      </c>
      <c r="BB40" s="293" t="e">
        <f t="shared" si="2"/>
        <v>#DIV/0!</v>
      </c>
      <c r="BC40" s="294">
        <f t="shared" si="3"/>
        <v>0</v>
      </c>
      <c r="BD40" s="294">
        <f t="shared" si="4"/>
        <v>0</v>
      </c>
      <c r="BE40" s="295" t="e">
        <f t="shared" si="5"/>
        <v>#DIV/0!</v>
      </c>
      <c r="BF40" s="296" t="e">
        <f t="shared" si="6"/>
        <v>#DIV/0!</v>
      </c>
    </row>
    <row r="41" spans="2:58" ht="18" customHeight="1" x14ac:dyDescent="0.35">
      <c r="B41" s="2739">
        <v>31</v>
      </c>
      <c r="C41" s="2740"/>
      <c r="D41" s="1362"/>
      <c r="E41" s="1273"/>
      <c r="F41" s="1258"/>
      <c r="G41" s="1258"/>
      <c r="H41" s="1227"/>
      <c r="I41" s="777"/>
      <c r="J41" s="1226"/>
      <c r="K41" s="1259"/>
      <c r="L41" s="178"/>
      <c r="M41" s="178"/>
      <c r="N41" s="177"/>
      <c r="O41" s="1219"/>
      <c r="P41" s="178"/>
      <c r="Q41" s="177"/>
      <c r="R41" s="178"/>
      <c r="S41" s="177"/>
      <c r="T41" s="178"/>
      <c r="U41" s="1260"/>
      <c r="V41" s="1267">
        <f t="shared" si="22"/>
        <v>0</v>
      </c>
      <c r="W41" s="1268">
        <f t="shared" si="23"/>
        <v>0</v>
      </c>
      <c r="X41" s="1269">
        <f t="shared" si="24"/>
        <v>0</v>
      </c>
      <c r="Y41" s="1285">
        <f t="shared" si="25"/>
        <v>0</v>
      </c>
      <c r="Z41" s="42"/>
      <c r="AJ41">
        <f t="shared" si="7"/>
        <v>0</v>
      </c>
      <c r="AK41">
        <f t="shared" si="8"/>
        <v>0</v>
      </c>
      <c r="AL41">
        <f t="shared" si="9"/>
        <v>0</v>
      </c>
      <c r="AM41">
        <f t="shared" si="10"/>
        <v>0</v>
      </c>
      <c r="AN41">
        <f t="shared" si="11"/>
        <v>0</v>
      </c>
      <c r="AO41">
        <f t="shared" si="12"/>
        <v>0</v>
      </c>
      <c r="AP41">
        <f t="shared" si="13"/>
        <v>0</v>
      </c>
      <c r="AQ41">
        <f t="shared" si="14"/>
        <v>0</v>
      </c>
      <c r="AR41">
        <f t="shared" si="15"/>
        <v>0</v>
      </c>
      <c r="AS41" s="290">
        <f t="shared" si="16"/>
        <v>0</v>
      </c>
      <c r="AT41">
        <f t="shared" si="17"/>
        <v>0</v>
      </c>
      <c r="AU41" s="290">
        <f t="shared" si="18"/>
        <v>0</v>
      </c>
      <c r="AV41">
        <f t="shared" si="19"/>
        <v>0</v>
      </c>
      <c r="AW41">
        <f t="shared" si="20"/>
        <v>0</v>
      </c>
      <c r="AX41">
        <f t="shared" si="21"/>
        <v>0</v>
      </c>
      <c r="AY41">
        <f t="shared" si="0"/>
        <v>0</v>
      </c>
      <c r="AZ41" s="293">
        <f>(AK41*Pricing!F$2+AL41*Pricing!G$2+AM41*Pricing!H$2+AN41*Pricing!I$2+AO41*Pricing!J$2+AP41*Pricing!K$2)*IF(U$123="Y",1,(1+W$123))</f>
        <v>0</v>
      </c>
      <c r="BA41" s="294">
        <f t="shared" si="1"/>
        <v>0</v>
      </c>
      <c r="BB41" s="293" t="e">
        <f t="shared" si="2"/>
        <v>#DIV/0!</v>
      </c>
      <c r="BC41" s="294">
        <f t="shared" si="3"/>
        <v>0</v>
      </c>
      <c r="BD41" s="294">
        <f t="shared" si="4"/>
        <v>0</v>
      </c>
      <c r="BE41" s="295" t="e">
        <f t="shared" si="5"/>
        <v>#DIV/0!</v>
      </c>
      <c r="BF41" s="296" t="e">
        <f t="shared" si="6"/>
        <v>#DIV/0!</v>
      </c>
    </row>
    <row r="42" spans="2:58" ht="18" customHeight="1" x14ac:dyDescent="0.35">
      <c r="B42" s="2739">
        <v>32</v>
      </c>
      <c r="C42" s="2740"/>
      <c r="D42" s="1361"/>
      <c r="E42" s="1273"/>
      <c r="F42" s="1261"/>
      <c r="G42" s="1261"/>
      <c r="H42" s="1228"/>
      <c r="I42" s="777"/>
      <c r="J42" s="448"/>
      <c r="K42" s="1262"/>
      <c r="L42" s="180"/>
      <c r="M42" s="180"/>
      <c r="N42" s="179"/>
      <c r="O42" s="1221"/>
      <c r="P42" s="180"/>
      <c r="Q42" s="179"/>
      <c r="R42" s="180"/>
      <c r="S42" s="179"/>
      <c r="T42" s="180"/>
      <c r="U42" s="1263"/>
      <c r="V42" s="1270">
        <f t="shared" si="22"/>
        <v>0</v>
      </c>
      <c r="W42" s="1271">
        <f t="shared" si="23"/>
        <v>0</v>
      </c>
      <c r="X42" s="1272">
        <f t="shared" si="24"/>
        <v>0</v>
      </c>
      <c r="Y42" s="1284">
        <f t="shared" si="25"/>
        <v>0</v>
      </c>
      <c r="Z42" s="42"/>
      <c r="AJ42">
        <f t="shared" si="7"/>
        <v>0</v>
      </c>
      <c r="AK42">
        <f t="shared" si="8"/>
        <v>0</v>
      </c>
      <c r="AL42">
        <f t="shared" si="9"/>
        <v>0</v>
      </c>
      <c r="AM42">
        <f t="shared" si="10"/>
        <v>0</v>
      </c>
      <c r="AN42">
        <f t="shared" si="11"/>
        <v>0</v>
      </c>
      <c r="AO42">
        <f t="shared" si="12"/>
        <v>0</v>
      </c>
      <c r="AP42">
        <f t="shared" si="13"/>
        <v>0</v>
      </c>
      <c r="AQ42">
        <f t="shared" si="14"/>
        <v>0</v>
      </c>
      <c r="AR42">
        <f t="shared" si="15"/>
        <v>0</v>
      </c>
      <c r="AS42" s="290">
        <f t="shared" si="16"/>
        <v>0</v>
      </c>
      <c r="AT42">
        <f t="shared" si="17"/>
        <v>0</v>
      </c>
      <c r="AU42" s="290">
        <f t="shared" si="18"/>
        <v>0</v>
      </c>
      <c r="AV42">
        <f t="shared" si="19"/>
        <v>0</v>
      </c>
      <c r="AW42">
        <f t="shared" si="20"/>
        <v>0</v>
      </c>
      <c r="AX42">
        <f t="shared" si="21"/>
        <v>0</v>
      </c>
      <c r="AY42">
        <f t="shared" si="0"/>
        <v>0</v>
      </c>
      <c r="AZ42" s="293">
        <f>(AK42*Pricing!F$2+AL42*Pricing!G$2+AM42*Pricing!H$2+AN42*Pricing!I$2+AO42*Pricing!J$2+AP42*Pricing!K$2)*IF(U$123="Y",1,(1+W$123))</f>
        <v>0</v>
      </c>
      <c r="BA42" s="294">
        <f t="shared" si="1"/>
        <v>0</v>
      </c>
      <c r="BB42" s="293" t="e">
        <f t="shared" si="2"/>
        <v>#DIV/0!</v>
      </c>
      <c r="BC42" s="294">
        <f t="shared" si="3"/>
        <v>0</v>
      </c>
      <c r="BD42" s="294">
        <f t="shared" si="4"/>
        <v>0</v>
      </c>
      <c r="BE42" s="295" t="e">
        <f t="shared" si="5"/>
        <v>#DIV/0!</v>
      </c>
      <c r="BF42" s="296" t="e">
        <f t="shared" si="6"/>
        <v>#DIV/0!</v>
      </c>
    </row>
    <row r="43" spans="2:58" ht="18" customHeight="1" x14ac:dyDescent="0.35">
      <c r="B43" s="2739">
        <v>33</v>
      </c>
      <c r="C43" s="2740"/>
      <c r="D43" s="1362"/>
      <c r="E43" s="1273"/>
      <c r="F43" s="1258"/>
      <c r="G43" s="1258"/>
      <c r="H43" s="1227"/>
      <c r="I43" s="777"/>
      <c r="J43" s="1226"/>
      <c r="K43" s="1259"/>
      <c r="L43" s="178"/>
      <c r="M43" s="178"/>
      <c r="N43" s="177"/>
      <c r="O43" s="1219"/>
      <c r="P43" s="178"/>
      <c r="Q43" s="177"/>
      <c r="R43" s="178"/>
      <c r="S43" s="177"/>
      <c r="T43" s="178"/>
      <c r="U43" s="1260"/>
      <c r="V43" s="1267">
        <f t="shared" si="22"/>
        <v>0</v>
      </c>
      <c r="W43" s="1268">
        <f t="shared" si="23"/>
        <v>0</v>
      </c>
      <c r="X43" s="1269">
        <f t="shared" si="24"/>
        <v>0</v>
      </c>
      <c r="Y43" s="1285">
        <f t="shared" si="25"/>
        <v>0</v>
      </c>
      <c r="Z43" s="42"/>
      <c r="AJ43">
        <f t="shared" si="7"/>
        <v>0</v>
      </c>
      <c r="AK43">
        <f t="shared" si="8"/>
        <v>0</v>
      </c>
      <c r="AL43">
        <f t="shared" si="9"/>
        <v>0</v>
      </c>
      <c r="AM43">
        <f t="shared" si="10"/>
        <v>0</v>
      </c>
      <c r="AN43">
        <f t="shared" si="11"/>
        <v>0</v>
      </c>
      <c r="AO43">
        <f t="shared" si="12"/>
        <v>0</v>
      </c>
      <c r="AP43">
        <f t="shared" si="13"/>
        <v>0</v>
      </c>
      <c r="AQ43">
        <f t="shared" si="14"/>
        <v>0</v>
      </c>
      <c r="AR43">
        <f t="shared" si="15"/>
        <v>0</v>
      </c>
      <c r="AS43" s="290">
        <f t="shared" si="16"/>
        <v>0</v>
      </c>
      <c r="AT43">
        <f t="shared" si="17"/>
        <v>0</v>
      </c>
      <c r="AU43" s="290">
        <f t="shared" si="18"/>
        <v>0</v>
      </c>
      <c r="AV43">
        <f t="shared" si="19"/>
        <v>0</v>
      </c>
      <c r="AW43">
        <f t="shared" si="20"/>
        <v>0</v>
      </c>
      <c r="AX43">
        <f t="shared" si="21"/>
        <v>0</v>
      </c>
      <c r="AY43">
        <f t="shared" ref="AY43:AY74" si="26">V43*I43*G$137*IF(U$123="Y",1,(1+W$123))</f>
        <v>0</v>
      </c>
      <c r="AZ43" s="293">
        <f>(AK43*Pricing!F$2+AL43*Pricing!G$2+AM43*Pricing!H$2+AN43*Pricing!I$2+AO43*Pricing!J$2+AP43*Pricing!K$2)*IF(U$123="Y",1,(1+W$123))</f>
        <v>0</v>
      </c>
      <c r="BA43" s="294">
        <f t="shared" ref="BA43:BA74" si="27">AS43*(H$148+E$151)+IF(I$148=0,0,(L$147+O$147)/I$148*AS43)</f>
        <v>0</v>
      </c>
      <c r="BB43" s="293" t="e">
        <f t="shared" ref="BB43:BB74" si="28">M$157/AS$120*AS43</f>
        <v>#DIV/0!</v>
      </c>
      <c r="BC43" s="294">
        <f t="shared" ref="BC43:BC74" si="29">AR43/2000*E$152</f>
        <v>0</v>
      </c>
      <c r="BD43" s="294">
        <f t="shared" ref="BD43:BD74" si="30">AV43*6.5*H$153/27*E$153</f>
        <v>0</v>
      </c>
      <c r="BE43" s="295" t="e">
        <f t="shared" ref="BE43:BE74" si="31">IF(AS$120=0,0,SUM(O$160:P$165)+SUM(O$167:P$172)+X$172)/AS$120*AS43</f>
        <v>#DIV/0!</v>
      </c>
      <c r="BF43" s="296" t="e">
        <f t="shared" ref="BF43:BF74" si="32">SUM(O$141:P$144)/AV$120*AV43</f>
        <v>#DIV/0!</v>
      </c>
    </row>
    <row r="44" spans="2:58" ht="18" customHeight="1" x14ac:dyDescent="0.35">
      <c r="B44" s="2739">
        <v>34</v>
      </c>
      <c r="C44" s="2740"/>
      <c r="D44" s="1361"/>
      <c r="E44" s="1273"/>
      <c r="F44" s="1261"/>
      <c r="G44" s="1261"/>
      <c r="H44" s="1228"/>
      <c r="I44" s="777"/>
      <c r="J44" s="448"/>
      <c r="K44" s="1262"/>
      <c r="L44" s="180"/>
      <c r="M44" s="180"/>
      <c r="N44" s="179"/>
      <c r="O44" s="1221"/>
      <c r="P44" s="180"/>
      <c r="Q44" s="179"/>
      <c r="R44" s="180"/>
      <c r="S44" s="179"/>
      <c r="T44" s="180"/>
      <c r="U44" s="1263"/>
      <c r="V44" s="1270">
        <f t="shared" si="22"/>
        <v>0</v>
      </c>
      <c r="W44" s="1271">
        <f t="shared" si="23"/>
        <v>0</v>
      </c>
      <c r="X44" s="1272">
        <f t="shared" si="24"/>
        <v>0</v>
      </c>
      <c r="Y44" s="1284">
        <f t="shared" si="25"/>
        <v>0</v>
      </c>
      <c r="Z44" s="42"/>
      <c r="AJ44">
        <f t="shared" si="7"/>
        <v>0</v>
      </c>
      <c r="AK44">
        <f t="shared" si="8"/>
        <v>0</v>
      </c>
      <c r="AL44">
        <f t="shared" si="9"/>
        <v>0</v>
      </c>
      <c r="AM44">
        <f t="shared" si="10"/>
        <v>0</v>
      </c>
      <c r="AN44">
        <f t="shared" si="11"/>
        <v>0</v>
      </c>
      <c r="AO44">
        <f t="shared" si="12"/>
        <v>0</v>
      </c>
      <c r="AP44">
        <f t="shared" si="13"/>
        <v>0</v>
      </c>
      <c r="AQ44">
        <f t="shared" si="14"/>
        <v>0</v>
      </c>
      <c r="AR44">
        <f t="shared" si="15"/>
        <v>0</v>
      </c>
      <c r="AS44" s="290">
        <f t="shared" si="16"/>
        <v>0</v>
      </c>
      <c r="AT44">
        <f t="shared" si="17"/>
        <v>0</v>
      </c>
      <c r="AU44" s="290">
        <f t="shared" si="18"/>
        <v>0</v>
      </c>
      <c r="AV44">
        <f t="shared" si="19"/>
        <v>0</v>
      </c>
      <c r="AW44">
        <f t="shared" si="20"/>
        <v>0</v>
      </c>
      <c r="AX44">
        <f t="shared" si="21"/>
        <v>0</v>
      </c>
      <c r="AY44">
        <f t="shared" si="26"/>
        <v>0</v>
      </c>
      <c r="AZ44" s="293">
        <f>(AK44*Pricing!F$2+AL44*Pricing!G$2+AM44*Pricing!H$2+AN44*Pricing!I$2+AO44*Pricing!J$2+AP44*Pricing!K$2)*IF(U$123="Y",1,(1+W$123))</f>
        <v>0</v>
      </c>
      <c r="BA44" s="294">
        <f t="shared" si="27"/>
        <v>0</v>
      </c>
      <c r="BB44" s="293" t="e">
        <f t="shared" si="28"/>
        <v>#DIV/0!</v>
      </c>
      <c r="BC44" s="294">
        <f t="shared" si="29"/>
        <v>0</v>
      </c>
      <c r="BD44" s="294">
        <f t="shared" si="30"/>
        <v>0</v>
      </c>
      <c r="BE44" s="295" t="e">
        <f t="shared" si="31"/>
        <v>#DIV/0!</v>
      </c>
      <c r="BF44" s="296" t="e">
        <f t="shared" si="32"/>
        <v>#DIV/0!</v>
      </c>
    </row>
    <row r="45" spans="2:58" ht="18" customHeight="1" x14ac:dyDescent="0.35">
      <c r="B45" s="2739">
        <v>35</v>
      </c>
      <c r="C45" s="2740"/>
      <c r="D45" s="1362"/>
      <c r="E45" s="1273"/>
      <c r="F45" s="1258"/>
      <c r="G45" s="1258"/>
      <c r="H45" s="1227"/>
      <c r="I45" s="777"/>
      <c r="J45" s="1226"/>
      <c r="K45" s="1259"/>
      <c r="L45" s="178"/>
      <c r="M45" s="178"/>
      <c r="N45" s="177"/>
      <c r="O45" s="1219"/>
      <c r="P45" s="178"/>
      <c r="Q45" s="177"/>
      <c r="R45" s="178"/>
      <c r="S45" s="177"/>
      <c r="T45" s="178"/>
      <c r="U45" s="1260"/>
      <c r="V45" s="1267">
        <f t="shared" si="22"/>
        <v>0</v>
      </c>
      <c r="W45" s="1268">
        <f t="shared" si="23"/>
        <v>0</v>
      </c>
      <c r="X45" s="1269">
        <f t="shared" si="24"/>
        <v>0</v>
      </c>
      <c r="Y45" s="1285">
        <f t="shared" si="25"/>
        <v>0</v>
      </c>
      <c r="Z45" s="42"/>
      <c r="AJ45">
        <f t="shared" si="7"/>
        <v>0</v>
      </c>
      <c r="AK45">
        <f t="shared" si="8"/>
        <v>0</v>
      </c>
      <c r="AL45">
        <f t="shared" si="9"/>
        <v>0</v>
      </c>
      <c r="AM45">
        <f t="shared" si="10"/>
        <v>0</v>
      </c>
      <c r="AN45">
        <f t="shared" si="11"/>
        <v>0</v>
      </c>
      <c r="AO45">
        <f t="shared" si="12"/>
        <v>0</v>
      </c>
      <c r="AP45">
        <f t="shared" si="13"/>
        <v>0</v>
      </c>
      <c r="AQ45">
        <f t="shared" si="14"/>
        <v>0</v>
      </c>
      <c r="AR45">
        <f t="shared" si="15"/>
        <v>0</v>
      </c>
      <c r="AS45" s="290">
        <f t="shared" si="16"/>
        <v>0</v>
      </c>
      <c r="AT45">
        <f t="shared" si="17"/>
        <v>0</v>
      </c>
      <c r="AU45" s="290">
        <f t="shared" si="18"/>
        <v>0</v>
      </c>
      <c r="AV45">
        <f t="shared" si="19"/>
        <v>0</v>
      </c>
      <c r="AW45">
        <f t="shared" si="20"/>
        <v>0</v>
      </c>
      <c r="AX45">
        <f t="shared" si="21"/>
        <v>0</v>
      </c>
      <c r="AY45">
        <f t="shared" si="26"/>
        <v>0</v>
      </c>
      <c r="AZ45" s="293">
        <f>(AK45*Pricing!F$2+AL45*Pricing!G$2+AM45*Pricing!H$2+AN45*Pricing!I$2+AO45*Pricing!J$2+AP45*Pricing!K$2)*IF(U$123="Y",1,(1+W$123))</f>
        <v>0</v>
      </c>
      <c r="BA45" s="294">
        <f t="shared" si="27"/>
        <v>0</v>
      </c>
      <c r="BB45" s="293" t="e">
        <f t="shared" si="28"/>
        <v>#DIV/0!</v>
      </c>
      <c r="BC45" s="294">
        <f t="shared" si="29"/>
        <v>0</v>
      </c>
      <c r="BD45" s="294">
        <f t="shared" si="30"/>
        <v>0</v>
      </c>
      <c r="BE45" s="295" t="e">
        <f t="shared" si="31"/>
        <v>#DIV/0!</v>
      </c>
      <c r="BF45" s="296" t="e">
        <f t="shared" si="32"/>
        <v>#DIV/0!</v>
      </c>
    </row>
    <row r="46" spans="2:58" ht="18" customHeight="1" x14ac:dyDescent="0.35">
      <c r="B46" s="2739">
        <v>36</v>
      </c>
      <c r="C46" s="2740"/>
      <c r="D46" s="1361"/>
      <c r="E46" s="1273"/>
      <c r="F46" s="1261"/>
      <c r="G46" s="1261"/>
      <c r="H46" s="1228"/>
      <c r="I46" s="777"/>
      <c r="J46" s="448"/>
      <c r="K46" s="1262"/>
      <c r="L46" s="180"/>
      <c r="M46" s="180"/>
      <c r="N46" s="179"/>
      <c r="O46" s="1221"/>
      <c r="P46" s="180"/>
      <c r="Q46" s="179"/>
      <c r="R46" s="180"/>
      <c r="S46" s="179"/>
      <c r="T46" s="180"/>
      <c r="U46" s="1263"/>
      <c r="V46" s="1270">
        <f t="shared" si="22"/>
        <v>0</v>
      </c>
      <c r="W46" s="1271">
        <f t="shared" si="23"/>
        <v>0</v>
      </c>
      <c r="X46" s="1272">
        <f t="shared" si="24"/>
        <v>0</v>
      </c>
      <c r="Y46" s="1284">
        <f t="shared" si="25"/>
        <v>0</v>
      </c>
      <c r="Z46" s="42"/>
      <c r="AJ46">
        <f t="shared" si="7"/>
        <v>0</v>
      </c>
      <c r="AK46">
        <f t="shared" si="8"/>
        <v>0</v>
      </c>
      <c r="AL46">
        <f t="shared" si="9"/>
        <v>0</v>
      </c>
      <c r="AM46">
        <f t="shared" si="10"/>
        <v>0</v>
      </c>
      <c r="AN46">
        <f t="shared" si="11"/>
        <v>0</v>
      </c>
      <c r="AO46">
        <f t="shared" si="12"/>
        <v>0</v>
      </c>
      <c r="AP46">
        <f t="shared" si="13"/>
        <v>0</v>
      </c>
      <c r="AQ46">
        <f t="shared" si="14"/>
        <v>0</v>
      </c>
      <c r="AR46">
        <f t="shared" si="15"/>
        <v>0</v>
      </c>
      <c r="AS46" s="290">
        <f t="shared" si="16"/>
        <v>0</v>
      </c>
      <c r="AT46">
        <f t="shared" si="17"/>
        <v>0</v>
      </c>
      <c r="AU46" s="290">
        <f t="shared" si="18"/>
        <v>0</v>
      </c>
      <c r="AV46">
        <f t="shared" si="19"/>
        <v>0</v>
      </c>
      <c r="AW46">
        <f t="shared" si="20"/>
        <v>0</v>
      </c>
      <c r="AX46">
        <f t="shared" si="21"/>
        <v>0</v>
      </c>
      <c r="AY46">
        <f t="shared" si="26"/>
        <v>0</v>
      </c>
      <c r="AZ46" s="293">
        <f>(AK46*Pricing!F$2+AL46*Pricing!G$2+AM46*Pricing!H$2+AN46*Pricing!I$2+AO46*Pricing!J$2+AP46*Pricing!K$2)*IF(U$123="Y",1,(1+W$123))</f>
        <v>0</v>
      </c>
      <c r="BA46" s="294">
        <f t="shared" si="27"/>
        <v>0</v>
      </c>
      <c r="BB46" s="293" t="e">
        <f t="shared" si="28"/>
        <v>#DIV/0!</v>
      </c>
      <c r="BC46" s="294">
        <f t="shared" si="29"/>
        <v>0</v>
      </c>
      <c r="BD46" s="294">
        <f t="shared" si="30"/>
        <v>0</v>
      </c>
      <c r="BE46" s="295" t="e">
        <f t="shared" si="31"/>
        <v>#DIV/0!</v>
      </c>
      <c r="BF46" s="296" t="e">
        <f t="shared" si="32"/>
        <v>#DIV/0!</v>
      </c>
    </row>
    <row r="47" spans="2:58" ht="18" customHeight="1" x14ac:dyDescent="0.35">
      <c r="B47" s="2739">
        <v>37</v>
      </c>
      <c r="C47" s="2740"/>
      <c r="D47" s="1362"/>
      <c r="E47" s="1273"/>
      <c r="F47" s="1258"/>
      <c r="G47" s="1258"/>
      <c r="H47" s="1227"/>
      <c r="I47" s="777"/>
      <c r="J47" s="1226"/>
      <c r="K47" s="1259"/>
      <c r="L47" s="178"/>
      <c r="M47" s="178"/>
      <c r="N47" s="177"/>
      <c r="O47" s="1219"/>
      <c r="P47" s="178"/>
      <c r="Q47" s="177"/>
      <c r="R47" s="178"/>
      <c r="S47" s="177"/>
      <c r="T47" s="178"/>
      <c r="U47" s="1260"/>
      <c r="V47" s="1267">
        <f t="shared" si="22"/>
        <v>0</v>
      </c>
      <c r="W47" s="1268">
        <f t="shared" si="23"/>
        <v>0</v>
      </c>
      <c r="X47" s="1269">
        <f t="shared" si="24"/>
        <v>0</v>
      </c>
      <c r="Y47" s="1285">
        <f t="shared" si="25"/>
        <v>0</v>
      </c>
      <c r="Z47" s="42"/>
      <c r="AJ47">
        <f t="shared" si="7"/>
        <v>0</v>
      </c>
      <c r="AK47">
        <f t="shared" si="8"/>
        <v>0</v>
      </c>
      <c r="AL47">
        <f t="shared" si="9"/>
        <v>0</v>
      </c>
      <c r="AM47">
        <f t="shared" si="10"/>
        <v>0</v>
      </c>
      <c r="AN47">
        <f t="shared" si="11"/>
        <v>0</v>
      </c>
      <c r="AO47">
        <f t="shared" si="12"/>
        <v>0</v>
      </c>
      <c r="AP47">
        <f t="shared" si="13"/>
        <v>0</v>
      </c>
      <c r="AQ47">
        <f t="shared" si="14"/>
        <v>0</v>
      </c>
      <c r="AR47">
        <f t="shared" si="15"/>
        <v>0</v>
      </c>
      <c r="AS47" s="290">
        <f t="shared" si="16"/>
        <v>0</v>
      </c>
      <c r="AT47">
        <f t="shared" si="17"/>
        <v>0</v>
      </c>
      <c r="AU47" s="290">
        <f t="shared" si="18"/>
        <v>0</v>
      </c>
      <c r="AV47">
        <f t="shared" si="19"/>
        <v>0</v>
      </c>
      <c r="AW47">
        <f t="shared" si="20"/>
        <v>0</v>
      </c>
      <c r="AX47">
        <f t="shared" si="21"/>
        <v>0</v>
      </c>
      <c r="AY47">
        <f t="shared" si="26"/>
        <v>0</v>
      </c>
      <c r="AZ47" s="293">
        <f>(AK47*Pricing!F$2+AL47*Pricing!G$2+AM47*Pricing!H$2+AN47*Pricing!I$2+AO47*Pricing!J$2+AP47*Pricing!K$2)*IF(U$123="Y",1,(1+W$123))</f>
        <v>0</v>
      </c>
      <c r="BA47" s="294">
        <f t="shared" si="27"/>
        <v>0</v>
      </c>
      <c r="BB47" s="293" t="e">
        <f t="shared" si="28"/>
        <v>#DIV/0!</v>
      </c>
      <c r="BC47" s="294">
        <f t="shared" si="29"/>
        <v>0</v>
      </c>
      <c r="BD47" s="294">
        <f t="shared" si="30"/>
        <v>0</v>
      </c>
      <c r="BE47" s="295" t="e">
        <f t="shared" si="31"/>
        <v>#DIV/0!</v>
      </c>
      <c r="BF47" s="296" t="e">
        <f t="shared" si="32"/>
        <v>#DIV/0!</v>
      </c>
    </row>
    <row r="48" spans="2:58" ht="18" customHeight="1" x14ac:dyDescent="0.35">
      <c r="B48" s="2739">
        <v>38</v>
      </c>
      <c r="C48" s="2740"/>
      <c r="D48" s="1361"/>
      <c r="E48" s="1273"/>
      <c r="F48" s="1261"/>
      <c r="G48" s="1261"/>
      <c r="H48" s="1228"/>
      <c r="I48" s="777"/>
      <c r="J48" s="448"/>
      <c r="K48" s="1262"/>
      <c r="L48" s="180"/>
      <c r="M48" s="180"/>
      <c r="N48" s="179"/>
      <c r="O48" s="1221"/>
      <c r="P48" s="180"/>
      <c r="Q48" s="179"/>
      <c r="R48" s="180"/>
      <c r="S48" s="179"/>
      <c r="T48" s="180"/>
      <c r="U48" s="1263"/>
      <c r="V48" s="1270">
        <f t="shared" si="22"/>
        <v>0</v>
      </c>
      <c r="W48" s="1271">
        <f t="shared" si="23"/>
        <v>0</v>
      </c>
      <c r="X48" s="1272">
        <f t="shared" si="24"/>
        <v>0</v>
      </c>
      <c r="Y48" s="1284">
        <f t="shared" si="25"/>
        <v>0</v>
      </c>
      <c r="Z48" s="42"/>
      <c r="AJ48">
        <f t="shared" si="7"/>
        <v>0</v>
      </c>
      <c r="AK48">
        <f t="shared" si="8"/>
        <v>0</v>
      </c>
      <c r="AL48">
        <f t="shared" si="9"/>
        <v>0</v>
      </c>
      <c r="AM48">
        <f t="shared" si="10"/>
        <v>0</v>
      </c>
      <c r="AN48">
        <f t="shared" si="11"/>
        <v>0</v>
      </c>
      <c r="AO48">
        <f t="shared" si="12"/>
        <v>0</v>
      </c>
      <c r="AP48">
        <f t="shared" si="13"/>
        <v>0</v>
      </c>
      <c r="AQ48">
        <f t="shared" si="14"/>
        <v>0</v>
      </c>
      <c r="AR48">
        <f t="shared" si="15"/>
        <v>0</v>
      </c>
      <c r="AS48" s="290">
        <f t="shared" si="16"/>
        <v>0</v>
      </c>
      <c r="AT48">
        <f t="shared" si="17"/>
        <v>0</v>
      </c>
      <c r="AU48" s="290">
        <f t="shared" si="18"/>
        <v>0</v>
      </c>
      <c r="AV48">
        <f t="shared" si="19"/>
        <v>0</v>
      </c>
      <c r="AW48">
        <f t="shared" si="20"/>
        <v>0</v>
      </c>
      <c r="AX48">
        <f t="shared" si="21"/>
        <v>0</v>
      </c>
      <c r="AY48">
        <f t="shared" si="26"/>
        <v>0</v>
      </c>
      <c r="AZ48" s="293">
        <f>(AK48*Pricing!F$2+AL48*Pricing!G$2+AM48*Pricing!H$2+AN48*Pricing!I$2+AO48*Pricing!J$2+AP48*Pricing!K$2)*IF(U$123="Y",1,(1+W$123))</f>
        <v>0</v>
      </c>
      <c r="BA48" s="294">
        <f t="shared" si="27"/>
        <v>0</v>
      </c>
      <c r="BB48" s="293" t="e">
        <f t="shared" si="28"/>
        <v>#DIV/0!</v>
      </c>
      <c r="BC48" s="294">
        <f t="shared" si="29"/>
        <v>0</v>
      </c>
      <c r="BD48" s="294">
        <f t="shared" si="30"/>
        <v>0</v>
      </c>
      <c r="BE48" s="295" t="e">
        <f t="shared" si="31"/>
        <v>#DIV/0!</v>
      </c>
      <c r="BF48" s="296" t="e">
        <f t="shared" si="32"/>
        <v>#DIV/0!</v>
      </c>
    </row>
    <row r="49" spans="2:58" ht="18" customHeight="1" x14ac:dyDescent="0.35">
      <c r="B49" s="2739">
        <v>39</v>
      </c>
      <c r="C49" s="2740"/>
      <c r="D49" s="1362"/>
      <c r="E49" s="1273"/>
      <c r="F49" s="1258"/>
      <c r="G49" s="1258"/>
      <c r="H49" s="1227"/>
      <c r="I49" s="777"/>
      <c r="J49" s="1226"/>
      <c r="K49" s="1259"/>
      <c r="L49" s="178"/>
      <c r="M49" s="178"/>
      <c r="N49" s="177"/>
      <c r="O49" s="1219"/>
      <c r="P49" s="178"/>
      <c r="Q49" s="177"/>
      <c r="R49" s="178"/>
      <c r="S49" s="177"/>
      <c r="T49" s="178"/>
      <c r="U49" s="1260"/>
      <c r="V49" s="1267">
        <f t="shared" si="22"/>
        <v>0</v>
      </c>
      <c r="W49" s="1268">
        <f t="shared" si="23"/>
        <v>0</v>
      </c>
      <c r="X49" s="1269">
        <f t="shared" si="24"/>
        <v>0</v>
      </c>
      <c r="Y49" s="1285">
        <f t="shared" si="25"/>
        <v>0</v>
      </c>
      <c r="Z49" s="42"/>
      <c r="AJ49">
        <f t="shared" si="7"/>
        <v>0</v>
      </c>
      <c r="AK49">
        <f t="shared" si="8"/>
        <v>0</v>
      </c>
      <c r="AL49">
        <f t="shared" si="9"/>
        <v>0</v>
      </c>
      <c r="AM49">
        <f t="shared" si="10"/>
        <v>0</v>
      </c>
      <c r="AN49">
        <f t="shared" si="11"/>
        <v>0</v>
      </c>
      <c r="AO49">
        <f t="shared" si="12"/>
        <v>0</v>
      </c>
      <c r="AP49">
        <f t="shared" si="13"/>
        <v>0</v>
      </c>
      <c r="AQ49">
        <f t="shared" si="14"/>
        <v>0</v>
      </c>
      <c r="AR49">
        <f t="shared" si="15"/>
        <v>0</v>
      </c>
      <c r="AS49" s="290">
        <f t="shared" si="16"/>
        <v>0</v>
      </c>
      <c r="AT49">
        <f t="shared" si="17"/>
        <v>0</v>
      </c>
      <c r="AU49" s="290">
        <f t="shared" si="18"/>
        <v>0</v>
      </c>
      <c r="AV49">
        <f t="shared" si="19"/>
        <v>0</v>
      </c>
      <c r="AW49">
        <f t="shared" si="20"/>
        <v>0</v>
      </c>
      <c r="AX49">
        <f t="shared" si="21"/>
        <v>0</v>
      </c>
      <c r="AY49">
        <f t="shared" si="26"/>
        <v>0</v>
      </c>
      <c r="AZ49" s="293">
        <f>(AK49*Pricing!F$2+AL49*Pricing!G$2+AM49*Pricing!H$2+AN49*Pricing!I$2+AO49*Pricing!J$2+AP49*Pricing!K$2)*IF(U$123="Y",1,(1+W$123))</f>
        <v>0</v>
      </c>
      <c r="BA49" s="294">
        <f t="shared" si="27"/>
        <v>0</v>
      </c>
      <c r="BB49" s="293" t="e">
        <f t="shared" si="28"/>
        <v>#DIV/0!</v>
      </c>
      <c r="BC49" s="294">
        <f t="shared" si="29"/>
        <v>0</v>
      </c>
      <c r="BD49" s="294">
        <f t="shared" si="30"/>
        <v>0</v>
      </c>
      <c r="BE49" s="295" t="e">
        <f t="shared" si="31"/>
        <v>#DIV/0!</v>
      </c>
      <c r="BF49" s="296" t="e">
        <f t="shared" si="32"/>
        <v>#DIV/0!</v>
      </c>
    </row>
    <row r="50" spans="2:58" ht="18" customHeight="1" x14ac:dyDescent="0.35">
      <c r="B50" s="2739">
        <v>40</v>
      </c>
      <c r="C50" s="2740"/>
      <c r="D50" s="1361"/>
      <c r="E50" s="1273"/>
      <c r="F50" s="1261"/>
      <c r="G50" s="1261"/>
      <c r="H50" s="1228"/>
      <c r="I50" s="777"/>
      <c r="J50" s="448"/>
      <c r="K50" s="1262"/>
      <c r="L50" s="180"/>
      <c r="M50" s="180"/>
      <c r="N50" s="179"/>
      <c r="O50" s="1221"/>
      <c r="P50" s="180"/>
      <c r="Q50" s="179"/>
      <c r="R50" s="180"/>
      <c r="S50" s="179"/>
      <c r="T50" s="180"/>
      <c r="U50" s="1263"/>
      <c r="V50" s="1270">
        <f t="shared" si="22"/>
        <v>0</v>
      </c>
      <c r="W50" s="1271">
        <f t="shared" si="23"/>
        <v>0</v>
      </c>
      <c r="X50" s="1272">
        <f t="shared" si="24"/>
        <v>0</v>
      </c>
      <c r="Y50" s="1284">
        <f t="shared" si="25"/>
        <v>0</v>
      </c>
      <c r="Z50" s="42"/>
      <c r="AJ50">
        <f t="shared" si="7"/>
        <v>0</v>
      </c>
      <c r="AK50">
        <f t="shared" si="8"/>
        <v>0</v>
      </c>
      <c r="AL50">
        <f t="shared" si="9"/>
        <v>0</v>
      </c>
      <c r="AM50">
        <f t="shared" si="10"/>
        <v>0</v>
      </c>
      <c r="AN50">
        <f t="shared" si="11"/>
        <v>0</v>
      </c>
      <c r="AO50">
        <f t="shared" si="12"/>
        <v>0</v>
      </c>
      <c r="AP50">
        <f t="shared" si="13"/>
        <v>0</v>
      </c>
      <c r="AQ50">
        <f t="shared" si="14"/>
        <v>0</v>
      </c>
      <c r="AR50">
        <f t="shared" si="15"/>
        <v>0</v>
      </c>
      <c r="AS50" s="290">
        <f t="shared" si="16"/>
        <v>0</v>
      </c>
      <c r="AT50">
        <f t="shared" si="17"/>
        <v>0</v>
      </c>
      <c r="AU50" s="290">
        <f t="shared" si="18"/>
        <v>0</v>
      </c>
      <c r="AV50">
        <f t="shared" si="19"/>
        <v>0</v>
      </c>
      <c r="AW50">
        <f t="shared" si="20"/>
        <v>0</v>
      </c>
      <c r="AX50">
        <f t="shared" si="21"/>
        <v>0</v>
      </c>
      <c r="AY50">
        <f t="shared" si="26"/>
        <v>0</v>
      </c>
      <c r="AZ50" s="293">
        <f>(AK50*Pricing!F$2+AL50*Pricing!G$2+AM50*Pricing!H$2+AN50*Pricing!I$2+AO50*Pricing!J$2+AP50*Pricing!K$2)*IF(U$123="Y",1,(1+W$123))</f>
        <v>0</v>
      </c>
      <c r="BA50" s="294">
        <f t="shared" si="27"/>
        <v>0</v>
      </c>
      <c r="BB50" s="293" t="e">
        <f t="shared" si="28"/>
        <v>#DIV/0!</v>
      </c>
      <c r="BC50" s="294">
        <f t="shared" si="29"/>
        <v>0</v>
      </c>
      <c r="BD50" s="294">
        <f t="shared" si="30"/>
        <v>0</v>
      </c>
      <c r="BE50" s="295" t="e">
        <f t="shared" si="31"/>
        <v>#DIV/0!</v>
      </c>
      <c r="BF50" s="296" t="e">
        <f t="shared" si="32"/>
        <v>#DIV/0!</v>
      </c>
    </row>
    <row r="51" spans="2:58" ht="18" customHeight="1" x14ac:dyDescent="0.35">
      <c r="B51" s="2739">
        <v>41</v>
      </c>
      <c r="C51" s="2740"/>
      <c r="D51" s="1362"/>
      <c r="E51" s="1273"/>
      <c r="F51" s="1258"/>
      <c r="G51" s="1258"/>
      <c r="H51" s="1227"/>
      <c r="I51" s="777"/>
      <c r="J51" s="1226"/>
      <c r="K51" s="1259"/>
      <c r="L51" s="178"/>
      <c r="M51" s="178"/>
      <c r="N51" s="177"/>
      <c r="O51" s="1219"/>
      <c r="P51" s="178"/>
      <c r="Q51" s="177"/>
      <c r="R51" s="178"/>
      <c r="S51" s="177"/>
      <c r="T51" s="178"/>
      <c r="U51" s="1260"/>
      <c r="V51" s="1267">
        <f t="shared" si="22"/>
        <v>0</v>
      </c>
      <c r="W51" s="1268">
        <f t="shared" si="23"/>
        <v>0</v>
      </c>
      <c r="X51" s="1269">
        <f t="shared" si="24"/>
        <v>0</v>
      </c>
      <c r="Y51" s="1285">
        <f t="shared" si="25"/>
        <v>0</v>
      </c>
      <c r="Z51" s="42"/>
      <c r="AJ51">
        <f t="shared" si="7"/>
        <v>0</v>
      </c>
      <c r="AK51">
        <f t="shared" si="8"/>
        <v>0</v>
      </c>
      <c r="AL51">
        <f t="shared" si="9"/>
        <v>0</v>
      </c>
      <c r="AM51">
        <f t="shared" si="10"/>
        <v>0</v>
      </c>
      <c r="AN51">
        <f t="shared" si="11"/>
        <v>0</v>
      </c>
      <c r="AO51">
        <f t="shared" si="12"/>
        <v>0</v>
      </c>
      <c r="AP51">
        <f t="shared" si="13"/>
        <v>0</v>
      </c>
      <c r="AQ51">
        <f t="shared" si="14"/>
        <v>0</v>
      </c>
      <c r="AR51">
        <f t="shared" si="15"/>
        <v>0</v>
      </c>
      <c r="AS51" s="290">
        <f t="shared" si="16"/>
        <v>0</v>
      </c>
      <c r="AT51">
        <f t="shared" si="17"/>
        <v>0</v>
      </c>
      <c r="AU51" s="290">
        <f t="shared" si="18"/>
        <v>0</v>
      </c>
      <c r="AV51">
        <f t="shared" si="19"/>
        <v>0</v>
      </c>
      <c r="AW51">
        <f t="shared" si="20"/>
        <v>0</v>
      </c>
      <c r="AX51">
        <f t="shared" si="21"/>
        <v>0</v>
      </c>
      <c r="AY51">
        <f t="shared" si="26"/>
        <v>0</v>
      </c>
      <c r="AZ51" s="293">
        <f>(AK51*Pricing!F$2+AL51*Pricing!G$2+AM51*Pricing!H$2+AN51*Pricing!I$2+AO51*Pricing!J$2+AP51*Pricing!K$2)*IF(U$123="Y",1,(1+W$123))</f>
        <v>0</v>
      </c>
      <c r="BA51" s="294">
        <f t="shared" si="27"/>
        <v>0</v>
      </c>
      <c r="BB51" s="293" t="e">
        <f t="shared" si="28"/>
        <v>#DIV/0!</v>
      </c>
      <c r="BC51" s="294">
        <f t="shared" si="29"/>
        <v>0</v>
      </c>
      <c r="BD51" s="294">
        <f t="shared" si="30"/>
        <v>0</v>
      </c>
      <c r="BE51" s="295" t="e">
        <f t="shared" si="31"/>
        <v>#DIV/0!</v>
      </c>
      <c r="BF51" s="296" t="e">
        <f t="shared" si="32"/>
        <v>#DIV/0!</v>
      </c>
    </row>
    <row r="52" spans="2:58" ht="18" customHeight="1" x14ac:dyDescent="0.35">
      <c r="B52" s="2739">
        <v>42</v>
      </c>
      <c r="C52" s="2740"/>
      <c r="D52" s="1361"/>
      <c r="E52" s="1273"/>
      <c r="F52" s="1261"/>
      <c r="G52" s="1261"/>
      <c r="H52" s="1228"/>
      <c r="I52" s="777"/>
      <c r="J52" s="448"/>
      <c r="K52" s="1262"/>
      <c r="L52" s="180"/>
      <c r="M52" s="180"/>
      <c r="N52" s="179"/>
      <c r="O52" s="1221"/>
      <c r="P52" s="180"/>
      <c r="Q52" s="179"/>
      <c r="R52" s="180"/>
      <c r="S52" s="179"/>
      <c r="T52" s="180"/>
      <c r="U52" s="1263"/>
      <c r="V52" s="1270">
        <f t="shared" si="22"/>
        <v>0</v>
      </c>
      <c r="W52" s="1271">
        <f t="shared" si="23"/>
        <v>0</v>
      </c>
      <c r="X52" s="1272">
        <f t="shared" si="24"/>
        <v>0</v>
      </c>
      <c r="Y52" s="1284">
        <f t="shared" si="25"/>
        <v>0</v>
      </c>
      <c r="Z52" s="42"/>
      <c r="AJ52">
        <f t="shared" si="7"/>
        <v>0</v>
      </c>
      <c r="AK52">
        <f t="shared" si="8"/>
        <v>0</v>
      </c>
      <c r="AL52">
        <f t="shared" si="9"/>
        <v>0</v>
      </c>
      <c r="AM52">
        <f t="shared" si="10"/>
        <v>0</v>
      </c>
      <c r="AN52">
        <f t="shared" si="11"/>
        <v>0</v>
      </c>
      <c r="AO52">
        <f t="shared" si="12"/>
        <v>0</v>
      </c>
      <c r="AP52">
        <f t="shared" si="13"/>
        <v>0</v>
      </c>
      <c r="AQ52">
        <f t="shared" si="14"/>
        <v>0</v>
      </c>
      <c r="AR52">
        <f t="shared" si="15"/>
        <v>0</v>
      </c>
      <c r="AS52" s="290">
        <f t="shared" si="16"/>
        <v>0</v>
      </c>
      <c r="AT52">
        <f t="shared" si="17"/>
        <v>0</v>
      </c>
      <c r="AU52" s="290">
        <f t="shared" si="18"/>
        <v>0</v>
      </c>
      <c r="AV52">
        <f t="shared" si="19"/>
        <v>0</v>
      </c>
      <c r="AW52">
        <f t="shared" si="20"/>
        <v>0</v>
      </c>
      <c r="AX52">
        <f t="shared" si="21"/>
        <v>0</v>
      </c>
      <c r="AY52">
        <f t="shared" si="26"/>
        <v>0</v>
      </c>
      <c r="AZ52" s="293">
        <f>(AK52*Pricing!F$2+AL52*Pricing!G$2+AM52*Pricing!H$2+AN52*Pricing!I$2+AO52*Pricing!J$2+AP52*Pricing!K$2)*IF(U$123="Y",1,(1+W$123))</f>
        <v>0</v>
      </c>
      <c r="BA52" s="294">
        <f t="shared" si="27"/>
        <v>0</v>
      </c>
      <c r="BB52" s="293" t="e">
        <f t="shared" si="28"/>
        <v>#DIV/0!</v>
      </c>
      <c r="BC52" s="294">
        <f t="shared" si="29"/>
        <v>0</v>
      </c>
      <c r="BD52" s="294">
        <f t="shared" si="30"/>
        <v>0</v>
      </c>
      <c r="BE52" s="295" t="e">
        <f t="shared" si="31"/>
        <v>#DIV/0!</v>
      </c>
      <c r="BF52" s="296" t="e">
        <f t="shared" si="32"/>
        <v>#DIV/0!</v>
      </c>
    </row>
    <row r="53" spans="2:58" ht="18" customHeight="1" x14ac:dyDescent="0.35">
      <c r="B53" s="2739">
        <v>43</v>
      </c>
      <c r="C53" s="2740"/>
      <c r="D53" s="1362"/>
      <c r="E53" s="1273"/>
      <c r="F53" s="1258"/>
      <c r="G53" s="1258"/>
      <c r="H53" s="1227"/>
      <c r="I53" s="777"/>
      <c r="J53" s="1226"/>
      <c r="K53" s="1259"/>
      <c r="L53" s="178"/>
      <c r="M53" s="178"/>
      <c r="N53" s="177"/>
      <c r="O53" s="1219"/>
      <c r="P53" s="178"/>
      <c r="Q53" s="177"/>
      <c r="R53" s="178"/>
      <c r="S53" s="177"/>
      <c r="T53" s="178"/>
      <c r="U53" s="1260"/>
      <c r="V53" s="1267">
        <f t="shared" si="22"/>
        <v>0</v>
      </c>
      <c r="W53" s="1268">
        <f t="shared" si="23"/>
        <v>0</v>
      </c>
      <c r="X53" s="1269">
        <f t="shared" si="24"/>
        <v>0</v>
      </c>
      <c r="Y53" s="1285">
        <f t="shared" si="25"/>
        <v>0</v>
      </c>
      <c r="Z53" s="42"/>
      <c r="AJ53">
        <f t="shared" si="7"/>
        <v>0</v>
      </c>
      <c r="AK53">
        <f t="shared" si="8"/>
        <v>0</v>
      </c>
      <c r="AL53">
        <f t="shared" si="9"/>
        <v>0</v>
      </c>
      <c r="AM53">
        <f t="shared" si="10"/>
        <v>0</v>
      </c>
      <c r="AN53">
        <f t="shared" si="11"/>
        <v>0</v>
      </c>
      <c r="AO53">
        <f t="shared" si="12"/>
        <v>0</v>
      </c>
      <c r="AP53">
        <f t="shared" si="13"/>
        <v>0</v>
      </c>
      <c r="AQ53">
        <f t="shared" si="14"/>
        <v>0</v>
      </c>
      <c r="AR53">
        <f t="shared" si="15"/>
        <v>0</v>
      </c>
      <c r="AS53" s="290">
        <f t="shared" si="16"/>
        <v>0</v>
      </c>
      <c r="AT53">
        <f t="shared" si="17"/>
        <v>0</v>
      </c>
      <c r="AU53" s="290">
        <f t="shared" si="18"/>
        <v>0</v>
      </c>
      <c r="AV53">
        <f t="shared" si="19"/>
        <v>0</v>
      </c>
      <c r="AW53">
        <f t="shared" si="20"/>
        <v>0</v>
      </c>
      <c r="AX53">
        <f t="shared" si="21"/>
        <v>0</v>
      </c>
      <c r="AY53">
        <f t="shared" si="26"/>
        <v>0</v>
      </c>
      <c r="AZ53" s="293">
        <f>(AK53*Pricing!F$2+AL53*Pricing!G$2+AM53*Pricing!H$2+AN53*Pricing!I$2+AO53*Pricing!J$2+AP53*Pricing!K$2)*IF(U$123="Y",1,(1+W$123))</f>
        <v>0</v>
      </c>
      <c r="BA53" s="294">
        <f t="shared" si="27"/>
        <v>0</v>
      </c>
      <c r="BB53" s="293" t="e">
        <f t="shared" si="28"/>
        <v>#DIV/0!</v>
      </c>
      <c r="BC53" s="294">
        <f t="shared" si="29"/>
        <v>0</v>
      </c>
      <c r="BD53" s="294">
        <f t="shared" si="30"/>
        <v>0</v>
      </c>
      <c r="BE53" s="295" t="e">
        <f t="shared" si="31"/>
        <v>#DIV/0!</v>
      </c>
      <c r="BF53" s="296" t="e">
        <f t="shared" si="32"/>
        <v>#DIV/0!</v>
      </c>
    </row>
    <row r="54" spans="2:58" ht="18" customHeight="1" x14ac:dyDescent="0.35">
      <c r="B54" s="2739">
        <v>44</v>
      </c>
      <c r="C54" s="2740"/>
      <c r="D54" s="1361"/>
      <c r="E54" s="1273"/>
      <c r="F54" s="1261"/>
      <c r="G54" s="1261"/>
      <c r="H54" s="1228"/>
      <c r="I54" s="777"/>
      <c r="J54" s="448"/>
      <c r="K54" s="1262"/>
      <c r="L54" s="180"/>
      <c r="M54" s="180"/>
      <c r="N54" s="179"/>
      <c r="O54" s="1221"/>
      <c r="P54" s="180"/>
      <c r="Q54" s="179"/>
      <c r="R54" s="180"/>
      <c r="S54" s="179"/>
      <c r="T54" s="180"/>
      <c r="U54" s="1263"/>
      <c r="V54" s="1270">
        <f t="shared" si="22"/>
        <v>0</v>
      </c>
      <c r="W54" s="1271">
        <f t="shared" si="23"/>
        <v>0</v>
      </c>
      <c r="X54" s="1272">
        <f t="shared" si="24"/>
        <v>0</v>
      </c>
      <c r="Y54" s="1284">
        <f t="shared" si="25"/>
        <v>0</v>
      </c>
      <c r="Z54" s="42"/>
      <c r="AJ54">
        <f t="shared" si="7"/>
        <v>0</v>
      </c>
      <c r="AK54">
        <f t="shared" si="8"/>
        <v>0</v>
      </c>
      <c r="AL54">
        <f t="shared" si="9"/>
        <v>0</v>
      </c>
      <c r="AM54">
        <f t="shared" si="10"/>
        <v>0</v>
      </c>
      <c r="AN54">
        <f t="shared" si="11"/>
        <v>0</v>
      </c>
      <c r="AO54">
        <f t="shared" si="12"/>
        <v>0</v>
      </c>
      <c r="AP54">
        <f t="shared" si="13"/>
        <v>0</v>
      </c>
      <c r="AQ54">
        <f t="shared" si="14"/>
        <v>0</v>
      </c>
      <c r="AR54">
        <f t="shared" si="15"/>
        <v>0</v>
      </c>
      <c r="AS54" s="290">
        <f t="shared" si="16"/>
        <v>0</v>
      </c>
      <c r="AT54">
        <f t="shared" si="17"/>
        <v>0</v>
      </c>
      <c r="AU54" s="290">
        <f t="shared" si="18"/>
        <v>0</v>
      </c>
      <c r="AV54">
        <f t="shared" si="19"/>
        <v>0</v>
      </c>
      <c r="AW54">
        <f t="shared" si="20"/>
        <v>0</v>
      </c>
      <c r="AX54">
        <f t="shared" si="21"/>
        <v>0</v>
      </c>
      <c r="AY54">
        <f t="shared" si="26"/>
        <v>0</v>
      </c>
      <c r="AZ54" s="293">
        <f>(AK54*Pricing!F$2+AL54*Pricing!G$2+AM54*Pricing!H$2+AN54*Pricing!I$2+AO54*Pricing!J$2+AP54*Pricing!K$2)*IF(U$123="Y",1,(1+W$123))</f>
        <v>0</v>
      </c>
      <c r="BA54" s="294">
        <f t="shared" si="27"/>
        <v>0</v>
      </c>
      <c r="BB54" s="293" t="e">
        <f t="shared" si="28"/>
        <v>#DIV/0!</v>
      </c>
      <c r="BC54" s="294">
        <f t="shared" si="29"/>
        <v>0</v>
      </c>
      <c r="BD54" s="294">
        <f t="shared" si="30"/>
        <v>0</v>
      </c>
      <c r="BE54" s="295" t="e">
        <f t="shared" si="31"/>
        <v>#DIV/0!</v>
      </c>
      <c r="BF54" s="296" t="e">
        <f t="shared" si="32"/>
        <v>#DIV/0!</v>
      </c>
    </row>
    <row r="55" spans="2:58" ht="18" customHeight="1" x14ac:dyDescent="0.35">
      <c r="B55" s="2739">
        <v>45</v>
      </c>
      <c r="C55" s="2740"/>
      <c r="D55" s="1362"/>
      <c r="E55" s="1273"/>
      <c r="F55" s="1258"/>
      <c r="G55" s="1258"/>
      <c r="H55" s="1227"/>
      <c r="I55" s="777"/>
      <c r="J55" s="1226"/>
      <c r="K55" s="1259"/>
      <c r="L55" s="178"/>
      <c r="M55" s="178"/>
      <c r="N55" s="177"/>
      <c r="O55" s="1219"/>
      <c r="P55" s="178"/>
      <c r="Q55" s="177"/>
      <c r="R55" s="178"/>
      <c r="S55" s="177"/>
      <c r="T55" s="178"/>
      <c r="U55" s="1260"/>
      <c r="V55" s="1267">
        <f t="shared" si="22"/>
        <v>0</v>
      </c>
      <c r="W55" s="1268">
        <f t="shared" si="23"/>
        <v>0</v>
      </c>
      <c r="X55" s="1269">
        <f t="shared" si="24"/>
        <v>0</v>
      </c>
      <c r="Y55" s="1285">
        <f t="shared" si="25"/>
        <v>0</v>
      </c>
      <c r="Z55" s="42"/>
      <c r="AJ55">
        <f t="shared" si="7"/>
        <v>0</v>
      </c>
      <c r="AK55">
        <f t="shared" si="8"/>
        <v>0</v>
      </c>
      <c r="AL55">
        <f t="shared" si="9"/>
        <v>0</v>
      </c>
      <c r="AM55">
        <f t="shared" si="10"/>
        <v>0</v>
      </c>
      <c r="AN55">
        <f t="shared" si="11"/>
        <v>0</v>
      </c>
      <c r="AO55">
        <f t="shared" si="12"/>
        <v>0</v>
      </c>
      <c r="AP55">
        <f t="shared" si="13"/>
        <v>0</v>
      </c>
      <c r="AQ55">
        <f t="shared" si="14"/>
        <v>0</v>
      </c>
      <c r="AR55">
        <f t="shared" si="15"/>
        <v>0</v>
      </c>
      <c r="AS55" s="290">
        <f t="shared" si="16"/>
        <v>0</v>
      </c>
      <c r="AT55">
        <f t="shared" si="17"/>
        <v>0</v>
      </c>
      <c r="AU55" s="290">
        <f t="shared" si="18"/>
        <v>0</v>
      </c>
      <c r="AV55">
        <f t="shared" si="19"/>
        <v>0</v>
      </c>
      <c r="AW55">
        <f t="shared" si="20"/>
        <v>0</v>
      </c>
      <c r="AX55">
        <f t="shared" si="21"/>
        <v>0</v>
      </c>
      <c r="AY55">
        <f t="shared" si="26"/>
        <v>0</v>
      </c>
      <c r="AZ55" s="293">
        <f>(AK55*Pricing!F$2+AL55*Pricing!G$2+AM55*Pricing!H$2+AN55*Pricing!I$2+AO55*Pricing!J$2+AP55*Pricing!K$2)*IF(U$123="Y",1,(1+W$123))</f>
        <v>0</v>
      </c>
      <c r="BA55" s="294">
        <f t="shared" si="27"/>
        <v>0</v>
      </c>
      <c r="BB55" s="293" t="e">
        <f t="shared" si="28"/>
        <v>#DIV/0!</v>
      </c>
      <c r="BC55" s="294">
        <f t="shared" si="29"/>
        <v>0</v>
      </c>
      <c r="BD55" s="294">
        <f t="shared" si="30"/>
        <v>0</v>
      </c>
      <c r="BE55" s="295" t="e">
        <f t="shared" si="31"/>
        <v>#DIV/0!</v>
      </c>
      <c r="BF55" s="296" t="e">
        <f t="shared" si="32"/>
        <v>#DIV/0!</v>
      </c>
    </row>
    <row r="56" spans="2:58" ht="18" customHeight="1" x14ac:dyDescent="0.35">
      <c r="B56" s="2739">
        <v>46</v>
      </c>
      <c r="C56" s="2740"/>
      <c r="D56" s="1361"/>
      <c r="E56" s="1273"/>
      <c r="F56" s="1261"/>
      <c r="G56" s="1261"/>
      <c r="H56" s="1228"/>
      <c r="I56" s="777"/>
      <c r="J56" s="448"/>
      <c r="K56" s="1262"/>
      <c r="L56" s="180"/>
      <c r="M56" s="180"/>
      <c r="N56" s="179"/>
      <c r="O56" s="1221"/>
      <c r="P56" s="180"/>
      <c r="Q56" s="179"/>
      <c r="R56" s="180"/>
      <c r="S56" s="179"/>
      <c r="T56" s="180"/>
      <c r="U56" s="1263"/>
      <c r="V56" s="1270">
        <f t="shared" si="22"/>
        <v>0</v>
      </c>
      <c r="W56" s="1271">
        <f t="shared" si="23"/>
        <v>0</v>
      </c>
      <c r="X56" s="1272">
        <f t="shared" si="24"/>
        <v>0</v>
      </c>
      <c r="Y56" s="1284">
        <f t="shared" si="25"/>
        <v>0</v>
      </c>
      <c r="Z56" s="42"/>
      <c r="AJ56">
        <f t="shared" si="7"/>
        <v>0</v>
      </c>
      <c r="AK56">
        <f t="shared" si="8"/>
        <v>0</v>
      </c>
      <c r="AL56">
        <f t="shared" si="9"/>
        <v>0</v>
      </c>
      <c r="AM56">
        <f t="shared" si="10"/>
        <v>0</v>
      </c>
      <c r="AN56">
        <f t="shared" si="11"/>
        <v>0</v>
      </c>
      <c r="AO56">
        <f t="shared" si="12"/>
        <v>0</v>
      </c>
      <c r="AP56">
        <f t="shared" si="13"/>
        <v>0</v>
      </c>
      <c r="AQ56">
        <f t="shared" si="14"/>
        <v>0</v>
      </c>
      <c r="AR56">
        <f t="shared" si="15"/>
        <v>0</v>
      </c>
      <c r="AS56" s="290">
        <f t="shared" si="16"/>
        <v>0</v>
      </c>
      <c r="AT56">
        <f t="shared" si="17"/>
        <v>0</v>
      </c>
      <c r="AU56" s="290">
        <f t="shared" si="18"/>
        <v>0</v>
      </c>
      <c r="AV56">
        <f t="shared" si="19"/>
        <v>0</v>
      </c>
      <c r="AW56">
        <f t="shared" si="20"/>
        <v>0</v>
      </c>
      <c r="AX56">
        <f t="shared" si="21"/>
        <v>0</v>
      </c>
      <c r="AY56">
        <f t="shared" si="26"/>
        <v>0</v>
      </c>
      <c r="AZ56" s="293">
        <f>(AK56*Pricing!F$2+AL56*Pricing!G$2+AM56*Pricing!H$2+AN56*Pricing!I$2+AO56*Pricing!J$2+AP56*Pricing!K$2)*IF(U$123="Y",1,(1+W$123))</f>
        <v>0</v>
      </c>
      <c r="BA56" s="294">
        <f t="shared" si="27"/>
        <v>0</v>
      </c>
      <c r="BB56" s="293" t="e">
        <f t="shared" si="28"/>
        <v>#DIV/0!</v>
      </c>
      <c r="BC56" s="294">
        <f t="shared" si="29"/>
        <v>0</v>
      </c>
      <c r="BD56" s="294">
        <f t="shared" si="30"/>
        <v>0</v>
      </c>
      <c r="BE56" s="295" t="e">
        <f t="shared" si="31"/>
        <v>#DIV/0!</v>
      </c>
      <c r="BF56" s="296" t="e">
        <f t="shared" si="32"/>
        <v>#DIV/0!</v>
      </c>
    </row>
    <row r="57" spans="2:58" ht="18" customHeight="1" x14ac:dyDescent="0.35">
      <c r="B57" s="2739">
        <v>47</v>
      </c>
      <c r="C57" s="2740"/>
      <c r="D57" s="1362"/>
      <c r="E57" s="1273"/>
      <c r="F57" s="1258"/>
      <c r="G57" s="1258"/>
      <c r="H57" s="1227"/>
      <c r="I57" s="777"/>
      <c r="J57" s="1226"/>
      <c r="K57" s="1259"/>
      <c r="L57" s="178"/>
      <c r="M57" s="178"/>
      <c r="N57" s="177"/>
      <c r="O57" s="1219"/>
      <c r="P57" s="178"/>
      <c r="Q57" s="177"/>
      <c r="R57" s="178"/>
      <c r="S57" s="177"/>
      <c r="T57" s="178"/>
      <c r="U57" s="1260"/>
      <c r="V57" s="1267">
        <f t="shared" si="22"/>
        <v>0</v>
      </c>
      <c r="W57" s="1268">
        <f t="shared" si="23"/>
        <v>0</v>
      </c>
      <c r="X57" s="1269">
        <f t="shared" si="24"/>
        <v>0</v>
      </c>
      <c r="Y57" s="1285">
        <f t="shared" si="25"/>
        <v>0</v>
      </c>
      <c r="Z57" s="42"/>
      <c r="AJ57">
        <f t="shared" ref="AJ57:AJ80" si="33">IF(I57&gt;0,1,0)</f>
        <v>0</v>
      </c>
      <c r="AK57">
        <f t="shared" si="8"/>
        <v>0</v>
      </c>
      <c r="AL57">
        <f t="shared" si="9"/>
        <v>0</v>
      </c>
      <c r="AM57">
        <f t="shared" si="10"/>
        <v>0</v>
      </c>
      <c r="AN57">
        <f t="shared" si="11"/>
        <v>0</v>
      </c>
      <c r="AO57">
        <f t="shared" si="12"/>
        <v>0</v>
      </c>
      <c r="AP57">
        <f t="shared" si="13"/>
        <v>0</v>
      </c>
      <c r="AQ57">
        <f t="shared" ref="AQ57:AQ80" si="34">SUM(AK57:AP57)</f>
        <v>0</v>
      </c>
      <c r="AR57">
        <f t="shared" ref="AR57:AR80" si="35">V57*I57</f>
        <v>0</v>
      </c>
      <c r="AS57" s="290">
        <f t="shared" ref="AS57:AS80" si="36">X57*I57</f>
        <v>0</v>
      </c>
      <c r="AT57">
        <f t="shared" ref="AT57:AT80" si="37">I57</f>
        <v>0</v>
      </c>
      <c r="AU57" s="290">
        <f t="shared" ref="AU57:AU80" si="38">(E57*2+(G57-H57)*2)*I57</f>
        <v>0</v>
      </c>
      <c r="AV57">
        <f t="shared" ref="AV57:AV80" si="39">E57*I57</f>
        <v>0</v>
      </c>
      <c r="AW57">
        <f t="shared" ref="AW57:AW80" si="40">IF(F57&gt;0,IF(F57&lt;6,AU57,0),0)</f>
        <v>0</v>
      </c>
      <c r="AX57">
        <f t="shared" ref="AX57:AX80" si="41">IF(F57&gt;0,IF(F57&gt;5.5,AU57,0),0)</f>
        <v>0</v>
      </c>
      <c r="AY57">
        <f t="shared" si="26"/>
        <v>0</v>
      </c>
      <c r="AZ57" s="293">
        <f>(AK57*Pricing!F$2+AL57*Pricing!G$2+AM57*Pricing!H$2+AN57*Pricing!I$2+AO57*Pricing!J$2+AP57*Pricing!K$2)*IF(U$123="Y",1,(1+W$123))</f>
        <v>0</v>
      </c>
      <c r="BA57" s="294">
        <f t="shared" si="27"/>
        <v>0</v>
      </c>
      <c r="BB57" s="293" t="e">
        <f t="shared" si="28"/>
        <v>#DIV/0!</v>
      </c>
      <c r="BC57" s="294">
        <f t="shared" si="29"/>
        <v>0</v>
      </c>
      <c r="BD57" s="294">
        <f t="shared" si="30"/>
        <v>0</v>
      </c>
      <c r="BE57" s="295" t="e">
        <f t="shared" si="31"/>
        <v>#DIV/0!</v>
      </c>
      <c r="BF57" s="296" t="e">
        <f t="shared" si="32"/>
        <v>#DIV/0!</v>
      </c>
    </row>
    <row r="58" spans="2:58" ht="18" customHeight="1" x14ac:dyDescent="0.35">
      <c r="B58" s="2739">
        <v>48</v>
      </c>
      <c r="C58" s="2740"/>
      <c r="D58" s="1361"/>
      <c r="E58" s="1273"/>
      <c r="F58" s="1261"/>
      <c r="G58" s="1261"/>
      <c r="H58" s="1228"/>
      <c r="I58" s="777"/>
      <c r="J58" s="448"/>
      <c r="K58" s="1262"/>
      <c r="L58" s="180"/>
      <c r="M58" s="180"/>
      <c r="N58" s="179"/>
      <c r="O58" s="1221"/>
      <c r="P58" s="180"/>
      <c r="Q58" s="179"/>
      <c r="R58" s="180"/>
      <c r="S58" s="179"/>
      <c r="T58" s="180"/>
      <c r="U58" s="1263"/>
      <c r="V58" s="1270">
        <f t="shared" si="22"/>
        <v>0</v>
      </c>
      <c r="W58" s="1271">
        <f t="shared" si="23"/>
        <v>0</v>
      </c>
      <c r="X58" s="1272">
        <f t="shared" si="24"/>
        <v>0</v>
      </c>
      <c r="Y58" s="1284">
        <f t="shared" si="25"/>
        <v>0</v>
      </c>
      <c r="Z58" s="42"/>
      <c r="AJ58">
        <f t="shared" si="33"/>
        <v>0</v>
      </c>
      <c r="AK58">
        <f t="shared" si="8"/>
        <v>0</v>
      </c>
      <c r="AL58">
        <f t="shared" si="9"/>
        <v>0</v>
      </c>
      <c r="AM58">
        <f t="shared" si="10"/>
        <v>0</v>
      </c>
      <c r="AN58">
        <f t="shared" si="11"/>
        <v>0</v>
      </c>
      <c r="AO58">
        <f t="shared" si="12"/>
        <v>0</v>
      </c>
      <c r="AP58">
        <f t="shared" si="13"/>
        <v>0</v>
      </c>
      <c r="AQ58">
        <f t="shared" si="34"/>
        <v>0</v>
      </c>
      <c r="AR58">
        <f t="shared" si="35"/>
        <v>0</v>
      </c>
      <c r="AS58" s="290">
        <f t="shared" si="36"/>
        <v>0</v>
      </c>
      <c r="AT58">
        <f t="shared" si="37"/>
        <v>0</v>
      </c>
      <c r="AU58" s="290">
        <f t="shared" si="38"/>
        <v>0</v>
      </c>
      <c r="AV58">
        <f t="shared" si="39"/>
        <v>0</v>
      </c>
      <c r="AW58">
        <f t="shared" si="40"/>
        <v>0</v>
      </c>
      <c r="AX58">
        <f t="shared" si="41"/>
        <v>0</v>
      </c>
      <c r="AY58">
        <f t="shared" si="26"/>
        <v>0</v>
      </c>
      <c r="AZ58" s="293">
        <f>(AK58*Pricing!F$2+AL58*Pricing!G$2+AM58*Pricing!H$2+AN58*Pricing!I$2+AO58*Pricing!J$2+AP58*Pricing!K$2)*IF(U$123="Y",1,(1+W$123))</f>
        <v>0</v>
      </c>
      <c r="BA58" s="294">
        <f t="shared" si="27"/>
        <v>0</v>
      </c>
      <c r="BB58" s="293" t="e">
        <f t="shared" si="28"/>
        <v>#DIV/0!</v>
      </c>
      <c r="BC58" s="294">
        <f t="shared" si="29"/>
        <v>0</v>
      </c>
      <c r="BD58" s="294">
        <f t="shared" si="30"/>
        <v>0</v>
      </c>
      <c r="BE58" s="295" t="e">
        <f t="shared" si="31"/>
        <v>#DIV/0!</v>
      </c>
      <c r="BF58" s="296" t="e">
        <f t="shared" si="32"/>
        <v>#DIV/0!</v>
      </c>
    </row>
    <row r="59" spans="2:58" ht="18" customHeight="1" x14ac:dyDescent="0.35">
      <c r="B59" s="2739">
        <v>49</v>
      </c>
      <c r="C59" s="2740"/>
      <c r="D59" s="1362"/>
      <c r="E59" s="1273"/>
      <c r="F59" s="1258"/>
      <c r="G59" s="1258"/>
      <c r="H59" s="1227"/>
      <c r="I59" s="777"/>
      <c r="J59" s="1226"/>
      <c r="K59" s="1259"/>
      <c r="L59" s="178"/>
      <c r="M59" s="178"/>
      <c r="N59" s="177"/>
      <c r="O59" s="1219"/>
      <c r="P59" s="178"/>
      <c r="Q59" s="177"/>
      <c r="R59" s="178"/>
      <c r="S59" s="177"/>
      <c r="T59" s="178"/>
      <c r="U59" s="1260"/>
      <c r="V59" s="1267">
        <f t="shared" si="22"/>
        <v>0</v>
      </c>
      <c r="W59" s="1268">
        <f t="shared" si="23"/>
        <v>0</v>
      </c>
      <c r="X59" s="1269">
        <f t="shared" si="24"/>
        <v>0</v>
      </c>
      <c r="Y59" s="1285">
        <f t="shared" si="25"/>
        <v>0</v>
      </c>
      <c r="Z59" s="42"/>
      <c r="AJ59">
        <f t="shared" si="33"/>
        <v>0</v>
      </c>
      <c r="AK59">
        <f t="shared" si="8"/>
        <v>0</v>
      </c>
      <c r="AL59">
        <f t="shared" si="9"/>
        <v>0</v>
      </c>
      <c r="AM59">
        <f t="shared" si="10"/>
        <v>0</v>
      </c>
      <c r="AN59">
        <f t="shared" si="11"/>
        <v>0</v>
      </c>
      <c r="AO59">
        <f t="shared" si="12"/>
        <v>0</v>
      </c>
      <c r="AP59">
        <f t="shared" si="13"/>
        <v>0</v>
      </c>
      <c r="AQ59">
        <f t="shared" si="34"/>
        <v>0</v>
      </c>
      <c r="AR59">
        <f t="shared" si="35"/>
        <v>0</v>
      </c>
      <c r="AS59" s="290">
        <f t="shared" si="36"/>
        <v>0</v>
      </c>
      <c r="AT59">
        <f t="shared" si="37"/>
        <v>0</v>
      </c>
      <c r="AU59" s="290">
        <f t="shared" si="38"/>
        <v>0</v>
      </c>
      <c r="AV59">
        <f t="shared" si="39"/>
        <v>0</v>
      </c>
      <c r="AW59">
        <f t="shared" si="40"/>
        <v>0</v>
      </c>
      <c r="AX59">
        <f t="shared" si="41"/>
        <v>0</v>
      </c>
      <c r="AY59">
        <f t="shared" si="26"/>
        <v>0</v>
      </c>
      <c r="AZ59" s="293">
        <f>(AK59*Pricing!F$2+AL59*Pricing!G$2+AM59*Pricing!H$2+AN59*Pricing!I$2+AO59*Pricing!J$2+AP59*Pricing!K$2)*IF(U$123="Y",1,(1+W$123))</f>
        <v>0</v>
      </c>
      <c r="BA59" s="294">
        <f t="shared" si="27"/>
        <v>0</v>
      </c>
      <c r="BB59" s="293" t="e">
        <f t="shared" si="28"/>
        <v>#DIV/0!</v>
      </c>
      <c r="BC59" s="294">
        <f t="shared" si="29"/>
        <v>0</v>
      </c>
      <c r="BD59" s="294">
        <f t="shared" si="30"/>
        <v>0</v>
      </c>
      <c r="BE59" s="295" t="e">
        <f t="shared" si="31"/>
        <v>#DIV/0!</v>
      </c>
      <c r="BF59" s="296" t="e">
        <f t="shared" si="32"/>
        <v>#DIV/0!</v>
      </c>
    </row>
    <row r="60" spans="2:58" ht="18" customHeight="1" x14ac:dyDescent="0.35">
      <c r="B60" s="2739">
        <v>50</v>
      </c>
      <c r="C60" s="2740"/>
      <c r="D60" s="1361"/>
      <c r="E60" s="1273"/>
      <c r="F60" s="1261"/>
      <c r="G60" s="1261"/>
      <c r="H60" s="1228"/>
      <c r="I60" s="777"/>
      <c r="J60" s="448"/>
      <c r="K60" s="1262"/>
      <c r="L60" s="180"/>
      <c r="M60" s="180"/>
      <c r="N60" s="179"/>
      <c r="O60" s="1221"/>
      <c r="P60" s="180"/>
      <c r="Q60" s="179"/>
      <c r="R60" s="180"/>
      <c r="S60" s="179"/>
      <c r="T60" s="180"/>
      <c r="U60" s="1263"/>
      <c r="V60" s="1270">
        <f t="shared" si="22"/>
        <v>0</v>
      </c>
      <c r="W60" s="1271">
        <f t="shared" si="23"/>
        <v>0</v>
      </c>
      <c r="X60" s="1272">
        <f t="shared" si="24"/>
        <v>0</v>
      </c>
      <c r="Y60" s="1284">
        <f t="shared" si="25"/>
        <v>0</v>
      </c>
      <c r="Z60" s="42"/>
      <c r="AJ60">
        <f t="shared" si="33"/>
        <v>0</v>
      </c>
      <c r="AK60">
        <f t="shared" si="8"/>
        <v>0</v>
      </c>
      <c r="AL60">
        <f t="shared" si="9"/>
        <v>0</v>
      </c>
      <c r="AM60">
        <f t="shared" si="10"/>
        <v>0</v>
      </c>
      <c r="AN60">
        <f t="shared" si="11"/>
        <v>0</v>
      </c>
      <c r="AO60">
        <f t="shared" si="12"/>
        <v>0</v>
      </c>
      <c r="AP60">
        <f t="shared" si="13"/>
        <v>0</v>
      </c>
      <c r="AQ60">
        <f t="shared" si="34"/>
        <v>0</v>
      </c>
      <c r="AR60">
        <f t="shared" si="35"/>
        <v>0</v>
      </c>
      <c r="AS60" s="290">
        <f t="shared" si="36"/>
        <v>0</v>
      </c>
      <c r="AT60">
        <f t="shared" si="37"/>
        <v>0</v>
      </c>
      <c r="AU60" s="290">
        <f t="shared" si="38"/>
        <v>0</v>
      </c>
      <c r="AV60">
        <f t="shared" si="39"/>
        <v>0</v>
      </c>
      <c r="AW60">
        <f t="shared" si="40"/>
        <v>0</v>
      </c>
      <c r="AX60">
        <f t="shared" si="41"/>
        <v>0</v>
      </c>
      <c r="AY60">
        <f t="shared" si="26"/>
        <v>0</v>
      </c>
      <c r="AZ60" s="293">
        <f>(AK60*Pricing!F$2+AL60*Pricing!G$2+AM60*Pricing!H$2+AN60*Pricing!I$2+AO60*Pricing!J$2+AP60*Pricing!K$2)*IF(U$123="Y",1,(1+W$123))</f>
        <v>0</v>
      </c>
      <c r="BA60" s="294">
        <f t="shared" si="27"/>
        <v>0</v>
      </c>
      <c r="BB60" s="293" t="e">
        <f t="shared" si="28"/>
        <v>#DIV/0!</v>
      </c>
      <c r="BC60" s="294">
        <f t="shared" si="29"/>
        <v>0</v>
      </c>
      <c r="BD60" s="294">
        <f t="shared" si="30"/>
        <v>0</v>
      </c>
      <c r="BE60" s="295" t="e">
        <f t="shared" si="31"/>
        <v>#DIV/0!</v>
      </c>
      <c r="BF60" s="296" t="e">
        <f t="shared" si="32"/>
        <v>#DIV/0!</v>
      </c>
    </row>
    <row r="61" spans="2:58" ht="18" customHeight="1" x14ac:dyDescent="0.35">
      <c r="B61" s="2739">
        <v>51</v>
      </c>
      <c r="C61" s="2740"/>
      <c r="D61" s="1362"/>
      <c r="E61" s="1273"/>
      <c r="F61" s="1258"/>
      <c r="G61" s="1258"/>
      <c r="H61" s="1227"/>
      <c r="I61" s="777"/>
      <c r="J61" s="1226"/>
      <c r="K61" s="1259"/>
      <c r="L61" s="178"/>
      <c r="M61" s="178"/>
      <c r="N61" s="177"/>
      <c r="O61" s="1219"/>
      <c r="P61" s="178"/>
      <c r="Q61" s="177"/>
      <c r="R61" s="178"/>
      <c r="S61" s="177"/>
      <c r="T61" s="178"/>
      <c r="U61" s="1260"/>
      <c r="V61" s="1267">
        <f t="shared" si="22"/>
        <v>0</v>
      </c>
      <c r="W61" s="1268">
        <f t="shared" si="23"/>
        <v>0</v>
      </c>
      <c r="X61" s="1269">
        <f t="shared" si="24"/>
        <v>0</v>
      </c>
      <c r="Y61" s="1285">
        <f t="shared" si="25"/>
        <v>0</v>
      </c>
      <c r="Z61" s="42"/>
      <c r="AJ61">
        <f t="shared" si="33"/>
        <v>0</v>
      </c>
      <c r="AK61">
        <f t="shared" si="8"/>
        <v>0</v>
      </c>
      <c r="AL61">
        <f t="shared" si="9"/>
        <v>0</v>
      </c>
      <c r="AM61">
        <f t="shared" si="10"/>
        <v>0</v>
      </c>
      <c r="AN61">
        <f t="shared" si="11"/>
        <v>0</v>
      </c>
      <c r="AO61">
        <f t="shared" si="12"/>
        <v>0</v>
      </c>
      <c r="AP61">
        <f t="shared" si="13"/>
        <v>0</v>
      </c>
      <c r="AQ61">
        <f t="shared" si="34"/>
        <v>0</v>
      </c>
      <c r="AR61">
        <f t="shared" si="35"/>
        <v>0</v>
      </c>
      <c r="AS61" s="290">
        <f t="shared" si="36"/>
        <v>0</v>
      </c>
      <c r="AT61">
        <f t="shared" si="37"/>
        <v>0</v>
      </c>
      <c r="AU61" s="290">
        <f t="shared" si="38"/>
        <v>0</v>
      </c>
      <c r="AV61">
        <f t="shared" si="39"/>
        <v>0</v>
      </c>
      <c r="AW61">
        <f t="shared" si="40"/>
        <v>0</v>
      </c>
      <c r="AX61">
        <f t="shared" si="41"/>
        <v>0</v>
      </c>
      <c r="AY61">
        <f t="shared" si="26"/>
        <v>0</v>
      </c>
      <c r="AZ61" s="293">
        <f>(AK61*Pricing!F$2+AL61*Pricing!G$2+AM61*Pricing!H$2+AN61*Pricing!I$2+AO61*Pricing!J$2+AP61*Pricing!K$2)*IF(U$123="Y",1,(1+W$123))</f>
        <v>0</v>
      </c>
      <c r="BA61" s="294">
        <f t="shared" si="27"/>
        <v>0</v>
      </c>
      <c r="BB61" s="293" t="e">
        <f t="shared" si="28"/>
        <v>#DIV/0!</v>
      </c>
      <c r="BC61" s="294">
        <f t="shared" si="29"/>
        <v>0</v>
      </c>
      <c r="BD61" s="294">
        <f t="shared" si="30"/>
        <v>0</v>
      </c>
      <c r="BE61" s="295" t="e">
        <f t="shared" si="31"/>
        <v>#DIV/0!</v>
      </c>
      <c r="BF61" s="296" t="e">
        <f t="shared" si="32"/>
        <v>#DIV/0!</v>
      </c>
    </row>
    <row r="62" spans="2:58" ht="18" customHeight="1" x14ac:dyDescent="0.35">
      <c r="B62" s="2739">
        <v>52</v>
      </c>
      <c r="C62" s="2740"/>
      <c r="D62" s="1361"/>
      <c r="E62" s="1273"/>
      <c r="F62" s="1261"/>
      <c r="G62" s="1261"/>
      <c r="H62" s="1228"/>
      <c r="I62" s="777"/>
      <c r="J62" s="448"/>
      <c r="K62" s="1262"/>
      <c r="L62" s="180"/>
      <c r="M62" s="180"/>
      <c r="N62" s="179"/>
      <c r="O62" s="1221"/>
      <c r="P62" s="180"/>
      <c r="Q62" s="179"/>
      <c r="R62" s="180"/>
      <c r="S62" s="179"/>
      <c r="T62" s="180"/>
      <c r="U62" s="1263"/>
      <c r="V62" s="1270">
        <f t="shared" si="22"/>
        <v>0</v>
      </c>
      <c r="W62" s="1271">
        <f t="shared" si="23"/>
        <v>0</v>
      </c>
      <c r="X62" s="1272">
        <f t="shared" si="24"/>
        <v>0</v>
      </c>
      <c r="Y62" s="1284">
        <f t="shared" si="25"/>
        <v>0</v>
      </c>
      <c r="Z62" s="42"/>
      <c r="AJ62">
        <f t="shared" si="33"/>
        <v>0</v>
      </c>
      <c r="AK62">
        <f t="shared" si="8"/>
        <v>0</v>
      </c>
      <c r="AL62">
        <f t="shared" si="9"/>
        <v>0</v>
      </c>
      <c r="AM62">
        <f t="shared" si="10"/>
        <v>0</v>
      </c>
      <c r="AN62">
        <f t="shared" si="11"/>
        <v>0</v>
      </c>
      <c r="AO62">
        <f t="shared" si="12"/>
        <v>0</v>
      </c>
      <c r="AP62">
        <f t="shared" si="13"/>
        <v>0</v>
      </c>
      <c r="AQ62">
        <f t="shared" si="34"/>
        <v>0</v>
      </c>
      <c r="AR62">
        <f t="shared" si="35"/>
        <v>0</v>
      </c>
      <c r="AS62" s="290">
        <f t="shared" si="36"/>
        <v>0</v>
      </c>
      <c r="AT62">
        <f t="shared" si="37"/>
        <v>0</v>
      </c>
      <c r="AU62" s="290">
        <f t="shared" si="38"/>
        <v>0</v>
      </c>
      <c r="AV62">
        <f t="shared" si="39"/>
        <v>0</v>
      </c>
      <c r="AW62">
        <f t="shared" si="40"/>
        <v>0</v>
      </c>
      <c r="AX62">
        <f t="shared" si="41"/>
        <v>0</v>
      </c>
      <c r="AY62">
        <f t="shared" si="26"/>
        <v>0</v>
      </c>
      <c r="AZ62" s="293">
        <f>(AK62*Pricing!F$2+AL62*Pricing!G$2+AM62*Pricing!H$2+AN62*Pricing!I$2+AO62*Pricing!J$2+AP62*Pricing!K$2)*IF(U$123="Y",1,(1+W$123))</f>
        <v>0</v>
      </c>
      <c r="BA62" s="294">
        <f t="shared" si="27"/>
        <v>0</v>
      </c>
      <c r="BB62" s="293" t="e">
        <f t="shared" si="28"/>
        <v>#DIV/0!</v>
      </c>
      <c r="BC62" s="294">
        <f t="shared" si="29"/>
        <v>0</v>
      </c>
      <c r="BD62" s="294">
        <f t="shared" si="30"/>
        <v>0</v>
      </c>
      <c r="BE62" s="295" t="e">
        <f t="shared" si="31"/>
        <v>#DIV/0!</v>
      </c>
      <c r="BF62" s="296" t="e">
        <f t="shared" si="32"/>
        <v>#DIV/0!</v>
      </c>
    </row>
    <row r="63" spans="2:58" ht="18" customHeight="1" x14ac:dyDescent="0.35">
      <c r="B63" s="2739">
        <v>53</v>
      </c>
      <c r="C63" s="2740"/>
      <c r="D63" s="1362"/>
      <c r="E63" s="1273"/>
      <c r="F63" s="1258"/>
      <c r="G63" s="1258"/>
      <c r="H63" s="1227"/>
      <c r="I63" s="777"/>
      <c r="J63" s="1226"/>
      <c r="K63" s="1259"/>
      <c r="L63" s="178"/>
      <c r="M63" s="178"/>
      <c r="N63" s="177"/>
      <c r="O63" s="1219"/>
      <c r="P63" s="178"/>
      <c r="Q63" s="177"/>
      <c r="R63" s="178"/>
      <c r="S63" s="177"/>
      <c r="T63" s="178"/>
      <c r="U63" s="1260"/>
      <c r="V63" s="1267">
        <f t="shared" si="22"/>
        <v>0</v>
      </c>
      <c r="W63" s="1268">
        <f t="shared" si="23"/>
        <v>0</v>
      </c>
      <c r="X63" s="1269">
        <f t="shared" si="24"/>
        <v>0</v>
      </c>
      <c r="Y63" s="1285">
        <f t="shared" si="25"/>
        <v>0</v>
      </c>
      <c r="Z63" s="42"/>
      <c r="AJ63">
        <f t="shared" si="33"/>
        <v>0</v>
      </c>
      <c r="AK63">
        <f t="shared" si="8"/>
        <v>0</v>
      </c>
      <c r="AL63">
        <f t="shared" si="9"/>
        <v>0</v>
      </c>
      <c r="AM63">
        <f t="shared" si="10"/>
        <v>0</v>
      </c>
      <c r="AN63">
        <f t="shared" si="11"/>
        <v>0</v>
      </c>
      <c r="AO63">
        <f t="shared" si="12"/>
        <v>0</v>
      </c>
      <c r="AP63">
        <f t="shared" si="13"/>
        <v>0</v>
      </c>
      <c r="AQ63">
        <f t="shared" si="34"/>
        <v>0</v>
      </c>
      <c r="AR63">
        <f t="shared" si="35"/>
        <v>0</v>
      </c>
      <c r="AS63" s="290">
        <f t="shared" si="36"/>
        <v>0</v>
      </c>
      <c r="AT63">
        <f t="shared" si="37"/>
        <v>0</v>
      </c>
      <c r="AU63" s="290">
        <f t="shared" si="38"/>
        <v>0</v>
      </c>
      <c r="AV63">
        <f t="shared" si="39"/>
        <v>0</v>
      </c>
      <c r="AW63">
        <f t="shared" si="40"/>
        <v>0</v>
      </c>
      <c r="AX63">
        <f t="shared" si="41"/>
        <v>0</v>
      </c>
      <c r="AY63">
        <f t="shared" si="26"/>
        <v>0</v>
      </c>
      <c r="AZ63" s="293">
        <f>(AK63*Pricing!F$2+AL63*Pricing!G$2+AM63*Pricing!H$2+AN63*Pricing!I$2+AO63*Pricing!J$2+AP63*Pricing!K$2)*IF(U$123="Y",1,(1+W$123))</f>
        <v>0</v>
      </c>
      <c r="BA63" s="294">
        <f t="shared" si="27"/>
        <v>0</v>
      </c>
      <c r="BB63" s="293" t="e">
        <f t="shared" si="28"/>
        <v>#DIV/0!</v>
      </c>
      <c r="BC63" s="294">
        <f t="shared" si="29"/>
        <v>0</v>
      </c>
      <c r="BD63" s="294">
        <f t="shared" si="30"/>
        <v>0</v>
      </c>
      <c r="BE63" s="295" t="e">
        <f t="shared" si="31"/>
        <v>#DIV/0!</v>
      </c>
      <c r="BF63" s="296" t="e">
        <f t="shared" si="32"/>
        <v>#DIV/0!</v>
      </c>
    </row>
    <row r="64" spans="2:58" ht="18" customHeight="1" x14ac:dyDescent="0.35">
      <c r="B64" s="2739">
        <v>54</v>
      </c>
      <c r="C64" s="2740"/>
      <c r="D64" s="1361"/>
      <c r="E64" s="1273"/>
      <c r="F64" s="1261"/>
      <c r="G64" s="1261"/>
      <c r="H64" s="1228"/>
      <c r="I64" s="777"/>
      <c r="J64" s="448"/>
      <c r="K64" s="1262"/>
      <c r="L64" s="180"/>
      <c r="M64" s="180"/>
      <c r="N64" s="179"/>
      <c r="O64" s="1221"/>
      <c r="P64" s="180"/>
      <c r="Q64" s="179"/>
      <c r="R64" s="180"/>
      <c r="S64" s="179"/>
      <c r="T64" s="180"/>
      <c r="U64" s="1263"/>
      <c r="V64" s="1270">
        <f t="shared" si="22"/>
        <v>0</v>
      </c>
      <c r="W64" s="1271">
        <f t="shared" si="23"/>
        <v>0</v>
      </c>
      <c r="X64" s="1272">
        <f t="shared" si="24"/>
        <v>0</v>
      </c>
      <c r="Y64" s="1284">
        <f t="shared" si="25"/>
        <v>0</v>
      </c>
      <c r="Z64" s="42"/>
      <c r="AJ64">
        <f t="shared" si="33"/>
        <v>0</v>
      </c>
      <c r="AK64">
        <f t="shared" si="8"/>
        <v>0</v>
      </c>
      <c r="AL64">
        <f t="shared" si="9"/>
        <v>0</v>
      </c>
      <c r="AM64">
        <f t="shared" si="10"/>
        <v>0</v>
      </c>
      <c r="AN64">
        <f t="shared" si="11"/>
        <v>0</v>
      </c>
      <c r="AO64">
        <f t="shared" si="12"/>
        <v>0</v>
      </c>
      <c r="AP64">
        <f t="shared" si="13"/>
        <v>0</v>
      </c>
      <c r="AQ64">
        <f t="shared" si="34"/>
        <v>0</v>
      </c>
      <c r="AR64">
        <f t="shared" si="35"/>
        <v>0</v>
      </c>
      <c r="AS64" s="290">
        <f t="shared" si="36"/>
        <v>0</v>
      </c>
      <c r="AT64">
        <f t="shared" si="37"/>
        <v>0</v>
      </c>
      <c r="AU64" s="290">
        <f t="shared" si="38"/>
        <v>0</v>
      </c>
      <c r="AV64">
        <f t="shared" si="39"/>
        <v>0</v>
      </c>
      <c r="AW64">
        <f t="shared" si="40"/>
        <v>0</v>
      </c>
      <c r="AX64">
        <f t="shared" si="41"/>
        <v>0</v>
      </c>
      <c r="AY64">
        <f t="shared" si="26"/>
        <v>0</v>
      </c>
      <c r="AZ64" s="293">
        <f>(AK64*Pricing!F$2+AL64*Pricing!G$2+AM64*Pricing!H$2+AN64*Pricing!I$2+AO64*Pricing!J$2+AP64*Pricing!K$2)*IF(U$123="Y",1,(1+W$123))</f>
        <v>0</v>
      </c>
      <c r="BA64" s="294">
        <f t="shared" si="27"/>
        <v>0</v>
      </c>
      <c r="BB64" s="293" t="e">
        <f t="shared" si="28"/>
        <v>#DIV/0!</v>
      </c>
      <c r="BC64" s="294">
        <f t="shared" si="29"/>
        <v>0</v>
      </c>
      <c r="BD64" s="294">
        <f t="shared" si="30"/>
        <v>0</v>
      </c>
      <c r="BE64" s="295" t="e">
        <f t="shared" si="31"/>
        <v>#DIV/0!</v>
      </c>
      <c r="BF64" s="296" t="e">
        <f t="shared" si="32"/>
        <v>#DIV/0!</v>
      </c>
    </row>
    <row r="65" spans="2:58" ht="18" customHeight="1" x14ac:dyDescent="0.35">
      <c r="B65" s="2739">
        <v>55</v>
      </c>
      <c r="C65" s="2740"/>
      <c r="D65" s="1362"/>
      <c r="E65" s="1273"/>
      <c r="F65" s="1258"/>
      <c r="G65" s="1258"/>
      <c r="H65" s="1227"/>
      <c r="I65" s="777"/>
      <c r="J65" s="1226"/>
      <c r="K65" s="1259"/>
      <c r="L65" s="178"/>
      <c r="M65" s="178"/>
      <c r="N65" s="177"/>
      <c r="O65" s="1219"/>
      <c r="P65" s="178"/>
      <c r="Q65" s="177"/>
      <c r="R65" s="178"/>
      <c r="S65" s="177"/>
      <c r="T65" s="178"/>
      <c r="U65" s="1260"/>
      <c r="V65" s="1267">
        <f t="shared" si="22"/>
        <v>0</v>
      </c>
      <c r="W65" s="1268">
        <f t="shared" si="23"/>
        <v>0</v>
      </c>
      <c r="X65" s="1269">
        <f t="shared" si="24"/>
        <v>0</v>
      </c>
      <c r="Y65" s="1285">
        <f t="shared" si="25"/>
        <v>0</v>
      </c>
      <c r="Z65" s="42"/>
      <c r="AJ65">
        <f t="shared" si="33"/>
        <v>0</v>
      </c>
      <c r="AK65">
        <f t="shared" si="8"/>
        <v>0</v>
      </c>
      <c r="AL65">
        <f t="shared" si="9"/>
        <v>0</v>
      </c>
      <c r="AM65">
        <f t="shared" si="10"/>
        <v>0</v>
      </c>
      <c r="AN65">
        <f t="shared" si="11"/>
        <v>0</v>
      </c>
      <c r="AO65">
        <f t="shared" si="12"/>
        <v>0</v>
      </c>
      <c r="AP65">
        <f t="shared" si="13"/>
        <v>0</v>
      </c>
      <c r="AQ65">
        <f t="shared" si="34"/>
        <v>0</v>
      </c>
      <c r="AR65">
        <f t="shared" si="35"/>
        <v>0</v>
      </c>
      <c r="AS65" s="290">
        <f t="shared" si="36"/>
        <v>0</v>
      </c>
      <c r="AT65">
        <f t="shared" si="37"/>
        <v>0</v>
      </c>
      <c r="AU65" s="290">
        <f t="shared" si="38"/>
        <v>0</v>
      </c>
      <c r="AV65">
        <f t="shared" si="39"/>
        <v>0</v>
      </c>
      <c r="AW65">
        <f t="shared" si="40"/>
        <v>0</v>
      </c>
      <c r="AX65">
        <f t="shared" si="41"/>
        <v>0</v>
      </c>
      <c r="AY65">
        <f t="shared" si="26"/>
        <v>0</v>
      </c>
      <c r="AZ65" s="293">
        <f>(AK65*Pricing!F$2+AL65*Pricing!G$2+AM65*Pricing!H$2+AN65*Pricing!I$2+AO65*Pricing!J$2+AP65*Pricing!K$2)*IF(U$123="Y",1,(1+W$123))</f>
        <v>0</v>
      </c>
      <c r="BA65" s="294">
        <f t="shared" si="27"/>
        <v>0</v>
      </c>
      <c r="BB65" s="293" t="e">
        <f t="shared" si="28"/>
        <v>#DIV/0!</v>
      </c>
      <c r="BC65" s="294">
        <f t="shared" si="29"/>
        <v>0</v>
      </c>
      <c r="BD65" s="294">
        <f t="shared" si="30"/>
        <v>0</v>
      </c>
      <c r="BE65" s="295" t="e">
        <f t="shared" si="31"/>
        <v>#DIV/0!</v>
      </c>
      <c r="BF65" s="296" t="e">
        <f t="shared" si="32"/>
        <v>#DIV/0!</v>
      </c>
    </row>
    <row r="66" spans="2:58" ht="18" customHeight="1" x14ac:dyDescent="0.35">
      <c r="B66" s="2739">
        <v>56</v>
      </c>
      <c r="C66" s="2740"/>
      <c r="D66" s="1361"/>
      <c r="E66" s="1273"/>
      <c r="F66" s="1261"/>
      <c r="G66" s="1261"/>
      <c r="H66" s="1228"/>
      <c r="I66" s="777"/>
      <c r="J66" s="448"/>
      <c r="K66" s="1262"/>
      <c r="L66" s="180"/>
      <c r="M66" s="180"/>
      <c r="N66" s="179"/>
      <c r="O66" s="1221"/>
      <c r="P66" s="180"/>
      <c r="Q66" s="179"/>
      <c r="R66" s="180"/>
      <c r="S66" s="179"/>
      <c r="T66" s="180"/>
      <c r="U66" s="1263"/>
      <c r="V66" s="1270">
        <f t="shared" si="22"/>
        <v>0</v>
      </c>
      <c r="W66" s="1271">
        <f t="shared" si="23"/>
        <v>0</v>
      </c>
      <c r="X66" s="1272">
        <f t="shared" si="24"/>
        <v>0</v>
      </c>
      <c r="Y66" s="1284">
        <f t="shared" si="25"/>
        <v>0</v>
      </c>
      <c r="Z66" s="42"/>
      <c r="AJ66">
        <f t="shared" si="33"/>
        <v>0</v>
      </c>
      <c r="AK66">
        <f t="shared" si="8"/>
        <v>0</v>
      </c>
      <c r="AL66">
        <f t="shared" si="9"/>
        <v>0</v>
      </c>
      <c r="AM66">
        <f t="shared" si="10"/>
        <v>0</v>
      </c>
      <c r="AN66">
        <f t="shared" si="11"/>
        <v>0</v>
      </c>
      <c r="AO66">
        <f t="shared" si="12"/>
        <v>0</v>
      </c>
      <c r="AP66">
        <f t="shared" si="13"/>
        <v>0</v>
      </c>
      <c r="AQ66">
        <f t="shared" si="34"/>
        <v>0</v>
      </c>
      <c r="AR66">
        <f t="shared" si="35"/>
        <v>0</v>
      </c>
      <c r="AS66" s="290">
        <f t="shared" si="36"/>
        <v>0</v>
      </c>
      <c r="AT66">
        <f t="shared" si="37"/>
        <v>0</v>
      </c>
      <c r="AU66" s="290">
        <f t="shared" si="38"/>
        <v>0</v>
      </c>
      <c r="AV66">
        <f t="shared" si="39"/>
        <v>0</v>
      </c>
      <c r="AW66">
        <f t="shared" si="40"/>
        <v>0</v>
      </c>
      <c r="AX66">
        <f t="shared" si="41"/>
        <v>0</v>
      </c>
      <c r="AY66">
        <f t="shared" si="26"/>
        <v>0</v>
      </c>
      <c r="AZ66" s="293">
        <f>(AK66*Pricing!F$2+AL66*Pricing!G$2+AM66*Pricing!H$2+AN66*Pricing!I$2+AO66*Pricing!J$2+AP66*Pricing!K$2)*IF(U$123="Y",1,(1+W$123))</f>
        <v>0</v>
      </c>
      <c r="BA66" s="294">
        <f t="shared" si="27"/>
        <v>0</v>
      </c>
      <c r="BB66" s="293" t="e">
        <f t="shared" si="28"/>
        <v>#DIV/0!</v>
      </c>
      <c r="BC66" s="294">
        <f t="shared" si="29"/>
        <v>0</v>
      </c>
      <c r="BD66" s="294">
        <f t="shared" si="30"/>
        <v>0</v>
      </c>
      <c r="BE66" s="295" t="e">
        <f t="shared" si="31"/>
        <v>#DIV/0!</v>
      </c>
      <c r="BF66" s="296" t="e">
        <f t="shared" si="32"/>
        <v>#DIV/0!</v>
      </c>
    </row>
    <row r="67" spans="2:58" ht="18" customHeight="1" x14ac:dyDescent="0.35">
      <c r="B67" s="2739">
        <v>57</v>
      </c>
      <c r="C67" s="2740"/>
      <c r="D67" s="1362"/>
      <c r="E67" s="1273"/>
      <c r="F67" s="1258"/>
      <c r="G67" s="1258"/>
      <c r="H67" s="1227"/>
      <c r="I67" s="777"/>
      <c r="J67" s="1226"/>
      <c r="K67" s="1259"/>
      <c r="L67" s="178"/>
      <c r="M67" s="178"/>
      <c r="N67" s="177"/>
      <c r="O67" s="1219"/>
      <c r="P67" s="178"/>
      <c r="Q67" s="177"/>
      <c r="R67" s="178"/>
      <c r="S67" s="177"/>
      <c r="T67" s="178"/>
      <c r="U67" s="1260"/>
      <c r="V67" s="1267">
        <f t="shared" si="22"/>
        <v>0</v>
      </c>
      <c r="W67" s="1268">
        <f t="shared" si="23"/>
        <v>0</v>
      </c>
      <c r="X67" s="1269">
        <f t="shared" si="24"/>
        <v>0</v>
      </c>
      <c r="Y67" s="1285">
        <f t="shared" si="25"/>
        <v>0</v>
      </c>
      <c r="Z67" s="42"/>
      <c r="AJ67">
        <f t="shared" si="33"/>
        <v>0</v>
      </c>
      <c r="AK67">
        <f t="shared" si="8"/>
        <v>0</v>
      </c>
      <c r="AL67">
        <f t="shared" si="9"/>
        <v>0</v>
      </c>
      <c r="AM67">
        <f t="shared" si="10"/>
        <v>0</v>
      </c>
      <c r="AN67">
        <f t="shared" si="11"/>
        <v>0</v>
      </c>
      <c r="AO67">
        <f t="shared" si="12"/>
        <v>0</v>
      </c>
      <c r="AP67">
        <f t="shared" si="13"/>
        <v>0</v>
      </c>
      <c r="AQ67">
        <f t="shared" si="34"/>
        <v>0</v>
      </c>
      <c r="AR67">
        <f t="shared" si="35"/>
        <v>0</v>
      </c>
      <c r="AS67" s="290">
        <f t="shared" si="36"/>
        <v>0</v>
      </c>
      <c r="AT67">
        <f t="shared" si="37"/>
        <v>0</v>
      </c>
      <c r="AU67" s="290">
        <f t="shared" si="38"/>
        <v>0</v>
      </c>
      <c r="AV67">
        <f t="shared" si="39"/>
        <v>0</v>
      </c>
      <c r="AW67">
        <f t="shared" si="40"/>
        <v>0</v>
      </c>
      <c r="AX67">
        <f t="shared" si="41"/>
        <v>0</v>
      </c>
      <c r="AY67">
        <f t="shared" si="26"/>
        <v>0</v>
      </c>
      <c r="AZ67" s="293">
        <f>(AK67*Pricing!F$2+AL67*Pricing!G$2+AM67*Pricing!H$2+AN67*Pricing!I$2+AO67*Pricing!J$2+AP67*Pricing!K$2)*IF(U$123="Y",1,(1+W$123))</f>
        <v>0</v>
      </c>
      <c r="BA67" s="294">
        <f t="shared" si="27"/>
        <v>0</v>
      </c>
      <c r="BB67" s="293" t="e">
        <f t="shared" si="28"/>
        <v>#DIV/0!</v>
      </c>
      <c r="BC67" s="294">
        <f t="shared" si="29"/>
        <v>0</v>
      </c>
      <c r="BD67" s="294">
        <f t="shared" si="30"/>
        <v>0</v>
      </c>
      <c r="BE67" s="295" t="e">
        <f t="shared" si="31"/>
        <v>#DIV/0!</v>
      </c>
      <c r="BF67" s="296" t="e">
        <f t="shared" si="32"/>
        <v>#DIV/0!</v>
      </c>
    </row>
    <row r="68" spans="2:58" ht="18" customHeight="1" x14ac:dyDescent="0.35">
      <c r="B68" s="2739">
        <v>58</v>
      </c>
      <c r="C68" s="2740"/>
      <c r="D68" s="1361"/>
      <c r="E68" s="1273"/>
      <c r="F68" s="1261"/>
      <c r="G68" s="1261"/>
      <c r="H68" s="1228"/>
      <c r="I68" s="777"/>
      <c r="J68" s="448"/>
      <c r="K68" s="1262"/>
      <c r="L68" s="180"/>
      <c r="M68" s="180"/>
      <c r="N68" s="179"/>
      <c r="O68" s="1221"/>
      <c r="P68" s="180"/>
      <c r="Q68" s="179"/>
      <c r="R68" s="180"/>
      <c r="S68" s="179"/>
      <c r="T68" s="180"/>
      <c r="U68" s="1263"/>
      <c r="V68" s="1270">
        <f t="shared" si="22"/>
        <v>0</v>
      </c>
      <c r="W68" s="1271">
        <f t="shared" si="23"/>
        <v>0</v>
      </c>
      <c r="X68" s="1272">
        <f t="shared" si="24"/>
        <v>0</v>
      </c>
      <c r="Y68" s="1284">
        <f t="shared" si="25"/>
        <v>0</v>
      </c>
      <c r="Z68" s="42"/>
      <c r="AJ68">
        <f t="shared" si="33"/>
        <v>0</v>
      </c>
      <c r="AK68">
        <f t="shared" si="8"/>
        <v>0</v>
      </c>
      <c r="AL68">
        <f t="shared" si="9"/>
        <v>0</v>
      </c>
      <c r="AM68">
        <f t="shared" si="10"/>
        <v>0</v>
      </c>
      <c r="AN68">
        <f t="shared" si="11"/>
        <v>0</v>
      </c>
      <c r="AO68">
        <f t="shared" si="12"/>
        <v>0</v>
      </c>
      <c r="AP68">
        <f t="shared" si="13"/>
        <v>0</v>
      </c>
      <c r="AQ68">
        <f t="shared" si="34"/>
        <v>0</v>
      </c>
      <c r="AR68">
        <f t="shared" si="35"/>
        <v>0</v>
      </c>
      <c r="AS68" s="290">
        <f t="shared" si="36"/>
        <v>0</v>
      </c>
      <c r="AT68">
        <f t="shared" si="37"/>
        <v>0</v>
      </c>
      <c r="AU68" s="290">
        <f t="shared" si="38"/>
        <v>0</v>
      </c>
      <c r="AV68">
        <f t="shared" si="39"/>
        <v>0</v>
      </c>
      <c r="AW68">
        <f t="shared" si="40"/>
        <v>0</v>
      </c>
      <c r="AX68">
        <f t="shared" si="41"/>
        <v>0</v>
      </c>
      <c r="AY68">
        <f t="shared" si="26"/>
        <v>0</v>
      </c>
      <c r="AZ68" s="293">
        <f>(AK68*Pricing!F$2+AL68*Pricing!G$2+AM68*Pricing!H$2+AN68*Pricing!I$2+AO68*Pricing!J$2+AP68*Pricing!K$2)*IF(U$123="Y",1,(1+W$123))</f>
        <v>0</v>
      </c>
      <c r="BA68" s="294">
        <f t="shared" si="27"/>
        <v>0</v>
      </c>
      <c r="BB68" s="293" t="e">
        <f t="shared" si="28"/>
        <v>#DIV/0!</v>
      </c>
      <c r="BC68" s="294">
        <f t="shared" si="29"/>
        <v>0</v>
      </c>
      <c r="BD68" s="294">
        <f t="shared" si="30"/>
        <v>0</v>
      </c>
      <c r="BE68" s="295" t="e">
        <f t="shared" si="31"/>
        <v>#DIV/0!</v>
      </c>
      <c r="BF68" s="296" t="e">
        <f t="shared" si="32"/>
        <v>#DIV/0!</v>
      </c>
    </row>
    <row r="69" spans="2:58" ht="18" customHeight="1" x14ac:dyDescent="0.35">
      <c r="B69" s="2739">
        <v>59</v>
      </c>
      <c r="C69" s="2740"/>
      <c r="D69" s="1362"/>
      <c r="E69" s="1273"/>
      <c r="F69" s="1258"/>
      <c r="G69" s="1258"/>
      <c r="H69" s="1227"/>
      <c r="I69" s="777"/>
      <c r="J69" s="1226"/>
      <c r="K69" s="1259"/>
      <c r="L69" s="178"/>
      <c r="M69" s="178"/>
      <c r="N69" s="177"/>
      <c r="O69" s="1219"/>
      <c r="P69" s="178"/>
      <c r="Q69" s="177"/>
      <c r="R69" s="178"/>
      <c r="S69" s="177"/>
      <c r="T69" s="178"/>
      <c r="U69" s="1260"/>
      <c r="V69" s="1267">
        <f t="shared" si="22"/>
        <v>0</v>
      </c>
      <c r="W69" s="1268">
        <f t="shared" si="23"/>
        <v>0</v>
      </c>
      <c r="X69" s="1269">
        <f t="shared" si="24"/>
        <v>0</v>
      </c>
      <c r="Y69" s="1285">
        <f t="shared" si="25"/>
        <v>0</v>
      </c>
      <c r="Z69" s="42"/>
      <c r="AJ69">
        <f t="shared" si="33"/>
        <v>0</v>
      </c>
      <c r="AK69">
        <f t="shared" si="8"/>
        <v>0</v>
      </c>
      <c r="AL69">
        <f t="shared" si="9"/>
        <v>0</v>
      </c>
      <c r="AM69">
        <f t="shared" si="10"/>
        <v>0</v>
      </c>
      <c r="AN69">
        <f t="shared" si="11"/>
        <v>0</v>
      </c>
      <c r="AO69">
        <f t="shared" si="12"/>
        <v>0</v>
      </c>
      <c r="AP69">
        <f t="shared" si="13"/>
        <v>0</v>
      </c>
      <c r="AQ69">
        <f t="shared" si="34"/>
        <v>0</v>
      </c>
      <c r="AR69">
        <f t="shared" si="35"/>
        <v>0</v>
      </c>
      <c r="AS69" s="290">
        <f t="shared" si="36"/>
        <v>0</v>
      </c>
      <c r="AT69">
        <f t="shared" si="37"/>
        <v>0</v>
      </c>
      <c r="AU69" s="290">
        <f t="shared" si="38"/>
        <v>0</v>
      </c>
      <c r="AV69">
        <f t="shared" si="39"/>
        <v>0</v>
      </c>
      <c r="AW69">
        <f t="shared" si="40"/>
        <v>0</v>
      </c>
      <c r="AX69">
        <f t="shared" si="41"/>
        <v>0</v>
      </c>
      <c r="AY69">
        <f t="shared" si="26"/>
        <v>0</v>
      </c>
      <c r="AZ69" s="293">
        <f>(AK69*Pricing!F$2+AL69*Pricing!G$2+AM69*Pricing!H$2+AN69*Pricing!I$2+AO69*Pricing!J$2+AP69*Pricing!K$2)*IF(U$123="Y",1,(1+W$123))</f>
        <v>0</v>
      </c>
      <c r="BA69" s="294">
        <f t="shared" si="27"/>
        <v>0</v>
      </c>
      <c r="BB69" s="293" t="e">
        <f t="shared" si="28"/>
        <v>#DIV/0!</v>
      </c>
      <c r="BC69" s="294">
        <f t="shared" si="29"/>
        <v>0</v>
      </c>
      <c r="BD69" s="294">
        <f t="shared" si="30"/>
        <v>0</v>
      </c>
      <c r="BE69" s="295" t="e">
        <f t="shared" si="31"/>
        <v>#DIV/0!</v>
      </c>
      <c r="BF69" s="296" t="e">
        <f t="shared" si="32"/>
        <v>#DIV/0!</v>
      </c>
    </row>
    <row r="70" spans="2:58" ht="18" customHeight="1" x14ac:dyDescent="0.35">
      <c r="B70" s="2739">
        <v>60</v>
      </c>
      <c r="C70" s="2740"/>
      <c r="D70" s="1361"/>
      <c r="E70" s="1273"/>
      <c r="F70" s="1261"/>
      <c r="G70" s="1261"/>
      <c r="H70" s="1228"/>
      <c r="I70" s="777"/>
      <c r="J70" s="448"/>
      <c r="K70" s="1262"/>
      <c r="L70" s="180"/>
      <c r="M70" s="180"/>
      <c r="N70" s="179"/>
      <c r="O70" s="1221"/>
      <c r="P70" s="180"/>
      <c r="Q70" s="179"/>
      <c r="R70" s="180"/>
      <c r="S70" s="179"/>
      <c r="T70" s="180"/>
      <c r="U70" s="1263"/>
      <c r="V70" s="1270">
        <f t="shared" si="22"/>
        <v>0</v>
      </c>
      <c r="W70" s="1271">
        <f t="shared" si="23"/>
        <v>0</v>
      </c>
      <c r="X70" s="1272">
        <f t="shared" si="24"/>
        <v>0</v>
      </c>
      <c r="Y70" s="1284">
        <f t="shared" si="25"/>
        <v>0</v>
      </c>
      <c r="Z70" s="42"/>
      <c r="AJ70">
        <f t="shared" si="33"/>
        <v>0</v>
      </c>
      <c r="AK70">
        <f t="shared" si="8"/>
        <v>0</v>
      </c>
      <c r="AL70">
        <f t="shared" si="9"/>
        <v>0</v>
      </c>
      <c r="AM70">
        <f t="shared" si="10"/>
        <v>0</v>
      </c>
      <c r="AN70">
        <f t="shared" si="11"/>
        <v>0</v>
      </c>
      <c r="AO70">
        <f t="shared" si="12"/>
        <v>0</v>
      </c>
      <c r="AP70">
        <f t="shared" si="13"/>
        <v>0</v>
      </c>
      <c r="AQ70">
        <f t="shared" si="34"/>
        <v>0</v>
      </c>
      <c r="AR70">
        <f t="shared" si="35"/>
        <v>0</v>
      </c>
      <c r="AS70" s="290">
        <f t="shared" si="36"/>
        <v>0</v>
      </c>
      <c r="AT70">
        <f t="shared" si="37"/>
        <v>0</v>
      </c>
      <c r="AU70" s="290">
        <f t="shared" si="38"/>
        <v>0</v>
      </c>
      <c r="AV70">
        <f t="shared" si="39"/>
        <v>0</v>
      </c>
      <c r="AW70">
        <f t="shared" si="40"/>
        <v>0</v>
      </c>
      <c r="AX70">
        <f t="shared" si="41"/>
        <v>0</v>
      </c>
      <c r="AY70">
        <f t="shared" si="26"/>
        <v>0</v>
      </c>
      <c r="AZ70" s="293">
        <f>(AK70*Pricing!F$2+AL70*Pricing!G$2+AM70*Pricing!H$2+AN70*Pricing!I$2+AO70*Pricing!J$2+AP70*Pricing!K$2)*IF(U$123="Y",1,(1+W$123))</f>
        <v>0</v>
      </c>
      <c r="BA70" s="294">
        <f t="shared" si="27"/>
        <v>0</v>
      </c>
      <c r="BB70" s="293" t="e">
        <f t="shared" si="28"/>
        <v>#DIV/0!</v>
      </c>
      <c r="BC70" s="294">
        <f t="shared" si="29"/>
        <v>0</v>
      </c>
      <c r="BD70" s="294">
        <f t="shared" si="30"/>
        <v>0</v>
      </c>
      <c r="BE70" s="295" t="e">
        <f t="shared" si="31"/>
        <v>#DIV/0!</v>
      </c>
      <c r="BF70" s="296" t="e">
        <f t="shared" si="32"/>
        <v>#DIV/0!</v>
      </c>
    </row>
    <row r="71" spans="2:58" ht="18" customHeight="1" x14ac:dyDescent="0.35">
      <c r="B71" s="2739">
        <v>61</v>
      </c>
      <c r="C71" s="2740"/>
      <c r="D71" s="1362"/>
      <c r="E71" s="1273"/>
      <c r="F71" s="1258"/>
      <c r="G71" s="1258"/>
      <c r="H71" s="1227"/>
      <c r="I71" s="777"/>
      <c r="J71" s="1226"/>
      <c r="K71" s="1259"/>
      <c r="L71" s="178"/>
      <c r="M71" s="178"/>
      <c r="N71" s="177"/>
      <c r="O71" s="1219"/>
      <c r="P71" s="178"/>
      <c r="Q71" s="177"/>
      <c r="R71" s="178"/>
      <c r="S71" s="177"/>
      <c r="T71" s="178"/>
      <c r="U71" s="1260"/>
      <c r="V71" s="1267">
        <f t="shared" si="22"/>
        <v>0</v>
      </c>
      <c r="W71" s="1268">
        <f t="shared" si="23"/>
        <v>0</v>
      </c>
      <c r="X71" s="1269">
        <f t="shared" si="24"/>
        <v>0</v>
      </c>
      <c r="Y71" s="1285">
        <f t="shared" si="25"/>
        <v>0</v>
      </c>
      <c r="Z71" s="42"/>
      <c r="AJ71">
        <f t="shared" si="33"/>
        <v>0</v>
      </c>
      <c r="AK71">
        <f t="shared" si="8"/>
        <v>0</v>
      </c>
      <c r="AL71">
        <f t="shared" si="9"/>
        <v>0</v>
      </c>
      <c r="AM71">
        <f t="shared" si="10"/>
        <v>0</v>
      </c>
      <c r="AN71">
        <f t="shared" si="11"/>
        <v>0</v>
      </c>
      <c r="AO71">
        <f t="shared" si="12"/>
        <v>0</v>
      </c>
      <c r="AP71">
        <f t="shared" si="13"/>
        <v>0</v>
      </c>
      <c r="AQ71">
        <f t="shared" si="34"/>
        <v>0</v>
      </c>
      <c r="AR71">
        <f t="shared" si="35"/>
        <v>0</v>
      </c>
      <c r="AS71" s="290">
        <f t="shared" si="36"/>
        <v>0</v>
      </c>
      <c r="AT71">
        <f t="shared" si="37"/>
        <v>0</v>
      </c>
      <c r="AU71" s="290">
        <f t="shared" si="38"/>
        <v>0</v>
      </c>
      <c r="AV71">
        <f t="shared" si="39"/>
        <v>0</v>
      </c>
      <c r="AW71">
        <f t="shared" si="40"/>
        <v>0</v>
      </c>
      <c r="AX71">
        <f t="shared" si="41"/>
        <v>0</v>
      </c>
      <c r="AY71">
        <f t="shared" si="26"/>
        <v>0</v>
      </c>
      <c r="AZ71" s="293">
        <f>(AK71*Pricing!F$2+AL71*Pricing!G$2+AM71*Pricing!H$2+AN71*Pricing!I$2+AO71*Pricing!J$2+AP71*Pricing!K$2)*IF(U$123="Y",1,(1+W$123))</f>
        <v>0</v>
      </c>
      <c r="BA71" s="294">
        <f t="shared" si="27"/>
        <v>0</v>
      </c>
      <c r="BB71" s="293" t="e">
        <f t="shared" si="28"/>
        <v>#DIV/0!</v>
      </c>
      <c r="BC71" s="294">
        <f t="shared" si="29"/>
        <v>0</v>
      </c>
      <c r="BD71" s="294">
        <f t="shared" si="30"/>
        <v>0</v>
      </c>
      <c r="BE71" s="295" t="e">
        <f t="shared" si="31"/>
        <v>#DIV/0!</v>
      </c>
      <c r="BF71" s="296" t="e">
        <f t="shared" si="32"/>
        <v>#DIV/0!</v>
      </c>
    </row>
    <row r="72" spans="2:58" ht="18" customHeight="1" x14ac:dyDescent="0.35">
      <c r="B72" s="2739">
        <v>62</v>
      </c>
      <c r="C72" s="2740"/>
      <c r="D72" s="1361"/>
      <c r="E72" s="1273"/>
      <c r="F72" s="1261"/>
      <c r="G72" s="1261"/>
      <c r="H72" s="1228"/>
      <c r="I72" s="777"/>
      <c r="J72" s="448"/>
      <c r="K72" s="1262"/>
      <c r="L72" s="180"/>
      <c r="M72" s="180"/>
      <c r="N72" s="179"/>
      <c r="O72" s="1221"/>
      <c r="P72" s="180"/>
      <c r="Q72" s="179"/>
      <c r="R72" s="180"/>
      <c r="S72" s="179"/>
      <c r="T72" s="180"/>
      <c r="U72" s="1263"/>
      <c r="V72" s="1270">
        <f t="shared" si="22"/>
        <v>0</v>
      </c>
      <c r="W72" s="1271">
        <f t="shared" si="23"/>
        <v>0</v>
      </c>
      <c r="X72" s="1272">
        <f t="shared" si="24"/>
        <v>0</v>
      </c>
      <c r="Y72" s="1284">
        <f t="shared" si="25"/>
        <v>0</v>
      </c>
      <c r="Z72" s="42"/>
      <c r="AJ72">
        <f t="shared" si="33"/>
        <v>0</v>
      </c>
      <c r="AK72">
        <f t="shared" si="8"/>
        <v>0</v>
      </c>
      <c r="AL72">
        <f t="shared" si="9"/>
        <v>0</v>
      </c>
      <c r="AM72">
        <f t="shared" si="10"/>
        <v>0</v>
      </c>
      <c r="AN72">
        <f t="shared" si="11"/>
        <v>0</v>
      </c>
      <c r="AO72">
        <f t="shared" si="12"/>
        <v>0</v>
      </c>
      <c r="AP72">
        <f t="shared" si="13"/>
        <v>0</v>
      </c>
      <c r="AQ72">
        <f t="shared" si="34"/>
        <v>0</v>
      </c>
      <c r="AR72">
        <f t="shared" si="35"/>
        <v>0</v>
      </c>
      <c r="AS72" s="290">
        <f t="shared" si="36"/>
        <v>0</v>
      </c>
      <c r="AT72">
        <f t="shared" si="37"/>
        <v>0</v>
      </c>
      <c r="AU72" s="290">
        <f t="shared" si="38"/>
        <v>0</v>
      </c>
      <c r="AV72">
        <f t="shared" si="39"/>
        <v>0</v>
      </c>
      <c r="AW72">
        <f t="shared" si="40"/>
        <v>0</v>
      </c>
      <c r="AX72">
        <f t="shared" si="41"/>
        <v>0</v>
      </c>
      <c r="AY72">
        <f t="shared" si="26"/>
        <v>0</v>
      </c>
      <c r="AZ72" s="293">
        <f>(AK72*Pricing!F$2+AL72*Pricing!G$2+AM72*Pricing!H$2+AN72*Pricing!I$2+AO72*Pricing!J$2+AP72*Pricing!K$2)*IF(U$123="Y",1,(1+W$123))</f>
        <v>0</v>
      </c>
      <c r="BA72" s="294">
        <f t="shared" si="27"/>
        <v>0</v>
      </c>
      <c r="BB72" s="293" t="e">
        <f t="shared" si="28"/>
        <v>#DIV/0!</v>
      </c>
      <c r="BC72" s="294">
        <f t="shared" si="29"/>
        <v>0</v>
      </c>
      <c r="BD72" s="294">
        <f t="shared" si="30"/>
        <v>0</v>
      </c>
      <c r="BE72" s="295" t="e">
        <f t="shared" si="31"/>
        <v>#DIV/0!</v>
      </c>
      <c r="BF72" s="296" t="e">
        <f t="shared" si="32"/>
        <v>#DIV/0!</v>
      </c>
    </row>
    <row r="73" spans="2:58" ht="18" customHeight="1" x14ac:dyDescent="0.35">
      <c r="B73" s="2739">
        <v>63</v>
      </c>
      <c r="C73" s="2740"/>
      <c r="D73" s="1362"/>
      <c r="E73" s="1273"/>
      <c r="F73" s="1258"/>
      <c r="G73" s="1258"/>
      <c r="H73" s="1227"/>
      <c r="I73" s="777"/>
      <c r="J73" s="1226"/>
      <c r="K73" s="1259"/>
      <c r="L73" s="178"/>
      <c r="M73" s="178"/>
      <c r="N73" s="177"/>
      <c r="O73" s="1219"/>
      <c r="P73" s="178"/>
      <c r="Q73" s="177"/>
      <c r="R73" s="178"/>
      <c r="S73" s="177"/>
      <c r="T73" s="178"/>
      <c r="U73" s="1260"/>
      <c r="V73" s="1267">
        <f t="shared" si="22"/>
        <v>0</v>
      </c>
      <c r="W73" s="1268">
        <f t="shared" si="23"/>
        <v>0</v>
      </c>
      <c r="X73" s="1269">
        <f t="shared" si="24"/>
        <v>0</v>
      </c>
      <c r="Y73" s="1285">
        <f t="shared" si="25"/>
        <v>0</v>
      </c>
      <c r="Z73" s="42"/>
      <c r="AJ73">
        <f t="shared" si="33"/>
        <v>0</v>
      </c>
      <c r="AK73">
        <f t="shared" si="8"/>
        <v>0</v>
      </c>
      <c r="AL73">
        <f t="shared" si="9"/>
        <v>0</v>
      </c>
      <c r="AM73">
        <f t="shared" si="10"/>
        <v>0</v>
      </c>
      <c r="AN73">
        <f t="shared" si="11"/>
        <v>0</v>
      </c>
      <c r="AO73">
        <f t="shared" si="12"/>
        <v>0</v>
      </c>
      <c r="AP73">
        <f t="shared" si="13"/>
        <v>0</v>
      </c>
      <c r="AQ73">
        <f t="shared" si="34"/>
        <v>0</v>
      </c>
      <c r="AR73">
        <f t="shared" si="35"/>
        <v>0</v>
      </c>
      <c r="AS73" s="290">
        <f t="shared" si="36"/>
        <v>0</v>
      </c>
      <c r="AT73">
        <f t="shared" si="37"/>
        <v>0</v>
      </c>
      <c r="AU73" s="290">
        <f t="shared" si="38"/>
        <v>0</v>
      </c>
      <c r="AV73">
        <f t="shared" si="39"/>
        <v>0</v>
      </c>
      <c r="AW73">
        <f t="shared" si="40"/>
        <v>0</v>
      </c>
      <c r="AX73">
        <f t="shared" si="41"/>
        <v>0</v>
      </c>
      <c r="AY73">
        <f t="shared" si="26"/>
        <v>0</v>
      </c>
      <c r="AZ73" s="293">
        <f>(AK73*Pricing!F$2+AL73*Pricing!G$2+AM73*Pricing!H$2+AN73*Pricing!I$2+AO73*Pricing!J$2+AP73*Pricing!K$2)*IF(U$123="Y",1,(1+W$123))</f>
        <v>0</v>
      </c>
      <c r="BA73" s="294">
        <f t="shared" si="27"/>
        <v>0</v>
      </c>
      <c r="BB73" s="293" t="e">
        <f t="shared" si="28"/>
        <v>#DIV/0!</v>
      </c>
      <c r="BC73" s="294">
        <f t="shared" si="29"/>
        <v>0</v>
      </c>
      <c r="BD73" s="294">
        <f t="shared" si="30"/>
        <v>0</v>
      </c>
      <c r="BE73" s="295" t="e">
        <f t="shared" si="31"/>
        <v>#DIV/0!</v>
      </c>
      <c r="BF73" s="296" t="e">
        <f t="shared" si="32"/>
        <v>#DIV/0!</v>
      </c>
    </row>
    <row r="74" spans="2:58" ht="18" customHeight="1" x14ac:dyDescent="0.35">
      <c r="B74" s="2739">
        <v>64</v>
      </c>
      <c r="C74" s="2740"/>
      <c r="D74" s="1361"/>
      <c r="E74" s="1273"/>
      <c r="F74" s="1261"/>
      <c r="G74" s="1261"/>
      <c r="H74" s="1228"/>
      <c r="I74" s="777"/>
      <c r="J74" s="448"/>
      <c r="K74" s="1262"/>
      <c r="L74" s="180"/>
      <c r="M74" s="180"/>
      <c r="N74" s="179"/>
      <c r="O74" s="1221"/>
      <c r="P74" s="180"/>
      <c r="Q74" s="179"/>
      <c r="R74" s="180"/>
      <c r="S74" s="179"/>
      <c r="T74" s="180"/>
      <c r="U74" s="1263"/>
      <c r="V74" s="1270">
        <f t="shared" si="22"/>
        <v>0</v>
      </c>
      <c r="W74" s="1271">
        <f t="shared" si="23"/>
        <v>0</v>
      </c>
      <c r="X74" s="1272">
        <f t="shared" si="24"/>
        <v>0</v>
      </c>
      <c r="Y74" s="1284">
        <f t="shared" si="25"/>
        <v>0</v>
      </c>
      <c r="Z74" s="42"/>
      <c r="AJ74">
        <f t="shared" si="33"/>
        <v>0</v>
      </c>
      <c r="AK74">
        <f t="shared" si="8"/>
        <v>0</v>
      </c>
      <c r="AL74">
        <f t="shared" si="9"/>
        <v>0</v>
      </c>
      <c r="AM74">
        <f t="shared" si="10"/>
        <v>0</v>
      </c>
      <c r="AN74">
        <f t="shared" si="11"/>
        <v>0</v>
      </c>
      <c r="AO74">
        <f t="shared" si="12"/>
        <v>0</v>
      </c>
      <c r="AP74">
        <f t="shared" si="13"/>
        <v>0</v>
      </c>
      <c r="AQ74">
        <f t="shared" si="34"/>
        <v>0</v>
      </c>
      <c r="AR74">
        <f t="shared" si="35"/>
        <v>0</v>
      </c>
      <c r="AS74" s="290">
        <f t="shared" si="36"/>
        <v>0</v>
      </c>
      <c r="AT74">
        <f t="shared" si="37"/>
        <v>0</v>
      </c>
      <c r="AU74" s="290">
        <f t="shared" si="38"/>
        <v>0</v>
      </c>
      <c r="AV74">
        <f t="shared" si="39"/>
        <v>0</v>
      </c>
      <c r="AW74">
        <f t="shared" si="40"/>
        <v>0</v>
      </c>
      <c r="AX74">
        <f t="shared" si="41"/>
        <v>0</v>
      </c>
      <c r="AY74">
        <f t="shared" si="26"/>
        <v>0</v>
      </c>
      <c r="AZ74" s="293">
        <f>(AK74*Pricing!F$2+AL74*Pricing!G$2+AM74*Pricing!H$2+AN74*Pricing!I$2+AO74*Pricing!J$2+AP74*Pricing!K$2)*IF(U$123="Y",1,(1+W$123))</f>
        <v>0</v>
      </c>
      <c r="BA74" s="294">
        <f t="shared" si="27"/>
        <v>0</v>
      </c>
      <c r="BB74" s="293" t="e">
        <f t="shared" si="28"/>
        <v>#DIV/0!</v>
      </c>
      <c r="BC74" s="294">
        <f t="shared" si="29"/>
        <v>0</v>
      </c>
      <c r="BD74" s="294">
        <f t="shared" si="30"/>
        <v>0</v>
      </c>
      <c r="BE74" s="295" t="e">
        <f t="shared" si="31"/>
        <v>#DIV/0!</v>
      </c>
      <c r="BF74" s="296" t="e">
        <f t="shared" si="32"/>
        <v>#DIV/0!</v>
      </c>
    </row>
    <row r="75" spans="2:58" ht="18" customHeight="1" x14ac:dyDescent="0.35">
      <c r="B75" s="2739">
        <v>65</v>
      </c>
      <c r="C75" s="2740"/>
      <c r="D75" s="1362"/>
      <c r="E75" s="1273"/>
      <c r="F75" s="1258"/>
      <c r="G75" s="1258"/>
      <c r="H75" s="1227"/>
      <c r="I75" s="777"/>
      <c r="J75" s="1226"/>
      <c r="K75" s="1259"/>
      <c r="L75" s="178"/>
      <c r="M75" s="178"/>
      <c r="N75" s="177"/>
      <c r="O75" s="1219"/>
      <c r="P75" s="178"/>
      <c r="Q75" s="177"/>
      <c r="R75" s="178"/>
      <c r="S75" s="177"/>
      <c r="T75" s="178"/>
      <c r="U75" s="1260"/>
      <c r="V75" s="1267">
        <f t="shared" si="22"/>
        <v>0</v>
      </c>
      <c r="W75" s="1268">
        <f t="shared" si="23"/>
        <v>0</v>
      </c>
      <c r="X75" s="1269">
        <f t="shared" si="24"/>
        <v>0</v>
      </c>
      <c r="Y75" s="1285">
        <f t="shared" si="25"/>
        <v>0</v>
      </c>
      <c r="Z75" s="42"/>
      <c r="AJ75">
        <f t="shared" si="33"/>
        <v>0</v>
      </c>
      <c r="AK75">
        <f t="shared" si="8"/>
        <v>0</v>
      </c>
      <c r="AL75">
        <f t="shared" si="9"/>
        <v>0</v>
      </c>
      <c r="AM75">
        <f t="shared" si="10"/>
        <v>0</v>
      </c>
      <c r="AN75">
        <f t="shared" si="11"/>
        <v>0</v>
      </c>
      <c r="AO75">
        <f t="shared" si="12"/>
        <v>0</v>
      </c>
      <c r="AP75">
        <f t="shared" si="13"/>
        <v>0</v>
      </c>
      <c r="AQ75">
        <f t="shared" si="34"/>
        <v>0</v>
      </c>
      <c r="AR75">
        <f t="shared" si="35"/>
        <v>0</v>
      </c>
      <c r="AS75" s="290">
        <f t="shared" si="36"/>
        <v>0</v>
      </c>
      <c r="AT75">
        <f t="shared" si="37"/>
        <v>0</v>
      </c>
      <c r="AU75" s="290">
        <f t="shared" si="38"/>
        <v>0</v>
      </c>
      <c r="AV75">
        <f t="shared" si="39"/>
        <v>0</v>
      </c>
      <c r="AW75">
        <f t="shared" si="40"/>
        <v>0</v>
      </c>
      <c r="AX75">
        <f t="shared" si="41"/>
        <v>0</v>
      </c>
      <c r="AY75">
        <f t="shared" ref="AY75:AY108" si="42">V75*I75*G$137*IF(U$123="Y",1,(1+W$123))</f>
        <v>0</v>
      </c>
      <c r="AZ75" s="293">
        <f>(AK75*Pricing!F$2+AL75*Pricing!G$2+AM75*Pricing!H$2+AN75*Pricing!I$2+AO75*Pricing!J$2+AP75*Pricing!K$2)*IF(U$123="Y",1,(1+W$123))</f>
        <v>0</v>
      </c>
      <c r="BA75" s="294">
        <f t="shared" ref="BA75:BA108" si="43">AS75*(H$148+E$151)+IF(I$148=0,0,(L$147+O$147)/I$148*AS75)</f>
        <v>0</v>
      </c>
      <c r="BB75" s="293" t="e">
        <f t="shared" ref="BB75:BB108" si="44">M$157/AS$120*AS75</f>
        <v>#DIV/0!</v>
      </c>
      <c r="BC75" s="294">
        <f t="shared" ref="BC75:BC108" si="45">AR75/2000*E$152</f>
        <v>0</v>
      </c>
      <c r="BD75" s="294">
        <f t="shared" ref="BD75:BD108" si="46">AV75*6.5*H$153/27*E$153</f>
        <v>0</v>
      </c>
      <c r="BE75" s="295" t="e">
        <f t="shared" ref="BE75:BE108" si="47">IF(AS$120=0,0,SUM(O$160:P$165)+SUM(O$167:P$172)+X$172)/AS$120*AS75</f>
        <v>#DIV/0!</v>
      </c>
      <c r="BF75" s="296" t="e">
        <f t="shared" ref="BF75:BF108" si="48">SUM(O$141:P$144)/AV$120*AV75</f>
        <v>#DIV/0!</v>
      </c>
    </row>
    <row r="76" spans="2:58" ht="18" customHeight="1" x14ac:dyDescent="0.35">
      <c r="B76" s="2739">
        <v>66</v>
      </c>
      <c r="C76" s="2740"/>
      <c r="D76" s="1361"/>
      <c r="E76" s="1273"/>
      <c r="F76" s="1261"/>
      <c r="G76" s="1261"/>
      <c r="H76" s="1228"/>
      <c r="I76" s="777"/>
      <c r="J76" s="448"/>
      <c r="K76" s="1262"/>
      <c r="L76" s="180"/>
      <c r="M76" s="180"/>
      <c r="N76" s="179"/>
      <c r="O76" s="1221"/>
      <c r="P76" s="180"/>
      <c r="Q76" s="179"/>
      <c r="R76" s="180"/>
      <c r="S76" s="179"/>
      <c r="T76" s="180"/>
      <c r="U76" s="1263"/>
      <c r="V76" s="1270">
        <f t="shared" si="22"/>
        <v>0</v>
      </c>
      <c r="W76" s="1271">
        <f t="shared" si="23"/>
        <v>0</v>
      </c>
      <c r="X76" s="1272">
        <f t="shared" si="24"/>
        <v>0</v>
      </c>
      <c r="Y76" s="1284">
        <f t="shared" si="25"/>
        <v>0</v>
      </c>
      <c r="Z76" s="42"/>
      <c r="AJ76">
        <f t="shared" si="33"/>
        <v>0</v>
      </c>
      <c r="AK76">
        <f t="shared" si="8"/>
        <v>0</v>
      </c>
      <c r="AL76">
        <f t="shared" si="9"/>
        <v>0</v>
      </c>
      <c r="AM76">
        <f t="shared" si="10"/>
        <v>0</v>
      </c>
      <c r="AN76">
        <f t="shared" si="11"/>
        <v>0</v>
      </c>
      <c r="AO76">
        <f t="shared" si="12"/>
        <v>0</v>
      </c>
      <c r="AP76">
        <f t="shared" si="13"/>
        <v>0</v>
      </c>
      <c r="AQ76">
        <f t="shared" si="34"/>
        <v>0</v>
      </c>
      <c r="AR76">
        <f t="shared" si="35"/>
        <v>0</v>
      </c>
      <c r="AS76" s="290">
        <f t="shared" si="36"/>
        <v>0</v>
      </c>
      <c r="AT76">
        <f t="shared" si="37"/>
        <v>0</v>
      </c>
      <c r="AU76" s="290">
        <f t="shared" si="38"/>
        <v>0</v>
      </c>
      <c r="AV76">
        <f t="shared" si="39"/>
        <v>0</v>
      </c>
      <c r="AW76">
        <f t="shared" si="40"/>
        <v>0</v>
      </c>
      <c r="AX76">
        <f t="shared" si="41"/>
        <v>0</v>
      </c>
      <c r="AY76">
        <f t="shared" si="42"/>
        <v>0</v>
      </c>
      <c r="AZ76" s="293">
        <f>(AK76*Pricing!F$2+AL76*Pricing!G$2+AM76*Pricing!H$2+AN76*Pricing!I$2+AO76*Pricing!J$2+AP76*Pricing!K$2)*IF(U$123="Y",1,(1+W$123))</f>
        <v>0</v>
      </c>
      <c r="BA76" s="294">
        <f t="shared" si="43"/>
        <v>0</v>
      </c>
      <c r="BB76" s="293" t="e">
        <f t="shared" si="44"/>
        <v>#DIV/0!</v>
      </c>
      <c r="BC76" s="294">
        <f t="shared" si="45"/>
        <v>0</v>
      </c>
      <c r="BD76" s="294">
        <f t="shared" si="46"/>
        <v>0</v>
      </c>
      <c r="BE76" s="295" t="e">
        <f t="shared" si="47"/>
        <v>#DIV/0!</v>
      </c>
      <c r="BF76" s="296" t="e">
        <f t="shared" si="48"/>
        <v>#DIV/0!</v>
      </c>
    </row>
    <row r="77" spans="2:58" ht="18" customHeight="1" x14ac:dyDescent="0.35">
      <c r="B77" s="2739">
        <v>67</v>
      </c>
      <c r="C77" s="2740"/>
      <c r="D77" s="1362"/>
      <c r="E77" s="1273"/>
      <c r="F77" s="1258"/>
      <c r="G77" s="1258"/>
      <c r="H77" s="1227"/>
      <c r="I77" s="777"/>
      <c r="J77" s="1226"/>
      <c r="K77" s="1259"/>
      <c r="L77" s="178"/>
      <c r="M77" s="178"/>
      <c r="N77" s="177"/>
      <c r="O77" s="1219"/>
      <c r="P77" s="178"/>
      <c r="Q77" s="177"/>
      <c r="R77" s="178"/>
      <c r="S77" s="177"/>
      <c r="T77" s="178"/>
      <c r="U77" s="1260"/>
      <c r="V77" s="1267">
        <f t="shared" ref="V77:V118" si="49">IF(I77=0,0,(IF(L77=0,0,E77*(G77-H77)*12/L77*N77*(M77/16*M77/16*10.7028))+IF(O77=0,0,((G77-H77)*12/O77*E77*Q77)*P77/16*P77/16*10.7028)+(R77*E77+R77*(G77-H77))*2*(S77/16*S77/16*10.7028)+IF(J77&gt;0,R77*E77+R77*(G77-H77)*2*(S77/16*S77/16*10.7028))+IF(I77=0,0,T77*4*U77/16*U77/16*10.7028))*(1+K$137))</f>
        <v>0</v>
      </c>
      <c r="W77" s="1268">
        <f t="shared" ref="W77:W118" si="50">IF(I77=0,0,((E77*F77/12*(G77-H77)/27)-(J77*K77*F77/324))*(1+K$134))</f>
        <v>0</v>
      </c>
      <c r="X77" s="1269">
        <f t="shared" si="24"/>
        <v>0</v>
      </c>
      <c r="Y77" s="1285">
        <f t="shared" si="25"/>
        <v>0</v>
      </c>
      <c r="Z77" s="42"/>
      <c r="AJ77">
        <f t="shared" si="33"/>
        <v>0</v>
      </c>
      <c r="AK77">
        <f t="shared" si="8"/>
        <v>0</v>
      </c>
      <c r="AL77">
        <f t="shared" si="9"/>
        <v>0</v>
      </c>
      <c r="AM77">
        <f t="shared" si="10"/>
        <v>0</v>
      </c>
      <c r="AN77">
        <f t="shared" si="11"/>
        <v>0</v>
      </c>
      <c r="AO77">
        <f t="shared" si="12"/>
        <v>0</v>
      </c>
      <c r="AP77">
        <f t="shared" si="13"/>
        <v>0</v>
      </c>
      <c r="AQ77">
        <f t="shared" si="34"/>
        <v>0</v>
      </c>
      <c r="AR77">
        <f t="shared" si="35"/>
        <v>0</v>
      </c>
      <c r="AS77" s="290">
        <f t="shared" si="36"/>
        <v>0</v>
      </c>
      <c r="AT77">
        <f t="shared" si="37"/>
        <v>0</v>
      </c>
      <c r="AU77" s="290">
        <f t="shared" si="38"/>
        <v>0</v>
      </c>
      <c r="AV77">
        <f t="shared" si="39"/>
        <v>0</v>
      </c>
      <c r="AW77">
        <f t="shared" si="40"/>
        <v>0</v>
      </c>
      <c r="AX77">
        <f t="shared" si="41"/>
        <v>0</v>
      </c>
      <c r="AY77">
        <f t="shared" si="42"/>
        <v>0</v>
      </c>
      <c r="AZ77" s="293">
        <f>(AK77*Pricing!F$2+AL77*Pricing!G$2+AM77*Pricing!H$2+AN77*Pricing!I$2+AO77*Pricing!J$2+AP77*Pricing!K$2)*IF(U$123="Y",1,(1+W$123))</f>
        <v>0</v>
      </c>
      <c r="BA77" s="294">
        <f t="shared" si="43"/>
        <v>0</v>
      </c>
      <c r="BB77" s="293" t="e">
        <f t="shared" si="44"/>
        <v>#DIV/0!</v>
      </c>
      <c r="BC77" s="294">
        <f t="shared" si="45"/>
        <v>0</v>
      </c>
      <c r="BD77" s="294">
        <f t="shared" si="46"/>
        <v>0</v>
      </c>
      <c r="BE77" s="295" t="e">
        <f t="shared" si="47"/>
        <v>#DIV/0!</v>
      </c>
      <c r="BF77" s="296" t="e">
        <f t="shared" si="48"/>
        <v>#DIV/0!</v>
      </c>
    </row>
    <row r="78" spans="2:58" ht="18" customHeight="1" x14ac:dyDescent="0.35">
      <c r="B78" s="2739">
        <v>68</v>
      </c>
      <c r="C78" s="2740"/>
      <c r="D78" s="1361"/>
      <c r="E78" s="1273"/>
      <c r="F78" s="1261"/>
      <c r="G78" s="1261"/>
      <c r="H78" s="1228"/>
      <c r="I78" s="777"/>
      <c r="J78" s="448"/>
      <c r="K78" s="1262"/>
      <c r="L78" s="180"/>
      <c r="M78" s="180"/>
      <c r="N78" s="179"/>
      <c r="O78" s="1221"/>
      <c r="P78" s="180"/>
      <c r="Q78" s="179"/>
      <c r="R78" s="180"/>
      <c r="S78" s="179"/>
      <c r="T78" s="180"/>
      <c r="U78" s="1263"/>
      <c r="V78" s="1270">
        <f t="shared" si="49"/>
        <v>0</v>
      </c>
      <c r="W78" s="1271">
        <f t="shared" si="50"/>
        <v>0</v>
      </c>
      <c r="X78" s="1272">
        <f t="shared" ref="X78:X118" si="51">(G78-H78)*E78</f>
        <v>0</v>
      </c>
      <c r="Y78" s="1284">
        <f t="shared" ref="Y78:Y118" si="52">IF(I78=0,0,SUM(AZ78:BF78)/I78)</f>
        <v>0</v>
      </c>
      <c r="Z78" s="42"/>
      <c r="AJ78">
        <f t="shared" si="33"/>
        <v>0</v>
      </c>
      <c r="AK78">
        <f t="shared" si="8"/>
        <v>0</v>
      </c>
      <c r="AL78">
        <f t="shared" si="9"/>
        <v>0</v>
      </c>
      <c r="AM78">
        <f t="shared" si="10"/>
        <v>0</v>
      </c>
      <c r="AN78">
        <f t="shared" si="11"/>
        <v>0</v>
      </c>
      <c r="AO78">
        <f t="shared" si="12"/>
        <v>0</v>
      </c>
      <c r="AP78">
        <f t="shared" si="13"/>
        <v>0</v>
      </c>
      <c r="AQ78">
        <f t="shared" si="34"/>
        <v>0</v>
      </c>
      <c r="AR78">
        <f t="shared" si="35"/>
        <v>0</v>
      </c>
      <c r="AS78" s="290">
        <f t="shared" si="36"/>
        <v>0</v>
      </c>
      <c r="AT78">
        <f t="shared" si="37"/>
        <v>0</v>
      </c>
      <c r="AU78" s="290">
        <f t="shared" si="38"/>
        <v>0</v>
      </c>
      <c r="AV78">
        <f t="shared" si="39"/>
        <v>0</v>
      </c>
      <c r="AW78">
        <f t="shared" si="40"/>
        <v>0</v>
      </c>
      <c r="AX78">
        <f t="shared" si="41"/>
        <v>0</v>
      </c>
      <c r="AY78">
        <f t="shared" si="42"/>
        <v>0</v>
      </c>
      <c r="AZ78" s="293">
        <f>(AK78*Pricing!F$2+AL78*Pricing!G$2+AM78*Pricing!H$2+AN78*Pricing!I$2+AO78*Pricing!J$2+AP78*Pricing!K$2)*IF(U$123="Y",1,(1+W$123))</f>
        <v>0</v>
      </c>
      <c r="BA78" s="294">
        <f t="shared" si="43"/>
        <v>0</v>
      </c>
      <c r="BB78" s="293" t="e">
        <f t="shared" si="44"/>
        <v>#DIV/0!</v>
      </c>
      <c r="BC78" s="294">
        <f t="shared" si="45"/>
        <v>0</v>
      </c>
      <c r="BD78" s="294">
        <f t="shared" si="46"/>
        <v>0</v>
      </c>
      <c r="BE78" s="295" t="e">
        <f t="shared" si="47"/>
        <v>#DIV/0!</v>
      </c>
      <c r="BF78" s="296" t="e">
        <f t="shared" si="48"/>
        <v>#DIV/0!</v>
      </c>
    </row>
    <row r="79" spans="2:58" ht="18" customHeight="1" x14ac:dyDescent="0.35">
      <c r="B79" s="2739">
        <v>69</v>
      </c>
      <c r="C79" s="2740"/>
      <c r="D79" s="1362"/>
      <c r="E79" s="1273"/>
      <c r="F79" s="1258"/>
      <c r="G79" s="1258"/>
      <c r="H79" s="1227"/>
      <c r="I79" s="777"/>
      <c r="J79" s="1226"/>
      <c r="K79" s="1259"/>
      <c r="L79" s="178"/>
      <c r="M79" s="178"/>
      <c r="N79" s="177"/>
      <c r="O79" s="1219"/>
      <c r="P79" s="178"/>
      <c r="Q79" s="177"/>
      <c r="R79" s="178"/>
      <c r="S79" s="177"/>
      <c r="T79" s="178"/>
      <c r="U79" s="1260"/>
      <c r="V79" s="1267">
        <f t="shared" si="49"/>
        <v>0</v>
      </c>
      <c r="W79" s="1268">
        <f t="shared" si="50"/>
        <v>0</v>
      </c>
      <c r="X79" s="1269">
        <f t="shared" si="51"/>
        <v>0</v>
      </c>
      <c r="Y79" s="1285">
        <f t="shared" si="52"/>
        <v>0</v>
      </c>
      <c r="Z79" s="42"/>
      <c r="AJ79">
        <f t="shared" si="33"/>
        <v>0</v>
      </c>
      <c r="AK79">
        <f t="shared" si="8"/>
        <v>0</v>
      </c>
      <c r="AL79">
        <f t="shared" si="9"/>
        <v>0</v>
      </c>
      <c r="AM79">
        <f t="shared" si="10"/>
        <v>0</v>
      </c>
      <c r="AN79">
        <f t="shared" si="11"/>
        <v>0</v>
      </c>
      <c r="AO79">
        <f t="shared" si="12"/>
        <v>0</v>
      </c>
      <c r="AP79">
        <f t="shared" si="13"/>
        <v>0</v>
      </c>
      <c r="AQ79">
        <f t="shared" si="34"/>
        <v>0</v>
      </c>
      <c r="AR79">
        <f t="shared" si="35"/>
        <v>0</v>
      </c>
      <c r="AS79" s="290">
        <f t="shared" si="36"/>
        <v>0</v>
      </c>
      <c r="AT79">
        <f t="shared" si="37"/>
        <v>0</v>
      </c>
      <c r="AU79" s="290">
        <f t="shared" si="38"/>
        <v>0</v>
      </c>
      <c r="AV79">
        <f t="shared" si="39"/>
        <v>0</v>
      </c>
      <c r="AW79">
        <f t="shared" si="40"/>
        <v>0</v>
      </c>
      <c r="AX79">
        <f t="shared" si="41"/>
        <v>0</v>
      </c>
      <c r="AY79">
        <f t="shared" si="42"/>
        <v>0</v>
      </c>
      <c r="AZ79" s="293">
        <f>(AK79*Pricing!F$2+AL79*Pricing!G$2+AM79*Pricing!H$2+AN79*Pricing!I$2+AO79*Pricing!J$2+AP79*Pricing!K$2)*IF(U$123="Y",1,(1+W$123))</f>
        <v>0</v>
      </c>
      <c r="BA79" s="294">
        <f t="shared" si="43"/>
        <v>0</v>
      </c>
      <c r="BB79" s="293" t="e">
        <f t="shared" si="44"/>
        <v>#DIV/0!</v>
      </c>
      <c r="BC79" s="294">
        <f t="shared" si="45"/>
        <v>0</v>
      </c>
      <c r="BD79" s="294">
        <f t="shared" si="46"/>
        <v>0</v>
      </c>
      <c r="BE79" s="295" t="e">
        <f t="shared" si="47"/>
        <v>#DIV/0!</v>
      </c>
      <c r="BF79" s="296" t="e">
        <f t="shared" si="48"/>
        <v>#DIV/0!</v>
      </c>
    </row>
    <row r="80" spans="2:58" ht="18" customHeight="1" x14ac:dyDescent="0.35">
      <c r="B80" s="2739">
        <v>70</v>
      </c>
      <c r="C80" s="2740"/>
      <c r="D80" s="1361"/>
      <c r="E80" s="1273"/>
      <c r="F80" s="1261"/>
      <c r="G80" s="1261"/>
      <c r="H80" s="1228"/>
      <c r="I80" s="777"/>
      <c r="J80" s="448"/>
      <c r="K80" s="1262"/>
      <c r="L80" s="180"/>
      <c r="M80" s="180"/>
      <c r="N80" s="179"/>
      <c r="O80" s="1221"/>
      <c r="P80" s="180"/>
      <c r="Q80" s="179"/>
      <c r="R80" s="180"/>
      <c r="S80" s="179"/>
      <c r="T80" s="180"/>
      <c r="U80" s="1263"/>
      <c r="V80" s="1270">
        <f t="shared" si="49"/>
        <v>0</v>
      </c>
      <c r="W80" s="1271">
        <f t="shared" si="50"/>
        <v>0</v>
      </c>
      <c r="X80" s="1272">
        <f t="shared" si="51"/>
        <v>0</v>
      </c>
      <c r="Y80" s="1284">
        <f t="shared" si="52"/>
        <v>0</v>
      </c>
      <c r="Z80" s="42"/>
      <c r="AJ80">
        <f t="shared" si="33"/>
        <v>0</v>
      </c>
      <c r="AK80">
        <f t="shared" si="8"/>
        <v>0</v>
      </c>
      <c r="AL80">
        <f t="shared" si="9"/>
        <v>0</v>
      </c>
      <c r="AM80">
        <f t="shared" si="10"/>
        <v>0</v>
      </c>
      <c r="AN80">
        <f t="shared" si="11"/>
        <v>0</v>
      </c>
      <c r="AO80">
        <f t="shared" si="12"/>
        <v>0</v>
      </c>
      <c r="AP80">
        <f t="shared" si="13"/>
        <v>0</v>
      </c>
      <c r="AQ80">
        <f t="shared" si="34"/>
        <v>0</v>
      </c>
      <c r="AR80">
        <f t="shared" si="35"/>
        <v>0</v>
      </c>
      <c r="AS80" s="290">
        <f t="shared" si="36"/>
        <v>0</v>
      </c>
      <c r="AT80">
        <f t="shared" si="37"/>
        <v>0</v>
      </c>
      <c r="AU80" s="290">
        <f t="shared" si="38"/>
        <v>0</v>
      </c>
      <c r="AV80">
        <f t="shared" si="39"/>
        <v>0</v>
      </c>
      <c r="AW80">
        <f t="shared" si="40"/>
        <v>0</v>
      </c>
      <c r="AX80">
        <f t="shared" si="41"/>
        <v>0</v>
      </c>
      <c r="AY80">
        <f t="shared" si="42"/>
        <v>0</v>
      </c>
      <c r="AZ80" s="293">
        <f>(AK80*Pricing!F$2+AL80*Pricing!G$2+AM80*Pricing!H$2+AN80*Pricing!I$2+AO80*Pricing!J$2+AP80*Pricing!K$2)*IF(U$123="Y",1,(1+W$123))</f>
        <v>0</v>
      </c>
      <c r="BA80" s="294">
        <f t="shared" si="43"/>
        <v>0</v>
      </c>
      <c r="BB80" s="293" t="e">
        <f t="shared" si="44"/>
        <v>#DIV/0!</v>
      </c>
      <c r="BC80" s="294">
        <f t="shared" si="45"/>
        <v>0</v>
      </c>
      <c r="BD80" s="294">
        <f t="shared" si="46"/>
        <v>0</v>
      </c>
      <c r="BE80" s="295" t="e">
        <f t="shared" si="47"/>
        <v>#DIV/0!</v>
      </c>
      <c r="BF80" s="296" t="e">
        <f t="shared" si="48"/>
        <v>#DIV/0!</v>
      </c>
    </row>
    <row r="81" spans="2:58" ht="18" customHeight="1" x14ac:dyDescent="0.35">
      <c r="B81" s="2739">
        <v>71</v>
      </c>
      <c r="C81" s="2740"/>
      <c r="D81" s="1362"/>
      <c r="E81" s="1273"/>
      <c r="F81" s="1258"/>
      <c r="G81" s="1258"/>
      <c r="H81" s="1227"/>
      <c r="I81" s="777"/>
      <c r="J81" s="1226"/>
      <c r="K81" s="1259"/>
      <c r="L81" s="178"/>
      <c r="M81" s="178"/>
      <c r="N81" s="177"/>
      <c r="O81" s="1219"/>
      <c r="P81" s="178"/>
      <c r="Q81" s="177"/>
      <c r="R81" s="178"/>
      <c r="S81" s="177"/>
      <c r="T81" s="178"/>
      <c r="U81" s="1260"/>
      <c r="V81" s="1267">
        <f t="shared" si="49"/>
        <v>0</v>
      </c>
      <c r="W81" s="1268">
        <f t="shared" si="50"/>
        <v>0</v>
      </c>
      <c r="X81" s="1269">
        <f t="shared" si="51"/>
        <v>0</v>
      </c>
      <c r="Y81" s="1285">
        <f t="shared" si="52"/>
        <v>0</v>
      </c>
      <c r="Z81" s="42"/>
      <c r="AJ81">
        <f t="shared" si="7"/>
        <v>0</v>
      </c>
      <c r="AK81">
        <f t="shared" si="8"/>
        <v>0</v>
      </c>
      <c r="AL81">
        <f t="shared" si="9"/>
        <v>0</v>
      </c>
      <c r="AM81">
        <f t="shared" si="10"/>
        <v>0</v>
      </c>
      <c r="AN81">
        <f t="shared" si="11"/>
        <v>0</v>
      </c>
      <c r="AO81">
        <f t="shared" si="12"/>
        <v>0</v>
      </c>
      <c r="AP81">
        <f t="shared" si="13"/>
        <v>0</v>
      </c>
      <c r="AQ81">
        <f t="shared" si="14"/>
        <v>0</v>
      </c>
      <c r="AR81">
        <f t="shared" si="15"/>
        <v>0</v>
      </c>
      <c r="AS81" s="290">
        <f t="shared" si="16"/>
        <v>0</v>
      </c>
      <c r="AT81">
        <f t="shared" si="17"/>
        <v>0</v>
      </c>
      <c r="AU81" s="290">
        <f t="shared" si="18"/>
        <v>0</v>
      </c>
      <c r="AV81">
        <f t="shared" si="19"/>
        <v>0</v>
      </c>
      <c r="AW81">
        <f t="shared" si="20"/>
        <v>0</v>
      </c>
      <c r="AX81">
        <f t="shared" si="21"/>
        <v>0</v>
      </c>
      <c r="AY81">
        <f t="shared" si="42"/>
        <v>0</v>
      </c>
      <c r="AZ81" s="293">
        <f>(AK81*Pricing!F$2+AL81*Pricing!G$2+AM81*Pricing!H$2+AN81*Pricing!I$2+AO81*Pricing!J$2+AP81*Pricing!K$2)*IF(U$123="Y",1,(1+W$123))</f>
        <v>0</v>
      </c>
      <c r="BA81" s="294">
        <f t="shared" si="43"/>
        <v>0</v>
      </c>
      <c r="BB81" s="293" t="e">
        <f t="shared" si="44"/>
        <v>#DIV/0!</v>
      </c>
      <c r="BC81" s="294">
        <f t="shared" si="45"/>
        <v>0</v>
      </c>
      <c r="BD81" s="294">
        <f t="shared" si="46"/>
        <v>0</v>
      </c>
      <c r="BE81" s="295" t="e">
        <f t="shared" si="47"/>
        <v>#DIV/0!</v>
      </c>
      <c r="BF81" s="296" t="e">
        <f t="shared" si="48"/>
        <v>#DIV/0!</v>
      </c>
    </row>
    <row r="82" spans="2:58" ht="18" customHeight="1" x14ac:dyDescent="0.35">
      <c r="B82" s="2739">
        <v>72</v>
      </c>
      <c r="C82" s="2740"/>
      <c r="D82" s="1361"/>
      <c r="E82" s="1273"/>
      <c r="F82" s="1261"/>
      <c r="G82" s="1261"/>
      <c r="H82" s="1228"/>
      <c r="I82" s="777"/>
      <c r="J82" s="448"/>
      <c r="K82" s="1262"/>
      <c r="L82" s="180"/>
      <c r="M82" s="180"/>
      <c r="N82" s="179"/>
      <c r="O82" s="1221"/>
      <c r="P82" s="180"/>
      <c r="Q82" s="179"/>
      <c r="R82" s="180"/>
      <c r="S82" s="179"/>
      <c r="T82" s="180"/>
      <c r="U82" s="1263"/>
      <c r="V82" s="1270">
        <f t="shared" si="49"/>
        <v>0</v>
      </c>
      <c r="W82" s="1271">
        <f t="shared" si="50"/>
        <v>0</v>
      </c>
      <c r="X82" s="1272">
        <f t="shared" si="51"/>
        <v>0</v>
      </c>
      <c r="Y82" s="1284">
        <f t="shared" si="52"/>
        <v>0</v>
      </c>
      <c r="Z82" s="42"/>
      <c r="AJ82">
        <f t="shared" si="7"/>
        <v>0</v>
      </c>
      <c r="AK82">
        <f t="shared" si="8"/>
        <v>0</v>
      </c>
      <c r="AL82">
        <f t="shared" si="9"/>
        <v>0</v>
      </c>
      <c r="AM82">
        <f t="shared" si="10"/>
        <v>0</v>
      </c>
      <c r="AN82">
        <f t="shared" si="11"/>
        <v>0</v>
      </c>
      <c r="AO82">
        <f t="shared" si="12"/>
        <v>0</v>
      </c>
      <c r="AP82">
        <f t="shared" si="13"/>
        <v>0</v>
      </c>
      <c r="AQ82">
        <f t="shared" si="14"/>
        <v>0</v>
      </c>
      <c r="AR82">
        <f t="shared" si="15"/>
        <v>0</v>
      </c>
      <c r="AS82" s="290">
        <f t="shared" si="16"/>
        <v>0</v>
      </c>
      <c r="AT82">
        <f t="shared" si="17"/>
        <v>0</v>
      </c>
      <c r="AU82" s="290">
        <f t="shared" si="18"/>
        <v>0</v>
      </c>
      <c r="AV82">
        <f t="shared" si="19"/>
        <v>0</v>
      </c>
      <c r="AW82">
        <f t="shared" si="20"/>
        <v>0</v>
      </c>
      <c r="AX82">
        <f t="shared" si="21"/>
        <v>0</v>
      </c>
      <c r="AY82">
        <f t="shared" si="42"/>
        <v>0</v>
      </c>
      <c r="AZ82" s="293">
        <f>(AK82*Pricing!F$2+AL82*Pricing!G$2+AM82*Pricing!H$2+AN82*Pricing!I$2+AO82*Pricing!J$2+AP82*Pricing!K$2)*IF(U$123="Y",1,(1+W$123))</f>
        <v>0</v>
      </c>
      <c r="BA82" s="294">
        <f t="shared" si="43"/>
        <v>0</v>
      </c>
      <c r="BB82" s="293" t="e">
        <f t="shared" si="44"/>
        <v>#DIV/0!</v>
      </c>
      <c r="BC82" s="294">
        <f t="shared" si="45"/>
        <v>0</v>
      </c>
      <c r="BD82" s="294">
        <f t="shared" si="46"/>
        <v>0</v>
      </c>
      <c r="BE82" s="295" t="e">
        <f t="shared" si="47"/>
        <v>#DIV/0!</v>
      </c>
      <c r="BF82" s="296" t="e">
        <f t="shared" si="48"/>
        <v>#DIV/0!</v>
      </c>
    </row>
    <row r="83" spans="2:58" ht="18" customHeight="1" x14ac:dyDescent="0.35">
      <c r="B83" s="2739">
        <v>73</v>
      </c>
      <c r="C83" s="2740"/>
      <c r="D83" s="1362"/>
      <c r="E83" s="1273"/>
      <c r="F83" s="1258"/>
      <c r="G83" s="1258"/>
      <c r="H83" s="1227"/>
      <c r="I83" s="777"/>
      <c r="J83" s="1226"/>
      <c r="K83" s="1259"/>
      <c r="L83" s="178"/>
      <c r="M83" s="178"/>
      <c r="N83" s="177"/>
      <c r="O83" s="1219"/>
      <c r="P83" s="178"/>
      <c r="Q83" s="177"/>
      <c r="R83" s="178"/>
      <c r="S83" s="177"/>
      <c r="T83" s="178"/>
      <c r="U83" s="1260"/>
      <c r="V83" s="1267">
        <f t="shared" si="49"/>
        <v>0</v>
      </c>
      <c r="W83" s="1268">
        <f t="shared" si="50"/>
        <v>0</v>
      </c>
      <c r="X83" s="1269">
        <f t="shared" si="51"/>
        <v>0</v>
      </c>
      <c r="Y83" s="1285">
        <f t="shared" si="52"/>
        <v>0</v>
      </c>
      <c r="Z83" s="42"/>
      <c r="AJ83">
        <f t="shared" si="7"/>
        <v>0</v>
      </c>
      <c r="AK83">
        <f t="shared" si="8"/>
        <v>0</v>
      </c>
      <c r="AL83">
        <f t="shared" si="9"/>
        <v>0</v>
      </c>
      <c r="AM83">
        <f t="shared" si="10"/>
        <v>0</v>
      </c>
      <c r="AN83">
        <f t="shared" si="11"/>
        <v>0</v>
      </c>
      <c r="AO83">
        <f t="shared" si="12"/>
        <v>0</v>
      </c>
      <c r="AP83">
        <f t="shared" si="13"/>
        <v>0</v>
      </c>
      <c r="AQ83">
        <f t="shared" si="14"/>
        <v>0</v>
      </c>
      <c r="AR83">
        <f t="shared" si="15"/>
        <v>0</v>
      </c>
      <c r="AS83" s="290">
        <f t="shared" si="16"/>
        <v>0</v>
      </c>
      <c r="AT83">
        <f t="shared" si="17"/>
        <v>0</v>
      </c>
      <c r="AU83" s="290">
        <f t="shared" si="18"/>
        <v>0</v>
      </c>
      <c r="AV83">
        <f t="shared" si="19"/>
        <v>0</v>
      </c>
      <c r="AW83">
        <f t="shared" si="20"/>
        <v>0</v>
      </c>
      <c r="AX83">
        <f t="shared" si="21"/>
        <v>0</v>
      </c>
      <c r="AY83">
        <f t="shared" si="42"/>
        <v>0</v>
      </c>
      <c r="AZ83" s="293">
        <f>(AK83*Pricing!F$2+AL83*Pricing!G$2+AM83*Pricing!H$2+AN83*Pricing!I$2+AO83*Pricing!J$2+AP83*Pricing!K$2)*IF(U$123="Y",1,(1+W$123))</f>
        <v>0</v>
      </c>
      <c r="BA83" s="294">
        <f t="shared" si="43"/>
        <v>0</v>
      </c>
      <c r="BB83" s="293" t="e">
        <f t="shared" si="44"/>
        <v>#DIV/0!</v>
      </c>
      <c r="BC83" s="294">
        <f t="shared" si="45"/>
        <v>0</v>
      </c>
      <c r="BD83" s="294">
        <f t="shared" si="46"/>
        <v>0</v>
      </c>
      <c r="BE83" s="295" t="e">
        <f t="shared" si="47"/>
        <v>#DIV/0!</v>
      </c>
      <c r="BF83" s="296" t="e">
        <f t="shared" si="48"/>
        <v>#DIV/0!</v>
      </c>
    </row>
    <row r="84" spans="2:58" ht="18" customHeight="1" x14ac:dyDescent="0.35">
      <c r="B84" s="2739">
        <v>74</v>
      </c>
      <c r="C84" s="2740"/>
      <c r="D84" s="1361"/>
      <c r="E84" s="1273"/>
      <c r="F84" s="1261"/>
      <c r="G84" s="1261"/>
      <c r="H84" s="1228"/>
      <c r="I84" s="777"/>
      <c r="J84" s="448"/>
      <c r="K84" s="1262"/>
      <c r="L84" s="180"/>
      <c r="M84" s="180"/>
      <c r="N84" s="179"/>
      <c r="O84" s="1221"/>
      <c r="P84" s="180"/>
      <c r="Q84" s="179"/>
      <c r="R84" s="180"/>
      <c r="S84" s="179"/>
      <c r="T84" s="180"/>
      <c r="U84" s="1263"/>
      <c r="V84" s="1270">
        <f t="shared" si="49"/>
        <v>0</v>
      </c>
      <c r="W84" s="1271">
        <f t="shared" si="50"/>
        <v>0</v>
      </c>
      <c r="X84" s="1272">
        <f t="shared" si="51"/>
        <v>0</v>
      </c>
      <c r="Y84" s="1284">
        <f t="shared" si="52"/>
        <v>0</v>
      </c>
      <c r="Z84" s="42"/>
      <c r="AJ84">
        <f t="shared" si="7"/>
        <v>0</v>
      </c>
      <c r="AK84">
        <f t="shared" si="8"/>
        <v>0</v>
      </c>
      <c r="AL84">
        <f t="shared" si="9"/>
        <v>0</v>
      </c>
      <c r="AM84">
        <f t="shared" si="10"/>
        <v>0</v>
      </c>
      <c r="AN84">
        <f t="shared" si="11"/>
        <v>0</v>
      </c>
      <c r="AO84">
        <f t="shared" si="12"/>
        <v>0</v>
      </c>
      <c r="AP84">
        <f t="shared" si="13"/>
        <v>0</v>
      </c>
      <c r="AQ84">
        <f t="shared" si="14"/>
        <v>0</v>
      </c>
      <c r="AR84">
        <f t="shared" si="15"/>
        <v>0</v>
      </c>
      <c r="AS84" s="290">
        <f t="shared" si="16"/>
        <v>0</v>
      </c>
      <c r="AT84">
        <f t="shared" si="17"/>
        <v>0</v>
      </c>
      <c r="AU84" s="290">
        <f t="shared" si="18"/>
        <v>0</v>
      </c>
      <c r="AV84">
        <f t="shared" si="19"/>
        <v>0</v>
      </c>
      <c r="AW84">
        <f t="shared" si="20"/>
        <v>0</v>
      </c>
      <c r="AX84">
        <f t="shared" si="21"/>
        <v>0</v>
      </c>
      <c r="AY84">
        <f t="shared" si="42"/>
        <v>0</v>
      </c>
      <c r="AZ84" s="293">
        <f>(AK84*Pricing!F$2+AL84*Pricing!G$2+AM84*Pricing!H$2+AN84*Pricing!I$2+AO84*Pricing!J$2+AP84*Pricing!K$2)*IF(U$123="Y",1,(1+W$123))</f>
        <v>0</v>
      </c>
      <c r="BA84" s="294">
        <f t="shared" si="43"/>
        <v>0</v>
      </c>
      <c r="BB84" s="293" t="e">
        <f t="shared" si="44"/>
        <v>#DIV/0!</v>
      </c>
      <c r="BC84" s="294">
        <f t="shared" si="45"/>
        <v>0</v>
      </c>
      <c r="BD84" s="294">
        <f t="shared" si="46"/>
        <v>0</v>
      </c>
      <c r="BE84" s="295" t="e">
        <f t="shared" si="47"/>
        <v>#DIV/0!</v>
      </c>
      <c r="BF84" s="296" t="e">
        <f t="shared" si="48"/>
        <v>#DIV/0!</v>
      </c>
    </row>
    <row r="85" spans="2:58" ht="18" customHeight="1" x14ac:dyDescent="0.35">
      <c r="B85" s="2739">
        <v>75</v>
      </c>
      <c r="C85" s="2740"/>
      <c r="D85" s="1362"/>
      <c r="E85" s="1273"/>
      <c r="F85" s="1258"/>
      <c r="G85" s="1258"/>
      <c r="H85" s="1227"/>
      <c r="I85" s="777"/>
      <c r="J85" s="1226"/>
      <c r="K85" s="1259"/>
      <c r="L85" s="178"/>
      <c r="M85" s="178"/>
      <c r="N85" s="177"/>
      <c r="O85" s="1219"/>
      <c r="P85" s="178"/>
      <c r="Q85" s="177"/>
      <c r="R85" s="178"/>
      <c r="S85" s="177"/>
      <c r="T85" s="178"/>
      <c r="U85" s="1260"/>
      <c r="V85" s="1267">
        <f t="shared" si="49"/>
        <v>0</v>
      </c>
      <c r="W85" s="1268">
        <f t="shared" si="50"/>
        <v>0</v>
      </c>
      <c r="X85" s="1269">
        <f t="shared" si="51"/>
        <v>0</v>
      </c>
      <c r="Y85" s="1285">
        <f t="shared" si="52"/>
        <v>0</v>
      </c>
      <c r="Z85" s="42"/>
      <c r="AJ85">
        <f t="shared" ref="AJ85:AJ94" si="53">IF(I85&gt;0,1,0)</f>
        <v>0</v>
      </c>
      <c r="AK85">
        <f t="shared" si="8"/>
        <v>0</v>
      </c>
      <c r="AL85">
        <f t="shared" si="9"/>
        <v>0</v>
      </c>
      <c r="AM85">
        <f t="shared" si="10"/>
        <v>0</v>
      </c>
      <c r="AN85">
        <f t="shared" si="11"/>
        <v>0</v>
      </c>
      <c r="AO85">
        <f t="shared" si="12"/>
        <v>0</v>
      </c>
      <c r="AP85">
        <f t="shared" si="13"/>
        <v>0</v>
      </c>
      <c r="AQ85">
        <f t="shared" ref="AQ85:AQ94" si="54">SUM(AK85:AP85)</f>
        <v>0</v>
      </c>
      <c r="AR85">
        <f t="shared" ref="AR85:AR94" si="55">V85*I85</f>
        <v>0</v>
      </c>
      <c r="AS85" s="290">
        <f t="shared" ref="AS85:AS94" si="56">X85*I85</f>
        <v>0</v>
      </c>
      <c r="AT85">
        <f t="shared" ref="AT85:AT94" si="57">I85</f>
        <v>0</v>
      </c>
      <c r="AU85" s="290">
        <f t="shared" ref="AU85:AU94" si="58">(E85*2+(G85-H85)*2)*I85</f>
        <v>0</v>
      </c>
      <c r="AV85">
        <f t="shared" ref="AV85:AV94" si="59">E85*I85</f>
        <v>0</v>
      </c>
      <c r="AW85">
        <f t="shared" ref="AW85:AW94" si="60">IF(F85&gt;0,IF(F85&lt;6,AU85,0),0)</f>
        <v>0</v>
      </c>
      <c r="AX85">
        <f t="shared" ref="AX85:AX94" si="61">IF(F85&gt;0,IF(F85&gt;5.5,AU85,0),0)</f>
        <v>0</v>
      </c>
      <c r="AY85">
        <f t="shared" si="42"/>
        <v>0</v>
      </c>
      <c r="AZ85" s="293">
        <f>(AK85*Pricing!F$2+AL85*Pricing!G$2+AM85*Pricing!H$2+AN85*Pricing!I$2+AO85*Pricing!J$2+AP85*Pricing!K$2)*IF(U$123="Y",1,(1+W$123))</f>
        <v>0</v>
      </c>
      <c r="BA85" s="294">
        <f t="shared" si="43"/>
        <v>0</v>
      </c>
      <c r="BB85" s="293" t="e">
        <f t="shared" si="44"/>
        <v>#DIV/0!</v>
      </c>
      <c r="BC85" s="294">
        <f t="shared" si="45"/>
        <v>0</v>
      </c>
      <c r="BD85" s="294">
        <f t="shared" si="46"/>
        <v>0</v>
      </c>
      <c r="BE85" s="295" t="e">
        <f t="shared" si="47"/>
        <v>#DIV/0!</v>
      </c>
      <c r="BF85" s="296" t="e">
        <f t="shared" si="48"/>
        <v>#DIV/0!</v>
      </c>
    </row>
    <row r="86" spans="2:58" ht="18" customHeight="1" x14ac:dyDescent="0.35">
      <c r="B86" s="2739">
        <v>76</v>
      </c>
      <c r="C86" s="2740"/>
      <c r="D86" s="1361"/>
      <c r="E86" s="1273"/>
      <c r="F86" s="1261"/>
      <c r="G86" s="1261"/>
      <c r="H86" s="1228"/>
      <c r="I86" s="777"/>
      <c r="J86" s="448"/>
      <c r="K86" s="1262"/>
      <c r="L86" s="180"/>
      <c r="M86" s="180"/>
      <c r="N86" s="179"/>
      <c r="O86" s="1221"/>
      <c r="P86" s="180"/>
      <c r="Q86" s="179"/>
      <c r="R86" s="180"/>
      <c r="S86" s="179"/>
      <c r="T86" s="180"/>
      <c r="U86" s="1263"/>
      <c r="V86" s="1270">
        <f t="shared" si="49"/>
        <v>0</v>
      </c>
      <c r="W86" s="1271">
        <f t="shared" si="50"/>
        <v>0</v>
      </c>
      <c r="X86" s="1272">
        <f t="shared" si="51"/>
        <v>0</v>
      </c>
      <c r="Y86" s="1284">
        <f t="shared" si="52"/>
        <v>0</v>
      </c>
      <c r="Z86" s="42"/>
      <c r="AJ86">
        <f t="shared" si="53"/>
        <v>0</v>
      </c>
      <c r="AK86">
        <f t="shared" si="8"/>
        <v>0</v>
      </c>
      <c r="AL86">
        <f t="shared" si="9"/>
        <v>0</v>
      </c>
      <c r="AM86">
        <f t="shared" si="10"/>
        <v>0</v>
      </c>
      <c r="AN86">
        <f t="shared" si="11"/>
        <v>0</v>
      </c>
      <c r="AO86">
        <f t="shared" si="12"/>
        <v>0</v>
      </c>
      <c r="AP86">
        <f t="shared" si="13"/>
        <v>0</v>
      </c>
      <c r="AQ86">
        <f t="shared" si="54"/>
        <v>0</v>
      </c>
      <c r="AR86">
        <f t="shared" si="55"/>
        <v>0</v>
      </c>
      <c r="AS86" s="290">
        <f t="shared" si="56"/>
        <v>0</v>
      </c>
      <c r="AT86">
        <f t="shared" si="57"/>
        <v>0</v>
      </c>
      <c r="AU86" s="290">
        <f t="shared" si="58"/>
        <v>0</v>
      </c>
      <c r="AV86">
        <f t="shared" si="59"/>
        <v>0</v>
      </c>
      <c r="AW86">
        <f t="shared" si="60"/>
        <v>0</v>
      </c>
      <c r="AX86">
        <f t="shared" si="61"/>
        <v>0</v>
      </c>
      <c r="AY86">
        <f t="shared" si="42"/>
        <v>0</v>
      </c>
      <c r="AZ86" s="293">
        <f>(AK86*Pricing!F$2+AL86*Pricing!G$2+AM86*Pricing!H$2+AN86*Pricing!I$2+AO86*Pricing!J$2+AP86*Pricing!K$2)*IF(U$123="Y",1,(1+W$123))</f>
        <v>0</v>
      </c>
      <c r="BA86" s="294">
        <f t="shared" si="43"/>
        <v>0</v>
      </c>
      <c r="BB86" s="293" t="e">
        <f t="shared" si="44"/>
        <v>#DIV/0!</v>
      </c>
      <c r="BC86" s="294">
        <f t="shared" si="45"/>
        <v>0</v>
      </c>
      <c r="BD86" s="294">
        <f t="shared" si="46"/>
        <v>0</v>
      </c>
      <c r="BE86" s="295" t="e">
        <f t="shared" si="47"/>
        <v>#DIV/0!</v>
      </c>
      <c r="BF86" s="296" t="e">
        <f t="shared" si="48"/>
        <v>#DIV/0!</v>
      </c>
    </row>
    <row r="87" spans="2:58" ht="18" customHeight="1" x14ac:dyDescent="0.35">
      <c r="B87" s="2739">
        <v>77</v>
      </c>
      <c r="C87" s="2740"/>
      <c r="D87" s="1362"/>
      <c r="E87" s="1273"/>
      <c r="F87" s="1258"/>
      <c r="G87" s="1258"/>
      <c r="H87" s="1227"/>
      <c r="I87" s="777"/>
      <c r="J87" s="1226"/>
      <c r="K87" s="1259"/>
      <c r="L87" s="178"/>
      <c r="M87" s="178"/>
      <c r="N87" s="177"/>
      <c r="O87" s="1219"/>
      <c r="P87" s="178"/>
      <c r="Q87" s="177"/>
      <c r="R87" s="178"/>
      <c r="S87" s="177"/>
      <c r="T87" s="178"/>
      <c r="U87" s="1260"/>
      <c r="V87" s="1267">
        <f t="shared" si="49"/>
        <v>0</v>
      </c>
      <c r="W87" s="1268">
        <f t="shared" si="50"/>
        <v>0</v>
      </c>
      <c r="X87" s="1269">
        <f t="shared" si="51"/>
        <v>0</v>
      </c>
      <c r="Y87" s="1285">
        <f t="shared" si="52"/>
        <v>0</v>
      </c>
      <c r="Z87" s="42"/>
      <c r="AJ87">
        <f t="shared" si="53"/>
        <v>0</v>
      </c>
      <c r="AK87">
        <f t="shared" si="8"/>
        <v>0</v>
      </c>
      <c r="AL87">
        <f t="shared" si="9"/>
        <v>0</v>
      </c>
      <c r="AM87">
        <f t="shared" si="10"/>
        <v>0</v>
      </c>
      <c r="AN87">
        <f t="shared" si="11"/>
        <v>0</v>
      </c>
      <c r="AO87">
        <f t="shared" si="12"/>
        <v>0</v>
      </c>
      <c r="AP87">
        <f t="shared" si="13"/>
        <v>0</v>
      </c>
      <c r="AQ87">
        <f t="shared" si="54"/>
        <v>0</v>
      </c>
      <c r="AR87">
        <f t="shared" si="55"/>
        <v>0</v>
      </c>
      <c r="AS87" s="290">
        <f t="shared" si="56"/>
        <v>0</v>
      </c>
      <c r="AT87">
        <f t="shared" si="57"/>
        <v>0</v>
      </c>
      <c r="AU87" s="290">
        <f t="shared" si="58"/>
        <v>0</v>
      </c>
      <c r="AV87">
        <f t="shared" si="59"/>
        <v>0</v>
      </c>
      <c r="AW87">
        <f t="shared" si="60"/>
        <v>0</v>
      </c>
      <c r="AX87">
        <f t="shared" si="61"/>
        <v>0</v>
      </c>
      <c r="AY87">
        <f t="shared" si="42"/>
        <v>0</v>
      </c>
      <c r="AZ87" s="293">
        <f>(AK87*Pricing!F$2+AL87*Pricing!G$2+AM87*Pricing!H$2+AN87*Pricing!I$2+AO87*Pricing!J$2+AP87*Pricing!K$2)*IF(U$123="Y",1,(1+W$123))</f>
        <v>0</v>
      </c>
      <c r="BA87" s="294">
        <f t="shared" si="43"/>
        <v>0</v>
      </c>
      <c r="BB87" s="293" t="e">
        <f t="shared" si="44"/>
        <v>#DIV/0!</v>
      </c>
      <c r="BC87" s="294">
        <f t="shared" si="45"/>
        <v>0</v>
      </c>
      <c r="BD87" s="294">
        <f t="shared" si="46"/>
        <v>0</v>
      </c>
      <c r="BE87" s="295" t="e">
        <f t="shared" si="47"/>
        <v>#DIV/0!</v>
      </c>
      <c r="BF87" s="296" t="e">
        <f t="shared" si="48"/>
        <v>#DIV/0!</v>
      </c>
    </row>
    <row r="88" spans="2:58" ht="18" customHeight="1" x14ac:dyDescent="0.35">
      <c r="B88" s="2739">
        <v>78</v>
      </c>
      <c r="C88" s="2740"/>
      <c r="D88" s="1361"/>
      <c r="E88" s="1273"/>
      <c r="F88" s="1261"/>
      <c r="G88" s="1261"/>
      <c r="H88" s="1228"/>
      <c r="I88" s="777"/>
      <c r="J88" s="448"/>
      <c r="K88" s="1262"/>
      <c r="L88" s="180"/>
      <c r="M88" s="180"/>
      <c r="N88" s="179"/>
      <c r="O88" s="1221"/>
      <c r="P88" s="180"/>
      <c r="Q88" s="179"/>
      <c r="R88" s="180"/>
      <c r="S88" s="179"/>
      <c r="T88" s="180"/>
      <c r="U88" s="1263"/>
      <c r="V88" s="1270">
        <f t="shared" si="49"/>
        <v>0</v>
      </c>
      <c r="W88" s="1271">
        <f t="shared" si="50"/>
        <v>0</v>
      </c>
      <c r="X88" s="1272">
        <f t="shared" si="51"/>
        <v>0</v>
      </c>
      <c r="Y88" s="1284">
        <f t="shared" si="52"/>
        <v>0</v>
      </c>
      <c r="Z88" s="42"/>
      <c r="AJ88">
        <f t="shared" si="53"/>
        <v>0</v>
      </c>
      <c r="AK88">
        <f t="shared" si="8"/>
        <v>0</v>
      </c>
      <c r="AL88">
        <f t="shared" si="9"/>
        <v>0</v>
      </c>
      <c r="AM88">
        <f t="shared" si="10"/>
        <v>0</v>
      </c>
      <c r="AN88">
        <f t="shared" si="11"/>
        <v>0</v>
      </c>
      <c r="AO88">
        <f t="shared" si="12"/>
        <v>0</v>
      </c>
      <c r="AP88">
        <f t="shared" si="13"/>
        <v>0</v>
      </c>
      <c r="AQ88">
        <f t="shared" si="54"/>
        <v>0</v>
      </c>
      <c r="AR88">
        <f t="shared" si="55"/>
        <v>0</v>
      </c>
      <c r="AS88" s="290">
        <f t="shared" si="56"/>
        <v>0</v>
      </c>
      <c r="AT88">
        <f t="shared" si="57"/>
        <v>0</v>
      </c>
      <c r="AU88" s="290">
        <f t="shared" si="58"/>
        <v>0</v>
      </c>
      <c r="AV88">
        <f t="shared" si="59"/>
        <v>0</v>
      </c>
      <c r="AW88">
        <f t="shared" si="60"/>
        <v>0</v>
      </c>
      <c r="AX88">
        <f t="shared" si="61"/>
        <v>0</v>
      </c>
      <c r="AY88">
        <f t="shared" si="42"/>
        <v>0</v>
      </c>
      <c r="AZ88" s="293">
        <f>(AK88*Pricing!F$2+AL88*Pricing!G$2+AM88*Pricing!H$2+AN88*Pricing!I$2+AO88*Pricing!J$2+AP88*Pricing!K$2)*IF(U$123="Y",1,(1+W$123))</f>
        <v>0</v>
      </c>
      <c r="BA88" s="294">
        <f t="shared" si="43"/>
        <v>0</v>
      </c>
      <c r="BB88" s="293" t="e">
        <f t="shared" si="44"/>
        <v>#DIV/0!</v>
      </c>
      <c r="BC88" s="294">
        <f t="shared" si="45"/>
        <v>0</v>
      </c>
      <c r="BD88" s="294">
        <f t="shared" si="46"/>
        <v>0</v>
      </c>
      <c r="BE88" s="295" t="e">
        <f t="shared" si="47"/>
        <v>#DIV/0!</v>
      </c>
      <c r="BF88" s="296" t="e">
        <f t="shared" si="48"/>
        <v>#DIV/0!</v>
      </c>
    </row>
    <row r="89" spans="2:58" ht="18" customHeight="1" x14ac:dyDescent="0.35">
      <c r="B89" s="2739">
        <v>79</v>
      </c>
      <c r="C89" s="2740"/>
      <c r="D89" s="1362"/>
      <c r="E89" s="1273"/>
      <c r="F89" s="1258"/>
      <c r="G89" s="1258"/>
      <c r="H89" s="1227"/>
      <c r="I89" s="777"/>
      <c r="J89" s="1226"/>
      <c r="K89" s="1259"/>
      <c r="L89" s="178"/>
      <c r="M89" s="178"/>
      <c r="N89" s="177"/>
      <c r="O89" s="1219"/>
      <c r="P89" s="178"/>
      <c r="Q89" s="177"/>
      <c r="R89" s="178"/>
      <c r="S89" s="177"/>
      <c r="T89" s="178"/>
      <c r="U89" s="1260"/>
      <c r="V89" s="1267">
        <f t="shared" si="49"/>
        <v>0</v>
      </c>
      <c r="W89" s="1268">
        <f t="shared" si="50"/>
        <v>0</v>
      </c>
      <c r="X89" s="1269">
        <f t="shared" si="51"/>
        <v>0</v>
      </c>
      <c r="Y89" s="1285">
        <f t="shared" si="52"/>
        <v>0</v>
      </c>
      <c r="Z89" s="42"/>
      <c r="AJ89">
        <f t="shared" si="53"/>
        <v>0</v>
      </c>
      <c r="AK89">
        <f t="shared" si="8"/>
        <v>0</v>
      </c>
      <c r="AL89">
        <f t="shared" si="9"/>
        <v>0</v>
      </c>
      <c r="AM89">
        <f t="shared" si="10"/>
        <v>0</v>
      </c>
      <c r="AN89">
        <f t="shared" si="11"/>
        <v>0</v>
      </c>
      <c r="AO89">
        <f t="shared" si="12"/>
        <v>0</v>
      </c>
      <c r="AP89">
        <f t="shared" si="13"/>
        <v>0</v>
      </c>
      <c r="AQ89">
        <f t="shared" si="54"/>
        <v>0</v>
      </c>
      <c r="AR89">
        <f t="shared" si="55"/>
        <v>0</v>
      </c>
      <c r="AS89" s="290">
        <f t="shared" si="56"/>
        <v>0</v>
      </c>
      <c r="AT89">
        <f t="shared" si="57"/>
        <v>0</v>
      </c>
      <c r="AU89" s="290">
        <f t="shared" si="58"/>
        <v>0</v>
      </c>
      <c r="AV89">
        <f t="shared" si="59"/>
        <v>0</v>
      </c>
      <c r="AW89">
        <f t="shared" si="60"/>
        <v>0</v>
      </c>
      <c r="AX89">
        <f t="shared" si="61"/>
        <v>0</v>
      </c>
      <c r="AY89">
        <f t="shared" si="42"/>
        <v>0</v>
      </c>
      <c r="AZ89" s="293">
        <f>(AK89*Pricing!F$2+AL89*Pricing!G$2+AM89*Pricing!H$2+AN89*Pricing!I$2+AO89*Pricing!J$2+AP89*Pricing!K$2)*IF(U$123="Y",1,(1+W$123))</f>
        <v>0</v>
      </c>
      <c r="BA89" s="294">
        <f t="shared" si="43"/>
        <v>0</v>
      </c>
      <c r="BB89" s="293" t="e">
        <f t="shared" si="44"/>
        <v>#DIV/0!</v>
      </c>
      <c r="BC89" s="294">
        <f t="shared" si="45"/>
        <v>0</v>
      </c>
      <c r="BD89" s="294">
        <f t="shared" si="46"/>
        <v>0</v>
      </c>
      <c r="BE89" s="295" t="e">
        <f t="shared" si="47"/>
        <v>#DIV/0!</v>
      </c>
      <c r="BF89" s="296" t="e">
        <f t="shared" si="48"/>
        <v>#DIV/0!</v>
      </c>
    </row>
    <row r="90" spans="2:58" ht="18" customHeight="1" x14ac:dyDescent="0.35">
      <c r="B90" s="2739">
        <v>80</v>
      </c>
      <c r="C90" s="2740"/>
      <c r="D90" s="1361"/>
      <c r="E90" s="1273"/>
      <c r="F90" s="1261"/>
      <c r="G90" s="1261"/>
      <c r="H90" s="1228"/>
      <c r="I90" s="777"/>
      <c r="J90" s="448"/>
      <c r="K90" s="1262"/>
      <c r="L90" s="180"/>
      <c r="M90" s="180"/>
      <c r="N90" s="179"/>
      <c r="O90" s="1221"/>
      <c r="P90" s="180"/>
      <c r="Q90" s="179"/>
      <c r="R90" s="180"/>
      <c r="S90" s="179"/>
      <c r="T90" s="180"/>
      <c r="U90" s="1263"/>
      <c r="V90" s="1270">
        <f t="shared" si="49"/>
        <v>0</v>
      </c>
      <c r="W90" s="1271">
        <f t="shared" si="50"/>
        <v>0</v>
      </c>
      <c r="X90" s="1272">
        <f t="shared" si="51"/>
        <v>0</v>
      </c>
      <c r="Y90" s="1284">
        <f t="shared" si="52"/>
        <v>0</v>
      </c>
      <c r="Z90" s="42"/>
      <c r="AJ90">
        <f t="shared" si="53"/>
        <v>0</v>
      </c>
      <c r="AK90">
        <f t="shared" si="8"/>
        <v>0</v>
      </c>
      <c r="AL90">
        <f t="shared" si="9"/>
        <v>0</v>
      </c>
      <c r="AM90">
        <f t="shared" si="10"/>
        <v>0</v>
      </c>
      <c r="AN90">
        <f t="shared" si="11"/>
        <v>0</v>
      </c>
      <c r="AO90">
        <f t="shared" si="12"/>
        <v>0</v>
      </c>
      <c r="AP90">
        <f t="shared" si="13"/>
        <v>0</v>
      </c>
      <c r="AQ90">
        <f t="shared" si="54"/>
        <v>0</v>
      </c>
      <c r="AR90">
        <f t="shared" si="55"/>
        <v>0</v>
      </c>
      <c r="AS90" s="290">
        <f t="shared" si="56"/>
        <v>0</v>
      </c>
      <c r="AT90">
        <f t="shared" si="57"/>
        <v>0</v>
      </c>
      <c r="AU90" s="290">
        <f t="shared" si="58"/>
        <v>0</v>
      </c>
      <c r="AV90">
        <f t="shared" si="59"/>
        <v>0</v>
      </c>
      <c r="AW90">
        <f t="shared" si="60"/>
        <v>0</v>
      </c>
      <c r="AX90">
        <f t="shared" si="61"/>
        <v>0</v>
      </c>
      <c r="AY90">
        <f t="shared" si="42"/>
        <v>0</v>
      </c>
      <c r="AZ90" s="293">
        <f>(AK90*Pricing!F$2+AL90*Pricing!G$2+AM90*Pricing!H$2+AN90*Pricing!I$2+AO90*Pricing!J$2+AP90*Pricing!K$2)*IF(U$123="Y",1,(1+W$123))</f>
        <v>0</v>
      </c>
      <c r="BA90" s="294">
        <f t="shared" si="43"/>
        <v>0</v>
      </c>
      <c r="BB90" s="293" t="e">
        <f t="shared" si="44"/>
        <v>#DIV/0!</v>
      </c>
      <c r="BC90" s="294">
        <f t="shared" si="45"/>
        <v>0</v>
      </c>
      <c r="BD90" s="294">
        <f t="shared" si="46"/>
        <v>0</v>
      </c>
      <c r="BE90" s="295" t="e">
        <f t="shared" si="47"/>
        <v>#DIV/0!</v>
      </c>
      <c r="BF90" s="296" t="e">
        <f t="shared" si="48"/>
        <v>#DIV/0!</v>
      </c>
    </row>
    <row r="91" spans="2:58" ht="18" customHeight="1" x14ac:dyDescent="0.35">
      <c r="B91" s="2739">
        <v>81</v>
      </c>
      <c r="C91" s="2740"/>
      <c r="D91" s="1362"/>
      <c r="E91" s="1273"/>
      <c r="F91" s="1258"/>
      <c r="G91" s="1258"/>
      <c r="H91" s="1227"/>
      <c r="I91" s="777"/>
      <c r="J91" s="1226"/>
      <c r="K91" s="1259"/>
      <c r="L91" s="178"/>
      <c r="M91" s="178"/>
      <c r="N91" s="177"/>
      <c r="O91" s="1219"/>
      <c r="P91" s="178"/>
      <c r="Q91" s="177"/>
      <c r="R91" s="178"/>
      <c r="S91" s="177"/>
      <c r="T91" s="178"/>
      <c r="U91" s="1260"/>
      <c r="V91" s="1267">
        <f t="shared" si="49"/>
        <v>0</v>
      </c>
      <c r="W91" s="1268">
        <f t="shared" si="50"/>
        <v>0</v>
      </c>
      <c r="X91" s="1269">
        <f t="shared" si="51"/>
        <v>0</v>
      </c>
      <c r="Y91" s="1285">
        <f t="shared" si="52"/>
        <v>0</v>
      </c>
      <c r="Z91" s="42"/>
      <c r="AJ91">
        <f t="shared" si="53"/>
        <v>0</v>
      </c>
      <c r="AK91">
        <f t="shared" si="8"/>
        <v>0</v>
      </c>
      <c r="AL91">
        <f t="shared" si="9"/>
        <v>0</v>
      </c>
      <c r="AM91">
        <f t="shared" si="10"/>
        <v>0</v>
      </c>
      <c r="AN91">
        <f t="shared" si="11"/>
        <v>0</v>
      </c>
      <c r="AO91">
        <f t="shared" si="12"/>
        <v>0</v>
      </c>
      <c r="AP91">
        <f t="shared" si="13"/>
        <v>0</v>
      </c>
      <c r="AQ91">
        <f t="shared" si="54"/>
        <v>0</v>
      </c>
      <c r="AR91">
        <f t="shared" si="55"/>
        <v>0</v>
      </c>
      <c r="AS91" s="290">
        <f t="shared" si="56"/>
        <v>0</v>
      </c>
      <c r="AT91">
        <f t="shared" si="57"/>
        <v>0</v>
      </c>
      <c r="AU91" s="290">
        <f t="shared" si="58"/>
        <v>0</v>
      </c>
      <c r="AV91">
        <f t="shared" si="59"/>
        <v>0</v>
      </c>
      <c r="AW91">
        <f t="shared" si="60"/>
        <v>0</v>
      </c>
      <c r="AX91">
        <f t="shared" si="61"/>
        <v>0</v>
      </c>
      <c r="AY91">
        <f t="shared" si="42"/>
        <v>0</v>
      </c>
      <c r="AZ91" s="293">
        <f>(AK91*Pricing!F$2+AL91*Pricing!G$2+AM91*Pricing!H$2+AN91*Pricing!I$2+AO91*Pricing!J$2+AP91*Pricing!K$2)*IF(U$123="Y",1,(1+W$123))</f>
        <v>0</v>
      </c>
      <c r="BA91" s="294">
        <f t="shared" si="43"/>
        <v>0</v>
      </c>
      <c r="BB91" s="293" t="e">
        <f t="shared" si="44"/>
        <v>#DIV/0!</v>
      </c>
      <c r="BC91" s="294">
        <f t="shared" si="45"/>
        <v>0</v>
      </c>
      <c r="BD91" s="294">
        <f t="shared" si="46"/>
        <v>0</v>
      </c>
      <c r="BE91" s="295" t="e">
        <f t="shared" si="47"/>
        <v>#DIV/0!</v>
      </c>
      <c r="BF91" s="296" t="e">
        <f t="shared" si="48"/>
        <v>#DIV/0!</v>
      </c>
    </row>
    <row r="92" spans="2:58" ht="18" customHeight="1" x14ac:dyDescent="0.35">
      <c r="B92" s="2739">
        <v>82</v>
      </c>
      <c r="C92" s="2740"/>
      <c r="D92" s="1361"/>
      <c r="E92" s="1273"/>
      <c r="F92" s="1261"/>
      <c r="G92" s="1261"/>
      <c r="H92" s="1228"/>
      <c r="I92" s="777"/>
      <c r="J92" s="448"/>
      <c r="K92" s="1262"/>
      <c r="L92" s="180"/>
      <c r="M92" s="180"/>
      <c r="N92" s="179"/>
      <c r="O92" s="1221"/>
      <c r="P92" s="180"/>
      <c r="Q92" s="179"/>
      <c r="R92" s="180"/>
      <c r="S92" s="179"/>
      <c r="T92" s="180"/>
      <c r="U92" s="1263"/>
      <c r="V92" s="1270">
        <f t="shared" si="49"/>
        <v>0</v>
      </c>
      <c r="W92" s="1271">
        <f t="shared" si="50"/>
        <v>0</v>
      </c>
      <c r="X92" s="1272">
        <f t="shared" si="51"/>
        <v>0</v>
      </c>
      <c r="Y92" s="1284">
        <f t="shared" si="52"/>
        <v>0</v>
      </c>
      <c r="Z92" s="42"/>
      <c r="AJ92">
        <f t="shared" si="53"/>
        <v>0</v>
      </c>
      <c r="AK92">
        <f t="shared" si="8"/>
        <v>0</v>
      </c>
      <c r="AL92">
        <f t="shared" si="9"/>
        <v>0</v>
      </c>
      <c r="AM92">
        <f t="shared" si="10"/>
        <v>0</v>
      </c>
      <c r="AN92">
        <f t="shared" si="11"/>
        <v>0</v>
      </c>
      <c r="AO92">
        <f t="shared" si="12"/>
        <v>0</v>
      </c>
      <c r="AP92">
        <f t="shared" si="13"/>
        <v>0</v>
      </c>
      <c r="AQ92">
        <f t="shared" si="54"/>
        <v>0</v>
      </c>
      <c r="AR92">
        <f t="shared" si="55"/>
        <v>0</v>
      </c>
      <c r="AS92" s="290">
        <f t="shared" si="56"/>
        <v>0</v>
      </c>
      <c r="AT92">
        <f t="shared" si="57"/>
        <v>0</v>
      </c>
      <c r="AU92" s="290">
        <f t="shared" si="58"/>
        <v>0</v>
      </c>
      <c r="AV92">
        <f t="shared" si="59"/>
        <v>0</v>
      </c>
      <c r="AW92">
        <f t="shared" si="60"/>
        <v>0</v>
      </c>
      <c r="AX92">
        <f t="shared" si="61"/>
        <v>0</v>
      </c>
      <c r="AY92">
        <f t="shared" si="42"/>
        <v>0</v>
      </c>
      <c r="AZ92" s="293">
        <f>(AK92*Pricing!F$2+AL92*Pricing!G$2+AM92*Pricing!H$2+AN92*Pricing!I$2+AO92*Pricing!J$2+AP92*Pricing!K$2)*IF(U$123="Y",1,(1+W$123))</f>
        <v>0</v>
      </c>
      <c r="BA92" s="294">
        <f t="shared" si="43"/>
        <v>0</v>
      </c>
      <c r="BB92" s="293" t="e">
        <f t="shared" si="44"/>
        <v>#DIV/0!</v>
      </c>
      <c r="BC92" s="294">
        <f t="shared" si="45"/>
        <v>0</v>
      </c>
      <c r="BD92" s="294">
        <f t="shared" si="46"/>
        <v>0</v>
      </c>
      <c r="BE92" s="295" t="e">
        <f t="shared" si="47"/>
        <v>#DIV/0!</v>
      </c>
      <c r="BF92" s="296" t="e">
        <f t="shared" si="48"/>
        <v>#DIV/0!</v>
      </c>
    </row>
    <row r="93" spans="2:58" ht="18" customHeight="1" x14ac:dyDescent="0.35">
      <c r="B93" s="2739">
        <v>83</v>
      </c>
      <c r="C93" s="2740"/>
      <c r="D93" s="1362"/>
      <c r="E93" s="1273"/>
      <c r="F93" s="1258"/>
      <c r="G93" s="1258"/>
      <c r="H93" s="1227"/>
      <c r="I93" s="777"/>
      <c r="J93" s="1226"/>
      <c r="K93" s="1259"/>
      <c r="L93" s="178"/>
      <c r="M93" s="178"/>
      <c r="N93" s="177"/>
      <c r="O93" s="1219"/>
      <c r="P93" s="178"/>
      <c r="Q93" s="177"/>
      <c r="R93" s="178"/>
      <c r="S93" s="177"/>
      <c r="T93" s="178"/>
      <c r="U93" s="1260"/>
      <c r="V93" s="1267">
        <f t="shared" si="49"/>
        <v>0</v>
      </c>
      <c r="W93" s="1268">
        <f t="shared" si="50"/>
        <v>0</v>
      </c>
      <c r="X93" s="1269">
        <f t="shared" si="51"/>
        <v>0</v>
      </c>
      <c r="Y93" s="1285">
        <f t="shared" si="52"/>
        <v>0</v>
      </c>
      <c r="Z93" s="42"/>
      <c r="AJ93">
        <f t="shared" si="53"/>
        <v>0</v>
      </c>
      <c r="AK93">
        <f t="shared" si="8"/>
        <v>0</v>
      </c>
      <c r="AL93">
        <f t="shared" si="9"/>
        <v>0</v>
      </c>
      <c r="AM93">
        <f t="shared" si="10"/>
        <v>0</v>
      </c>
      <c r="AN93">
        <f t="shared" si="11"/>
        <v>0</v>
      </c>
      <c r="AO93">
        <f t="shared" si="12"/>
        <v>0</v>
      </c>
      <c r="AP93">
        <f t="shared" si="13"/>
        <v>0</v>
      </c>
      <c r="AQ93">
        <f t="shared" si="54"/>
        <v>0</v>
      </c>
      <c r="AR93">
        <f t="shared" si="55"/>
        <v>0</v>
      </c>
      <c r="AS93" s="290">
        <f t="shared" si="56"/>
        <v>0</v>
      </c>
      <c r="AT93">
        <f t="shared" si="57"/>
        <v>0</v>
      </c>
      <c r="AU93" s="290">
        <f t="shared" si="58"/>
        <v>0</v>
      </c>
      <c r="AV93">
        <f t="shared" si="59"/>
        <v>0</v>
      </c>
      <c r="AW93">
        <f t="shared" si="60"/>
        <v>0</v>
      </c>
      <c r="AX93">
        <f t="shared" si="61"/>
        <v>0</v>
      </c>
      <c r="AY93">
        <f t="shared" si="42"/>
        <v>0</v>
      </c>
      <c r="AZ93" s="293">
        <f>(AK93*Pricing!F$2+AL93*Pricing!G$2+AM93*Pricing!H$2+AN93*Pricing!I$2+AO93*Pricing!J$2+AP93*Pricing!K$2)*IF(U$123="Y",1,(1+W$123))</f>
        <v>0</v>
      </c>
      <c r="BA93" s="294">
        <f t="shared" si="43"/>
        <v>0</v>
      </c>
      <c r="BB93" s="293" t="e">
        <f t="shared" si="44"/>
        <v>#DIV/0!</v>
      </c>
      <c r="BC93" s="294">
        <f t="shared" si="45"/>
        <v>0</v>
      </c>
      <c r="BD93" s="294">
        <f t="shared" si="46"/>
        <v>0</v>
      </c>
      <c r="BE93" s="295" t="e">
        <f t="shared" si="47"/>
        <v>#DIV/0!</v>
      </c>
      <c r="BF93" s="296" t="e">
        <f t="shared" si="48"/>
        <v>#DIV/0!</v>
      </c>
    </row>
    <row r="94" spans="2:58" ht="18" customHeight="1" x14ac:dyDescent="0.35">
      <c r="B94" s="2739">
        <v>84</v>
      </c>
      <c r="C94" s="2740"/>
      <c r="D94" s="1361"/>
      <c r="E94" s="1273"/>
      <c r="F94" s="1261"/>
      <c r="G94" s="1261"/>
      <c r="H94" s="1228"/>
      <c r="I94" s="777"/>
      <c r="J94" s="448"/>
      <c r="K94" s="1262"/>
      <c r="L94" s="180"/>
      <c r="M94" s="180"/>
      <c r="N94" s="179"/>
      <c r="O94" s="1221"/>
      <c r="P94" s="180"/>
      <c r="Q94" s="179"/>
      <c r="R94" s="180"/>
      <c r="S94" s="179"/>
      <c r="T94" s="180"/>
      <c r="U94" s="1263"/>
      <c r="V94" s="1270">
        <f t="shared" si="49"/>
        <v>0</v>
      </c>
      <c r="W94" s="1271">
        <f t="shared" si="50"/>
        <v>0</v>
      </c>
      <c r="X94" s="1272">
        <f t="shared" si="51"/>
        <v>0</v>
      </c>
      <c r="Y94" s="1284">
        <f t="shared" si="52"/>
        <v>0</v>
      </c>
      <c r="Z94" s="42"/>
      <c r="AJ94">
        <f t="shared" si="53"/>
        <v>0</v>
      </c>
      <c r="AK94">
        <f t="shared" si="8"/>
        <v>0</v>
      </c>
      <c r="AL94">
        <f t="shared" si="9"/>
        <v>0</v>
      </c>
      <c r="AM94">
        <f t="shared" si="10"/>
        <v>0</v>
      </c>
      <c r="AN94">
        <f t="shared" si="11"/>
        <v>0</v>
      </c>
      <c r="AO94">
        <f t="shared" si="12"/>
        <v>0</v>
      </c>
      <c r="AP94">
        <f t="shared" si="13"/>
        <v>0</v>
      </c>
      <c r="AQ94">
        <f t="shared" si="54"/>
        <v>0</v>
      </c>
      <c r="AR94">
        <f t="shared" si="55"/>
        <v>0</v>
      </c>
      <c r="AS94" s="290">
        <f t="shared" si="56"/>
        <v>0</v>
      </c>
      <c r="AT94">
        <f t="shared" si="57"/>
        <v>0</v>
      </c>
      <c r="AU94" s="290">
        <f t="shared" si="58"/>
        <v>0</v>
      </c>
      <c r="AV94">
        <f t="shared" si="59"/>
        <v>0</v>
      </c>
      <c r="AW94">
        <f t="shared" si="60"/>
        <v>0</v>
      </c>
      <c r="AX94">
        <f t="shared" si="61"/>
        <v>0</v>
      </c>
      <c r="AY94">
        <f t="shared" si="42"/>
        <v>0</v>
      </c>
      <c r="AZ94" s="293">
        <f>(AK94*Pricing!F$2+AL94*Pricing!G$2+AM94*Pricing!H$2+AN94*Pricing!I$2+AO94*Pricing!J$2+AP94*Pricing!K$2)*IF(U$123="Y",1,(1+W$123))</f>
        <v>0</v>
      </c>
      <c r="BA94" s="294">
        <f t="shared" si="43"/>
        <v>0</v>
      </c>
      <c r="BB94" s="293" t="e">
        <f t="shared" si="44"/>
        <v>#DIV/0!</v>
      </c>
      <c r="BC94" s="294">
        <f t="shared" si="45"/>
        <v>0</v>
      </c>
      <c r="BD94" s="294">
        <f t="shared" si="46"/>
        <v>0</v>
      </c>
      <c r="BE94" s="295" t="e">
        <f t="shared" si="47"/>
        <v>#DIV/0!</v>
      </c>
      <c r="BF94" s="296" t="e">
        <f t="shared" si="48"/>
        <v>#DIV/0!</v>
      </c>
    </row>
    <row r="95" spans="2:58" ht="18" customHeight="1" x14ac:dyDescent="0.35">
      <c r="B95" s="2739">
        <v>85</v>
      </c>
      <c r="C95" s="2740"/>
      <c r="D95" s="1362"/>
      <c r="E95" s="1273"/>
      <c r="F95" s="1258"/>
      <c r="G95" s="1258"/>
      <c r="H95" s="1227"/>
      <c r="I95" s="777"/>
      <c r="J95" s="1226"/>
      <c r="K95" s="1259"/>
      <c r="L95" s="178"/>
      <c r="M95" s="178"/>
      <c r="N95" s="177"/>
      <c r="O95" s="1219"/>
      <c r="P95" s="178"/>
      <c r="Q95" s="177"/>
      <c r="R95" s="178"/>
      <c r="S95" s="177"/>
      <c r="T95" s="178"/>
      <c r="U95" s="1260"/>
      <c r="V95" s="1267">
        <f t="shared" si="49"/>
        <v>0</v>
      </c>
      <c r="W95" s="1268">
        <f t="shared" si="50"/>
        <v>0</v>
      </c>
      <c r="X95" s="1269">
        <f t="shared" si="51"/>
        <v>0</v>
      </c>
      <c r="Y95" s="1285">
        <f t="shared" si="52"/>
        <v>0</v>
      </c>
      <c r="Z95" s="42"/>
      <c r="AJ95">
        <f t="shared" si="7"/>
        <v>0</v>
      </c>
      <c r="AK95">
        <f t="shared" si="8"/>
        <v>0</v>
      </c>
      <c r="AL95">
        <f t="shared" si="9"/>
        <v>0</v>
      </c>
      <c r="AM95">
        <f t="shared" si="10"/>
        <v>0</v>
      </c>
      <c r="AN95">
        <f t="shared" si="11"/>
        <v>0</v>
      </c>
      <c r="AO95">
        <f t="shared" si="12"/>
        <v>0</v>
      </c>
      <c r="AP95">
        <f t="shared" si="13"/>
        <v>0</v>
      </c>
      <c r="AQ95">
        <f t="shared" si="14"/>
        <v>0</v>
      </c>
      <c r="AR95">
        <f t="shared" si="15"/>
        <v>0</v>
      </c>
      <c r="AS95" s="290">
        <f t="shared" si="16"/>
        <v>0</v>
      </c>
      <c r="AT95">
        <f t="shared" si="17"/>
        <v>0</v>
      </c>
      <c r="AU95" s="290">
        <f t="shared" si="18"/>
        <v>0</v>
      </c>
      <c r="AV95">
        <f t="shared" si="19"/>
        <v>0</v>
      </c>
      <c r="AW95">
        <f t="shared" si="20"/>
        <v>0</v>
      </c>
      <c r="AX95">
        <f t="shared" si="21"/>
        <v>0</v>
      </c>
      <c r="AY95">
        <f t="shared" si="42"/>
        <v>0</v>
      </c>
      <c r="AZ95" s="293">
        <f>(AK95*Pricing!F$2+AL95*Pricing!G$2+AM95*Pricing!H$2+AN95*Pricing!I$2+AO95*Pricing!J$2+AP95*Pricing!K$2)*IF(U$123="Y",1,(1+W$123))</f>
        <v>0</v>
      </c>
      <c r="BA95" s="294">
        <f t="shared" si="43"/>
        <v>0</v>
      </c>
      <c r="BB95" s="293" t="e">
        <f t="shared" si="44"/>
        <v>#DIV/0!</v>
      </c>
      <c r="BC95" s="294">
        <f t="shared" si="45"/>
        <v>0</v>
      </c>
      <c r="BD95" s="294">
        <f t="shared" si="46"/>
        <v>0</v>
      </c>
      <c r="BE95" s="295" t="e">
        <f t="shared" si="47"/>
        <v>#DIV/0!</v>
      </c>
      <c r="BF95" s="296" t="e">
        <f t="shared" si="48"/>
        <v>#DIV/0!</v>
      </c>
    </row>
    <row r="96" spans="2:58" ht="18" customHeight="1" x14ac:dyDescent="0.35">
      <c r="B96" s="2739">
        <v>86</v>
      </c>
      <c r="C96" s="2740"/>
      <c r="D96" s="1361"/>
      <c r="E96" s="1273"/>
      <c r="F96" s="1261"/>
      <c r="G96" s="1261"/>
      <c r="H96" s="1228"/>
      <c r="I96" s="777"/>
      <c r="J96" s="448"/>
      <c r="K96" s="1262"/>
      <c r="L96" s="180"/>
      <c r="M96" s="180"/>
      <c r="N96" s="179"/>
      <c r="O96" s="1221"/>
      <c r="P96" s="180"/>
      <c r="Q96" s="179"/>
      <c r="R96" s="180"/>
      <c r="S96" s="179"/>
      <c r="T96" s="180"/>
      <c r="U96" s="1263"/>
      <c r="V96" s="1270">
        <f t="shared" si="49"/>
        <v>0</v>
      </c>
      <c r="W96" s="1271">
        <f t="shared" si="50"/>
        <v>0</v>
      </c>
      <c r="X96" s="1272">
        <f t="shared" si="51"/>
        <v>0</v>
      </c>
      <c r="Y96" s="1284">
        <f t="shared" si="52"/>
        <v>0</v>
      </c>
      <c r="Z96" s="42"/>
      <c r="AJ96">
        <f t="shared" ref="AJ96:AJ108" si="62">IF(I96&gt;0,1,0)</f>
        <v>0</v>
      </c>
      <c r="AK96">
        <f t="shared" si="8"/>
        <v>0</v>
      </c>
      <c r="AL96">
        <f t="shared" si="9"/>
        <v>0</v>
      </c>
      <c r="AM96">
        <f t="shared" si="10"/>
        <v>0</v>
      </c>
      <c r="AN96">
        <f t="shared" si="11"/>
        <v>0</v>
      </c>
      <c r="AO96">
        <f t="shared" si="12"/>
        <v>0</v>
      </c>
      <c r="AP96">
        <f t="shared" si="13"/>
        <v>0</v>
      </c>
      <c r="AQ96">
        <f t="shared" ref="AQ96:AQ108" si="63">SUM(AK96:AP96)</f>
        <v>0</v>
      </c>
      <c r="AR96">
        <f t="shared" ref="AR96:AR108" si="64">V96*I96</f>
        <v>0</v>
      </c>
      <c r="AS96" s="290">
        <f t="shared" ref="AS96:AS108" si="65">X96*I96</f>
        <v>0</v>
      </c>
      <c r="AT96">
        <f t="shared" ref="AT96:AT108" si="66">I96</f>
        <v>0</v>
      </c>
      <c r="AU96" s="290">
        <f t="shared" ref="AU96:AU108" si="67">(E96*2+(G96-H96)*2)*I96</f>
        <v>0</v>
      </c>
      <c r="AV96">
        <f t="shared" ref="AV96:AV108" si="68">E96*I96</f>
        <v>0</v>
      </c>
      <c r="AW96">
        <f t="shared" ref="AW96:AW108" si="69">IF(F96&gt;0,IF(F96&lt;6,AU96,0),0)</f>
        <v>0</v>
      </c>
      <c r="AX96">
        <f t="shared" ref="AX96:AX108" si="70">IF(F96&gt;0,IF(F96&gt;5.5,AU96,0),0)</f>
        <v>0</v>
      </c>
      <c r="AY96">
        <f t="shared" si="42"/>
        <v>0</v>
      </c>
      <c r="AZ96" s="293">
        <f>(AK96*Pricing!F$2+AL96*Pricing!G$2+AM96*Pricing!H$2+AN96*Pricing!I$2+AO96*Pricing!J$2+AP96*Pricing!K$2)*IF(U$123="Y",1,(1+W$123))</f>
        <v>0</v>
      </c>
      <c r="BA96" s="294">
        <f t="shared" si="43"/>
        <v>0</v>
      </c>
      <c r="BB96" s="293" t="e">
        <f t="shared" si="44"/>
        <v>#DIV/0!</v>
      </c>
      <c r="BC96" s="294">
        <f t="shared" si="45"/>
        <v>0</v>
      </c>
      <c r="BD96" s="294">
        <f t="shared" si="46"/>
        <v>0</v>
      </c>
      <c r="BE96" s="295" t="e">
        <f t="shared" si="47"/>
        <v>#DIV/0!</v>
      </c>
      <c r="BF96" s="296" t="e">
        <f t="shared" si="48"/>
        <v>#DIV/0!</v>
      </c>
    </row>
    <row r="97" spans="2:58" ht="18" customHeight="1" x14ac:dyDescent="0.35">
      <c r="B97" s="2739">
        <v>87</v>
      </c>
      <c r="C97" s="2740"/>
      <c r="D97" s="1362"/>
      <c r="E97" s="1273"/>
      <c r="F97" s="1258"/>
      <c r="G97" s="1258"/>
      <c r="H97" s="1227"/>
      <c r="I97" s="777"/>
      <c r="J97" s="1226"/>
      <c r="K97" s="1259"/>
      <c r="L97" s="178"/>
      <c r="M97" s="178"/>
      <c r="N97" s="177"/>
      <c r="O97" s="1219"/>
      <c r="P97" s="178"/>
      <c r="Q97" s="177"/>
      <c r="R97" s="178"/>
      <c r="S97" s="177"/>
      <c r="T97" s="178"/>
      <c r="U97" s="1260"/>
      <c r="V97" s="1267">
        <f t="shared" si="49"/>
        <v>0</v>
      </c>
      <c r="W97" s="1268">
        <f t="shared" si="50"/>
        <v>0</v>
      </c>
      <c r="X97" s="1269">
        <f t="shared" si="51"/>
        <v>0</v>
      </c>
      <c r="Y97" s="1285">
        <f t="shared" si="52"/>
        <v>0</v>
      </c>
      <c r="Z97" s="42"/>
      <c r="AJ97">
        <f t="shared" si="62"/>
        <v>0</v>
      </c>
      <c r="AK97">
        <f t="shared" si="8"/>
        <v>0</v>
      </c>
      <c r="AL97">
        <f t="shared" si="9"/>
        <v>0</v>
      </c>
      <c r="AM97">
        <f t="shared" si="10"/>
        <v>0</v>
      </c>
      <c r="AN97">
        <f t="shared" si="11"/>
        <v>0</v>
      </c>
      <c r="AO97">
        <f t="shared" si="12"/>
        <v>0</v>
      </c>
      <c r="AP97">
        <f t="shared" si="13"/>
        <v>0</v>
      </c>
      <c r="AQ97">
        <f t="shared" si="63"/>
        <v>0</v>
      </c>
      <c r="AR97">
        <f t="shared" si="64"/>
        <v>0</v>
      </c>
      <c r="AS97" s="290">
        <f t="shared" si="65"/>
        <v>0</v>
      </c>
      <c r="AT97">
        <f t="shared" si="66"/>
        <v>0</v>
      </c>
      <c r="AU97" s="290">
        <f t="shared" si="67"/>
        <v>0</v>
      </c>
      <c r="AV97">
        <f t="shared" si="68"/>
        <v>0</v>
      </c>
      <c r="AW97">
        <f t="shared" si="69"/>
        <v>0</v>
      </c>
      <c r="AX97">
        <f t="shared" si="70"/>
        <v>0</v>
      </c>
      <c r="AY97">
        <f t="shared" si="42"/>
        <v>0</v>
      </c>
      <c r="AZ97" s="293">
        <f>(AK97*Pricing!F$2+AL97*Pricing!G$2+AM97*Pricing!H$2+AN97*Pricing!I$2+AO97*Pricing!J$2+AP97*Pricing!K$2)*IF(U$123="Y",1,(1+W$123))</f>
        <v>0</v>
      </c>
      <c r="BA97" s="294">
        <f t="shared" si="43"/>
        <v>0</v>
      </c>
      <c r="BB97" s="293" t="e">
        <f t="shared" si="44"/>
        <v>#DIV/0!</v>
      </c>
      <c r="BC97" s="294">
        <f t="shared" si="45"/>
        <v>0</v>
      </c>
      <c r="BD97" s="294">
        <f t="shared" si="46"/>
        <v>0</v>
      </c>
      <c r="BE97" s="295" t="e">
        <f t="shared" si="47"/>
        <v>#DIV/0!</v>
      </c>
      <c r="BF97" s="296" t="e">
        <f t="shared" si="48"/>
        <v>#DIV/0!</v>
      </c>
    </row>
    <row r="98" spans="2:58" ht="18" customHeight="1" x14ac:dyDescent="0.35">
      <c r="B98" s="2739">
        <v>88</v>
      </c>
      <c r="C98" s="2740"/>
      <c r="D98" s="1361"/>
      <c r="E98" s="1273"/>
      <c r="F98" s="1261"/>
      <c r="G98" s="1261"/>
      <c r="H98" s="1228"/>
      <c r="I98" s="777"/>
      <c r="J98" s="448"/>
      <c r="K98" s="1262"/>
      <c r="L98" s="180"/>
      <c r="M98" s="180"/>
      <c r="N98" s="179"/>
      <c r="O98" s="1221"/>
      <c r="P98" s="180"/>
      <c r="Q98" s="179"/>
      <c r="R98" s="180"/>
      <c r="S98" s="179"/>
      <c r="T98" s="180"/>
      <c r="U98" s="1263"/>
      <c r="V98" s="1270">
        <f t="shared" si="49"/>
        <v>0</v>
      </c>
      <c r="W98" s="1271">
        <f t="shared" si="50"/>
        <v>0</v>
      </c>
      <c r="X98" s="1272">
        <f t="shared" si="51"/>
        <v>0</v>
      </c>
      <c r="Y98" s="1284">
        <f t="shared" si="52"/>
        <v>0</v>
      </c>
      <c r="Z98" s="42"/>
      <c r="AJ98">
        <f t="shared" si="62"/>
        <v>0</v>
      </c>
      <c r="AK98">
        <f t="shared" si="8"/>
        <v>0</v>
      </c>
      <c r="AL98">
        <f t="shared" si="9"/>
        <v>0</v>
      </c>
      <c r="AM98">
        <f t="shared" si="10"/>
        <v>0</v>
      </c>
      <c r="AN98">
        <f t="shared" si="11"/>
        <v>0</v>
      </c>
      <c r="AO98">
        <f t="shared" si="12"/>
        <v>0</v>
      </c>
      <c r="AP98">
        <f t="shared" si="13"/>
        <v>0</v>
      </c>
      <c r="AQ98">
        <f t="shared" si="63"/>
        <v>0</v>
      </c>
      <c r="AR98">
        <f t="shared" si="64"/>
        <v>0</v>
      </c>
      <c r="AS98" s="290">
        <f t="shared" si="65"/>
        <v>0</v>
      </c>
      <c r="AT98">
        <f t="shared" si="66"/>
        <v>0</v>
      </c>
      <c r="AU98" s="290">
        <f t="shared" si="67"/>
        <v>0</v>
      </c>
      <c r="AV98">
        <f t="shared" si="68"/>
        <v>0</v>
      </c>
      <c r="AW98">
        <f t="shared" si="69"/>
        <v>0</v>
      </c>
      <c r="AX98">
        <f t="shared" si="70"/>
        <v>0</v>
      </c>
      <c r="AY98">
        <f t="shared" si="42"/>
        <v>0</v>
      </c>
      <c r="AZ98" s="293">
        <f>(AK98*Pricing!F$2+AL98*Pricing!G$2+AM98*Pricing!H$2+AN98*Pricing!I$2+AO98*Pricing!J$2+AP98*Pricing!K$2)*IF(U$123="Y",1,(1+W$123))</f>
        <v>0</v>
      </c>
      <c r="BA98" s="294">
        <f t="shared" si="43"/>
        <v>0</v>
      </c>
      <c r="BB98" s="293" t="e">
        <f t="shared" si="44"/>
        <v>#DIV/0!</v>
      </c>
      <c r="BC98" s="294">
        <f t="shared" si="45"/>
        <v>0</v>
      </c>
      <c r="BD98" s="294">
        <f t="shared" si="46"/>
        <v>0</v>
      </c>
      <c r="BE98" s="295" t="e">
        <f t="shared" si="47"/>
        <v>#DIV/0!</v>
      </c>
      <c r="BF98" s="296" t="e">
        <f t="shared" si="48"/>
        <v>#DIV/0!</v>
      </c>
    </row>
    <row r="99" spans="2:58" ht="18" customHeight="1" x14ac:dyDescent="0.35">
      <c r="B99" s="2739">
        <v>89</v>
      </c>
      <c r="C99" s="2740"/>
      <c r="D99" s="1362"/>
      <c r="E99" s="1273"/>
      <c r="F99" s="1258"/>
      <c r="G99" s="1258"/>
      <c r="H99" s="1227"/>
      <c r="I99" s="777"/>
      <c r="J99" s="1226"/>
      <c r="K99" s="1259"/>
      <c r="L99" s="178"/>
      <c r="M99" s="178"/>
      <c r="N99" s="177"/>
      <c r="O99" s="1219"/>
      <c r="P99" s="178"/>
      <c r="Q99" s="177"/>
      <c r="R99" s="178"/>
      <c r="S99" s="177"/>
      <c r="T99" s="178"/>
      <c r="U99" s="1260"/>
      <c r="V99" s="1267">
        <f t="shared" si="49"/>
        <v>0</v>
      </c>
      <c r="W99" s="1268">
        <f t="shared" si="50"/>
        <v>0</v>
      </c>
      <c r="X99" s="1269">
        <f t="shared" si="51"/>
        <v>0</v>
      </c>
      <c r="Y99" s="1285">
        <f t="shared" si="52"/>
        <v>0</v>
      </c>
      <c r="Z99" s="42"/>
      <c r="AJ99">
        <f t="shared" si="62"/>
        <v>0</v>
      </c>
      <c r="AK99">
        <f t="shared" si="8"/>
        <v>0</v>
      </c>
      <c r="AL99">
        <f t="shared" si="9"/>
        <v>0</v>
      </c>
      <c r="AM99">
        <f t="shared" si="10"/>
        <v>0</v>
      </c>
      <c r="AN99">
        <f t="shared" si="11"/>
        <v>0</v>
      </c>
      <c r="AO99">
        <f t="shared" si="12"/>
        <v>0</v>
      </c>
      <c r="AP99">
        <f t="shared" si="13"/>
        <v>0</v>
      </c>
      <c r="AQ99">
        <f t="shared" si="63"/>
        <v>0</v>
      </c>
      <c r="AR99">
        <f t="shared" si="64"/>
        <v>0</v>
      </c>
      <c r="AS99" s="290">
        <f t="shared" si="65"/>
        <v>0</v>
      </c>
      <c r="AT99">
        <f t="shared" si="66"/>
        <v>0</v>
      </c>
      <c r="AU99" s="290">
        <f t="shared" si="67"/>
        <v>0</v>
      </c>
      <c r="AV99">
        <f t="shared" si="68"/>
        <v>0</v>
      </c>
      <c r="AW99">
        <f t="shared" si="69"/>
        <v>0</v>
      </c>
      <c r="AX99">
        <f t="shared" si="70"/>
        <v>0</v>
      </c>
      <c r="AY99">
        <f t="shared" si="42"/>
        <v>0</v>
      </c>
      <c r="AZ99" s="293">
        <f>(AK99*Pricing!F$2+AL99*Pricing!G$2+AM99*Pricing!H$2+AN99*Pricing!I$2+AO99*Pricing!J$2+AP99*Pricing!K$2)*IF(U$123="Y",1,(1+W$123))</f>
        <v>0</v>
      </c>
      <c r="BA99" s="294">
        <f t="shared" si="43"/>
        <v>0</v>
      </c>
      <c r="BB99" s="293" t="e">
        <f t="shared" si="44"/>
        <v>#DIV/0!</v>
      </c>
      <c r="BC99" s="294">
        <f t="shared" si="45"/>
        <v>0</v>
      </c>
      <c r="BD99" s="294">
        <f t="shared" si="46"/>
        <v>0</v>
      </c>
      <c r="BE99" s="295" t="e">
        <f t="shared" si="47"/>
        <v>#DIV/0!</v>
      </c>
      <c r="BF99" s="296" t="e">
        <f t="shared" si="48"/>
        <v>#DIV/0!</v>
      </c>
    </row>
    <row r="100" spans="2:58" ht="18" customHeight="1" x14ac:dyDescent="0.35">
      <c r="B100" s="2739">
        <v>90</v>
      </c>
      <c r="C100" s="2740"/>
      <c r="D100" s="1361"/>
      <c r="E100" s="1273"/>
      <c r="F100" s="1261"/>
      <c r="G100" s="1261"/>
      <c r="H100" s="1228"/>
      <c r="I100" s="777"/>
      <c r="J100" s="448"/>
      <c r="K100" s="1262"/>
      <c r="L100" s="180"/>
      <c r="M100" s="180"/>
      <c r="N100" s="179"/>
      <c r="O100" s="1221"/>
      <c r="P100" s="180"/>
      <c r="Q100" s="179"/>
      <c r="R100" s="180"/>
      <c r="S100" s="179"/>
      <c r="T100" s="180"/>
      <c r="U100" s="1263"/>
      <c r="V100" s="1270">
        <f t="shared" si="49"/>
        <v>0</v>
      </c>
      <c r="W100" s="1271">
        <f t="shared" si="50"/>
        <v>0</v>
      </c>
      <c r="X100" s="1272">
        <f t="shared" si="51"/>
        <v>0</v>
      </c>
      <c r="Y100" s="1284">
        <f t="shared" si="52"/>
        <v>0</v>
      </c>
      <c r="Z100" s="42"/>
      <c r="AJ100">
        <f t="shared" si="62"/>
        <v>0</v>
      </c>
      <c r="AK100">
        <f t="shared" si="8"/>
        <v>0</v>
      </c>
      <c r="AL100">
        <f t="shared" si="9"/>
        <v>0</v>
      </c>
      <c r="AM100">
        <f t="shared" si="10"/>
        <v>0</v>
      </c>
      <c r="AN100">
        <f t="shared" si="11"/>
        <v>0</v>
      </c>
      <c r="AO100">
        <f t="shared" si="12"/>
        <v>0</v>
      </c>
      <c r="AP100">
        <f t="shared" si="13"/>
        <v>0</v>
      </c>
      <c r="AQ100">
        <f t="shared" si="63"/>
        <v>0</v>
      </c>
      <c r="AR100">
        <f t="shared" si="64"/>
        <v>0</v>
      </c>
      <c r="AS100" s="290">
        <f t="shared" si="65"/>
        <v>0</v>
      </c>
      <c r="AT100">
        <f t="shared" si="66"/>
        <v>0</v>
      </c>
      <c r="AU100" s="290">
        <f t="shared" si="67"/>
        <v>0</v>
      </c>
      <c r="AV100">
        <f t="shared" si="68"/>
        <v>0</v>
      </c>
      <c r="AW100">
        <f t="shared" si="69"/>
        <v>0</v>
      </c>
      <c r="AX100">
        <f t="shared" si="70"/>
        <v>0</v>
      </c>
      <c r="AY100">
        <f t="shared" si="42"/>
        <v>0</v>
      </c>
      <c r="AZ100" s="293">
        <f>(AK100*Pricing!F$2+AL100*Pricing!G$2+AM100*Pricing!H$2+AN100*Pricing!I$2+AO100*Pricing!J$2+AP100*Pricing!K$2)*IF(U$123="Y",1,(1+W$123))</f>
        <v>0</v>
      </c>
      <c r="BA100" s="294">
        <f t="shared" si="43"/>
        <v>0</v>
      </c>
      <c r="BB100" s="293" t="e">
        <f t="shared" si="44"/>
        <v>#DIV/0!</v>
      </c>
      <c r="BC100" s="294">
        <f t="shared" si="45"/>
        <v>0</v>
      </c>
      <c r="BD100" s="294">
        <f t="shared" si="46"/>
        <v>0</v>
      </c>
      <c r="BE100" s="295" t="e">
        <f t="shared" si="47"/>
        <v>#DIV/0!</v>
      </c>
      <c r="BF100" s="296" t="e">
        <f t="shared" si="48"/>
        <v>#DIV/0!</v>
      </c>
    </row>
    <row r="101" spans="2:58" ht="18" customHeight="1" x14ac:dyDescent="0.35">
      <c r="B101" s="2739">
        <v>91</v>
      </c>
      <c r="C101" s="2740"/>
      <c r="D101" s="1362"/>
      <c r="E101" s="1273"/>
      <c r="F101" s="1258"/>
      <c r="G101" s="1258"/>
      <c r="H101" s="1227"/>
      <c r="I101" s="777"/>
      <c r="J101" s="1226"/>
      <c r="K101" s="1259"/>
      <c r="L101" s="178"/>
      <c r="M101" s="178"/>
      <c r="N101" s="177"/>
      <c r="O101" s="1219"/>
      <c r="P101" s="178"/>
      <c r="Q101" s="177"/>
      <c r="R101" s="178"/>
      <c r="S101" s="177"/>
      <c r="T101" s="178"/>
      <c r="U101" s="1260"/>
      <c r="V101" s="1267">
        <f t="shared" si="49"/>
        <v>0</v>
      </c>
      <c r="W101" s="1268">
        <f t="shared" si="50"/>
        <v>0</v>
      </c>
      <c r="X101" s="1269">
        <f t="shared" si="51"/>
        <v>0</v>
      </c>
      <c r="Y101" s="1285">
        <f t="shared" si="52"/>
        <v>0</v>
      </c>
      <c r="Z101" s="42"/>
      <c r="AJ101">
        <f t="shared" si="62"/>
        <v>0</v>
      </c>
      <c r="AK101">
        <f t="shared" si="8"/>
        <v>0</v>
      </c>
      <c r="AL101">
        <f t="shared" si="9"/>
        <v>0</v>
      </c>
      <c r="AM101">
        <f t="shared" si="10"/>
        <v>0</v>
      </c>
      <c r="AN101">
        <f t="shared" si="11"/>
        <v>0</v>
      </c>
      <c r="AO101">
        <f t="shared" si="12"/>
        <v>0</v>
      </c>
      <c r="AP101">
        <f t="shared" si="13"/>
        <v>0</v>
      </c>
      <c r="AQ101">
        <f t="shared" si="63"/>
        <v>0</v>
      </c>
      <c r="AR101">
        <f t="shared" si="64"/>
        <v>0</v>
      </c>
      <c r="AS101" s="290">
        <f t="shared" si="65"/>
        <v>0</v>
      </c>
      <c r="AT101">
        <f t="shared" si="66"/>
        <v>0</v>
      </c>
      <c r="AU101" s="290">
        <f t="shared" si="67"/>
        <v>0</v>
      </c>
      <c r="AV101">
        <f t="shared" si="68"/>
        <v>0</v>
      </c>
      <c r="AW101">
        <f t="shared" si="69"/>
        <v>0</v>
      </c>
      <c r="AX101">
        <f t="shared" si="70"/>
        <v>0</v>
      </c>
      <c r="AY101">
        <f t="shared" si="42"/>
        <v>0</v>
      </c>
      <c r="AZ101" s="293">
        <f>(AK101*Pricing!F$2+AL101*Pricing!G$2+AM101*Pricing!H$2+AN101*Pricing!I$2+AO101*Pricing!J$2+AP101*Pricing!K$2)*IF(U$123="Y",1,(1+W$123))</f>
        <v>0</v>
      </c>
      <c r="BA101" s="294">
        <f t="shared" si="43"/>
        <v>0</v>
      </c>
      <c r="BB101" s="293" t="e">
        <f t="shared" si="44"/>
        <v>#DIV/0!</v>
      </c>
      <c r="BC101" s="294">
        <f t="shared" si="45"/>
        <v>0</v>
      </c>
      <c r="BD101" s="294">
        <f t="shared" si="46"/>
        <v>0</v>
      </c>
      <c r="BE101" s="295" t="e">
        <f t="shared" si="47"/>
        <v>#DIV/0!</v>
      </c>
      <c r="BF101" s="296" t="e">
        <f t="shared" si="48"/>
        <v>#DIV/0!</v>
      </c>
    </row>
    <row r="102" spans="2:58" ht="18" customHeight="1" x14ac:dyDescent="0.35">
      <c r="B102" s="2739">
        <v>92</v>
      </c>
      <c r="C102" s="2740"/>
      <c r="D102" s="1361"/>
      <c r="E102" s="1273"/>
      <c r="F102" s="1261"/>
      <c r="G102" s="1261"/>
      <c r="H102" s="1228"/>
      <c r="I102" s="777"/>
      <c r="J102" s="448"/>
      <c r="K102" s="1262"/>
      <c r="L102" s="180"/>
      <c r="M102" s="180"/>
      <c r="N102" s="179"/>
      <c r="O102" s="1221"/>
      <c r="P102" s="180"/>
      <c r="Q102" s="179"/>
      <c r="R102" s="180"/>
      <c r="S102" s="179"/>
      <c r="T102" s="180"/>
      <c r="U102" s="1263"/>
      <c r="V102" s="1270">
        <f t="shared" si="49"/>
        <v>0</v>
      </c>
      <c r="W102" s="1271">
        <f t="shared" si="50"/>
        <v>0</v>
      </c>
      <c r="X102" s="1272">
        <f t="shared" si="51"/>
        <v>0</v>
      </c>
      <c r="Y102" s="1284">
        <f t="shared" si="52"/>
        <v>0</v>
      </c>
      <c r="Z102" s="42"/>
      <c r="AJ102">
        <f t="shared" si="62"/>
        <v>0</v>
      </c>
      <c r="AK102">
        <f t="shared" si="8"/>
        <v>0</v>
      </c>
      <c r="AL102">
        <f t="shared" si="9"/>
        <v>0</v>
      </c>
      <c r="AM102">
        <f t="shared" si="10"/>
        <v>0</v>
      </c>
      <c r="AN102">
        <f t="shared" si="11"/>
        <v>0</v>
      </c>
      <c r="AO102">
        <f t="shared" si="12"/>
        <v>0</v>
      </c>
      <c r="AP102">
        <f t="shared" si="13"/>
        <v>0</v>
      </c>
      <c r="AQ102">
        <f t="shared" si="63"/>
        <v>0</v>
      </c>
      <c r="AR102">
        <f t="shared" si="64"/>
        <v>0</v>
      </c>
      <c r="AS102" s="290">
        <f t="shared" si="65"/>
        <v>0</v>
      </c>
      <c r="AT102">
        <f t="shared" si="66"/>
        <v>0</v>
      </c>
      <c r="AU102" s="290">
        <f t="shared" si="67"/>
        <v>0</v>
      </c>
      <c r="AV102">
        <f t="shared" si="68"/>
        <v>0</v>
      </c>
      <c r="AW102">
        <f t="shared" si="69"/>
        <v>0</v>
      </c>
      <c r="AX102">
        <f t="shared" si="70"/>
        <v>0</v>
      </c>
      <c r="AY102">
        <f t="shared" si="42"/>
        <v>0</v>
      </c>
      <c r="AZ102" s="293">
        <f>(AK102*Pricing!F$2+AL102*Pricing!G$2+AM102*Pricing!H$2+AN102*Pricing!I$2+AO102*Pricing!J$2+AP102*Pricing!K$2)*IF(U$123="Y",1,(1+W$123))</f>
        <v>0</v>
      </c>
      <c r="BA102" s="294">
        <f t="shared" si="43"/>
        <v>0</v>
      </c>
      <c r="BB102" s="293" t="e">
        <f t="shared" si="44"/>
        <v>#DIV/0!</v>
      </c>
      <c r="BC102" s="294">
        <f t="shared" si="45"/>
        <v>0</v>
      </c>
      <c r="BD102" s="294">
        <f t="shared" si="46"/>
        <v>0</v>
      </c>
      <c r="BE102" s="295" t="e">
        <f t="shared" si="47"/>
        <v>#DIV/0!</v>
      </c>
      <c r="BF102" s="296" t="e">
        <f t="shared" si="48"/>
        <v>#DIV/0!</v>
      </c>
    </row>
    <row r="103" spans="2:58" ht="18" customHeight="1" x14ac:dyDescent="0.35">
      <c r="B103" s="2739">
        <v>93</v>
      </c>
      <c r="C103" s="2740"/>
      <c r="D103" s="1362"/>
      <c r="E103" s="1273"/>
      <c r="F103" s="1258"/>
      <c r="G103" s="1258"/>
      <c r="H103" s="1227"/>
      <c r="I103" s="777"/>
      <c r="J103" s="1226"/>
      <c r="K103" s="1259"/>
      <c r="L103" s="178"/>
      <c r="M103" s="178"/>
      <c r="N103" s="177"/>
      <c r="O103" s="1219"/>
      <c r="P103" s="178"/>
      <c r="Q103" s="177"/>
      <c r="R103" s="178"/>
      <c r="S103" s="177"/>
      <c r="T103" s="178"/>
      <c r="U103" s="1260"/>
      <c r="V103" s="1267">
        <f t="shared" si="49"/>
        <v>0</v>
      </c>
      <c r="W103" s="1268">
        <f t="shared" si="50"/>
        <v>0</v>
      </c>
      <c r="X103" s="1269">
        <f t="shared" si="51"/>
        <v>0</v>
      </c>
      <c r="Y103" s="1285">
        <f t="shared" si="52"/>
        <v>0</v>
      </c>
      <c r="Z103" s="42"/>
      <c r="AJ103">
        <f t="shared" si="62"/>
        <v>0</v>
      </c>
      <c r="AK103">
        <f t="shared" si="8"/>
        <v>0</v>
      </c>
      <c r="AL103">
        <f t="shared" si="9"/>
        <v>0</v>
      </c>
      <c r="AM103">
        <f t="shared" si="10"/>
        <v>0</v>
      </c>
      <c r="AN103">
        <f t="shared" si="11"/>
        <v>0</v>
      </c>
      <c r="AO103">
        <f t="shared" si="12"/>
        <v>0</v>
      </c>
      <c r="AP103">
        <f t="shared" si="13"/>
        <v>0</v>
      </c>
      <c r="AQ103">
        <f t="shared" si="63"/>
        <v>0</v>
      </c>
      <c r="AR103">
        <f t="shared" si="64"/>
        <v>0</v>
      </c>
      <c r="AS103" s="290">
        <f t="shared" si="65"/>
        <v>0</v>
      </c>
      <c r="AT103">
        <f t="shared" si="66"/>
        <v>0</v>
      </c>
      <c r="AU103" s="290">
        <f t="shared" si="67"/>
        <v>0</v>
      </c>
      <c r="AV103">
        <f t="shared" si="68"/>
        <v>0</v>
      </c>
      <c r="AW103">
        <f t="shared" si="69"/>
        <v>0</v>
      </c>
      <c r="AX103">
        <f t="shared" si="70"/>
        <v>0</v>
      </c>
      <c r="AY103">
        <f t="shared" si="42"/>
        <v>0</v>
      </c>
      <c r="AZ103" s="293">
        <f>(AK103*Pricing!F$2+AL103*Pricing!G$2+AM103*Pricing!H$2+AN103*Pricing!I$2+AO103*Pricing!J$2+AP103*Pricing!K$2)*IF(U$123="Y",1,(1+W$123))</f>
        <v>0</v>
      </c>
      <c r="BA103" s="294">
        <f t="shared" si="43"/>
        <v>0</v>
      </c>
      <c r="BB103" s="293" t="e">
        <f t="shared" si="44"/>
        <v>#DIV/0!</v>
      </c>
      <c r="BC103" s="294">
        <f t="shared" si="45"/>
        <v>0</v>
      </c>
      <c r="BD103" s="294">
        <f t="shared" si="46"/>
        <v>0</v>
      </c>
      <c r="BE103" s="295" t="e">
        <f t="shared" si="47"/>
        <v>#DIV/0!</v>
      </c>
      <c r="BF103" s="296" t="e">
        <f t="shared" si="48"/>
        <v>#DIV/0!</v>
      </c>
    </row>
    <row r="104" spans="2:58" ht="18" customHeight="1" x14ac:dyDescent="0.35">
      <c r="B104" s="2739">
        <v>94</v>
      </c>
      <c r="C104" s="2740"/>
      <c r="D104" s="1361"/>
      <c r="E104" s="1273"/>
      <c r="F104" s="1261"/>
      <c r="G104" s="1261"/>
      <c r="H104" s="1228"/>
      <c r="I104" s="777"/>
      <c r="J104" s="448"/>
      <c r="K104" s="1262"/>
      <c r="L104" s="180"/>
      <c r="M104" s="180"/>
      <c r="N104" s="179"/>
      <c r="O104" s="1221"/>
      <c r="P104" s="180"/>
      <c r="Q104" s="179"/>
      <c r="R104" s="180"/>
      <c r="S104" s="179"/>
      <c r="T104" s="180"/>
      <c r="U104" s="1263"/>
      <c r="V104" s="1270">
        <f t="shared" si="49"/>
        <v>0</v>
      </c>
      <c r="W104" s="1271">
        <f t="shared" si="50"/>
        <v>0</v>
      </c>
      <c r="X104" s="1272">
        <f t="shared" si="51"/>
        <v>0</v>
      </c>
      <c r="Y104" s="1284">
        <f t="shared" si="52"/>
        <v>0</v>
      </c>
      <c r="Z104" s="42"/>
      <c r="AJ104">
        <f t="shared" si="62"/>
        <v>0</v>
      </c>
      <c r="AK104">
        <f t="shared" si="8"/>
        <v>0</v>
      </c>
      <c r="AL104">
        <f t="shared" si="9"/>
        <v>0</v>
      </c>
      <c r="AM104">
        <f t="shared" si="10"/>
        <v>0</v>
      </c>
      <c r="AN104">
        <f t="shared" si="11"/>
        <v>0</v>
      </c>
      <c r="AO104">
        <f t="shared" si="12"/>
        <v>0</v>
      </c>
      <c r="AP104">
        <f t="shared" si="13"/>
        <v>0</v>
      </c>
      <c r="AQ104">
        <f t="shared" si="63"/>
        <v>0</v>
      </c>
      <c r="AR104">
        <f t="shared" si="64"/>
        <v>0</v>
      </c>
      <c r="AS104" s="290">
        <f t="shared" si="65"/>
        <v>0</v>
      </c>
      <c r="AT104">
        <f t="shared" si="66"/>
        <v>0</v>
      </c>
      <c r="AU104" s="290">
        <f t="shared" si="67"/>
        <v>0</v>
      </c>
      <c r="AV104">
        <f t="shared" si="68"/>
        <v>0</v>
      </c>
      <c r="AW104">
        <f t="shared" si="69"/>
        <v>0</v>
      </c>
      <c r="AX104">
        <f t="shared" si="70"/>
        <v>0</v>
      </c>
      <c r="AY104">
        <f t="shared" si="42"/>
        <v>0</v>
      </c>
      <c r="AZ104" s="293">
        <f>(AK104*Pricing!F$2+AL104*Pricing!G$2+AM104*Pricing!H$2+AN104*Pricing!I$2+AO104*Pricing!J$2+AP104*Pricing!K$2)*IF(U$123="Y",1,(1+W$123))</f>
        <v>0</v>
      </c>
      <c r="BA104" s="294">
        <f t="shared" si="43"/>
        <v>0</v>
      </c>
      <c r="BB104" s="293" t="e">
        <f t="shared" si="44"/>
        <v>#DIV/0!</v>
      </c>
      <c r="BC104" s="294">
        <f t="shared" si="45"/>
        <v>0</v>
      </c>
      <c r="BD104" s="294">
        <f t="shared" si="46"/>
        <v>0</v>
      </c>
      <c r="BE104" s="295" t="e">
        <f t="shared" si="47"/>
        <v>#DIV/0!</v>
      </c>
      <c r="BF104" s="296" t="e">
        <f t="shared" si="48"/>
        <v>#DIV/0!</v>
      </c>
    </row>
    <row r="105" spans="2:58" ht="18" customHeight="1" x14ac:dyDescent="0.35">
      <c r="B105" s="2739">
        <v>95</v>
      </c>
      <c r="C105" s="2740"/>
      <c r="D105" s="1362"/>
      <c r="E105" s="1273"/>
      <c r="F105" s="1258"/>
      <c r="G105" s="1258"/>
      <c r="H105" s="1227"/>
      <c r="I105" s="777"/>
      <c r="J105" s="1226"/>
      <c r="K105" s="1259"/>
      <c r="L105" s="178"/>
      <c r="M105" s="178"/>
      <c r="N105" s="177"/>
      <c r="O105" s="1219"/>
      <c r="P105" s="178"/>
      <c r="Q105" s="177"/>
      <c r="R105" s="178"/>
      <c r="S105" s="177"/>
      <c r="T105" s="178"/>
      <c r="U105" s="1260"/>
      <c r="V105" s="1267">
        <f t="shared" si="49"/>
        <v>0</v>
      </c>
      <c r="W105" s="1268">
        <f t="shared" si="50"/>
        <v>0</v>
      </c>
      <c r="X105" s="1269">
        <f t="shared" si="51"/>
        <v>0</v>
      </c>
      <c r="Y105" s="1285">
        <f t="shared" si="52"/>
        <v>0</v>
      </c>
      <c r="Z105" s="42"/>
      <c r="AJ105">
        <f t="shared" si="62"/>
        <v>0</v>
      </c>
      <c r="AK105">
        <f t="shared" si="8"/>
        <v>0</v>
      </c>
      <c r="AL105">
        <f t="shared" si="9"/>
        <v>0</v>
      </c>
      <c r="AM105">
        <f t="shared" si="10"/>
        <v>0</v>
      </c>
      <c r="AN105">
        <f t="shared" si="11"/>
        <v>0</v>
      </c>
      <c r="AO105">
        <f t="shared" si="12"/>
        <v>0</v>
      </c>
      <c r="AP105">
        <f t="shared" si="13"/>
        <v>0</v>
      </c>
      <c r="AQ105">
        <f t="shared" si="63"/>
        <v>0</v>
      </c>
      <c r="AR105">
        <f t="shared" si="64"/>
        <v>0</v>
      </c>
      <c r="AS105" s="290">
        <f t="shared" si="65"/>
        <v>0</v>
      </c>
      <c r="AT105">
        <f t="shared" si="66"/>
        <v>0</v>
      </c>
      <c r="AU105" s="290">
        <f t="shared" si="67"/>
        <v>0</v>
      </c>
      <c r="AV105">
        <f t="shared" si="68"/>
        <v>0</v>
      </c>
      <c r="AW105">
        <f t="shared" si="69"/>
        <v>0</v>
      </c>
      <c r="AX105">
        <f t="shared" si="70"/>
        <v>0</v>
      </c>
      <c r="AY105">
        <f t="shared" si="42"/>
        <v>0</v>
      </c>
      <c r="AZ105" s="293">
        <f>(AK105*Pricing!F$2+AL105*Pricing!G$2+AM105*Pricing!H$2+AN105*Pricing!I$2+AO105*Pricing!J$2+AP105*Pricing!K$2)*IF(U$123="Y",1,(1+W$123))</f>
        <v>0</v>
      </c>
      <c r="BA105" s="294">
        <f t="shared" si="43"/>
        <v>0</v>
      </c>
      <c r="BB105" s="293" t="e">
        <f t="shared" si="44"/>
        <v>#DIV/0!</v>
      </c>
      <c r="BC105" s="294">
        <f t="shared" si="45"/>
        <v>0</v>
      </c>
      <c r="BD105" s="294">
        <f t="shared" si="46"/>
        <v>0</v>
      </c>
      <c r="BE105" s="295" t="e">
        <f t="shared" si="47"/>
        <v>#DIV/0!</v>
      </c>
      <c r="BF105" s="296" t="e">
        <f t="shared" si="48"/>
        <v>#DIV/0!</v>
      </c>
    </row>
    <row r="106" spans="2:58" ht="18" customHeight="1" x14ac:dyDescent="0.35">
      <c r="B106" s="2739">
        <v>96</v>
      </c>
      <c r="C106" s="2740"/>
      <c r="D106" s="1361"/>
      <c r="E106" s="1273"/>
      <c r="F106" s="1261"/>
      <c r="G106" s="1261"/>
      <c r="H106" s="1228"/>
      <c r="I106" s="777"/>
      <c r="J106" s="448"/>
      <c r="K106" s="1262"/>
      <c r="L106" s="180"/>
      <c r="M106" s="180"/>
      <c r="N106" s="179"/>
      <c r="O106" s="1221"/>
      <c r="P106" s="180"/>
      <c r="Q106" s="179"/>
      <c r="R106" s="180"/>
      <c r="S106" s="179"/>
      <c r="T106" s="180"/>
      <c r="U106" s="1263"/>
      <c r="V106" s="1270">
        <f t="shared" si="49"/>
        <v>0</v>
      </c>
      <c r="W106" s="1271">
        <f t="shared" si="50"/>
        <v>0</v>
      </c>
      <c r="X106" s="1272">
        <f t="shared" si="51"/>
        <v>0</v>
      </c>
      <c r="Y106" s="1284">
        <f t="shared" si="52"/>
        <v>0</v>
      </c>
      <c r="Z106" s="42"/>
      <c r="AJ106">
        <f t="shared" si="62"/>
        <v>0</v>
      </c>
      <c r="AK106">
        <f t="shared" si="8"/>
        <v>0</v>
      </c>
      <c r="AL106">
        <f t="shared" si="9"/>
        <v>0</v>
      </c>
      <c r="AM106">
        <f t="shared" si="10"/>
        <v>0</v>
      </c>
      <c r="AN106">
        <f t="shared" si="11"/>
        <v>0</v>
      </c>
      <c r="AO106">
        <f t="shared" si="12"/>
        <v>0</v>
      </c>
      <c r="AP106">
        <f t="shared" si="13"/>
        <v>0</v>
      </c>
      <c r="AQ106">
        <f t="shared" si="63"/>
        <v>0</v>
      </c>
      <c r="AR106">
        <f t="shared" si="64"/>
        <v>0</v>
      </c>
      <c r="AS106" s="290">
        <f t="shared" si="65"/>
        <v>0</v>
      </c>
      <c r="AT106">
        <f t="shared" si="66"/>
        <v>0</v>
      </c>
      <c r="AU106" s="290">
        <f t="shared" si="67"/>
        <v>0</v>
      </c>
      <c r="AV106">
        <f t="shared" si="68"/>
        <v>0</v>
      </c>
      <c r="AW106">
        <f t="shared" si="69"/>
        <v>0</v>
      </c>
      <c r="AX106">
        <f t="shared" si="70"/>
        <v>0</v>
      </c>
      <c r="AY106">
        <f t="shared" si="42"/>
        <v>0</v>
      </c>
      <c r="AZ106" s="293">
        <f>(AK106*Pricing!F$2+AL106*Pricing!G$2+AM106*Pricing!H$2+AN106*Pricing!I$2+AO106*Pricing!J$2+AP106*Pricing!K$2)*IF(U$123="Y",1,(1+W$123))</f>
        <v>0</v>
      </c>
      <c r="BA106" s="294">
        <f t="shared" si="43"/>
        <v>0</v>
      </c>
      <c r="BB106" s="293" t="e">
        <f t="shared" si="44"/>
        <v>#DIV/0!</v>
      </c>
      <c r="BC106" s="294">
        <f t="shared" si="45"/>
        <v>0</v>
      </c>
      <c r="BD106" s="294">
        <f t="shared" si="46"/>
        <v>0</v>
      </c>
      <c r="BE106" s="295" t="e">
        <f t="shared" si="47"/>
        <v>#DIV/0!</v>
      </c>
      <c r="BF106" s="296" t="e">
        <f t="shared" si="48"/>
        <v>#DIV/0!</v>
      </c>
    </row>
    <row r="107" spans="2:58" ht="18" customHeight="1" x14ac:dyDescent="0.35">
      <c r="B107" s="2739">
        <v>97</v>
      </c>
      <c r="C107" s="2740"/>
      <c r="D107" s="1362"/>
      <c r="E107" s="1273"/>
      <c r="F107" s="1258"/>
      <c r="G107" s="1258"/>
      <c r="H107" s="1227"/>
      <c r="I107" s="777"/>
      <c r="J107" s="1226"/>
      <c r="K107" s="1259"/>
      <c r="L107" s="178"/>
      <c r="M107" s="178"/>
      <c r="N107" s="177"/>
      <c r="O107" s="1219"/>
      <c r="P107" s="178"/>
      <c r="Q107" s="177"/>
      <c r="R107" s="178"/>
      <c r="S107" s="177"/>
      <c r="T107" s="178"/>
      <c r="U107" s="1260"/>
      <c r="V107" s="1267">
        <f t="shared" si="49"/>
        <v>0</v>
      </c>
      <c r="W107" s="1268">
        <f t="shared" si="50"/>
        <v>0</v>
      </c>
      <c r="X107" s="1269">
        <f t="shared" si="51"/>
        <v>0</v>
      </c>
      <c r="Y107" s="1285">
        <f t="shared" si="52"/>
        <v>0</v>
      </c>
      <c r="Z107" s="42"/>
      <c r="AJ107">
        <f t="shared" si="62"/>
        <v>0</v>
      </c>
      <c r="AK107">
        <f t="shared" si="8"/>
        <v>0</v>
      </c>
      <c r="AL107">
        <f t="shared" si="9"/>
        <v>0</v>
      </c>
      <c r="AM107">
        <f t="shared" si="10"/>
        <v>0</v>
      </c>
      <c r="AN107">
        <f t="shared" si="11"/>
        <v>0</v>
      </c>
      <c r="AO107">
        <f t="shared" si="12"/>
        <v>0</v>
      </c>
      <c r="AP107">
        <f t="shared" si="13"/>
        <v>0</v>
      </c>
      <c r="AQ107">
        <f t="shared" si="63"/>
        <v>0</v>
      </c>
      <c r="AR107">
        <f t="shared" si="64"/>
        <v>0</v>
      </c>
      <c r="AS107" s="290">
        <f t="shared" si="65"/>
        <v>0</v>
      </c>
      <c r="AT107">
        <f t="shared" si="66"/>
        <v>0</v>
      </c>
      <c r="AU107" s="290">
        <f t="shared" si="67"/>
        <v>0</v>
      </c>
      <c r="AV107">
        <f t="shared" si="68"/>
        <v>0</v>
      </c>
      <c r="AW107">
        <f t="shared" si="69"/>
        <v>0</v>
      </c>
      <c r="AX107">
        <f t="shared" si="70"/>
        <v>0</v>
      </c>
      <c r="AY107">
        <f t="shared" si="42"/>
        <v>0</v>
      </c>
      <c r="AZ107" s="293">
        <f>(AK107*Pricing!F$2+AL107*Pricing!G$2+AM107*Pricing!H$2+AN107*Pricing!I$2+AO107*Pricing!J$2+AP107*Pricing!K$2)*IF(U$123="Y",1,(1+W$123))</f>
        <v>0</v>
      </c>
      <c r="BA107" s="294">
        <f t="shared" si="43"/>
        <v>0</v>
      </c>
      <c r="BB107" s="293" t="e">
        <f t="shared" si="44"/>
        <v>#DIV/0!</v>
      </c>
      <c r="BC107" s="294">
        <f t="shared" si="45"/>
        <v>0</v>
      </c>
      <c r="BD107" s="294">
        <f t="shared" si="46"/>
        <v>0</v>
      </c>
      <c r="BE107" s="295" t="e">
        <f t="shared" si="47"/>
        <v>#DIV/0!</v>
      </c>
      <c r="BF107" s="296" t="e">
        <f t="shared" si="48"/>
        <v>#DIV/0!</v>
      </c>
    </row>
    <row r="108" spans="2:58" ht="18" customHeight="1" x14ac:dyDescent="0.35">
      <c r="B108" s="2739">
        <v>98</v>
      </c>
      <c r="C108" s="2740"/>
      <c r="D108" s="1361"/>
      <c r="E108" s="1273"/>
      <c r="F108" s="1261"/>
      <c r="G108" s="1261"/>
      <c r="H108" s="1228"/>
      <c r="I108" s="777"/>
      <c r="J108" s="448"/>
      <c r="K108" s="1262"/>
      <c r="L108" s="180"/>
      <c r="M108" s="180"/>
      <c r="N108" s="179"/>
      <c r="O108" s="1221"/>
      <c r="P108" s="180"/>
      <c r="Q108" s="179"/>
      <c r="R108" s="180"/>
      <c r="S108" s="179"/>
      <c r="T108" s="180"/>
      <c r="U108" s="1263"/>
      <c r="V108" s="1270">
        <f t="shared" si="49"/>
        <v>0</v>
      </c>
      <c r="W108" s="1271">
        <f t="shared" si="50"/>
        <v>0</v>
      </c>
      <c r="X108" s="1272">
        <f t="shared" si="51"/>
        <v>0</v>
      </c>
      <c r="Y108" s="1284">
        <f t="shared" si="52"/>
        <v>0</v>
      </c>
      <c r="Z108" s="42"/>
      <c r="AJ108">
        <f t="shared" si="62"/>
        <v>0</v>
      </c>
      <c r="AK108">
        <f t="shared" si="8"/>
        <v>0</v>
      </c>
      <c r="AL108">
        <f t="shared" si="9"/>
        <v>0</v>
      </c>
      <c r="AM108">
        <f t="shared" si="10"/>
        <v>0</v>
      </c>
      <c r="AN108">
        <f t="shared" si="11"/>
        <v>0</v>
      </c>
      <c r="AO108">
        <f t="shared" si="12"/>
        <v>0</v>
      </c>
      <c r="AP108">
        <f t="shared" si="13"/>
        <v>0</v>
      </c>
      <c r="AQ108">
        <f t="shared" si="63"/>
        <v>0</v>
      </c>
      <c r="AR108">
        <f t="shared" si="64"/>
        <v>0</v>
      </c>
      <c r="AS108" s="290">
        <f t="shared" si="65"/>
        <v>0</v>
      </c>
      <c r="AT108">
        <f t="shared" si="66"/>
        <v>0</v>
      </c>
      <c r="AU108" s="290">
        <f t="shared" si="67"/>
        <v>0</v>
      </c>
      <c r="AV108">
        <f t="shared" si="68"/>
        <v>0</v>
      </c>
      <c r="AW108">
        <f t="shared" si="69"/>
        <v>0</v>
      </c>
      <c r="AX108">
        <f t="shared" si="70"/>
        <v>0</v>
      </c>
      <c r="AY108">
        <f t="shared" si="42"/>
        <v>0</v>
      </c>
      <c r="AZ108" s="293">
        <f>(AK108*Pricing!F$2+AL108*Pricing!G$2+AM108*Pricing!H$2+AN108*Pricing!I$2+AO108*Pricing!J$2+AP108*Pricing!K$2)*IF(U$123="Y",1,(1+W$123))</f>
        <v>0</v>
      </c>
      <c r="BA108" s="294">
        <f t="shared" si="43"/>
        <v>0</v>
      </c>
      <c r="BB108" s="293" t="e">
        <f t="shared" si="44"/>
        <v>#DIV/0!</v>
      </c>
      <c r="BC108" s="294">
        <f t="shared" si="45"/>
        <v>0</v>
      </c>
      <c r="BD108" s="294">
        <f t="shared" si="46"/>
        <v>0</v>
      </c>
      <c r="BE108" s="295" t="e">
        <f t="shared" si="47"/>
        <v>#DIV/0!</v>
      </c>
      <c r="BF108" s="296" t="e">
        <f t="shared" si="48"/>
        <v>#DIV/0!</v>
      </c>
    </row>
    <row r="109" spans="2:58" ht="18" customHeight="1" x14ac:dyDescent="0.35">
      <c r="B109" s="2739">
        <v>99</v>
      </c>
      <c r="C109" s="2740"/>
      <c r="D109" s="1362"/>
      <c r="E109" s="1273"/>
      <c r="F109" s="1258"/>
      <c r="G109" s="1258"/>
      <c r="H109" s="1227"/>
      <c r="I109" s="777"/>
      <c r="J109" s="1226"/>
      <c r="K109" s="1259"/>
      <c r="L109" s="178"/>
      <c r="M109" s="178"/>
      <c r="N109" s="177"/>
      <c r="O109" s="1219"/>
      <c r="P109" s="178"/>
      <c r="Q109" s="177"/>
      <c r="R109" s="178"/>
      <c r="S109" s="177"/>
      <c r="T109" s="178"/>
      <c r="U109" s="1260"/>
      <c r="V109" s="1267">
        <f t="shared" si="49"/>
        <v>0</v>
      </c>
      <c r="W109" s="1268">
        <f t="shared" si="50"/>
        <v>0</v>
      </c>
      <c r="X109" s="1269">
        <f t="shared" si="51"/>
        <v>0</v>
      </c>
      <c r="Y109" s="1285">
        <f t="shared" si="52"/>
        <v>0</v>
      </c>
      <c r="Z109" s="42"/>
      <c r="AJ109">
        <f t="shared" ref="AJ109:AJ119" si="71">IF(I109&gt;0,1,0)</f>
        <v>0</v>
      </c>
      <c r="AK109">
        <f t="shared" si="8"/>
        <v>0</v>
      </c>
      <c r="AL109">
        <f t="shared" si="9"/>
        <v>0</v>
      </c>
      <c r="AM109">
        <f t="shared" si="10"/>
        <v>0</v>
      </c>
      <c r="AN109">
        <f t="shared" si="11"/>
        <v>0</v>
      </c>
      <c r="AO109">
        <f t="shared" si="12"/>
        <v>0</v>
      </c>
      <c r="AP109">
        <f t="shared" si="13"/>
        <v>0</v>
      </c>
      <c r="AQ109">
        <f t="shared" ref="AQ109:AQ119" si="72">SUM(AK109:AP109)</f>
        <v>0</v>
      </c>
      <c r="AR109">
        <f t="shared" ref="AR109:AR119" si="73">V109*I109</f>
        <v>0</v>
      </c>
      <c r="AS109" s="290">
        <f t="shared" ref="AS109:AS119" si="74">X109*I109</f>
        <v>0</v>
      </c>
      <c r="AT109">
        <f t="shared" ref="AT109:AT119" si="75">I109</f>
        <v>0</v>
      </c>
      <c r="AU109" s="290">
        <f t="shared" ref="AU109:AU119" si="76">(E109*2+(G109-H109)*2)*I109</f>
        <v>0</v>
      </c>
      <c r="AV109">
        <f t="shared" ref="AV109:AV119" si="77">E109*I109</f>
        <v>0</v>
      </c>
      <c r="AW109">
        <f t="shared" ref="AW109:AW119" si="78">IF(F109&gt;0,IF(F109&lt;6,AU109,0),0)</f>
        <v>0</v>
      </c>
      <c r="AX109">
        <f t="shared" ref="AX109:AX119" si="79">IF(F109&gt;0,IF(F109&gt;5.5,AU109,0),0)</f>
        <v>0</v>
      </c>
      <c r="AY109">
        <f t="shared" ref="AY109:AY119" si="80">V109*I109*G$137*IF(U$123="Y",1,(1+W$123))</f>
        <v>0</v>
      </c>
      <c r="AZ109" s="293">
        <f>(AK109*Pricing!F$2+AL109*Pricing!G$2+AM109*Pricing!H$2+AN109*Pricing!I$2+AO109*Pricing!J$2+AP109*Pricing!K$2)*IF(U$123="Y",1,(1+W$123))</f>
        <v>0</v>
      </c>
      <c r="BA109" s="294">
        <f t="shared" ref="BA109:BA119" si="81">AS109*(H$148+E$151)+IF(I$148=0,0,(L$147+O$147)/I$148*AS109)</f>
        <v>0</v>
      </c>
      <c r="BB109" s="293" t="e">
        <f t="shared" ref="BB109:BB119" si="82">M$157/AS$120*AS109</f>
        <v>#DIV/0!</v>
      </c>
      <c r="BC109" s="294">
        <f t="shared" ref="BC109:BC119" si="83">AR109/2000*E$152</f>
        <v>0</v>
      </c>
      <c r="BD109" s="294">
        <f t="shared" ref="BD109:BD119" si="84">AV109*6.5*H$153/27*E$153</f>
        <v>0</v>
      </c>
      <c r="BE109" s="295" t="e">
        <f t="shared" ref="BE109:BE119" si="85">IF(AS$120=0,0,SUM(O$160:P$165)+SUM(O$167:P$172)+X$172)/AS$120*AS109</f>
        <v>#DIV/0!</v>
      </c>
      <c r="BF109" s="296" t="e">
        <f t="shared" ref="BF109:BF119" si="86">SUM(O$141:P$144)/AV$120*AV109</f>
        <v>#DIV/0!</v>
      </c>
    </row>
    <row r="110" spans="2:58" ht="18" customHeight="1" x14ac:dyDescent="0.35">
      <c r="B110" s="2739">
        <v>100</v>
      </c>
      <c r="C110" s="2740"/>
      <c r="D110" s="1361"/>
      <c r="E110" s="1273"/>
      <c r="F110" s="1261"/>
      <c r="G110" s="1261"/>
      <c r="H110" s="1228"/>
      <c r="I110" s="777"/>
      <c r="J110" s="448"/>
      <c r="K110" s="1262"/>
      <c r="L110" s="180"/>
      <c r="M110" s="180"/>
      <c r="N110" s="179"/>
      <c r="O110" s="1221"/>
      <c r="P110" s="180"/>
      <c r="Q110" s="179"/>
      <c r="R110" s="180"/>
      <c r="S110" s="179"/>
      <c r="T110" s="180"/>
      <c r="U110" s="1263"/>
      <c r="V110" s="1270">
        <f t="shared" si="49"/>
        <v>0</v>
      </c>
      <c r="W110" s="1271">
        <f t="shared" si="50"/>
        <v>0</v>
      </c>
      <c r="X110" s="1272">
        <f t="shared" si="51"/>
        <v>0</v>
      </c>
      <c r="Y110" s="1284">
        <f t="shared" si="52"/>
        <v>0</v>
      </c>
      <c r="Z110" s="42"/>
      <c r="AJ110">
        <f t="shared" si="71"/>
        <v>0</v>
      </c>
      <c r="AK110">
        <f t="shared" si="8"/>
        <v>0</v>
      </c>
      <c r="AL110">
        <f t="shared" si="9"/>
        <v>0</v>
      </c>
      <c r="AM110">
        <f t="shared" si="10"/>
        <v>0</v>
      </c>
      <c r="AN110">
        <f t="shared" si="11"/>
        <v>0</v>
      </c>
      <c r="AO110">
        <f t="shared" si="12"/>
        <v>0</v>
      </c>
      <c r="AP110">
        <f t="shared" si="13"/>
        <v>0</v>
      </c>
      <c r="AQ110">
        <f t="shared" si="72"/>
        <v>0</v>
      </c>
      <c r="AR110">
        <f t="shared" si="73"/>
        <v>0</v>
      </c>
      <c r="AS110" s="290">
        <f t="shared" si="74"/>
        <v>0</v>
      </c>
      <c r="AT110">
        <f t="shared" si="75"/>
        <v>0</v>
      </c>
      <c r="AU110" s="290">
        <f t="shared" si="76"/>
        <v>0</v>
      </c>
      <c r="AV110">
        <f t="shared" si="77"/>
        <v>0</v>
      </c>
      <c r="AW110">
        <f t="shared" si="78"/>
        <v>0</v>
      </c>
      <c r="AX110">
        <f t="shared" si="79"/>
        <v>0</v>
      </c>
      <c r="AY110">
        <f t="shared" si="80"/>
        <v>0</v>
      </c>
      <c r="AZ110" s="293">
        <f>(AK110*Pricing!F$2+AL110*Pricing!G$2+AM110*Pricing!H$2+AN110*Pricing!I$2+AO110*Pricing!J$2+AP110*Pricing!K$2)*IF(U$123="Y",1,(1+W$123))</f>
        <v>0</v>
      </c>
      <c r="BA110" s="294">
        <f t="shared" si="81"/>
        <v>0</v>
      </c>
      <c r="BB110" s="293" t="e">
        <f t="shared" si="82"/>
        <v>#DIV/0!</v>
      </c>
      <c r="BC110" s="294">
        <f t="shared" si="83"/>
        <v>0</v>
      </c>
      <c r="BD110" s="294">
        <f t="shared" si="84"/>
        <v>0</v>
      </c>
      <c r="BE110" s="295" t="e">
        <f t="shared" si="85"/>
        <v>#DIV/0!</v>
      </c>
      <c r="BF110" s="296" t="e">
        <f t="shared" si="86"/>
        <v>#DIV/0!</v>
      </c>
    </row>
    <row r="111" spans="2:58" ht="18" customHeight="1" x14ac:dyDescent="0.35">
      <c r="B111" s="2739">
        <v>101</v>
      </c>
      <c r="C111" s="2740"/>
      <c r="D111" s="1362"/>
      <c r="E111" s="1273"/>
      <c r="F111" s="1258"/>
      <c r="G111" s="1258"/>
      <c r="H111" s="1227"/>
      <c r="I111" s="777"/>
      <c r="J111" s="1226"/>
      <c r="K111" s="1259"/>
      <c r="L111" s="178"/>
      <c r="M111" s="178"/>
      <c r="N111" s="177"/>
      <c r="O111" s="1219"/>
      <c r="P111" s="178"/>
      <c r="Q111" s="177"/>
      <c r="R111" s="178"/>
      <c r="S111" s="177"/>
      <c r="T111" s="178"/>
      <c r="U111" s="1260"/>
      <c r="V111" s="1267">
        <f t="shared" si="49"/>
        <v>0</v>
      </c>
      <c r="W111" s="1268">
        <f t="shared" si="50"/>
        <v>0</v>
      </c>
      <c r="X111" s="1269">
        <f t="shared" si="51"/>
        <v>0</v>
      </c>
      <c r="Y111" s="1285">
        <f t="shared" si="52"/>
        <v>0</v>
      </c>
      <c r="Z111" s="42"/>
      <c r="AJ111">
        <f t="shared" si="71"/>
        <v>0</v>
      </c>
      <c r="AK111">
        <f t="shared" si="8"/>
        <v>0</v>
      </c>
      <c r="AL111">
        <f t="shared" si="9"/>
        <v>0</v>
      </c>
      <c r="AM111">
        <f t="shared" si="10"/>
        <v>0</v>
      </c>
      <c r="AN111">
        <f t="shared" si="11"/>
        <v>0</v>
      </c>
      <c r="AO111">
        <f t="shared" si="12"/>
        <v>0</v>
      </c>
      <c r="AP111">
        <f t="shared" si="13"/>
        <v>0</v>
      </c>
      <c r="AQ111">
        <f t="shared" si="72"/>
        <v>0</v>
      </c>
      <c r="AR111">
        <f t="shared" si="73"/>
        <v>0</v>
      </c>
      <c r="AS111" s="290">
        <f t="shared" si="74"/>
        <v>0</v>
      </c>
      <c r="AT111">
        <f t="shared" si="75"/>
        <v>0</v>
      </c>
      <c r="AU111" s="290">
        <f t="shared" si="76"/>
        <v>0</v>
      </c>
      <c r="AV111">
        <f t="shared" si="77"/>
        <v>0</v>
      </c>
      <c r="AW111">
        <f t="shared" si="78"/>
        <v>0</v>
      </c>
      <c r="AX111">
        <f t="shared" si="79"/>
        <v>0</v>
      </c>
      <c r="AY111">
        <f t="shared" si="80"/>
        <v>0</v>
      </c>
      <c r="AZ111" s="293">
        <f>(AK111*Pricing!F$2+AL111*Pricing!G$2+AM111*Pricing!H$2+AN111*Pricing!I$2+AO111*Pricing!J$2+AP111*Pricing!K$2)*IF(U$123="Y",1,(1+W$123))</f>
        <v>0</v>
      </c>
      <c r="BA111" s="294">
        <f t="shared" si="81"/>
        <v>0</v>
      </c>
      <c r="BB111" s="293" t="e">
        <f t="shared" si="82"/>
        <v>#DIV/0!</v>
      </c>
      <c r="BC111" s="294">
        <f t="shared" si="83"/>
        <v>0</v>
      </c>
      <c r="BD111" s="294">
        <f t="shared" si="84"/>
        <v>0</v>
      </c>
      <c r="BE111" s="295" t="e">
        <f t="shared" si="85"/>
        <v>#DIV/0!</v>
      </c>
      <c r="BF111" s="296" t="e">
        <f t="shared" si="86"/>
        <v>#DIV/0!</v>
      </c>
    </row>
    <row r="112" spans="2:58" ht="18" customHeight="1" x14ac:dyDescent="0.35">
      <c r="B112" s="2739">
        <v>102</v>
      </c>
      <c r="C112" s="2740"/>
      <c r="D112" s="1361"/>
      <c r="E112" s="1273"/>
      <c r="F112" s="1261"/>
      <c r="G112" s="1261"/>
      <c r="H112" s="1228"/>
      <c r="I112" s="777"/>
      <c r="J112" s="448"/>
      <c r="K112" s="1262"/>
      <c r="L112" s="180"/>
      <c r="M112" s="180"/>
      <c r="N112" s="179"/>
      <c r="O112" s="1221"/>
      <c r="P112" s="180"/>
      <c r="Q112" s="179"/>
      <c r="R112" s="180"/>
      <c r="S112" s="179"/>
      <c r="T112" s="180"/>
      <c r="U112" s="1263"/>
      <c r="V112" s="1270">
        <f t="shared" si="49"/>
        <v>0</v>
      </c>
      <c r="W112" s="1271">
        <f t="shared" si="50"/>
        <v>0</v>
      </c>
      <c r="X112" s="1272">
        <f t="shared" si="51"/>
        <v>0</v>
      </c>
      <c r="Y112" s="1284">
        <f t="shared" si="52"/>
        <v>0</v>
      </c>
      <c r="Z112" s="42"/>
      <c r="AJ112">
        <f t="shared" si="71"/>
        <v>0</v>
      </c>
      <c r="AK112">
        <f t="shared" si="8"/>
        <v>0</v>
      </c>
      <c r="AL112">
        <f t="shared" si="9"/>
        <v>0</v>
      </c>
      <c r="AM112">
        <f t="shared" si="10"/>
        <v>0</v>
      </c>
      <c r="AN112">
        <f t="shared" si="11"/>
        <v>0</v>
      </c>
      <c r="AO112">
        <f t="shared" si="12"/>
        <v>0</v>
      </c>
      <c r="AP112">
        <f t="shared" si="13"/>
        <v>0</v>
      </c>
      <c r="AQ112">
        <f t="shared" si="72"/>
        <v>0</v>
      </c>
      <c r="AR112">
        <f t="shared" si="73"/>
        <v>0</v>
      </c>
      <c r="AS112" s="290">
        <f t="shared" si="74"/>
        <v>0</v>
      </c>
      <c r="AT112">
        <f t="shared" si="75"/>
        <v>0</v>
      </c>
      <c r="AU112" s="290">
        <f t="shared" si="76"/>
        <v>0</v>
      </c>
      <c r="AV112">
        <f t="shared" si="77"/>
        <v>0</v>
      </c>
      <c r="AW112">
        <f t="shared" si="78"/>
        <v>0</v>
      </c>
      <c r="AX112">
        <f t="shared" si="79"/>
        <v>0</v>
      </c>
      <c r="AY112">
        <f t="shared" si="80"/>
        <v>0</v>
      </c>
      <c r="AZ112" s="293">
        <f>(AK112*Pricing!F$2+AL112*Pricing!G$2+AM112*Pricing!H$2+AN112*Pricing!I$2+AO112*Pricing!J$2+AP112*Pricing!K$2)*IF(U$123="Y",1,(1+W$123))</f>
        <v>0</v>
      </c>
      <c r="BA112" s="294">
        <f t="shared" si="81"/>
        <v>0</v>
      </c>
      <c r="BB112" s="293" t="e">
        <f t="shared" si="82"/>
        <v>#DIV/0!</v>
      </c>
      <c r="BC112" s="294">
        <f t="shared" si="83"/>
        <v>0</v>
      </c>
      <c r="BD112" s="294">
        <f t="shared" si="84"/>
        <v>0</v>
      </c>
      <c r="BE112" s="295" t="e">
        <f t="shared" si="85"/>
        <v>#DIV/0!</v>
      </c>
      <c r="BF112" s="296" t="e">
        <f t="shared" si="86"/>
        <v>#DIV/0!</v>
      </c>
    </row>
    <row r="113" spans="2:58" ht="18" customHeight="1" x14ac:dyDescent="0.35">
      <c r="B113" s="2739">
        <v>103</v>
      </c>
      <c r="C113" s="2740"/>
      <c r="D113" s="1362"/>
      <c r="E113" s="1273"/>
      <c r="F113" s="1258"/>
      <c r="G113" s="1258"/>
      <c r="H113" s="1227"/>
      <c r="I113" s="777"/>
      <c r="J113" s="1226"/>
      <c r="K113" s="1259"/>
      <c r="L113" s="178"/>
      <c r="M113" s="178"/>
      <c r="N113" s="177"/>
      <c r="O113" s="1219"/>
      <c r="P113" s="178"/>
      <c r="Q113" s="177"/>
      <c r="R113" s="178"/>
      <c r="S113" s="177"/>
      <c r="T113" s="178"/>
      <c r="U113" s="1260"/>
      <c r="V113" s="1267">
        <f t="shared" si="49"/>
        <v>0</v>
      </c>
      <c r="W113" s="1268">
        <f t="shared" si="50"/>
        <v>0</v>
      </c>
      <c r="X113" s="1269">
        <f t="shared" si="51"/>
        <v>0</v>
      </c>
      <c r="Y113" s="1285">
        <f t="shared" si="52"/>
        <v>0</v>
      </c>
      <c r="Z113" s="42"/>
      <c r="AJ113">
        <f t="shared" si="71"/>
        <v>0</v>
      </c>
      <c r="AK113">
        <f t="shared" si="8"/>
        <v>0</v>
      </c>
      <c r="AL113">
        <f t="shared" si="9"/>
        <v>0</v>
      </c>
      <c r="AM113">
        <f t="shared" si="10"/>
        <v>0</v>
      </c>
      <c r="AN113">
        <f t="shared" si="11"/>
        <v>0</v>
      </c>
      <c r="AO113">
        <f t="shared" si="12"/>
        <v>0</v>
      </c>
      <c r="AP113">
        <f t="shared" si="13"/>
        <v>0</v>
      </c>
      <c r="AQ113">
        <f t="shared" si="72"/>
        <v>0</v>
      </c>
      <c r="AR113">
        <f t="shared" si="73"/>
        <v>0</v>
      </c>
      <c r="AS113" s="290">
        <f t="shared" si="74"/>
        <v>0</v>
      </c>
      <c r="AT113">
        <f t="shared" si="75"/>
        <v>0</v>
      </c>
      <c r="AU113" s="290">
        <f t="shared" si="76"/>
        <v>0</v>
      </c>
      <c r="AV113">
        <f t="shared" si="77"/>
        <v>0</v>
      </c>
      <c r="AW113">
        <f t="shared" si="78"/>
        <v>0</v>
      </c>
      <c r="AX113">
        <f t="shared" si="79"/>
        <v>0</v>
      </c>
      <c r="AY113">
        <f t="shared" si="80"/>
        <v>0</v>
      </c>
      <c r="AZ113" s="293">
        <f>(AK113*Pricing!F$2+AL113*Pricing!G$2+AM113*Pricing!H$2+AN113*Pricing!I$2+AO113*Pricing!J$2+AP113*Pricing!K$2)*IF(U$123="Y",1,(1+W$123))</f>
        <v>0</v>
      </c>
      <c r="BA113" s="294">
        <f t="shared" si="81"/>
        <v>0</v>
      </c>
      <c r="BB113" s="293" t="e">
        <f t="shared" si="82"/>
        <v>#DIV/0!</v>
      </c>
      <c r="BC113" s="294">
        <f t="shared" si="83"/>
        <v>0</v>
      </c>
      <c r="BD113" s="294">
        <f t="shared" si="84"/>
        <v>0</v>
      </c>
      <c r="BE113" s="295" t="e">
        <f t="shared" si="85"/>
        <v>#DIV/0!</v>
      </c>
      <c r="BF113" s="296" t="e">
        <f t="shared" si="86"/>
        <v>#DIV/0!</v>
      </c>
    </row>
    <row r="114" spans="2:58" ht="18" customHeight="1" x14ac:dyDescent="0.35">
      <c r="B114" s="2739">
        <v>104</v>
      </c>
      <c r="C114" s="2740"/>
      <c r="D114" s="1361"/>
      <c r="E114" s="1273"/>
      <c r="F114" s="1261"/>
      <c r="G114" s="1261"/>
      <c r="H114" s="1228"/>
      <c r="I114" s="777"/>
      <c r="J114" s="448"/>
      <c r="K114" s="1262"/>
      <c r="L114" s="180"/>
      <c r="M114" s="180"/>
      <c r="N114" s="179"/>
      <c r="O114" s="1221"/>
      <c r="P114" s="180"/>
      <c r="Q114" s="179"/>
      <c r="R114" s="180"/>
      <c r="S114" s="179"/>
      <c r="T114" s="180"/>
      <c r="U114" s="1263"/>
      <c r="V114" s="1270">
        <f t="shared" si="49"/>
        <v>0</v>
      </c>
      <c r="W114" s="1271">
        <f t="shared" si="50"/>
        <v>0</v>
      </c>
      <c r="X114" s="1272">
        <f t="shared" si="51"/>
        <v>0</v>
      </c>
      <c r="Y114" s="1284">
        <f t="shared" si="52"/>
        <v>0</v>
      </c>
      <c r="Z114" s="42"/>
      <c r="AJ114">
        <f t="shared" si="71"/>
        <v>0</v>
      </c>
      <c r="AK114">
        <f t="shared" si="8"/>
        <v>0</v>
      </c>
      <c r="AL114">
        <f t="shared" si="9"/>
        <v>0</v>
      </c>
      <c r="AM114">
        <f t="shared" si="10"/>
        <v>0</v>
      </c>
      <c r="AN114">
        <f t="shared" si="11"/>
        <v>0</v>
      </c>
      <c r="AO114">
        <f t="shared" si="12"/>
        <v>0</v>
      </c>
      <c r="AP114">
        <f t="shared" si="13"/>
        <v>0</v>
      </c>
      <c r="AQ114">
        <f t="shared" si="72"/>
        <v>0</v>
      </c>
      <c r="AR114">
        <f t="shared" si="73"/>
        <v>0</v>
      </c>
      <c r="AS114" s="290">
        <f t="shared" si="74"/>
        <v>0</v>
      </c>
      <c r="AT114">
        <f t="shared" si="75"/>
        <v>0</v>
      </c>
      <c r="AU114" s="290">
        <f t="shared" si="76"/>
        <v>0</v>
      </c>
      <c r="AV114">
        <f t="shared" si="77"/>
        <v>0</v>
      </c>
      <c r="AW114">
        <f t="shared" si="78"/>
        <v>0</v>
      </c>
      <c r="AX114">
        <f t="shared" si="79"/>
        <v>0</v>
      </c>
      <c r="AY114">
        <f t="shared" si="80"/>
        <v>0</v>
      </c>
      <c r="AZ114" s="293">
        <f>(AK114*Pricing!F$2+AL114*Pricing!G$2+AM114*Pricing!H$2+AN114*Pricing!I$2+AO114*Pricing!J$2+AP114*Pricing!K$2)*IF(U$123="Y",1,(1+W$123))</f>
        <v>0</v>
      </c>
      <c r="BA114" s="294">
        <f t="shared" si="81"/>
        <v>0</v>
      </c>
      <c r="BB114" s="293" t="e">
        <f t="shared" si="82"/>
        <v>#DIV/0!</v>
      </c>
      <c r="BC114" s="294">
        <f t="shared" si="83"/>
        <v>0</v>
      </c>
      <c r="BD114" s="294">
        <f t="shared" si="84"/>
        <v>0</v>
      </c>
      <c r="BE114" s="295" t="e">
        <f t="shared" si="85"/>
        <v>#DIV/0!</v>
      </c>
      <c r="BF114" s="296" t="e">
        <f t="shared" si="86"/>
        <v>#DIV/0!</v>
      </c>
    </row>
    <row r="115" spans="2:58" ht="18" customHeight="1" x14ac:dyDescent="0.35">
      <c r="B115" s="2739">
        <v>105</v>
      </c>
      <c r="C115" s="2740"/>
      <c r="D115" s="1362"/>
      <c r="E115" s="1273"/>
      <c r="F115" s="1258"/>
      <c r="G115" s="1258"/>
      <c r="H115" s="1227"/>
      <c r="I115" s="777"/>
      <c r="J115" s="1226"/>
      <c r="K115" s="1259"/>
      <c r="L115" s="178"/>
      <c r="M115" s="178"/>
      <c r="N115" s="177"/>
      <c r="O115" s="1219"/>
      <c r="P115" s="178"/>
      <c r="Q115" s="177"/>
      <c r="R115" s="178"/>
      <c r="S115" s="177"/>
      <c r="T115" s="178"/>
      <c r="U115" s="1260"/>
      <c r="V115" s="1267">
        <f t="shared" si="49"/>
        <v>0</v>
      </c>
      <c r="W115" s="1268">
        <f t="shared" si="50"/>
        <v>0</v>
      </c>
      <c r="X115" s="1269">
        <f t="shared" si="51"/>
        <v>0</v>
      </c>
      <c r="Y115" s="1285">
        <f t="shared" si="52"/>
        <v>0</v>
      </c>
      <c r="Z115" s="42"/>
      <c r="AJ115">
        <f t="shared" si="71"/>
        <v>0</v>
      </c>
      <c r="AK115">
        <f t="shared" si="8"/>
        <v>0</v>
      </c>
      <c r="AL115">
        <f t="shared" si="9"/>
        <v>0</v>
      </c>
      <c r="AM115">
        <f t="shared" si="10"/>
        <v>0</v>
      </c>
      <c r="AN115">
        <f t="shared" si="11"/>
        <v>0</v>
      </c>
      <c r="AO115">
        <f t="shared" si="12"/>
        <v>0</v>
      </c>
      <c r="AP115">
        <f t="shared" si="13"/>
        <v>0</v>
      </c>
      <c r="AQ115">
        <f t="shared" si="72"/>
        <v>0</v>
      </c>
      <c r="AR115">
        <f t="shared" si="73"/>
        <v>0</v>
      </c>
      <c r="AS115" s="290">
        <f t="shared" si="74"/>
        <v>0</v>
      </c>
      <c r="AT115">
        <f t="shared" si="75"/>
        <v>0</v>
      </c>
      <c r="AU115" s="290">
        <f t="shared" si="76"/>
        <v>0</v>
      </c>
      <c r="AV115">
        <f t="shared" si="77"/>
        <v>0</v>
      </c>
      <c r="AW115">
        <f t="shared" si="78"/>
        <v>0</v>
      </c>
      <c r="AX115">
        <f t="shared" si="79"/>
        <v>0</v>
      </c>
      <c r="AY115">
        <f t="shared" si="80"/>
        <v>0</v>
      </c>
      <c r="AZ115" s="293">
        <f>(AK115*Pricing!F$2+AL115*Pricing!G$2+AM115*Pricing!H$2+AN115*Pricing!I$2+AO115*Pricing!J$2+AP115*Pricing!K$2)*IF(U$123="Y",1,(1+W$123))</f>
        <v>0</v>
      </c>
      <c r="BA115" s="294">
        <f t="shared" si="81"/>
        <v>0</v>
      </c>
      <c r="BB115" s="293" t="e">
        <f t="shared" si="82"/>
        <v>#DIV/0!</v>
      </c>
      <c r="BC115" s="294">
        <f t="shared" si="83"/>
        <v>0</v>
      </c>
      <c r="BD115" s="294">
        <f t="shared" si="84"/>
        <v>0</v>
      </c>
      <c r="BE115" s="295" t="e">
        <f t="shared" si="85"/>
        <v>#DIV/0!</v>
      </c>
      <c r="BF115" s="296" t="e">
        <f t="shared" si="86"/>
        <v>#DIV/0!</v>
      </c>
    </row>
    <row r="116" spans="2:58" ht="18" customHeight="1" x14ac:dyDescent="0.35">
      <c r="B116" s="2739">
        <v>106</v>
      </c>
      <c r="C116" s="2740"/>
      <c r="D116" s="1361"/>
      <c r="E116" s="1273"/>
      <c r="F116" s="1261"/>
      <c r="G116" s="1261"/>
      <c r="H116" s="1228"/>
      <c r="I116" s="777"/>
      <c r="J116" s="448"/>
      <c r="K116" s="1262"/>
      <c r="L116" s="180"/>
      <c r="M116" s="180"/>
      <c r="N116" s="179"/>
      <c r="O116" s="1221"/>
      <c r="P116" s="180"/>
      <c r="Q116" s="179"/>
      <c r="R116" s="180"/>
      <c r="S116" s="179"/>
      <c r="T116" s="180"/>
      <c r="U116" s="1263"/>
      <c r="V116" s="1270">
        <f t="shared" si="49"/>
        <v>0</v>
      </c>
      <c r="W116" s="1271">
        <f t="shared" si="50"/>
        <v>0</v>
      </c>
      <c r="X116" s="1272">
        <f t="shared" si="51"/>
        <v>0</v>
      </c>
      <c r="Y116" s="1284">
        <f t="shared" si="52"/>
        <v>0</v>
      </c>
      <c r="Z116" s="42"/>
      <c r="AJ116">
        <f t="shared" si="71"/>
        <v>0</v>
      </c>
      <c r="AK116">
        <f t="shared" si="8"/>
        <v>0</v>
      </c>
      <c r="AL116">
        <f t="shared" si="9"/>
        <v>0</v>
      </c>
      <c r="AM116">
        <f t="shared" si="10"/>
        <v>0</v>
      </c>
      <c r="AN116">
        <f t="shared" si="11"/>
        <v>0</v>
      </c>
      <c r="AO116">
        <f t="shared" si="12"/>
        <v>0</v>
      </c>
      <c r="AP116">
        <f t="shared" si="13"/>
        <v>0</v>
      </c>
      <c r="AQ116">
        <f t="shared" si="72"/>
        <v>0</v>
      </c>
      <c r="AR116">
        <f t="shared" si="73"/>
        <v>0</v>
      </c>
      <c r="AS116" s="290">
        <f t="shared" si="74"/>
        <v>0</v>
      </c>
      <c r="AT116">
        <f t="shared" si="75"/>
        <v>0</v>
      </c>
      <c r="AU116" s="290">
        <f t="shared" si="76"/>
        <v>0</v>
      </c>
      <c r="AV116">
        <f t="shared" si="77"/>
        <v>0</v>
      </c>
      <c r="AW116">
        <f t="shared" si="78"/>
        <v>0</v>
      </c>
      <c r="AX116">
        <f t="shared" si="79"/>
        <v>0</v>
      </c>
      <c r="AY116">
        <f t="shared" si="80"/>
        <v>0</v>
      </c>
      <c r="AZ116" s="293">
        <f>(AK116*Pricing!F$2+AL116*Pricing!G$2+AM116*Pricing!H$2+AN116*Pricing!I$2+AO116*Pricing!J$2+AP116*Pricing!K$2)*IF(U$123="Y",1,(1+W$123))</f>
        <v>0</v>
      </c>
      <c r="BA116" s="294">
        <f t="shared" si="81"/>
        <v>0</v>
      </c>
      <c r="BB116" s="293" t="e">
        <f t="shared" si="82"/>
        <v>#DIV/0!</v>
      </c>
      <c r="BC116" s="294">
        <f t="shared" si="83"/>
        <v>0</v>
      </c>
      <c r="BD116" s="294">
        <f t="shared" si="84"/>
        <v>0</v>
      </c>
      <c r="BE116" s="295" t="e">
        <f t="shared" si="85"/>
        <v>#DIV/0!</v>
      </c>
      <c r="BF116" s="296" t="e">
        <f t="shared" si="86"/>
        <v>#DIV/0!</v>
      </c>
    </row>
    <row r="117" spans="2:58" ht="18" customHeight="1" x14ac:dyDescent="0.35">
      <c r="B117" s="2739">
        <v>107</v>
      </c>
      <c r="C117" s="2740"/>
      <c r="D117" s="1362"/>
      <c r="E117" s="1273"/>
      <c r="F117" s="1258"/>
      <c r="G117" s="1258"/>
      <c r="H117" s="1227"/>
      <c r="I117" s="777"/>
      <c r="J117" s="1226"/>
      <c r="K117" s="1259"/>
      <c r="L117" s="178"/>
      <c r="M117" s="178"/>
      <c r="N117" s="177"/>
      <c r="O117" s="1219"/>
      <c r="P117" s="178"/>
      <c r="Q117" s="177"/>
      <c r="R117" s="178"/>
      <c r="S117" s="177"/>
      <c r="T117" s="178"/>
      <c r="U117" s="1260"/>
      <c r="V117" s="1267">
        <f t="shared" si="49"/>
        <v>0</v>
      </c>
      <c r="W117" s="1268">
        <f t="shared" si="50"/>
        <v>0</v>
      </c>
      <c r="X117" s="1269">
        <f t="shared" si="51"/>
        <v>0</v>
      </c>
      <c r="Y117" s="1285">
        <f t="shared" si="52"/>
        <v>0</v>
      </c>
      <c r="Z117" s="42"/>
      <c r="AJ117">
        <f t="shared" si="71"/>
        <v>0</v>
      </c>
      <c r="AK117">
        <f t="shared" si="8"/>
        <v>0</v>
      </c>
      <c r="AL117">
        <f t="shared" si="9"/>
        <v>0</v>
      </c>
      <c r="AM117">
        <f t="shared" si="10"/>
        <v>0</v>
      </c>
      <c r="AN117">
        <f t="shared" si="11"/>
        <v>0</v>
      </c>
      <c r="AO117">
        <f t="shared" si="12"/>
        <v>0</v>
      </c>
      <c r="AP117">
        <f t="shared" si="13"/>
        <v>0</v>
      </c>
      <c r="AQ117">
        <f t="shared" si="72"/>
        <v>0</v>
      </c>
      <c r="AR117">
        <f t="shared" si="73"/>
        <v>0</v>
      </c>
      <c r="AS117" s="290">
        <f t="shared" si="74"/>
        <v>0</v>
      </c>
      <c r="AT117">
        <f t="shared" si="75"/>
        <v>0</v>
      </c>
      <c r="AU117" s="290">
        <f t="shared" si="76"/>
        <v>0</v>
      </c>
      <c r="AV117">
        <f t="shared" si="77"/>
        <v>0</v>
      </c>
      <c r="AW117">
        <f t="shared" si="78"/>
        <v>0</v>
      </c>
      <c r="AX117">
        <f t="shared" si="79"/>
        <v>0</v>
      </c>
      <c r="AY117">
        <f t="shared" si="80"/>
        <v>0</v>
      </c>
      <c r="AZ117" s="293">
        <f>(AK117*Pricing!F$2+AL117*Pricing!G$2+AM117*Pricing!H$2+AN117*Pricing!I$2+AO117*Pricing!J$2+AP117*Pricing!K$2)*IF(U$123="Y",1,(1+W$123))</f>
        <v>0</v>
      </c>
      <c r="BA117" s="294">
        <f t="shared" si="81"/>
        <v>0</v>
      </c>
      <c r="BB117" s="293" t="e">
        <f t="shared" si="82"/>
        <v>#DIV/0!</v>
      </c>
      <c r="BC117" s="294">
        <f t="shared" si="83"/>
        <v>0</v>
      </c>
      <c r="BD117" s="294">
        <f t="shared" si="84"/>
        <v>0</v>
      </c>
      <c r="BE117" s="295" t="e">
        <f t="shared" si="85"/>
        <v>#DIV/0!</v>
      </c>
      <c r="BF117" s="296" t="e">
        <f t="shared" si="86"/>
        <v>#DIV/0!</v>
      </c>
    </row>
    <row r="118" spans="2:58" ht="18" customHeight="1" x14ac:dyDescent="0.35">
      <c r="B118" s="2739">
        <v>108</v>
      </c>
      <c r="C118" s="2740"/>
      <c r="D118" s="1361"/>
      <c r="E118" s="1273"/>
      <c r="F118" s="1261"/>
      <c r="G118" s="1261"/>
      <c r="H118" s="1228"/>
      <c r="I118" s="777"/>
      <c r="J118" s="448"/>
      <c r="K118" s="1262"/>
      <c r="L118" s="180"/>
      <c r="M118" s="180"/>
      <c r="N118" s="179"/>
      <c r="O118" s="1221"/>
      <c r="P118" s="180"/>
      <c r="Q118" s="179"/>
      <c r="R118" s="180"/>
      <c r="S118" s="179"/>
      <c r="T118" s="180"/>
      <c r="U118" s="1263"/>
      <c r="V118" s="1270">
        <f t="shared" si="49"/>
        <v>0</v>
      </c>
      <c r="W118" s="1271">
        <f t="shared" si="50"/>
        <v>0</v>
      </c>
      <c r="X118" s="1272">
        <f t="shared" si="51"/>
        <v>0</v>
      </c>
      <c r="Y118" s="1284">
        <f t="shared" si="52"/>
        <v>0</v>
      </c>
      <c r="Z118" s="42"/>
      <c r="AJ118">
        <f t="shared" si="71"/>
        <v>0</v>
      </c>
      <c r="AK118">
        <f t="shared" si="8"/>
        <v>0</v>
      </c>
      <c r="AL118">
        <f t="shared" si="9"/>
        <v>0</v>
      </c>
      <c r="AM118">
        <f t="shared" si="10"/>
        <v>0</v>
      </c>
      <c r="AN118">
        <f t="shared" si="11"/>
        <v>0</v>
      </c>
      <c r="AO118">
        <f t="shared" si="12"/>
        <v>0</v>
      </c>
      <c r="AP118">
        <f t="shared" si="13"/>
        <v>0</v>
      </c>
      <c r="AQ118">
        <f t="shared" si="72"/>
        <v>0</v>
      </c>
      <c r="AR118">
        <f t="shared" si="73"/>
        <v>0</v>
      </c>
      <c r="AS118" s="290">
        <f t="shared" si="74"/>
        <v>0</v>
      </c>
      <c r="AT118">
        <f t="shared" si="75"/>
        <v>0</v>
      </c>
      <c r="AU118" s="290">
        <f t="shared" si="76"/>
        <v>0</v>
      </c>
      <c r="AV118">
        <f t="shared" si="77"/>
        <v>0</v>
      </c>
      <c r="AW118">
        <f t="shared" si="78"/>
        <v>0</v>
      </c>
      <c r="AX118">
        <f t="shared" si="79"/>
        <v>0</v>
      </c>
      <c r="AY118">
        <f t="shared" si="80"/>
        <v>0</v>
      </c>
      <c r="AZ118" s="293">
        <f>(AK118*Pricing!F$2+AL118*Pricing!G$2+AM118*Pricing!H$2+AN118*Pricing!I$2+AO118*Pricing!J$2+AP118*Pricing!K$2)*IF(U$123="Y",1,(1+W$123))</f>
        <v>0</v>
      </c>
      <c r="BA118" s="294">
        <f t="shared" si="81"/>
        <v>0</v>
      </c>
      <c r="BB118" s="293" t="e">
        <f t="shared" si="82"/>
        <v>#DIV/0!</v>
      </c>
      <c r="BC118" s="294">
        <f t="shared" si="83"/>
        <v>0</v>
      </c>
      <c r="BD118" s="294">
        <f t="shared" si="84"/>
        <v>0</v>
      </c>
      <c r="BE118" s="295" t="e">
        <f t="shared" si="85"/>
        <v>#DIV/0!</v>
      </c>
      <c r="BF118" s="296" t="e">
        <f t="shared" si="86"/>
        <v>#DIV/0!</v>
      </c>
    </row>
    <row r="119" spans="2:58" ht="18" customHeight="1" thickBot="1" x14ac:dyDescent="0.4">
      <c r="B119" s="2744">
        <v>109</v>
      </c>
      <c r="C119" s="2745"/>
      <c r="D119" s="429"/>
      <c r="E119" s="1286"/>
      <c r="F119" s="1287"/>
      <c r="G119" s="1287"/>
      <c r="H119" s="430"/>
      <c r="I119" s="778"/>
      <c r="J119" s="187"/>
      <c r="K119" s="189"/>
      <c r="L119" s="182"/>
      <c r="M119" s="182"/>
      <c r="N119" s="181"/>
      <c r="O119" s="130"/>
      <c r="P119" s="182"/>
      <c r="Q119" s="181"/>
      <c r="R119" s="182"/>
      <c r="S119" s="181"/>
      <c r="T119" s="182"/>
      <c r="U119" s="1288"/>
      <c r="V119" s="1289">
        <f>IF(I119=0,0,(IF(L119=0,0,E119*(G119-H119)*12/L119*N119*(M119/16*M119/16*10.7028))+IF(O119=0,0,((G119-H119)*12/O119*E119*Q119)*P119/16*P119/16*10.7028)+(R119*E119+R119*(G119-H119))*2*(S119/16*S119/16*10.7028)+IF(J119&gt;0,R119*E119+R119*(G119-H119)*2*(S119/16*S119/16*10.7028))+IF(I119=0,0,T119*4*U119/16*U119/16*10.7028))*(1+K$137))</f>
        <v>0</v>
      </c>
      <c r="W119" s="1290">
        <f>IF(I119=0,0,((E119*F119/12*(G119-H119)/27)-(J119*K119*F119/324))*(1+K$134))</f>
        <v>0</v>
      </c>
      <c r="X119" s="1291">
        <f>(G119-H119)*E119</f>
        <v>0</v>
      </c>
      <c r="Y119" s="1112">
        <f>IF(I119=0,0,SUM(AZ119:BF119)/I119)</f>
        <v>0</v>
      </c>
      <c r="Z119" s="42"/>
      <c r="AJ119">
        <f t="shared" si="71"/>
        <v>0</v>
      </c>
      <c r="AK119">
        <f t="shared" si="8"/>
        <v>0</v>
      </c>
      <c r="AL119">
        <f t="shared" si="9"/>
        <v>0</v>
      </c>
      <c r="AM119">
        <f t="shared" si="10"/>
        <v>0</v>
      </c>
      <c r="AN119">
        <f t="shared" si="11"/>
        <v>0</v>
      </c>
      <c r="AO119">
        <f t="shared" si="12"/>
        <v>0</v>
      </c>
      <c r="AP119">
        <f t="shared" si="13"/>
        <v>0</v>
      </c>
      <c r="AQ119">
        <f t="shared" si="72"/>
        <v>0</v>
      </c>
      <c r="AR119">
        <f t="shared" si="73"/>
        <v>0</v>
      </c>
      <c r="AS119" s="290">
        <f t="shared" si="74"/>
        <v>0</v>
      </c>
      <c r="AT119">
        <f t="shared" si="75"/>
        <v>0</v>
      </c>
      <c r="AU119" s="290">
        <f t="shared" si="76"/>
        <v>0</v>
      </c>
      <c r="AV119">
        <f t="shared" si="77"/>
        <v>0</v>
      </c>
      <c r="AW119">
        <f t="shared" si="78"/>
        <v>0</v>
      </c>
      <c r="AX119">
        <f t="shared" si="79"/>
        <v>0</v>
      </c>
      <c r="AY119">
        <f t="shared" si="80"/>
        <v>0</v>
      </c>
      <c r="AZ119" s="293">
        <f>(AK119*Pricing!F$2+AL119*Pricing!G$2+AM119*Pricing!H$2+AN119*Pricing!I$2+AO119*Pricing!J$2+AP119*Pricing!K$2)*IF(U$123="Y",1,(1+W$123))</f>
        <v>0</v>
      </c>
      <c r="BA119" s="294">
        <f t="shared" si="81"/>
        <v>0</v>
      </c>
      <c r="BB119" s="293" t="e">
        <f t="shared" si="82"/>
        <v>#DIV/0!</v>
      </c>
      <c r="BC119" s="294">
        <f t="shared" si="83"/>
        <v>0</v>
      </c>
      <c r="BD119" s="294">
        <f t="shared" si="84"/>
        <v>0</v>
      </c>
      <c r="BE119" s="295" t="e">
        <f t="shared" si="85"/>
        <v>#DIV/0!</v>
      </c>
      <c r="BF119" s="296" t="e">
        <f t="shared" si="86"/>
        <v>#DIV/0!</v>
      </c>
    </row>
    <row r="120" spans="2:58" ht="15" customHeight="1" x14ac:dyDescent="0.35">
      <c r="B120" s="43"/>
      <c r="E120" s="77">
        <f>SUM(E11:E119)</f>
        <v>0</v>
      </c>
      <c r="F120" s="2605" t="s">
        <v>55</v>
      </c>
      <c r="G120" s="2605"/>
      <c r="H120" s="2605"/>
      <c r="I120" s="2605"/>
      <c r="K120"/>
      <c r="Q120" s="2708" t="s">
        <v>54</v>
      </c>
      <c r="R120" s="2015"/>
      <c r="S120" s="2015"/>
      <c r="T120" s="2015"/>
      <c r="W120" s="89">
        <f>SUM(V11:V119)</f>
        <v>0</v>
      </c>
      <c r="X120" s="287"/>
      <c r="Y120" s="287"/>
      <c r="AJ120" s="290">
        <f t="shared" ref="AJ120:AY120" si="87">SUM(AJ11:AJ119)</f>
        <v>0</v>
      </c>
      <c r="AK120" s="290">
        <f t="shared" si="87"/>
        <v>0</v>
      </c>
      <c r="AL120" s="290">
        <f t="shared" si="87"/>
        <v>0</v>
      </c>
      <c r="AM120" s="290">
        <f t="shared" si="87"/>
        <v>0</v>
      </c>
      <c r="AN120" s="290">
        <f t="shared" si="87"/>
        <v>0</v>
      </c>
      <c r="AO120" s="290">
        <f t="shared" si="87"/>
        <v>0</v>
      </c>
      <c r="AP120" s="290">
        <f t="shared" si="87"/>
        <v>0</v>
      </c>
      <c r="AQ120" s="290">
        <f t="shared" si="87"/>
        <v>0</v>
      </c>
      <c r="AR120" s="290">
        <f t="shared" si="87"/>
        <v>0</v>
      </c>
      <c r="AS120" s="290">
        <f t="shared" si="87"/>
        <v>0</v>
      </c>
      <c r="AT120" s="290">
        <f t="shared" si="87"/>
        <v>0</v>
      </c>
      <c r="AU120" s="290">
        <f t="shared" si="87"/>
        <v>0</v>
      </c>
      <c r="AV120" s="290">
        <f t="shared" si="87"/>
        <v>0</v>
      </c>
      <c r="AW120" s="290">
        <f t="shared" si="87"/>
        <v>0</v>
      </c>
      <c r="AX120" s="290">
        <f t="shared" si="87"/>
        <v>0</v>
      </c>
      <c r="AY120" s="290">
        <f t="shared" si="87"/>
        <v>0</v>
      </c>
      <c r="AZ120" s="293"/>
      <c r="BA120" s="294"/>
      <c r="BB120" s="293"/>
      <c r="BC120" s="294"/>
      <c r="BD120" s="294"/>
      <c r="BE120" s="295"/>
      <c r="BF120" s="296"/>
    </row>
    <row r="121" spans="2:58" ht="15" customHeight="1" thickBot="1" x14ac:dyDescent="0.4">
      <c r="B121" s="47"/>
      <c r="C121" s="49"/>
      <c r="D121" s="49"/>
      <c r="E121" s="49"/>
      <c r="F121" s="49"/>
      <c r="G121" s="49"/>
      <c r="H121" s="49"/>
      <c r="I121" s="49"/>
      <c r="J121" s="49"/>
      <c r="K121"/>
      <c r="L121" s="49"/>
      <c r="M121" s="49"/>
      <c r="N121" s="49"/>
      <c r="O121" s="49"/>
      <c r="P121" s="49"/>
      <c r="Q121" s="2005" t="s">
        <v>56</v>
      </c>
      <c r="R121" s="2006"/>
      <c r="S121" s="2006"/>
      <c r="T121" s="2006"/>
      <c r="U121" s="49"/>
      <c r="V121" s="49"/>
      <c r="W121" s="233">
        <f>ROUNDUP(W120/2000,0)</f>
        <v>0</v>
      </c>
      <c r="X121" s="159"/>
      <c r="Y121" s="159"/>
      <c r="AS121" s="290"/>
      <c r="AU121" s="290"/>
      <c r="AZ121" s="293"/>
      <c r="BA121" s="294"/>
      <c r="BB121" s="293"/>
      <c r="BC121" s="294"/>
      <c r="BD121" s="294"/>
      <c r="BE121" s="295"/>
      <c r="BF121" s="296"/>
    </row>
    <row r="122" spans="2:58" ht="18.75" customHeight="1" thickBot="1" x14ac:dyDescent="0.4">
      <c r="B122" s="898"/>
      <c r="C122" s="899"/>
      <c r="D122" s="899"/>
      <c r="E122" s="899"/>
      <c r="F122" s="899"/>
      <c r="G122" s="899"/>
      <c r="H122" s="899"/>
      <c r="I122" s="899"/>
      <c r="J122" s="899"/>
      <c r="K122" s="899"/>
      <c r="L122" s="900"/>
      <c r="M122" s="899"/>
      <c r="N122" s="899"/>
      <c r="O122" s="899"/>
      <c r="P122" s="899"/>
      <c r="Q122" s="899"/>
      <c r="R122" s="899"/>
      <c r="S122" s="899"/>
      <c r="T122" s="899"/>
      <c r="U122" s="899"/>
      <c r="V122" s="899"/>
      <c r="W122" s="899"/>
      <c r="X122" s="1115"/>
      <c r="AZ122" s="296">
        <f>O134</f>
        <v>0</v>
      </c>
      <c r="BA122" s="294">
        <f>O148+O149+O150+O147+L151</f>
        <v>0</v>
      </c>
      <c r="BB122" s="296">
        <f>M157</f>
        <v>0</v>
      </c>
      <c r="BC122" s="294">
        <f>O152</f>
        <v>0</v>
      </c>
      <c r="BD122" s="296">
        <f>L153</f>
        <v>0</v>
      </c>
      <c r="BE122" s="293"/>
      <c r="BF122" s="293"/>
    </row>
    <row r="123" spans="2:58" ht="15" customHeight="1" x14ac:dyDescent="0.35">
      <c r="B123" s="1987" t="s">
        <v>185</v>
      </c>
      <c r="C123" s="2041"/>
      <c r="D123" s="1988"/>
      <c r="E123" s="1987" t="s">
        <v>140</v>
      </c>
      <c r="F123" s="1988"/>
      <c r="G123" s="1987" t="s">
        <v>178</v>
      </c>
      <c r="H123" s="2041"/>
      <c r="I123" s="1988"/>
      <c r="J123" s="1935" t="s">
        <v>184</v>
      </c>
      <c r="K123" s="1936"/>
      <c r="L123" s="1937"/>
      <c r="M123" s="2044" t="s">
        <v>179</v>
      </c>
      <c r="N123" s="2045"/>
      <c r="O123" s="132"/>
      <c r="P123" s="133"/>
      <c r="Q123" s="897"/>
      <c r="R123" s="43" t="s">
        <v>34</v>
      </c>
      <c r="T123" s="106" t="s">
        <v>220</v>
      </c>
      <c r="U123" s="1098" t="str">
        <f>Summary!P65</f>
        <v>n</v>
      </c>
      <c r="V123" s="73" t="s">
        <v>298</v>
      </c>
      <c r="W123" s="1307">
        <f>Summary!R65</f>
        <v>8.2500000000000004E-2</v>
      </c>
      <c r="X123" s="1113"/>
      <c r="AC123">
        <v>1</v>
      </c>
      <c r="AD123" t="s">
        <v>242</v>
      </c>
      <c r="AZ123" s="293"/>
      <c r="BA123" s="293"/>
      <c r="BB123" s="293"/>
      <c r="BC123" s="293"/>
      <c r="BD123" s="293">
        <f>SUM(AY120:BF120)</f>
        <v>0</v>
      </c>
      <c r="BE123" s="293"/>
      <c r="BF123" s="293"/>
    </row>
    <row r="124" spans="2:58" ht="27" customHeight="1" thickBot="1" x14ac:dyDescent="0.4">
      <c r="B124" s="11" t="s">
        <v>180</v>
      </c>
      <c r="C124" s="1999">
        <f>J124*(1+M124+Summary!P64)</f>
        <v>0</v>
      </c>
      <c r="D124" s="2000"/>
      <c r="E124" s="2602">
        <f>U124*(1+M124+Summary!P64)</f>
        <v>0</v>
      </c>
      <c r="F124" s="2004"/>
      <c r="G124" s="15">
        <f>IF(E124=0,0,H124/E124)</f>
        <v>0</v>
      </c>
      <c r="H124" s="2042">
        <f>E124-U124</f>
        <v>0</v>
      </c>
      <c r="I124" s="2043"/>
      <c r="J124" s="2064">
        <f>IF(I148=0,0,U124/I148)</f>
        <v>0</v>
      </c>
      <c r="K124" s="2065"/>
      <c r="L124" s="2066"/>
      <c r="M124" s="2302">
        <f>Summary!P63</f>
        <v>0.18</v>
      </c>
      <c r="N124" s="2303"/>
      <c r="O124" s="2303"/>
      <c r="P124" s="2304"/>
      <c r="Q124" s="902"/>
      <c r="R124" s="86" t="s">
        <v>50</v>
      </c>
      <c r="U124" s="1932">
        <f>SUM(O134:P144)+SUM(O147:P153)+SUM(O156:P158)+SUM(O160:P165)+SUM(O167:P172)+X172+O145+SUM(L147:M153)</f>
        <v>0</v>
      </c>
      <c r="V124" s="1932"/>
      <c r="X124" s="1113"/>
      <c r="Y124">
        <f>BD123</f>
        <v>0</v>
      </c>
      <c r="AC124">
        <v>2</v>
      </c>
      <c r="AD124" t="s">
        <v>243</v>
      </c>
      <c r="AH124" s="261">
        <f>SUM(X135:X158)+O139+O141</f>
        <v>0</v>
      </c>
    </row>
    <row r="125" spans="2:58" ht="22.5" customHeight="1" thickBot="1" x14ac:dyDescent="0.4">
      <c r="B125" s="1129"/>
      <c r="C125" s="2614"/>
      <c r="D125" s="2614"/>
      <c r="E125" s="2615"/>
      <c r="F125" s="2615"/>
      <c r="G125" s="2614"/>
      <c r="H125" s="2614"/>
      <c r="I125" s="866" t="s">
        <v>891</v>
      </c>
      <c r="J125" s="867"/>
      <c r="K125" s="2482"/>
      <c r="L125" s="2483"/>
      <c r="M125" s="893"/>
      <c r="N125" s="1899">
        <f>IF(K125&gt;0,(K125-E124)/(1+M124),0)</f>
        <v>0</v>
      </c>
      <c r="O125" s="1900"/>
      <c r="P125" s="890"/>
      <c r="Q125" s="890"/>
      <c r="R125" s="890"/>
      <c r="S125" s="890"/>
      <c r="T125" s="890"/>
      <c r="U125" s="2245">
        <f>AH9</f>
        <v>0</v>
      </c>
      <c r="V125" s="2622"/>
      <c r="W125" s="890"/>
      <c r="X125" s="896"/>
      <c r="Y125" s="261">
        <f>U124-Y124</f>
        <v>0</v>
      </c>
      <c r="AC125">
        <v>3</v>
      </c>
      <c r="AD125" t="s">
        <v>244</v>
      </c>
      <c r="AH125">
        <f>O138</f>
        <v>0</v>
      </c>
    </row>
    <row r="126" spans="2:58" x14ac:dyDescent="0.35"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589"/>
      <c r="V126" s="2589"/>
      <c r="W126" s="2485">
        <f>U124-U125</f>
        <v>0</v>
      </c>
      <c r="X126" s="2485"/>
      <c r="AC126">
        <v>4</v>
      </c>
      <c r="AD126" t="s">
        <v>245</v>
      </c>
      <c r="AH126">
        <f>O140</f>
        <v>0</v>
      </c>
    </row>
    <row r="127" spans="2:58" x14ac:dyDescent="0.35"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AC127">
        <v>5</v>
      </c>
      <c r="AD127" t="s">
        <v>246</v>
      </c>
      <c r="AH127">
        <f>O137</f>
        <v>0</v>
      </c>
    </row>
    <row r="128" spans="2:58" x14ac:dyDescent="0.35">
      <c r="B128" s="298"/>
      <c r="C128" s="42" t="s">
        <v>632</v>
      </c>
      <c r="D128" s="739" t="s">
        <v>634</v>
      </c>
      <c r="E128" s="739"/>
      <c r="F128" s="739"/>
      <c r="G128" s="739"/>
      <c r="H128" s="739"/>
      <c r="I128" s="739"/>
      <c r="J128" s="739"/>
      <c r="K128" s="739"/>
      <c r="L128" s="739"/>
      <c r="M128" s="739"/>
      <c r="N128" s="739"/>
      <c r="O128" s="739"/>
      <c r="P128" s="739"/>
      <c r="Q128" s="298"/>
      <c r="R128" s="298"/>
      <c r="S128" s="298"/>
      <c r="T128" s="298"/>
      <c r="U128" s="298"/>
      <c r="V128" s="298"/>
      <c r="W128" s="298"/>
      <c r="X128" s="298"/>
      <c r="AC128">
        <v>6</v>
      </c>
      <c r="AD128" t="s">
        <v>248</v>
      </c>
      <c r="AH128">
        <f>SUM(X160:X165)</f>
        <v>0</v>
      </c>
    </row>
    <row r="129" spans="2:34" ht="19" customHeight="1" x14ac:dyDescent="0.35">
      <c r="B129" s="298"/>
      <c r="C129" s="298"/>
      <c r="D129" s="739"/>
      <c r="E129" s="739"/>
      <c r="F129" s="739"/>
      <c r="G129" s="739"/>
      <c r="H129" s="739"/>
      <c r="I129" s="739"/>
      <c r="J129" s="739"/>
      <c r="K129" s="739"/>
      <c r="L129" s="739"/>
      <c r="M129" s="739"/>
      <c r="N129" s="739"/>
      <c r="O129" s="739"/>
      <c r="P129" s="739"/>
      <c r="Q129" s="298"/>
      <c r="R129" s="298"/>
      <c r="S129" s="298"/>
      <c r="T129" s="298"/>
      <c r="U129" s="298"/>
      <c r="V129" s="298"/>
      <c r="W129" s="298"/>
      <c r="X129" s="298"/>
      <c r="AC129">
        <v>7</v>
      </c>
      <c r="AD129" t="s">
        <v>247</v>
      </c>
      <c r="AH129">
        <f>O142</f>
        <v>0</v>
      </c>
    </row>
    <row r="130" spans="2:34" ht="19" customHeight="1" x14ac:dyDescent="0.35">
      <c r="B130" s="298"/>
      <c r="C130" s="298"/>
      <c r="D130" s="739"/>
      <c r="E130" s="739"/>
      <c r="F130" s="739"/>
      <c r="G130" s="739"/>
      <c r="H130" s="739"/>
      <c r="I130" s="739"/>
      <c r="J130" s="739"/>
      <c r="K130" s="739"/>
      <c r="L130" s="739"/>
      <c r="M130" s="739"/>
      <c r="N130" s="739"/>
      <c r="O130" s="739"/>
      <c r="P130" s="739"/>
      <c r="Q130" s="298"/>
      <c r="R130" s="298"/>
      <c r="S130" s="298"/>
      <c r="T130" s="298"/>
      <c r="U130" s="298"/>
      <c r="V130" s="298"/>
      <c r="W130" s="298"/>
      <c r="X130" s="298"/>
      <c r="AC130">
        <v>8</v>
      </c>
      <c r="AD130" t="s">
        <v>249</v>
      </c>
      <c r="AH130">
        <f>SUM(O134:P136)</f>
        <v>0</v>
      </c>
    </row>
    <row r="131" spans="2:34" ht="19" customHeight="1" x14ac:dyDescent="0.35">
      <c r="B131" s="298"/>
      <c r="C131" s="29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298"/>
      <c r="R131" s="298"/>
      <c r="S131" s="298"/>
      <c r="T131" s="298"/>
      <c r="U131" s="298"/>
      <c r="V131" s="298"/>
      <c r="W131" s="298"/>
      <c r="X131" s="298"/>
      <c r="AC131">
        <v>9</v>
      </c>
      <c r="AD131" t="s">
        <v>234</v>
      </c>
      <c r="AH131">
        <f>SUM(O143:P144)</f>
        <v>0</v>
      </c>
    </row>
    <row r="132" spans="2:34" ht="13.5" customHeight="1" thickBot="1" x14ac:dyDescent="0.4"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306"/>
      <c r="U132" s="306"/>
      <c r="V132" s="306"/>
      <c r="W132" s="306"/>
      <c r="X132" s="298"/>
      <c r="AC132">
        <v>10</v>
      </c>
      <c r="AD132" t="s">
        <v>250</v>
      </c>
      <c r="AH132">
        <f>SUM(X166:X168)</f>
        <v>0</v>
      </c>
    </row>
    <row r="133" spans="2:34" ht="35.25" customHeight="1" thickBot="1" x14ac:dyDescent="0.4">
      <c r="B133" s="1300" t="s">
        <v>226</v>
      </c>
      <c r="C133" s="2741" t="s">
        <v>167</v>
      </c>
      <c r="D133" s="2742"/>
      <c r="E133" s="2742"/>
      <c r="F133" s="2742"/>
      <c r="G133" s="2742"/>
      <c r="H133" s="2742"/>
      <c r="I133" s="2742"/>
      <c r="J133" s="2742"/>
      <c r="K133" s="2742"/>
      <c r="L133" s="2742"/>
      <c r="M133" s="2742"/>
      <c r="N133" s="2742"/>
      <c r="O133" s="2742"/>
      <c r="P133" s="2743"/>
      <c r="Q133" s="1302" t="s">
        <v>284</v>
      </c>
      <c r="R133" s="2762" t="s">
        <v>196</v>
      </c>
      <c r="S133" s="2763"/>
      <c r="T133" s="1301" t="s">
        <v>52</v>
      </c>
      <c r="U133" s="1301"/>
      <c r="V133" s="1305" t="s">
        <v>7</v>
      </c>
      <c r="W133" s="1301"/>
      <c r="X133" s="1306"/>
      <c r="AC133">
        <v>11</v>
      </c>
      <c r="AD133" t="s">
        <v>251</v>
      </c>
    </row>
    <row r="134" spans="2:34" ht="19" customHeight="1" thickTop="1" x14ac:dyDescent="0.35">
      <c r="B134" s="442">
        <v>2</v>
      </c>
      <c r="C134" s="291" t="str">
        <f>IF(B134=1,Pricing!F$1,IF(B134=2,Pricing!G$1,IF(B134=3,Pricing!H$1,IF(B134=4,Pricing!I$1,IF(B134=5,Pricing!J$1,IF(B134=6,Pricing!K$1,0))))))</f>
        <v>3500 Psi</v>
      </c>
      <c r="D134" s="190"/>
      <c r="E134" s="190"/>
      <c r="F134" s="190"/>
      <c r="G134" s="1308">
        <f>IF(B134=1,Pricing!F$2,IF(B134=2,Pricing!G$2,IF(B134=3,Pricing!H$2,IF(B134=4,Pricing!I$2,IF(B134=5,Pricing!J$2,IF(B134=6,Pricing!K$2,0))))))</f>
        <v>152</v>
      </c>
      <c r="H134" s="191" t="s">
        <v>168</v>
      </c>
      <c r="I134" s="2030" t="s">
        <v>323</v>
      </c>
      <c r="J134" s="2031"/>
      <c r="K134" s="2698">
        <v>0.04</v>
      </c>
      <c r="L134" s="1908">
        <f>IF(B134=1,AK$120,IF(B134=2,AL$120,IF(B134=3,AM$120,IF(B134=4,AN$120,IF(B134=5,AO$120,IF(B134=6,AP$120))))))</f>
        <v>0</v>
      </c>
      <c r="M134" s="1909"/>
      <c r="N134" s="58" t="s">
        <v>102</v>
      </c>
      <c r="O134" s="2248">
        <f>L134*G134*(IF(U$123="N",1+W$123,1))</f>
        <v>0</v>
      </c>
      <c r="P134" s="2249"/>
      <c r="Q134" s="797">
        <v>2</v>
      </c>
      <c r="R134" s="193" t="s">
        <v>466</v>
      </c>
      <c r="S134" s="106"/>
      <c r="T134" s="827">
        <v>0.4</v>
      </c>
      <c r="U134" s="106"/>
      <c r="V134" s="195">
        <f>BC152</f>
        <v>0</v>
      </c>
      <c r="W134" s="106"/>
      <c r="X134" s="118">
        <f>V134*T134</f>
        <v>0</v>
      </c>
      <c r="AC134">
        <v>12</v>
      </c>
      <c r="AD134" t="s">
        <v>252</v>
      </c>
    </row>
    <row r="135" spans="2:34" ht="19" customHeight="1" x14ac:dyDescent="0.35">
      <c r="B135" s="443">
        <v>3</v>
      </c>
      <c r="C135" s="43" t="str">
        <f>IF(B135=1,Pricing!F$1,IF(B135=2,Pricing!G$1,IF(B135=3,Pricing!H$1,IF(B135=4,Pricing!I$1,IF(B135=5,Pricing!J$1,IF(B135=6,Pricing!K$1,0))))))</f>
        <v>4000 psi</v>
      </c>
      <c r="G135" s="1140">
        <f>IF(B135=1,Pricing!F$2,IF(B135=2,Pricing!G$2,IF(B135=3,Pricing!H$2,IF(B135=4,Pricing!I$2,IF(B135=5,Pricing!J$2,IF(B135=6,Pricing!K$2,0))))))</f>
        <v>157</v>
      </c>
      <c r="H135" s="88" t="s">
        <v>168</v>
      </c>
      <c r="I135" s="2032"/>
      <c r="J135" s="2033"/>
      <c r="K135" s="2698"/>
      <c r="L135" s="1908">
        <f>IF(B135=1,AK$120,IF(B135=2,AL$120,IF(B135=3,AM$120,IF(B135=4,AN$120,IF(B135=5,AO$120,IF(B135=6,AP$120))))))</f>
        <v>0</v>
      </c>
      <c r="M135" s="1909"/>
      <c r="N135" s="58" t="s">
        <v>102</v>
      </c>
      <c r="O135" s="2248">
        <f>L135*G135*(IF(U$123="N",1+W$123,1))</f>
        <v>0</v>
      </c>
      <c r="P135" s="2249"/>
      <c r="Q135" s="797">
        <v>2</v>
      </c>
      <c r="R135" s="193" t="s">
        <v>203</v>
      </c>
      <c r="S135" s="106"/>
      <c r="T135" s="194">
        <f>AU120*T134</f>
        <v>0</v>
      </c>
      <c r="U135" s="387" t="s">
        <v>197</v>
      </c>
      <c r="V135" s="195">
        <f>Pricing!N3</f>
        <v>0.5625</v>
      </c>
      <c r="W135" s="401" t="s">
        <v>99</v>
      </c>
      <c r="X135" s="118">
        <f t="shared" ref="X135:X146" si="88">IF(U$123="Y",T135*V135,T135*V135*(1+W$123))</f>
        <v>0</v>
      </c>
      <c r="AC135">
        <v>15</v>
      </c>
      <c r="AD135" t="s">
        <v>253</v>
      </c>
    </row>
    <row r="136" spans="2:34" ht="19" customHeight="1" thickBot="1" x14ac:dyDescent="0.4">
      <c r="B136" s="444">
        <v>4</v>
      </c>
      <c r="C136" s="93" t="str">
        <f>IF(B136=1,Pricing!F$1,IF(B136=2,Pricing!G$1,IF(B136=3,Pricing!H$1,IF(B136=4,Pricing!I$1,IF(B136=5,Pricing!J$1,IF(B136=6,Pricing!K$1,0))))))</f>
        <v>4500 psi</v>
      </c>
      <c r="D136" s="75"/>
      <c r="E136" s="75"/>
      <c r="F136" s="75"/>
      <c r="G136" s="1141">
        <f>IF(B136=1,Pricing!F$2,IF(B136=2,Pricing!G$2,IF(B136=3,Pricing!H$2,IF(B136=4,Pricing!I$2,IF(B136=5,Pricing!J$2,IF(B136=6,Pricing!K$2,0))))))</f>
        <v>162</v>
      </c>
      <c r="H136" s="90" t="s">
        <v>168</v>
      </c>
      <c r="I136" s="2034"/>
      <c r="J136" s="2035"/>
      <c r="K136" s="2699"/>
      <c r="L136" s="1908">
        <f>IF(B136=1,AK$120,IF(B136=2,AL$120,IF(B136=3,AM$120,IF(B136=4,AN$120,IF(B136=5,AO$120,IF(B136=6,AP$120))))))</f>
        <v>0</v>
      </c>
      <c r="M136" s="1909"/>
      <c r="N136" s="91" t="s">
        <v>102</v>
      </c>
      <c r="O136" s="2300">
        <f>L136*G136*(IF(U$123="N",1+W$123,1))</f>
        <v>0</v>
      </c>
      <c r="P136" s="2301"/>
      <c r="Q136" s="797">
        <v>2</v>
      </c>
      <c r="R136" s="193" t="s">
        <v>204</v>
      </c>
      <c r="S136" s="106"/>
      <c r="T136" s="194">
        <f>(AW120*T134+AV120*2)</f>
        <v>0</v>
      </c>
      <c r="U136" s="387" t="s">
        <v>197</v>
      </c>
      <c r="V136" s="195">
        <f>Pricing!N4</f>
        <v>0.65625</v>
      </c>
      <c r="W136" s="401" t="s">
        <v>99</v>
      </c>
      <c r="X136" s="118">
        <f t="shared" si="88"/>
        <v>0</v>
      </c>
      <c r="AC136">
        <v>16</v>
      </c>
      <c r="AD136" t="s">
        <v>841</v>
      </c>
    </row>
    <row r="137" spans="2:34" ht="19" customHeight="1" thickTop="1" x14ac:dyDescent="0.35">
      <c r="B137" s="43"/>
      <c r="C137" s="92" t="s">
        <v>104</v>
      </c>
      <c r="G137" s="1203">
        <f>Pricing!D22</f>
        <v>0.6</v>
      </c>
      <c r="H137" s="88" t="s">
        <v>88</v>
      </c>
      <c r="I137" s="2008" t="s">
        <v>202</v>
      </c>
      <c r="J137" s="2008"/>
      <c r="K137" s="1309">
        <v>0.25</v>
      </c>
      <c r="L137" s="2062">
        <f>AR120</f>
        <v>0</v>
      </c>
      <c r="M137" s="2063"/>
      <c r="N137" s="42" t="s">
        <v>32</v>
      </c>
      <c r="O137" s="2248">
        <f>G137*L137*(IF(U123="N",1+W123,1))</f>
        <v>0</v>
      </c>
      <c r="P137" s="2249"/>
      <c r="Q137" s="797">
        <v>2</v>
      </c>
      <c r="R137" s="193" t="s">
        <v>206</v>
      </c>
      <c r="S137" s="106"/>
      <c r="T137" s="194">
        <f>(AX120*T134)</f>
        <v>0</v>
      </c>
      <c r="U137" s="387" t="s">
        <v>197</v>
      </c>
      <c r="V137" s="195">
        <f>Pricing!N5</f>
        <v>1</v>
      </c>
      <c r="W137" s="401" t="s">
        <v>99</v>
      </c>
      <c r="X137" s="118">
        <f t="shared" si="88"/>
        <v>0</v>
      </c>
      <c r="AC137">
        <v>17</v>
      </c>
      <c r="AD137" t="s">
        <v>842</v>
      </c>
    </row>
    <row r="138" spans="2:34" ht="19" customHeight="1" x14ac:dyDescent="0.35">
      <c r="B138" s="94"/>
      <c r="C138" s="58" t="s">
        <v>103</v>
      </c>
      <c r="G138" s="1142">
        <f>Pricing!D18</f>
        <v>25</v>
      </c>
      <c r="H138" s="88" t="s">
        <v>169</v>
      </c>
      <c r="I138" s="2092" t="s">
        <v>202</v>
      </c>
      <c r="J138" s="2093"/>
      <c r="K138" s="1210">
        <v>0.05</v>
      </c>
      <c r="L138" s="1908"/>
      <c r="M138" s="1909"/>
      <c r="N138" s="42" t="s">
        <v>102</v>
      </c>
      <c r="O138" s="1100">
        <f>L138*G138*IF(U24="N",1+I24,1)</f>
        <v>0</v>
      </c>
      <c r="P138" s="1101"/>
      <c r="Q138" s="797">
        <v>2</v>
      </c>
      <c r="R138" s="193" t="s">
        <v>205</v>
      </c>
      <c r="S138" s="106"/>
      <c r="T138" s="194">
        <f>E120</f>
        <v>0</v>
      </c>
      <c r="U138" s="387" t="s">
        <v>197</v>
      </c>
      <c r="V138" s="195">
        <f>Pricing!N6</f>
        <v>1.25</v>
      </c>
      <c r="W138" s="401" t="s">
        <v>99</v>
      </c>
      <c r="X138" s="118">
        <f t="shared" si="88"/>
        <v>0</v>
      </c>
      <c r="AC138">
        <v>18</v>
      </c>
      <c r="AD138" t="s">
        <v>843</v>
      </c>
      <c r="AH138" s="261">
        <f>O145</f>
        <v>0</v>
      </c>
    </row>
    <row r="139" spans="2:34" ht="19" customHeight="1" x14ac:dyDescent="0.35">
      <c r="B139" s="43"/>
      <c r="C139" s="92"/>
      <c r="G139" s="1140">
        <f>Pricing!F5</f>
        <v>0</v>
      </c>
      <c r="H139" s="88" t="s">
        <v>69</v>
      </c>
      <c r="I139" s="2008" t="s">
        <v>202</v>
      </c>
      <c r="J139" s="2009"/>
      <c r="K139" s="1310">
        <v>0.05</v>
      </c>
      <c r="L139" s="1908"/>
      <c r="M139" s="1909"/>
      <c r="N139" s="42" t="s">
        <v>95</v>
      </c>
      <c r="O139" s="2248">
        <f>L139*G139*(IF(U123="N",1+W123,1))*(K139+1)</f>
        <v>0</v>
      </c>
      <c r="P139" s="2249"/>
      <c r="Q139" s="797">
        <v>2</v>
      </c>
      <c r="R139" s="193" t="s">
        <v>207</v>
      </c>
      <c r="S139" s="106"/>
      <c r="T139" s="194"/>
      <c r="U139" s="106" t="s">
        <v>209</v>
      </c>
      <c r="V139" s="195">
        <f>Pricing!N7</f>
        <v>50</v>
      </c>
      <c r="W139" s="401" t="s">
        <v>290</v>
      </c>
      <c r="X139" s="118">
        <f t="shared" si="88"/>
        <v>0</v>
      </c>
      <c r="AC139">
        <v>20</v>
      </c>
      <c r="AD139" t="s">
        <v>93</v>
      </c>
      <c r="AH139">
        <f>SUM(O156:P157)</f>
        <v>0</v>
      </c>
    </row>
    <row r="140" spans="2:34" ht="19" customHeight="1" thickBot="1" x14ac:dyDescent="0.4">
      <c r="B140" s="94"/>
      <c r="C140" s="134" t="s">
        <v>344</v>
      </c>
      <c r="D140" s="75"/>
      <c r="E140" s="95"/>
      <c r="F140" s="75"/>
      <c r="G140" s="1143">
        <v>15</v>
      </c>
      <c r="H140" s="90" t="s">
        <v>124</v>
      </c>
      <c r="I140" s="275"/>
      <c r="J140" s="276"/>
      <c r="K140" s="1211"/>
      <c r="L140" s="2060"/>
      <c r="M140" s="2061"/>
      <c r="N140" s="75" t="s">
        <v>95</v>
      </c>
      <c r="O140" s="1102">
        <f>L140*G140</f>
        <v>0</v>
      </c>
      <c r="P140" s="1103"/>
      <c r="Q140" s="797">
        <v>2</v>
      </c>
      <c r="R140" s="193" t="s">
        <v>225</v>
      </c>
      <c r="S140" s="106"/>
      <c r="T140" s="194">
        <f>T137/100*T134</f>
        <v>0</v>
      </c>
      <c r="U140" s="106" t="s">
        <v>224</v>
      </c>
      <c r="V140" s="195">
        <f>Pricing!N14</f>
        <v>18</v>
      </c>
      <c r="W140" s="401" t="s">
        <v>291</v>
      </c>
      <c r="X140" s="118">
        <f t="shared" si="88"/>
        <v>0</v>
      </c>
      <c r="AC140">
        <v>21</v>
      </c>
      <c r="AD140" t="s">
        <v>254</v>
      </c>
      <c r="AH140">
        <f>O158</f>
        <v>0</v>
      </c>
    </row>
    <row r="141" spans="2:34" ht="19" customHeight="1" thickTop="1" x14ac:dyDescent="0.35">
      <c r="B141" s="43"/>
      <c r="C141" s="58"/>
      <c r="E141" s="73"/>
      <c r="G141" s="1204">
        <v>0.17</v>
      </c>
      <c r="H141" s="42" t="s">
        <v>171</v>
      </c>
      <c r="I141"/>
      <c r="J141"/>
      <c r="K141"/>
      <c r="L141" s="1908"/>
      <c r="M141" s="1909"/>
      <c r="N141" s="42" t="s">
        <v>95</v>
      </c>
      <c r="O141" s="2261">
        <f>G141*L141</f>
        <v>0</v>
      </c>
      <c r="P141" s="2262"/>
      <c r="Q141" s="797">
        <v>2</v>
      </c>
      <c r="R141" s="193" t="s">
        <v>0</v>
      </c>
      <c r="S141" s="106"/>
      <c r="T141" s="194">
        <f>ROUNDUP((T137+T136)/T134/1800,0)</f>
        <v>0</v>
      </c>
      <c r="U141" s="106" t="s">
        <v>6</v>
      </c>
      <c r="V141" s="195">
        <f>Pricing!N15</f>
        <v>42</v>
      </c>
      <c r="W141" s="401" t="s">
        <v>292</v>
      </c>
      <c r="X141" s="118">
        <f>IF(U$123="Y",T141*V141,T141*V141*(1+W$123))</f>
        <v>0</v>
      </c>
      <c r="AC141">
        <v>22</v>
      </c>
      <c r="AD141" t="s">
        <v>255</v>
      </c>
      <c r="AH141">
        <f>SUM(L147:M153)</f>
        <v>0</v>
      </c>
    </row>
    <row r="142" spans="2:34" ht="19" customHeight="1" x14ac:dyDescent="0.35">
      <c r="B142" s="58" t="s">
        <v>621</v>
      </c>
      <c r="C142" s="43"/>
      <c r="G142" s="1070">
        <v>0.35</v>
      </c>
      <c r="H142" s="88" t="s">
        <v>69</v>
      </c>
      <c r="I142" s="42" t="s">
        <v>199</v>
      </c>
      <c r="J142" s="2754">
        <v>0</v>
      </c>
      <c r="K142" s="2755"/>
      <c r="L142" s="1909"/>
      <c r="M142" s="1909"/>
      <c r="N142" s="42" t="s">
        <v>42</v>
      </c>
      <c r="O142" s="2261">
        <f>IF(J142&gt;0,J142,0)</f>
        <v>0</v>
      </c>
      <c r="P142" s="2262"/>
      <c r="Q142" s="797">
        <v>2</v>
      </c>
      <c r="R142" s="193" t="s">
        <v>2</v>
      </c>
      <c r="S142" s="106"/>
      <c r="T142" s="194">
        <f>T141*0.6</f>
        <v>0</v>
      </c>
      <c r="U142" s="106" t="s">
        <v>6</v>
      </c>
      <c r="V142" s="195">
        <f>Pricing!N16</f>
        <v>42</v>
      </c>
      <c r="W142" s="401" t="s">
        <v>292</v>
      </c>
      <c r="X142" s="118">
        <f t="shared" si="88"/>
        <v>0</v>
      </c>
      <c r="AC142">
        <v>23</v>
      </c>
      <c r="AD142" t="s">
        <v>256</v>
      </c>
      <c r="AH142">
        <f>O172</f>
        <v>0</v>
      </c>
    </row>
    <row r="143" spans="2:34" ht="19" customHeight="1" x14ac:dyDescent="0.35">
      <c r="B143" s="92" t="s">
        <v>66</v>
      </c>
      <c r="C143" s="58"/>
      <c r="D143" s="58"/>
      <c r="E143" s="73" t="s">
        <v>301</v>
      </c>
      <c r="F143" s="777" t="s">
        <v>235</v>
      </c>
      <c r="G143" s="757">
        <v>3</v>
      </c>
      <c r="H143" s="88" t="s">
        <v>69</v>
      </c>
      <c r="I143" s="2008" t="s">
        <v>202</v>
      </c>
      <c r="J143" s="2008"/>
      <c r="K143" s="2757">
        <v>0.1</v>
      </c>
      <c r="L143" s="1908">
        <f>IF(F143="Y",AV120*(1+K143),0)</f>
        <v>0</v>
      </c>
      <c r="M143" s="1909"/>
      <c r="N143" s="42" t="s">
        <v>42</v>
      </c>
      <c r="O143" s="2261">
        <f>IF(J$142&gt;0,0,L143*G143*(IF(U$123="Y",1,(1+W$123))))</f>
        <v>0</v>
      </c>
      <c r="P143" s="2262"/>
      <c r="Q143" s="797">
        <v>2</v>
      </c>
      <c r="R143" s="193" t="s">
        <v>1</v>
      </c>
      <c r="S143" s="106"/>
      <c r="T143" s="194">
        <f>T142</f>
        <v>0</v>
      </c>
      <c r="U143" s="106" t="s">
        <v>6</v>
      </c>
      <c r="V143" s="195">
        <f>Pricing!N17</f>
        <v>42</v>
      </c>
      <c r="W143" s="401" t="s">
        <v>292</v>
      </c>
      <c r="X143" s="118">
        <f t="shared" si="88"/>
        <v>0</v>
      </c>
      <c r="AC143">
        <v>24</v>
      </c>
      <c r="AD143" t="s">
        <v>257</v>
      </c>
    </row>
    <row r="144" spans="2:34" ht="19" customHeight="1" thickBot="1" x14ac:dyDescent="0.4">
      <c r="B144" s="92" t="s">
        <v>629</v>
      </c>
      <c r="C144" s="58"/>
      <c r="D144" s="58"/>
      <c r="E144" s="95" t="s">
        <v>301</v>
      </c>
      <c r="F144" s="1148" t="s">
        <v>235</v>
      </c>
      <c r="G144" s="1145">
        <v>5</v>
      </c>
      <c r="H144" s="90" t="s">
        <v>170</v>
      </c>
      <c r="I144" s="2756"/>
      <c r="J144" s="2756"/>
      <c r="K144" s="2758"/>
      <c r="L144" s="2060">
        <f>L143*2</f>
        <v>0</v>
      </c>
      <c r="M144" s="2061"/>
      <c r="N144" s="75" t="s">
        <v>42</v>
      </c>
      <c r="O144" s="2261">
        <f>IF(J$142&gt;0,0,L144*G144*(IF(U$123="Y",1,(1+W$123))))</f>
        <v>0</v>
      </c>
      <c r="P144" s="2262"/>
      <c r="Q144" s="797">
        <v>2</v>
      </c>
      <c r="R144" s="193" t="s">
        <v>210</v>
      </c>
      <c r="S144" s="106"/>
      <c r="T144" s="194">
        <f>AO29*12/48/50</f>
        <v>0</v>
      </c>
      <c r="U144" s="106" t="s">
        <v>6</v>
      </c>
      <c r="V144" s="195">
        <f>Pricing!N33</f>
        <v>25.5</v>
      </c>
      <c r="W144" s="401" t="s">
        <v>292</v>
      </c>
      <c r="X144" s="118">
        <f t="shared" si="88"/>
        <v>0</v>
      </c>
      <c r="AC144">
        <v>25</v>
      </c>
      <c r="AD144" t="s">
        <v>258</v>
      </c>
    </row>
    <row r="145" spans="2:34" ht="19" customHeight="1" thickTop="1" thickBot="1" x14ac:dyDescent="0.4">
      <c r="B145" s="47"/>
      <c r="C145" s="49" t="s">
        <v>70</v>
      </c>
      <c r="D145" s="49"/>
      <c r="E145" s="49"/>
      <c r="F145" s="49"/>
      <c r="G145" s="1205">
        <v>0.65</v>
      </c>
      <c r="H145" s="96" t="s">
        <v>193</v>
      </c>
      <c r="I145" s="2360" t="s">
        <v>195</v>
      </c>
      <c r="J145" s="2361"/>
      <c r="K145" s="1311">
        <v>0</v>
      </c>
      <c r="L145" s="2362">
        <f>AR120</f>
        <v>0</v>
      </c>
      <c r="M145" s="2363"/>
      <c r="N145" s="49" t="s">
        <v>95</v>
      </c>
      <c r="O145" s="2351">
        <f>G145*K145*L145</f>
        <v>0</v>
      </c>
      <c r="P145" s="2352"/>
      <c r="Q145" s="797">
        <v>2</v>
      </c>
      <c r="R145" s="193" t="s">
        <v>236</v>
      </c>
      <c r="S145" s="106"/>
      <c r="T145" s="194">
        <f>BF134+AG169</f>
        <v>0</v>
      </c>
      <c r="U145" s="106" t="s">
        <v>197</v>
      </c>
      <c r="V145" s="195">
        <f>Pricing!N18</f>
        <v>0.78</v>
      </c>
      <c r="W145" s="401" t="s">
        <v>99</v>
      </c>
      <c r="X145" s="118">
        <f t="shared" si="88"/>
        <v>0</v>
      </c>
      <c r="AC145">
        <v>30</v>
      </c>
      <c r="AD145" t="s">
        <v>259</v>
      </c>
      <c r="AH145">
        <f>O167</f>
        <v>0</v>
      </c>
    </row>
    <row r="146" spans="2:34" ht="19" customHeight="1" thickBot="1" x14ac:dyDescent="0.4">
      <c r="B146" s="835" t="s">
        <v>221</v>
      </c>
      <c r="C146" s="1303"/>
      <c r="D146" s="1303" t="s">
        <v>299</v>
      </c>
      <c r="E146" s="1303"/>
      <c r="F146" s="1303"/>
      <c r="G146" s="1303"/>
      <c r="H146" s="1303"/>
      <c r="I146" s="1303"/>
      <c r="J146" s="1303"/>
      <c r="K146" s="1303"/>
      <c r="L146" s="2752" t="s">
        <v>45</v>
      </c>
      <c r="M146" s="2752"/>
      <c r="N146" s="2752" t="s">
        <v>300</v>
      </c>
      <c r="O146" s="2752"/>
      <c r="P146" s="2753"/>
      <c r="Q146" s="797">
        <v>2</v>
      </c>
      <c r="R146" s="193" t="s">
        <v>119</v>
      </c>
      <c r="S146" s="106"/>
      <c r="T146" s="194">
        <f>AU120*2</f>
        <v>0</v>
      </c>
      <c r="U146" s="106" t="s">
        <v>197</v>
      </c>
      <c r="V146" s="195">
        <f>Pricing!N19</f>
        <v>0.16</v>
      </c>
      <c r="W146" s="401" t="s">
        <v>99</v>
      </c>
      <c r="X146" s="118">
        <f t="shared" si="88"/>
        <v>0</v>
      </c>
      <c r="AC146">
        <v>31</v>
      </c>
      <c r="AD146" t="s">
        <v>744</v>
      </c>
    </row>
    <row r="147" spans="2:34" ht="19" customHeight="1" x14ac:dyDescent="0.35">
      <c r="B147" s="250" t="s">
        <v>627</v>
      </c>
      <c r="C147" s="48"/>
      <c r="D147" s="246" t="s">
        <v>198</v>
      </c>
      <c r="E147" s="2028">
        <v>1.5</v>
      </c>
      <c r="F147" s="2028"/>
      <c r="G147" s="116" t="s">
        <v>42</v>
      </c>
      <c r="H147" s="48"/>
      <c r="I147" s="2637">
        <v>0</v>
      </c>
      <c r="J147" s="1959"/>
      <c r="K147" s="48" t="s">
        <v>42</v>
      </c>
      <c r="L147" s="2359">
        <f>IF(D147="N",E147*I147,0)</f>
        <v>0</v>
      </c>
      <c r="M147" s="2359"/>
      <c r="N147" s="247"/>
      <c r="O147" s="2732">
        <f>IF(D147="y",E147*I147,0)</f>
        <v>0</v>
      </c>
      <c r="P147" s="2733"/>
      <c r="Q147" s="797">
        <v>2</v>
      </c>
      <c r="R147" s="193" t="s">
        <v>218</v>
      </c>
      <c r="S147" s="106"/>
      <c r="T147" s="194"/>
      <c r="U147" s="106" t="s">
        <v>6</v>
      </c>
      <c r="V147" s="195">
        <f>Pricing!N20</f>
        <v>45</v>
      </c>
      <c r="W147" s="401" t="s">
        <v>292</v>
      </c>
      <c r="X147" s="118">
        <f>IF(U$123="Y",T147*V147,T147*V147*(1+W$123))</f>
        <v>0</v>
      </c>
      <c r="AC147">
        <v>32</v>
      </c>
      <c r="AD147" t="s">
        <v>260</v>
      </c>
    </row>
    <row r="148" spans="2:34" ht="19" customHeight="1" x14ac:dyDescent="0.35">
      <c r="B148" s="43" t="s">
        <v>329</v>
      </c>
      <c r="C148" s="57"/>
      <c r="D148" s="97" t="s">
        <v>200</v>
      </c>
      <c r="E148" s="1844">
        <v>0.85</v>
      </c>
      <c r="F148" s="1845"/>
      <c r="G148" s="88" t="s">
        <v>191</v>
      </c>
      <c r="H148" s="2431">
        <f>SUM(E148:F150)</f>
        <v>1.55</v>
      </c>
      <c r="I148" s="2746">
        <f>AS120</f>
        <v>0</v>
      </c>
      <c r="J148" s="2747"/>
      <c r="K148" s="42" t="s">
        <v>332</v>
      </c>
      <c r="L148" s="2231">
        <f>IF(D148="N",E148*I$148,0)</f>
        <v>0</v>
      </c>
      <c r="M148" s="2231"/>
      <c r="N148"/>
      <c r="O148" s="2730">
        <f>IF(D148="y",I$148*E148,0)</f>
        <v>0</v>
      </c>
      <c r="P148" s="2731"/>
      <c r="Q148" s="797">
        <v>2</v>
      </c>
      <c r="R148" s="193" t="s">
        <v>734</v>
      </c>
      <c r="S148" s="106"/>
      <c r="T148" s="106"/>
      <c r="U148" s="106" t="s">
        <v>42</v>
      </c>
      <c r="V148" s="195">
        <v>2.5</v>
      </c>
      <c r="W148" s="106"/>
      <c r="X148" s="118">
        <f>V148*T148</f>
        <v>0</v>
      </c>
      <c r="AC148">
        <v>33</v>
      </c>
      <c r="AD148" t="s">
        <v>261</v>
      </c>
      <c r="AH148">
        <f>O171</f>
        <v>0</v>
      </c>
    </row>
    <row r="149" spans="2:34" ht="19" customHeight="1" x14ac:dyDescent="0.35">
      <c r="B149" s="92" t="s">
        <v>162</v>
      </c>
      <c r="C149" s="57"/>
      <c r="D149" s="98" t="s">
        <v>200</v>
      </c>
      <c r="E149" s="1844">
        <v>0.5</v>
      </c>
      <c r="F149" s="1845"/>
      <c r="G149" s="88" t="s">
        <v>191</v>
      </c>
      <c r="H149" s="2431"/>
      <c r="I149" s="2748"/>
      <c r="J149" s="2749"/>
      <c r="K149" s="42" t="s">
        <v>332</v>
      </c>
      <c r="L149" s="2231">
        <f>IF(D149="N",E149*I$148,0)</f>
        <v>0</v>
      </c>
      <c r="M149" s="2231"/>
      <c r="N149"/>
      <c r="O149" s="2730">
        <f>IF(D149="y",I$148*E149,0)</f>
        <v>0</v>
      </c>
      <c r="P149" s="2731"/>
      <c r="Q149" s="797">
        <v>2</v>
      </c>
      <c r="R149" s="193" t="s">
        <v>123</v>
      </c>
      <c r="S149" s="106"/>
      <c r="T149" s="106"/>
      <c r="U149" s="106" t="s">
        <v>208</v>
      </c>
      <c r="V149" s="195">
        <f>BI144</f>
        <v>0</v>
      </c>
      <c r="W149" s="401" t="s">
        <v>294</v>
      </c>
      <c r="X149" s="118">
        <f>V149*T149</f>
        <v>0</v>
      </c>
      <c r="AC149">
        <v>34</v>
      </c>
      <c r="AD149" t="s">
        <v>262</v>
      </c>
      <c r="AH149" s="261">
        <f>O169</f>
        <v>0</v>
      </c>
    </row>
    <row r="150" spans="2:34" ht="19" customHeight="1" x14ac:dyDescent="0.35">
      <c r="B150" s="92" t="s">
        <v>84</v>
      </c>
      <c r="C150" s="57"/>
      <c r="D150" s="98" t="s">
        <v>200</v>
      </c>
      <c r="E150" s="1844">
        <v>0.2</v>
      </c>
      <c r="F150" s="1845"/>
      <c r="G150" s="88" t="s">
        <v>191</v>
      </c>
      <c r="H150" s="2431"/>
      <c r="I150" s="2748"/>
      <c r="J150" s="2749"/>
      <c r="K150" s="42" t="s">
        <v>332</v>
      </c>
      <c r="L150" s="2231">
        <f>IF(D150="N",E150*I$148,0)</f>
        <v>0</v>
      </c>
      <c r="M150" s="2231"/>
      <c r="N150"/>
      <c r="O150" s="2730">
        <f>IF(D150="y",I$148*E150,0)</f>
        <v>0</v>
      </c>
      <c r="P150" s="2731"/>
      <c r="Q150" s="797">
        <v>2</v>
      </c>
      <c r="R150" s="193"/>
      <c r="S150" s="106"/>
      <c r="T150" s="194"/>
      <c r="U150" s="106"/>
      <c r="V150" s="195">
        <v>0</v>
      </c>
      <c r="W150" s="106"/>
      <c r="X150" s="118">
        <f t="shared" ref="X150:X158" si="89">T150*V150</f>
        <v>0</v>
      </c>
      <c r="AC150">
        <v>35</v>
      </c>
      <c r="AD150" t="s">
        <v>263</v>
      </c>
    </row>
    <row r="151" spans="2:34" ht="19" customHeight="1" x14ac:dyDescent="0.35">
      <c r="B151" s="92" t="s">
        <v>322</v>
      </c>
      <c r="C151" s="57"/>
      <c r="D151" s="98" t="s">
        <v>200</v>
      </c>
      <c r="E151" s="1844">
        <v>0.25</v>
      </c>
      <c r="F151" s="1845"/>
      <c r="G151" s="88" t="s">
        <v>191</v>
      </c>
      <c r="I151" s="2750"/>
      <c r="J151" s="2751"/>
      <c r="K151" s="42" t="s">
        <v>332</v>
      </c>
      <c r="L151" s="2231">
        <f>IF(D151="N",E151*I$148,0)</f>
        <v>0</v>
      </c>
      <c r="M151" s="2231"/>
      <c r="N151"/>
      <c r="O151" s="2730">
        <f>IF(D151="y",I$148*E151,0)</f>
        <v>0</v>
      </c>
      <c r="P151" s="2731"/>
      <c r="Q151" s="797">
        <v>2</v>
      </c>
      <c r="R151" s="193"/>
      <c r="S151" s="106"/>
      <c r="T151" s="194"/>
      <c r="U151" s="106"/>
      <c r="V151" s="195">
        <v>0</v>
      </c>
      <c r="W151" s="106"/>
      <c r="X151" s="118">
        <f t="shared" si="89"/>
        <v>0</v>
      </c>
      <c r="AC151">
        <v>36</v>
      </c>
      <c r="AD151" t="s">
        <v>745</v>
      </c>
      <c r="AH151" s="261">
        <f>O168</f>
        <v>0</v>
      </c>
    </row>
    <row r="152" spans="2:34" ht="19" customHeight="1" x14ac:dyDescent="0.35">
      <c r="B152" s="92" t="s">
        <v>33</v>
      </c>
      <c r="C152" s="57"/>
      <c r="D152" s="98" t="s">
        <v>200</v>
      </c>
      <c r="E152" s="1844">
        <v>240</v>
      </c>
      <c r="F152" s="1845"/>
      <c r="G152" s="88" t="s">
        <v>89</v>
      </c>
      <c r="H152" s="57" t="s">
        <v>454</v>
      </c>
      <c r="I152" s="1909">
        <f>(L137/2000)</f>
        <v>0</v>
      </c>
      <c r="J152" s="1909"/>
      <c r="K152" s="42" t="s">
        <v>183</v>
      </c>
      <c r="L152" s="2231">
        <f>IF(D152="N",E152*I152,0)</f>
        <v>0</v>
      </c>
      <c r="M152" s="2231"/>
      <c r="N152"/>
      <c r="O152" s="2730">
        <f>IF(D152="y",I152*E152,0)</f>
        <v>0</v>
      </c>
      <c r="P152" s="2731"/>
      <c r="Q152" s="797">
        <v>2</v>
      </c>
      <c r="R152" s="193"/>
      <c r="S152" s="106"/>
      <c r="T152" s="194">
        <f>BF139+BN139</f>
        <v>0</v>
      </c>
      <c r="U152" s="106"/>
      <c r="V152" s="195">
        <f>BI139</f>
        <v>0</v>
      </c>
      <c r="W152" s="106"/>
      <c r="X152" s="118">
        <f t="shared" si="89"/>
        <v>0</v>
      </c>
      <c r="AC152">
        <v>39</v>
      </c>
      <c r="AD152" t="s">
        <v>264</v>
      </c>
    </row>
    <row r="153" spans="2:34" ht="19" customHeight="1" x14ac:dyDescent="0.35">
      <c r="B153" s="99" t="s">
        <v>735</v>
      </c>
      <c r="C153" s="79"/>
      <c r="D153" s="98" t="s">
        <v>200</v>
      </c>
      <c r="E153" s="1842">
        <v>10</v>
      </c>
      <c r="F153" s="1843"/>
      <c r="G153" s="52" t="s">
        <v>327</v>
      </c>
      <c r="H153" s="842">
        <v>2</v>
      </c>
      <c r="I153" s="2257">
        <f>AV120*6.5*H153/27</f>
        <v>0</v>
      </c>
      <c r="J153" s="2257"/>
      <c r="K153" s="52" t="s">
        <v>328</v>
      </c>
      <c r="L153" s="2258">
        <f>IF(D153="N",E153*I153,0)</f>
        <v>0</v>
      </c>
      <c r="M153" s="2258"/>
      <c r="N153" s="292"/>
      <c r="O153" s="2737">
        <f>IF(D153="y",I153*E153,0)</f>
        <v>0</v>
      </c>
      <c r="P153" s="2738"/>
      <c r="Q153" s="797">
        <v>2</v>
      </c>
      <c r="R153" s="193"/>
      <c r="S153" s="106"/>
      <c r="T153" s="194">
        <f>BF141+BN141</f>
        <v>0</v>
      </c>
      <c r="U153" s="106"/>
      <c r="V153" s="195">
        <f>BI141</f>
        <v>0</v>
      </c>
      <c r="W153" s="106"/>
      <c r="X153" s="118">
        <f t="shared" si="89"/>
        <v>0</v>
      </c>
      <c r="AC153">
        <v>40</v>
      </c>
      <c r="AD153" t="s">
        <v>222</v>
      </c>
    </row>
    <row r="154" spans="2:34" ht="19" customHeight="1" thickBot="1" x14ac:dyDescent="0.4">
      <c r="B154" s="6" t="s">
        <v>223</v>
      </c>
      <c r="C154" s="4"/>
      <c r="D154" s="5"/>
      <c r="E154" s="2726">
        <f>IF(I148=0,0,(O154+L154)/I148)</f>
        <v>0</v>
      </c>
      <c r="F154" s="2727"/>
      <c r="G154" s="76"/>
      <c r="H154" s="49"/>
      <c r="I154" s="2017" t="s">
        <v>50</v>
      </c>
      <c r="J154" s="2017"/>
      <c r="K154" s="2017"/>
      <c r="L154" s="2232">
        <f>SUM(L147:M153)</f>
        <v>0</v>
      </c>
      <c r="M154" s="2232"/>
      <c r="N154" s="248"/>
      <c r="O154" s="2728">
        <f>SUM(O147:P153)</f>
        <v>0</v>
      </c>
      <c r="P154" s="2729"/>
      <c r="Q154" s="797">
        <v>2</v>
      </c>
      <c r="R154" s="193"/>
      <c r="S154" s="106"/>
      <c r="T154" s="194">
        <f>BF142+BN142</f>
        <v>0</v>
      </c>
      <c r="U154" s="402"/>
      <c r="V154" s="195">
        <f>BI142</f>
        <v>0</v>
      </c>
      <c r="W154" s="106"/>
      <c r="X154" s="118">
        <f t="shared" si="89"/>
        <v>0</v>
      </c>
      <c r="AC154">
        <v>41</v>
      </c>
      <c r="AD154" t="s">
        <v>265</v>
      </c>
    </row>
    <row r="155" spans="2:34" ht="19" customHeight="1" thickBot="1" x14ac:dyDescent="0.4">
      <c r="B155" s="835" t="s">
        <v>194</v>
      </c>
      <c r="C155" s="1303"/>
      <c r="D155" s="1303"/>
      <c r="E155" s="1303"/>
      <c r="F155" s="1303"/>
      <c r="G155" s="1303"/>
      <c r="H155" s="1303"/>
      <c r="I155" s="1303"/>
      <c r="J155" s="1303"/>
      <c r="K155" s="1303"/>
      <c r="L155" s="1303"/>
      <c r="M155" s="1303"/>
      <c r="N155" s="1303"/>
      <c r="O155" s="1303"/>
      <c r="P155" s="1304"/>
      <c r="Q155" s="797">
        <v>2</v>
      </c>
      <c r="R155" s="193" t="s">
        <v>219</v>
      </c>
      <c r="S155" s="106"/>
      <c r="T155" s="194"/>
      <c r="U155" s="106"/>
      <c r="V155" s="195">
        <f>Pricing!N3</f>
        <v>0.5625</v>
      </c>
      <c r="W155" s="106" t="s">
        <v>18</v>
      </c>
      <c r="X155" s="118">
        <f t="shared" si="89"/>
        <v>0</v>
      </c>
      <c r="AC155">
        <v>42</v>
      </c>
      <c r="AD155" t="s">
        <v>266</v>
      </c>
    </row>
    <row r="156" spans="2:34" ht="19" customHeight="1" x14ac:dyDescent="0.35">
      <c r="B156" s="390" t="s">
        <v>173</v>
      </c>
      <c r="C156" s="421"/>
      <c r="D156" s="101"/>
      <c r="E156" s="752">
        <v>0</v>
      </c>
      <c r="F156" s="421" t="s">
        <v>187</v>
      </c>
      <c r="G156" s="1150">
        <v>390</v>
      </c>
      <c r="H156" s="446" t="s">
        <v>172</v>
      </c>
      <c r="I156" s="48"/>
      <c r="J156" s="48"/>
      <c r="K156" s="48"/>
      <c r="L156" s="48"/>
      <c r="M156" s="2525">
        <f>IF(E124=0,0,(SUM(O156:P158))/E124)</f>
        <v>0</v>
      </c>
      <c r="N156" s="2526"/>
      <c r="O156" s="2349">
        <f>E156*G156</f>
        <v>0</v>
      </c>
      <c r="P156" s="2350"/>
      <c r="Q156" s="797">
        <v>2</v>
      </c>
      <c r="R156" s="193" t="s">
        <v>233</v>
      </c>
      <c r="S156" s="106"/>
      <c r="T156" s="194"/>
      <c r="U156" s="106"/>
      <c r="V156" s="195">
        <f>Pricing!N4</f>
        <v>0.65625</v>
      </c>
      <c r="W156" s="106" t="s">
        <v>18</v>
      </c>
      <c r="X156" s="118">
        <f t="shared" si="89"/>
        <v>0</v>
      </c>
      <c r="AC156">
        <v>44</v>
      </c>
      <c r="AD156" t="s">
        <v>267</v>
      </c>
    </row>
    <row r="157" spans="2:34" ht="19" customHeight="1" x14ac:dyDescent="0.35">
      <c r="B157" s="196" t="s">
        <v>158</v>
      </c>
      <c r="C157" s="106"/>
      <c r="D157" s="106"/>
      <c r="E157" s="753">
        <v>0</v>
      </c>
      <c r="F157" s="447" t="s">
        <v>187</v>
      </c>
      <c r="G157" s="1201">
        <v>295</v>
      </c>
      <c r="H157" s="448" t="s">
        <v>172</v>
      </c>
      <c r="M157" s="2076">
        <f>SUM(O156:P158)</f>
        <v>0</v>
      </c>
      <c r="N157" s="2077"/>
      <c r="O157" s="2261">
        <f>E157*G157</f>
        <v>0</v>
      </c>
      <c r="P157" s="2262"/>
      <c r="Q157" s="797">
        <v>2</v>
      </c>
      <c r="R157" s="193" t="s">
        <v>336</v>
      </c>
      <c r="S157" s="106"/>
      <c r="T157" s="194">
        <f>I148/250</f>
        <v>0</v>
      </c>
      <c r="U157" s="106" t="s">
        <v>288</v>
      </c>
      <c r="V157" s="195">
        <f>Pricing!N27</f>
        <v>15</v>
      </c>
      <c r="W157" s="401" t="s">
        <v>293</v>
      </c>
      <c r="X157" s="118">
        <f t="shared" si="89"/>
        <v>0</v>
      </c>
      <c r="AC157">
        <v>45</v>
      </c>
      <c r="AD157" t="s">
        <v>268</v>
      </c>
    </row>
    <row r="158" spans="2:34" ht="19" customHeight="1" thickBot="1" x14ac:dyDescent="0.4">
      <c r="B158" s="219" t="s">
        <v>188</v>
      </c>
      <c r="C158" s="188"/>
      <c r="D158" s="188"/>
      <c r="E158" s="754">
        <f>IF(E156=0,E157,E156)</f>
        <v>0</v>
      </c>
      <c r="F158" s="188" t="s">
        <v>187</v>
      </c>
      <c r="G158" s="768">
        <v>100</v>
      </c>
      <c r="H158" s="188" t="s">
        <v>172</v>
      </c>
      <c r="I158" s="49"/>
      <c r="J158" s="49"/>
      <c r="K158" s="49"/>
      <c r="L158" s="49"/>
      <c r="M158" s="49"/>
      <c r="N158" s="49"/>
      <c r="O158" s="2335">
        <f>E158*G158</f>
        <v>0</v>
      </c>
      <c r="P158" s="2336"/>
      <c r="Q158" s="797">
        <v>2</v>
      </c>
      <c r="R158" s="193"/>
      <c r="S158" s="106"/>
      <c r="T158" s="194">
        <f>BF141+BN141</f>
        <v>0</v>
      </c>
      <c r="U158" s="106"/>
      <c r="V158" s="195">
        <f>BI141</f>
        <v>0</v>
      </c>
      <c r="W158" s="106"/>
      <c r="X158" s="118">
        <f t="shared" si="89"/>
        <v>0</v>
      </c>
      <c r="AC158">
        <v>46</v>
      </c>
      <c r="AD158" t="s">
        <v>269</v>
      </c>
    </row>
    <row r="159" spans="2:34" ht="19" customHeight="1" thickBot="1" x14ac:dyDescent="0.4">
      <c r="B159" s="835" t="s">
        <v>44</v>
      </c>
      <c r="C159" s="1303"/>
      <c r="D159" s="1303"/>
      <c r="E159" s="1303"/>
      <c r="F159" s="1303"/>
      <c r="G159" s="1303"/>
      <c r="H159" s="1303"/>
      <c r="I159" s="1303"/>
      <c r="J159" s="1303"/>
      <c r="K159" s="1303"/>
      <c r="L159" s="1303"/>
      <c r="M159" s="1303"/>
      <c r="N159" s="1303"/>
      <c r="O159" s="1303"/>
      <c r="P159" s="1304"/>
      <c r="Q159" s="797">
        <v>2</v>
      </c>
      <c r="R159" s="589" t="s">
        <v>892</v>
      </c>
      <c r="S159" s="588"/>
      <c r="T159" s="589"/>
      <c r="U159" s="590"/>
      <c r="V159" s="2243"/>
      <c r="W159" s="2244"/>
      <c r="X159" s="591">
        <f>V159</f>
        <v>0</v>
      </c>
      <c r="AC159">
        <v>47</v>
      </c>
      <c r="AD159" t="s">
        <v>270</v>
      </c>
    </row>
    <row r="160" spans="2:34" ht="19" customHeight="1" thickTop="1" x14ac:dyDescent="0.35">
      <c r="B160" s="390" t="s">
        <v>90</v>
      </c>
      <c r="C160" s="391"/>
      <c r="D160" s="392"/>
      <c r="E160" s="752">
        <f>E161</f>
        <v>0</v>
      </c>
      <c r="F160" s="421" t="s">
        <v>107</v>
      </c>
      <c r="G160" s="1150">
        <f>Pricing!D31</f>
        <v>385</v>
      </c>
      <c r="H160" s="419" t="s">
        <v>172</v>
      </c>
      <c r="I160" s="48"/>
      <c r="J160" s="48"/>
      <c r="K160" s="48"/>
      <c r="L160" s="48"/>
      <c r="M160" s="48"/>
      <c r="N160" s="48"/>
      <c r="O160" s="2349">
        <f>(IF(AND(E160&gt;0,E160&lt;4),E160*G160,0)+IF(AND(E160&gt;3,E160&lt;8),G160*3,0)+IF(AND(E160&gt;7,E160&lt;21),E160/7*G160*3,0)+IF(AND(E160&gt;20,E160&lt;30),G160*9,0)+IF(E160&gt;29,E160/30*G160*9,0))*(1+W$123+J$162)</f>
        <v>0</v>
      </c>
      <c r="P160" s="2350"/>
      <c r="Q160" s="797">
        <v>6</v>
      </c>
      <c r="R160" s="193" t="s">
        <v>625</v>
      </c>
      <c r="S160" s="106"/>
      <c r="T160" s="106">
        <f>ROUNDUP(I148/6000,0)</f>
        <v>0</v>
      </c>
      <c r="U160" s="106" t="s">
        <v>626</v>
      </c>
      <c r="V160" s="195">
        <f>Pricing!N23</f>
        <v>45</v>
      </c>
      <c r="W160" s="401" t="s">
        <v>292</v>
      </c>
      <c r="X160" s="111">
        <f>T160*V160</f>
        <v>0</v>
      </c>
      <c r="AC160">
        <v>48</v>
      </c>
      <c r="AD160" t="s">
        <v>271</v>
      </c>
      <c r="AH160" s="382"/>
    </row>
    <row r="161" spans="2:34" ht="19" customHeight="1" thickBot="1" x14ac:dyDescent="0.4">
      <c r="B161" s="196" t="s">
        <v>91</v>
      </c>
      <c r="C161" s="387"/>
      <c r="D161" s="204"/>
      <c r="E161" s="755">
        <f>IF(E$158&gt;0,IF(E$158&lt;=3,E$158,7),0)+IF(E$158&gt;5,IF(E$158&lt;=10,7,0),0)+IF(E$158&gt;10,IF(E$158&lt;=15,14,0),0)+IF(E$158&gt;15,IF(E$158&lt;=20,23,0),0)+IF(E$158&gt;20,IF(E$158&lt;=40,53,0),0)+IF(E$158&gt;40,IF(E$158&lt;=60,83,0),0)+IF(E$158&gt;60,IF(E$158&lt;=80,113,0),0)+IF(E$158&gt;80,IF(E$158&lt;=100,143,0),0)</f>
        <v>0</v>
      </c>
      <c r="F161" s="106" t="s">
        <v>107</v>
      </c>
      <c r="G161" s="1151">
        <f>Pricing!D33</f>
        <v>350</v>
      </c>
      <c r="H161" s="401" t="s">
        <v>172</v>
      </c>
      <c r="J161" s="2083" t="s">
        <v>469</v>
      </c>
      <c r="K161" s="2084"/>
      <c r="M161" s="2404">
        <f>IF(E124=0,0,(SUM(O160:P165))/E124)</f>
        <v>0</v>
      </c>
      <c r="N161" s="2405"/>
      <c r="O161" s="2261">
        <f>(IF(AND(E161&gt;0,E161&lt;4),E161*G161,0)+IF(AND(E161&gt;3,E161&lt;8),G161*3,0)+IF(AND(E161&gt;7,E161&lt;21),E161/7*G161*3,0)+IF(AND(E161&gt;20,E161&lt;30),G161*9,0)+IF(E161&gt;29,E161/30*G161*9,0))*(1+W$123+J$162)</f>
        <v>0</v>
      </c>
      <c r="P161" s="2262"/>
      <c r="Q161" s="797">
        <v>6</v>
      </c>
      <c r="R161" s="193" t="s">
        <v>286</v>
      </c>
      <c r="S161" s="106"/>
      <c r="T161" s="106"/>
      <c r="U161" s="106"/>
      <c r="V161" s="195">
        <v>0</v>
      </c>
      <c r="W161" s="401" t="s">
        <v>99</v>
      </c>
      <c r="X161" s="118">
        <f t="shared" ref="X161:X168" si="90">V161*T161</f>
        <v>0</v>
      </c>
      <c r="AC161">
        <v>49</v>
      </c>
      <c r="AD161" t="s">
        <v>272</v>
      </c>
    </row>
    <row r="162" spans="2:34" ht="19" customHeight="1" thickTop="1" x14ac:dyDescent="0.35">
      <c r="B162" s="196" t="s">
        <v>16</v>
      </c>
      <c r="C162" s="387"/>
      <c r="D162" s="204"/>
      <c r="E162" s="755"/>
      <c r="F162" s="106" t="s">
        <v>107</v>
      </c>
      <c r="G162" s="1151">
        <f>Pricing!D34</f>
        <v>300</v>
      </c>
      <c r="H162" s="401" t="s">
        <v>172</v>
      </c>
      <c r="J162" s="2565">
        <v>0.5</v>
      </c>
      <c r="K162" s="2566"/>
      <c r="M162" s="2076">
        <f>SUM(O160:P165)</f>
        <v>0</v>
      </c>
      <c r="N162" s="2077"/>
      <c r="O162" s="2261">
        <f>(IF(AND(E162&gt;0,E162&lt;4),E162*G162,0)+IF(AND(E162&gt;3,E162&lt;8),G162*3,0)+IF(AND(E162&gt;7,E162&lt;21),E162/7*G162*3,0)+IF(AND(E162&gt;20,E162&lt;30),G162*9,0)+IF(E162&gt;29,E162/30*G162*9,0))*(1+W$123+J$162)</f>
        <v>0</v>
      </c>
      <c r="P162" s="2262"/>
      <c r="Q162" s="797">
        <v>6</v>
      </c>
      <c r="R162" s="193" t="s">
        <v>285</v>
      </c>
      <c r="S162" s="106"/>
      <c r="T162" s="197">
        <f>L137</f>
        <v>0</v>
      </c>
      <c r="U162" s="106" t="s">
        <v>32</v>
      </c>
      <c r="V162" s="195">
        <v>0.02</v>
      </c>
      <c r="W162" s="401" t="s">
        <v>88</v>
      </c>
      <c r="X162" s="118">
        <f>V162*T162</f>
        <v>0</v>
      </c>
      <c r="AC162">
        <v>50</v>
      </c>
      <c r="AD162" t="s">
        <v>711</v>
      </c>
    </row>
    <row r="163" spans="2:34" ht="19" customHeight="1" x14ac:dyDescent="0.35">
      <c r="B163" s="196" t="s">
        <v>160</v>
      </c>
      <c r="C163" s="387"/>
      <c r="D163" s="204"/>
      <c r="E163" s="755">
        <f>IF(E$158&gt;0,IF(E$158&lt;=3,E$158,7),0)+IF(E$158&gt;5,IF(E$158&lt;=10,7,0),0)+IF(E$158&gt;10,IF(E$158&lt;=15,14,0),0)+IF(E$158&gt;15,IF(E$158&lt;=20,23,0),0)+IF(E$158&gt;20,IF(E$158&lt;=40,53,0),0)+IF(E$158&gt;40,IF(E$158&lt;=60,83,0),0)+IF(E$158&gt;60,IF(E$158&lt;=80,113,0),0)+IF(E$158&gt;80,IF(E$158&lt;=100,143,0),0)</f>
        <v>0</v>
      </c>
      <c r="F163" s="106" t="s">
        <v>107</v>
      </c>
      <c r="G163" s="1151">
        <f>Pricing!D37</f>
        <v>65</v>
      </c>
      <c r="H163" s="401" t="s">
        <v>172</v>
      </c>
      <c r="J163" s="2567"/>
      <c r="K163" s="2568"/>
      <c r="O163" s="2261">
        <f>(IF(AND(E163&gt;0,E163&lt;4),E163*G163,0)+IF(AND(E163&gt;3,E163&lt;8),G163*3,0)+IF(AND(E163&gt;7,E163&lt;21),E163/7*G163*3,0)+IF(AND(E163&gt;20,E163&lt;30),G163*9,0)+IF(E163&gt;29,E163/30*G163*9,0))*(1+W$123+J$162)</f>
        <v>0</v>
      </c>
      <c r="P163" s="2262"/>
      <c r="Q163" s="797">
        <v>6</v>
      </c>
      <c r="R163" s="193" t="s">
        <v>708</v>
      </c>
      <c r="S163" s="106"/>
      <c r="T163" s="106">
        <f>SUM(I11:I119)*8</f>
        <v>0</v>
      </c>
      <c r="U163" s="106" t="s">
        <v>215</v>
      </c>
      <c r="V163" s="195">
        <f>Pricing!N24</f>
        <v>12</v>
      </c>
      <c r="W163" s="106"/>
      <c r="X163" s="118">
        <f>V163*T163</f>
        <v>0</v>
      </c>
      <c r="AC163">
        <v>51</v>
      </c>
      <c r="AD163" t="s">
        <v>712</v>
      </c>
    </row>
    <row r="164" spans="2:34" ht="19" customHeight="1" x14ac:dyDescent="0.35">
      <c r="B164" s="196" t="s">
        <v>175</v>
      </c>
      <c r="C164" s="387"/>
      <c r="D164" s="204"/>
      <c r="E164" s="755">
        <f>E163</f>
        <v>0</v>
      </c>
      <c r="F164" s="106" t="s">
        <v>107</v>
      </c>
      <c r="G164" s="1151">
        <f>Pricing!D39</f>
        <v>420</v>
      </c>
      <c r="H164" s="401" t="s">
        <v>172</v>
      </c>
      <c r="O164" s="2261">
        <f>(IF(AND(E164&gt;0,E164&lt;4),E164*G164,0)+IF(AND(E164&gt;3,E164&lt;8),G164*3,0)+IF(AND(E164&gt;7,E164&lt;21),E164/7*G164*3,0)+IF(AND(E164&gt;20,E164&lt;30),G164*9,0)+IF(E164&gt;29,E164/30*G164*9,0))*(1+W$123+J$162)</f>
        <v>0</v>
      </c>
      <c r="P164" s="2262"/>
      <c r="Q164" s="797">
        <v>6</v>
      </c>
      <c r="R164" s="193" t="s">
        <v>707</v>
      </c>
      <c r="S164" s="106"/>
      <c r="T164" s="106">
        <f>SUM(I11:I119)*3</f>
        <v>0</v>
      </c>
      <c r="U164" s="106" t="s">
        <v>215</v>
      </c>
      <c r="V164" s="195">
        <f>Pricing!N32</f>
        <v>8</v>
      </c>
      <c r="W164" s="106"/>
      <c r="X164" s="118">
        <f>V164*T164</f>
        <v>0</v>
      </c>
      <c r="AC164">
        <v>52</v>
      </c>
      <c r="AD164" t="s">
        <v>273</v>
      </c>
    </row>
    <row r="165" spans="2:34" ht="19" customHeight="1" thickBot="1" x14ac:dyDescent="0.4">
      <c r="B165" s="219" t="s">
        <v>108</v>
      </c>
      <c r="C165" s="389"/>
      <c r="D165" s="220"/>
      <c r="E165" s="829">
        <f>IF(E$158&gt;0,IF(E$158&lt;=3,E$158,7),0)+IF(E$158&gt;5,IF(E$158&lt;=10,7,0),0)+IF(E$158&gt;10,IF(E$158&lt;=15,14,0),0)+IF(E$158&gt;15,IF(E$158&lt;=20,23,0),0)+IF(E$158&gt;20,IF(E$158&lt;=40,53,0),0)+IF(E$158&gt;40,IF(E$158&lt;=60,83,0),0)+IF(E$158&gt;60,IF(E$158&lt;=80,113,0),0)+IF(E$158&gt;80,IF(E$158&lt;=100,143,0),0)</f>
        <v>0</v>
      </c>
      <c r="F165" s="188" t="s">
        <v>107</v>
      </c>
      <c r="G165" s="1152">
        <v>35</v>
      </c>
      <c r="H165" s="422" t="s">
        <v>172</v>
      </c>
      <c r="I165" s="49"/>
      <c r="J165" s="49"/>
      <c r="K165" s="49"/>
      <c r="L165" s="49"/>
      <c r="M165" s="117"/>
      <c r="N165" s="49"/>
      <c r="O165" s="2335">
        <f>(IF(AND(E165&gt;0,E165&lt;4),E165*G165,0)+IF(AND(E165&gt;3,E165&lt;8),G165*3,0)+IF(AND(E165&gt;7,E165&lt;21),E165/7*G165*3,0)+IF(AND(E165&gt;20,E165&lt;30),G165*9,0)+IF(E165&gt;29,E165/30*G165*9,0))</f>
        <v>0</v>
      </c>
      <c r="P165" s="2336"/>
      <c r="Q165" s="797">
        <v>6</v>
      </c>
      <c r="R165" s="198"/>
      <c r="S165" s="199"/>
      <c r="T165" s="199"/>
      <c r="U165" s="199"/>
      <c r="V165" s="201">
        <v>0</v>
      </c>
      <c r="W165" s="199"/>
      <c r="X165" s="119">
        <f t="shared" si="90"/>
        <v>0</v>
      </c>
      <c r="AC165">
        <v>53</v>
      </c>
      <c r="AD165" t="s">
        <v>274</v>
      </c>
      <c r="AH165" s="382">
        <f>SUM(O147:P153)-O152</f>
        <v>0</v>
      </c>
    </row>
    <row r="166" spans="2:34" ht="19" customHeight="1" thickTop="1" thickBot="1" x14ac:dyDescent="0.4">
      <c r="B166" s="835" t="s">
        <v>174</v>
      </c>
      <c r="C166" s="1303"/>
      <c r="D166" s="1303"/>
      <c r="E166" s="1303"/>
      <c r="F166" s="1303"/>
      <c r="G166" s="1303"/>
      <c r="H166" s="1303"/>
      <c r="I166" s="1303"/>
      <c r="J166" s="1303"/>
      <c r="K166" s="1303"/>
      <c r="L166" s="1303"/>
      <c r="M166" s="1303"/>
      <c r="N166" s="1303"/>
      <c r="O166" s="1303"/>
      <c r="P166" s="1304"/>
      <c r="Q166" s="797">
        <v>10</v>
      </c>
      <c r="R166" s="193"/>
      <c r="S166" s="106"/>
      <c r="T166" s="106"/>
      <c r="U166" s="106"/>
      <c r="V166" s="195">
        <f>BC151</f>
        <v>0</v>
      </c>
      <c r="W166" s="106"/>
      <c r="X166" s="111">
        <f t="shared" si="90"/>
        <v>0</v>
      </c>
      <c r="AC166">
        <v>54</v>
      </c>
      <c r="AD166" t="s">
        <v>275</v>
      </c>
    </row>
    <row r="167" spans="2:34" ht="19" customHeight="1" x14ac:dyDescent="0.35">
      <c r="B167" s="390" t="s">
        <v>85</v>
      </c>
      <c r="C167" s="449"/>
      <c r="D167" s="450"/>
      <c r="E167" s="756">
        <f>Pricing!D41</f>
        <v>16</v>
      </c>
      <c r="F167" s="451" t="s">
        <v>117</v>
      </c>
      <c r="G167" s="1147">
        <f>SUM(L134:M136)</f>
        <v>0</v>
      </c>
      <c r="H167" s="421" t="s">
        <v>685</v>
      </c>
      <c r="I167" s="48"/>
      <c r="J167" s="48"/>
      <c r="K167" s="48"/>
      <c r="L167" s="48"/>
      <c r="M167" s="48"/>
      <c r="N167" s="48"/>
      <c r="O167" s="2312">
        <f t="shared" ref="O167:O172" si="91">E167*G167</f>
        <v>0</v>
      </c>
      <c r="P167" s="2340"/>
      <c r="Q167" s="797">
        <v>10</v>
      </c>
      <c r="R167" s="193" t="s">
        <v>211</v>
      </c>
      <c r="S167" s="106"/>
      <c r="T167" s="470">
        <f>ROUNDUP(I148/300/55,0)</f>
        <v>0</v>
      </c>
      <c r="U167" s="106" t="s">
        <v>213</v>
      </c>
      <c r="V167" s="195">
        <f>Pricing!N42</f>
        <v>540</v>
      </c>
      <c r="W167" s="401" t="s">
        <v>295</v>
      </c>
      <c r="X167" s="118">
        <f>V167*T167</f>
        <v>0</v>
      </c>
      <c r="AC167">
        <v>55</v>
      </c>
      <c r="AD167" t="s">
        <v>276</v>
      </c>
    </row>
    <row r="168" spans="2:34" ht="19" customHeight="1" thickBot="1" x14ac:dyDescent="0.4">
      <c r="B168" s="196" t="s">
        <v>630</v>
      </c>
      <c r="C168" s="30"/>
      <c r="D168" s="121"/>
      <c r="E168" s="1087">
        <v>150</v>
      </c>
      <c r="F168" s="401" t="s">
        <v>121</v>
      </c>
      <c r="G168" s="846">
        <f>AJ120</f>
        <v>0</v>
      </c>
      <c r="H168" s="106" t="s">
        <v>684</v>
      </c>
      <c r="O168" s="2316">
        <f t="shared" si="91"/>
        <v>0</v>
      </c>
      <c r="P168" s="2317"/>
      <c r="Q168" s="797">
        <v>10</v>
      </c>
      <c r="R168" s="198" t="s">
        <v>628</v>
      </c>
      <c r="S168" s="199"/>
      <c r="T168" s="471">
        <f>I148/200/55</f>
        <v>0</v>
      </c>
      <c r="U168" s="199" t="s">
        <v>213</v>
      </c>
      <c r="V168" s="202">
        <f>Pricing!N44</f>
        <v>635</v>
      </c>
      <c r="W168" s="426" t="s">
        <v>295</v>
      </c>
      <c r="X168" s="119">
        <f t="shared" si="90"/>
        <v>0</v>
      </c>
      <c r="AC168">
        <v>56</v>
      </c>
      <c r="AD168" t="s">
        <v>277</v>
      </c>
    </row>
    <row r="169" spans="2:34" ht="19" customHeight="1" thickTop="1" x14ac:dyDescent="0.35">
      <c r="B169" s="196" t="s">
        <v>176</v>
      </c>
      <c r="C169" s="30"/>
      <c r="D169" s="121"/>
      <c r="E169" s="1087"/>
      <c r="F169" s="452" t="s">
        <v>118</v>
      </c>
      <c r="G169" s="846"/>
      <c r="H169" s="106" t="s">
        <v>42</v>
      </c>
      <c r="O169" s="2316">
        <f t="shared" si="91"/>
        <v>0</v>
      </c>
      <c r="P169" s="2317"/>
      <c r="Q169" s="797"/>
      <c r="R169" s="193"/>
      <c r="S169" s="106"/>
      <c r="T169" s="106"/>
      <c r="U169" s="106"/>
      <c r="V169" s="106"/>
      <c r="W169" s="106"/>
      <c r="X169" s="111"/>
      <c r="AC169">
        <v>57</v>
      </c>
      <c r="AD169" t="s">
        <v>278</v>
      </c>
    </row>
    <row r="170" spans="2:34" ht="19" customHeight="1" x14ac:dyDescent="0.35">
      <c r="B170" s="196" t="s">
        <v>108</v>
      </c>
      <c r="C170" s="30"/>
      <c r="D170" s="121"/>
      <c r="E170" s="1206">
        <v>0</v>
      </c>
      <c r="F170" s="453"/>
      <c r="G170" s="846">
        <v>1000</v>
      </c>
      <c r="H170" s="454" t="s">
        <v>177</v>
      </c>
      <c r="O170" s="2316">
        <f t="shared" si="91"/>
        <v>0</v>
      </c>
      <c r="P170" s="2317"/>
      <c r="Q170" s="797"/>
      <c r="R170" s="2096" t="s">
        <v>216</v>
      </c>
      <c r="S170" s="2097"/>
      <c r="T170" s="106">
        <v>18</v>
      </c>
      <c r="U170" s="106" t="s">
        <v>217</v>
      </c>
      <c r="V170" s="106"/>
      <c r="W170" s="106"/>
      <c r="X170" s="112"/>
      <c r="AC170">
        <v>58</v>
      </c>
      <c r="AD170" t="s">
        <v>279</v>
      </c>
    </row>
    <row r="171" spans="2:34" ht="19" customHeight="1" thickBot="1" x14ac:dyDescent="0.4">
      <c r="B171" s="196" t="s">
        <v>307</v>
      </c>
      <c r="C171" s="30"/>
      <c r="D171" s="121"/>
      <c r="E171" s="758"/>
      <c r="F171" s="425" t="s">
        <v>124</v>
      </c>
      <c r="G171" s="848">
        <f>AV120/27*H153</f>
        <v>0</v>
      </c>
      <c r="H171" s="106" t="s">
        <v>31</v>
      </c>
      <c r="O171" s="2316">
        <f t="shared" si="91"/>
        <v>0</v>
      </c>
      <c r="P171" s="2317"/>
      <c r="Q171" s="797"/>
      <c r="R171" s="203" t="s">
        <v>214</v>
      </c>
      <c r="S171" s="188"/>
      <c r="T171" s="188">
        <f>T145*12/T170</f>
        <v>0</v>
      </c>
      <c r="U171" s="188" t="s">
        <v>215</v>
      </c>
      <c r="V171" s="2098">
        <f>BI150</f>
        <v>0</v>
      </c>
      <c r="W171" s="2098"/>
      <c r="X171" s="22">
        <f>V171*T171</f>
        <v>0</v>
      </c>
      <c r="AC171">
        <v>59</v>
      </c>
      <c r="AD171" t="s">
        <v>280</v>
      </c>
      <c r="AH171">
        <f>O152</f>
        <v>0</v>
      </c>
    </row>
    <row r="172" spans="2:34" ht="16" thickBot="1" x14ac:dyDescent="0.4">
      <c r="B172" s="219" t="s">
        <v>186</v>
      </c>
      <c r="C172" s="33"/>
      <c r="D172" s="128"/>
      <c r="E172" s="1207">
        <v>0</v>
      </c>
      <c r="F172" s="455" t="s">
        <v>68</v>
      </c>
      <c r="G172" s="1202">
        <v>250</v>
      </c>
      <c r="H172" s="188" t="s">
        <v>97</v>
      </c>
      <c r="I172" s="49"/>
      <c r="J172" s="49"/>
      <c r="K172" s="49"/>
      <c r="L172" s="49"/>
      <c r="M172" s="49"/>
      <c r="N172" s="49"/>
      <c r="O172" s="2319">
        <f t="shared" si="91"/>
        <v>0</v>
      </c>
      <c r="P172" s="2320"/>
      <c r="Q172" s="797"/>
      <c r="X172" s="120">
        <f>SUM(X135:X171)</f>
        <v>0</v>
      </c>
      <c r="AC172">
        <v>60</v>
      </c>
      <c r="AD172" t="s">
        <v>281</v>
      </c>
      <c r="AH172">
        <f>SUM(O160:P165)-O165</f>
        <v>0</v>
      </c>
    </row>
    <row r="173" spans="2:34" ht="16" thickBot="1" x14ac:dyDescent="0.4">
      <c r="B173" s="898"/>
      <c r="C173" s="899"/>
      <c r="D173" s="899"/>
      <c r="E173" s="899"/>
      <c r="F173" s="899"/>
      <c r="G173" s="899"/>
      <c r="H173" s="899"/>
      <c r="I173" s="899"/>
      <c r="J173" s="899"/>
      <c r="K173" s="899"/>
      <c r="L173" s="900"/>
      <c r="M173" s="899"/>
      <c r="N173" s="899"/>
      <c r="O173" s="899"/>
      <c r="P173" s="899"/>
      <c r="Q173" s="899"/>
      <c r="R173" s="899"/>
      <c r="S173" s="899"/>
      <c r="T173" s="899"/>
      <c r="U173" s="899"/>
      <c r="V173" s="899"/>
      <c r="W173" s="899"/>
      <c r="X173" s="1115"/>
      <c r="AC173">
        <v>65</v>
      </c>
      <c r="AD173" t="s">
        <v>282</v>
      </c>
      <c r="AH173">
        <f>O165</f>
        <v>0</v>
      </c>
    </row>
    <row r="174" spans="2:34" ht="31" x14ac:dyDescent="0.35">
      <c r="B174" s="1312" t="s">
        <v>185</v>
      </c>
      <c r="C174" s="271"/>
      <c r="D174" s="272"/>
      <c r="E174" s="1987" t="s">
        <v>140</v>
      </c>
      <c r="F174" s="1988"/>
      <c r="G174" s="270" t="s">
        <v>178</v>
      </c>
      <c r="H174" s="271"/>
      <c r="I174" s="272"/>
      <c r="J174" s="61" t="s">
        <v>184</v>
      </c>
      <c r="K174" s="62"/>
      <c r="L174" s="60"/>
      <c r="M174" s="2044" t="s">
        <v>179</v>
      </c>
      <c r="N174" s="2045"/>
      <c r="O174" s="132"/>
      <c r="P174" s="133"/>
      <c r="Q174" s="897"/>
      <c r="R174" s="43" t="s">
        <v>34</v>
      </c>
      <c r="T174" s="42" t="s">
        <v>220</v>
      </c>
      <c r="U174" s="728" t="str">
        <f>U123</f>
        <v>n</v>
      </c>
      <c r="V174" s="73" t="s">
        <v>298</v>
      </c>
      <c r="W174" s="729">
        <f>W123</f>
        <v>8.2500000000000004E-2</v>
      </c>
      <c r="X174" s="1113"/>
      <c r="AC174">
        <v>99</v>
      </c>
      <c r="AD174" t="s">
        <v>894</v>
      </c>
      <c r="AH174" s="382">
        <f>X159</f>
        <v>0</v>
      </c>
    </row>
    <row r="175" spans="2:34" ht="16" thickBot="1" x14ac:dyDescent="0.4">
      <c r="B175" s="11" t="s">
        <v>180</v>
      </c>
      <c r="C175" s="1999">
        <f>C124</f>
        <v>0</v>
      </c>
      <c r="D175" s="2000"/>
      <c r="E175" s="2003">
        <f>E124</f>
        <v>0</v>
      </c>
      <c r="F175" s="2004"/>
      <c r="G175" s="15">
        <f>G124</f>
        <v>0</v>
      </c>
      <c r="H175" s="273">
        <f>H124</f>
        <v>0</v>
      </c>
      <c r="I175" s="274"/>
      <c r="J175" s="267">
        <f>J124</f>
        <v>0</v>
      </c>
      <c r="K175" s="268"/>
      <c r="L175" s="269"/>
      <c r="M175" s="1879">
        <f>M124</f>
        <v>0.18</v>
      </c>
      <c r="N175" s="1880"/>
      <c r="O175" s="1880"/>
      <c r="P175" s="1881"/>
      <c r="Q175" s="902"/>
      <c r="R175" s="86" t="s">
        <v>50</v>
      </c>
      <c r="U175" s="1932">
        <f>U124</f>
        <v>0</v>
      </c>
      <c r="V175" s="1932"/>
      <c r="X175" s="1113"/>
    </row>
    <row r="176" spans="2:34" ht="16" thickBot="1" x14ac:dyDescent="0.4">
      <c r="B176" s="889"/>
      <c r="C176" s="890"/>
      <c r="D176" s="890"/>
      <c r="E176" s="890"/>
      <c r="F176" s="890"/>
      <c r="G176" s="890"/>
      <c r="H176" s="890"/>
      <c r="I176" s="890"/>
      <c r="J176" s="890"/>
      <c r="K176" s="890"/>
      <c r="L176" s="890"/>
      <c r="M176" s="890"/>
      <c r="N176" s="890"/>
      <c r="O176" s="890"/>
      <c r="P176" s="890"/>
      <c r="Q176" s="890"/>
      <c r="R176" s="890"/>
      <c r="S176" s="890"/>
      <c r="T176" s="890"/>
      <c r="U176" s="890"/>
      <c r="V176" s="890"/>
      <c r="W176" s="890"/>
      <c r="X176" s="896"/>
    </row>
    <row r="177" x14ac:dyDescent="0.35"/>
  </sheetData>
  <mergeCells count="261">
    <mergeCell ref="B71:C71"/>
    <mergeCell ref="B72:C72"/>
    <mergeCell ref="B73:C73"/>
    <mergeCell ref="B104:C104"/>
    <mergeCell ref="B94:C94"/>
    <mergeCell ref="B80:C80"/>
    <mergeCell ref="B74:C74"/>
    <mergeCell ref="B103:C103"/>
    <mergeCell ref="B96:C96"/>
    <mergeCell ref="B97:C97"/>
    <mergeCell ref="B51:C51"/>
    <mergeCell ref="B63:C63"/>
    <mergeCell ref="B53:C53"/>
    <mergeCell ref="B68:C68"/>
    <mergeCell ref="B61:C61"/>
    <mergeCell ref="B62:C62"/>
    <mergeCell ref="B69:C69"/>
    <mergeCell ref="B99:C99"/>
    <mergeCell ref="B54:C54"/>
    <mergeCell ref="B55:C55"/>
    <mergeCell ref="B56:C56"/>
    <mergeCell ref="B70:C70"/>
    <mergeCell ref="B67:C67"/>
    <mergeCell ref="B64:C64"/>
    <mergeCell ref="B65:C65"/>
    <mergeCell ref="B66:C66"/>
    <mergeCell ref="B75:C75"/>
    <mergeCell ref="B59:C59"/>
    <mergeCell ref="B60:C60"/>
    <mergeCell ref="B84:C84"/>
    <mergeCell ref="B85:C85"/>
    <mergeCell ref="B86:C86"/>
    <mergeCell ref="B90:C90"/>
    <mergeCell ref="B87:C87"/>
    <mergeCell ref="B45:C45"/>
    <mergeCell ref="B46:C46"/>
    <mergeCell ref="B47:C47"/>
    <mergeCell ref="E148:F148"/>
    <mergeCell ref="B123:D123"/>
    <mergeCell ref="E123:F123"/>
    <mergeCell ref="E147:F147"/>
    <mergeCell ref="C124:D124"/>
    <mergeCell ref="B49:C49"/>
    <mergeCell ref="B50:C50"/>
    <mergeCell ref="B77:C77"/>
    <mergeCell ref="B91:C91"/>
    <mergeCell ref="B92:C92"/>
    <mergeCell ref="B93:C93"/>
    <mergeCell ref="B79:C79"/>
    <mergeCell ref="B100:C100"/>
    <mergeCell ref="B98:C98"/>
    <mergeCell ref="B78:C78"/>
    <mergeCell ref="B82:C82"/>
    <mergeCell ref="B83:C83"/>
    <mergeCell ref="B109:C109"/>
    <mergeCell ref="B52:C52"/>
    <mergeCell ref="B76:C76"/>
    <mergeCell ref="B48:C48"/>
    <mergeCell ref="B43:C43"/>
    <mergeCell ref="B37:C37"/>
    <mergeCell ref="B38:C38"/>
    <mergeCell ref="B41:C41"/>
    <mergeCell ref="U2:V2"/>
    <mergeCell ref="W2:X2"/>
    <mergeCell ref="B3:E3"/>
    <mergeCell ref="O3:P3"/>
    <mergeCell ref="Q3:R3"/>
    <mergeCell ref="Q4:R4"/>
    <mergeCell ref="B4:E4"/>
    <mergeCell ref="J4:N4"/>
    <mergeCell ref="O4:P4"/>
    <mergeCell ref="O5:P5"/>
    <mergeCell ref="Q5:R5"/>
    <mergeCell ref="Q6:R6"/>
    <mergeCell ref="Q7:R7"/>
    <mergeCell ref="O6:P6"/>
    <mergeCell ref="O7:P7"/>
    <mergeCell ref="B16:C16"/>
    <mergeCell ref="B17:C17"/>
    <mergeCell ref="B18:C18"/>
    <mergeCell ref="B21:C21"/>
    <mergeCell ref="B32:C32"/>
    <mergeCell ref="B44:C44"/>
    <mergeCell ref="L9:N9"/>
    <mergeCell ref="B33:C33"/>
    <mergeCell ref="B34:C34"/>
    <mergeCell ref="E9:H9"/>
    <mergeCell ref="B42:C42"/>
    <mergeCell ref="D7:E7"/>
    <mergeCell ref="D8:E8"/>
    <mergeCell ref="B5:E5"/>
    <mergeCell ref="B13:C13"/>
    <mergeCell ref="J5:N5"/>
    <mergeCell ref="B35:C35"/>
    <mergeCell ref="B14:C14"/>
    <mergeCell ref="B15:C15"/>
    <mergeCell ref="B27:C27"/>
    <mergeCell ref="B28:C28"/>
    <mergeCell ref="B29:C29"/>
    <mergeCell ref="B22:C22"/>
    <mergeCell ref="G8:I8"/>
    <mergeCell ref="J8:N8"/>
    <mergeCell ref="J6:N6"/>
    <mergeCell ref="J7:N7"/>
    <mergeCell ref="B26:C26"/>
    <mergeCell ref="B31:C31"/>
    <mergeCell ref="B12:C12"/>
    <mergeCell ref="O9:Q9"/>
    <mergeCell ref="J9:K9"/>
    <mergeCell ref="D9:D10"/>
    <mergeCell ref="B23:C23"/>
    <mergeCell ref="B24:C24"/>
    <mergeCell ref="B25:C25"/>
    <mergeCell ref="V9:V10"/>
    <mergeCell ref="B10:C10"/>
    <mergeCell ref="B11:C11"/>
    <mergeCell ref="B19:C19"/>
    <mergeCell ref="B20:C20"/>
    <mergeCell ref="L136:M136"/>
    <mergeCell ref="O136:P136"/>
    <mergeCell ref="Y9:Y10"/>
    <mergeCell ref="T9:T10"/>
    <mergeCell ref="X9:X10"/>
    <mergeCell ref="U125:V125"/>
    <mergeCell ref="K125:L125"/>
    <mergeCell ref="U126:V126"/>
    <mergeCell ref="N125:O125"/>
    <mergeCell ref="W126:X126"/>
    <mergeCell ref="Q120:T120"/>
    <mergeCell ref="Q121:T121"/>
    <mergeCell ref="M123:N123"/>
    <mergeCell ref="J124:L124"/>
    <mergeCell ref="U124:V124"/>
    <mergeCell ref="I134:J136"/>
    <mergeCell ref="K134:K136"/>
    <mergeCell ref="L134:M134"/>
    <mergeCell ref="O134:P134"/>
    <mergeCell ref="L135:M135"/>
    <mergeCell ref="R133:S133"/>
    <mergeCell ref="W9:W10"/>
    <mergeCell ref="R9:R10"/>
    <mergeCell ref="M124:P124"/>
    <mergeCell ref="O137:P137"/>
    <mergeCell ref="I139:J139"/>
    <mergeCell ref="L139:M139"/>
    <mergeCell ref="O139:P139"/>
    <mergeCell ref="I138:J138"/>
    <mergeCell ref="L138:M138"/>
    <mergeCell ref="I137:J137"/>
    <mergeCell ref="L137:M137"/>
    <mergeCell ref="O143:P143"/>
    <mergeCell ref="O141:P141"/>
    <mergeCell ref="J142:K142"/>
    <mergeCell ref="L142:M142"/>
    <mergeCell ref="O142:P142"/>
    <mergeCell ref="L140:M140"/>
    <mergeCell ref="I143:J144"/>
    <mergeCell ref="K143:K144"/>
    <mergeCell ref="L141:M141"/>
    <mergeCell ref="L143:M143"/>
    <mergeCell ref="I147:J147"/>
    <mergeCell ref="L147:M147"/>
    <mergeCell ref="O147:P147"/>
    <mergeCell ref="I145:J145"/>
    <mergeCell ref="L145:M145"/>
    <mergeCell ref="O145:P145"/>
    <mergeCell ref="L146:M146"/>
    <mergeCell ref="N146:P146"/>
    <mergeCell ref="O144:P144"/>
    <mergeCell ref="L144:M144"/>
    <mergeCell ref="E150:F150"/>
    <mergeCell ref="L150:M150"/>
    <mergeCell ref="O150:P150"/>
    <mergeCell ref="H148:H150"/>
    <mergeCell ref="I148:J151"/>
    <mergeCell ref="L148:M148"/>
    <mergeCell ref="O148:P148"/>
    <mergeCell ref="O151:P151"/>
    <mergeCell ref="L149:M149"/>
    <mergeCell ref="E149:F149"/>
    <mergeCell ref="O154:P154"/>
    <mergeCell ref="O157:P157"/>
    <mergeCell ref="I154:K154"/>
    <mergeCell ref="M156:N156"/>
    <mergeCell ref="E152:F152"/>
    <mergeCell ref="I152:J152"/>
    <mergeCell ref="L152:M152"/>
    <mergeCell ref="M161:N161"/>
    <mergeCell ref="O161:P161"/>
    <mergeCell ref="O158:P158"/>
    <mergeCell ref="O160:P160"/>
    <mergeCell ref="O152:P152"/>
    <mergeCell ref="E154:F154"/>
    <mergeCell ref="E153:F153"/>
    <mergeCell ref="C175:D175"/>
    <mergeCell ref="B119:C119"/>
    <mergeCell ref="B88:C88"/>
    <mergeCell ref="B89:C89"/>
    <mergeCell ref="B112:C112"/>
    <mergeCell ref="B113:C113"/>
    <mergeCell ref="B95:C95"/>
    <mergeCell ref="B110:C110"/>
    <mergeCell ref="B111:C111"/>
    <mergeCell ref="B101:C101"/>
    <mergeCell ref="B114:C114"/>
    <mergeCell ref="B115:C115"/>
    <mergeCell ref="B116:C116"/>
    <mergeCell ref="B117:C117"/>
    <mergeCell ref="B102:C102"/>
    <mergeCell ref="B107:C107"/>
    <mergeCell ref="B108:C108"/>
    <mergeCell ref="B105:C105"/>
    <mergeCell ref="B106:C106"/>
    <mergeCell ref="B30:C30"/>
    <mergeCell ref="E124:F124"/>
    <mergeCell ref="H124:I124"/>
    <mergeCell ref="B81:C81"/>
    <mergeCell ref="B57:C57"/>
    <mergeCell ref="B58:C58"/>
    <mergeCell ref="O172:P172"/>
    <mergeCell ref="B118:C118"/>
    <mergeCell ref="C133:P133"/>
    <mergeCell ref="G123:I123"/>
    <mergeCell ref="J123:L123"/>
    <mergeCell ref="O135:P135"/>
    <mergeCell ref="C125:D125"/>
    <mergeCell ref="E125:F125"/>
    <mergeCell ref="G125:H125"/>
    <mergeCell ref="O167:P167"/>
    <mergeCell ref="O149:P149"/>
    <mergeCell ref="B39:C39"/>
    <mergeCell ref="B40:C40"/>
    <mergeCell ref="B36:C36"/>
    <mergeCell ref="F120:I120"/>
    <mergeCell ref="O171:P171"/>
    <mergeCell ref="J162:K163"/>
    <mergeCell ref="M157:N157"/>
    <mergeCell ref="U175:V175"/>
    <mergeCell ref="V171:W171"/>
    <mergeCell ref="O169:P169"/>
    <mergeCell ref="O170:P170"/>
    <mergeCell ref="E175:F175"/>
    <mergeCell ref="E151:F151"/>
    <mergeCell ref="L151:M151"/>
    <mergeCell ref="J161:K161"/>
    <mergeCell ref="M174:N174"/>
    <mergeCell ref="M175:P175"/>
    <mergeCell ref="L154:M154"/>
    <mergeCell ref="E174:F174"/>
    <mergeCell ref="R170:S170"/>
    <mergeCell ref="M162:N162"/>
    <mergeCell ref="O162:P162"/>
    <mergeCell ref="O163:P163"/>
    <mergeCell ref="O168:P168"/>
    <mergeCell ref="O164:P164"/>
    <mergeCell ref="O165:P165"/>
    <mergeCell ref="V159:W159"/>
    <mergeCell ref="I153:J153"/>
    <mergeCell ref="L153:M153"/>
    <mergeCell ref="O153:P153"/>
    <mergeCell ref="O156:P156"/>
  </mergeCells>
  <pageMargins left="0.31" right="0.54" top="0.45" bottom="0.13" header="0.22" footer="0.13"/>
  <pageSetup paperSize="5" scale="50" orientation="landscape" horizontalDpi="1200" verticalDpi="1200" r:id="rId1"/>
  <headerFooter alignWithMargins="0">
    <oddHeader>&amp;L&amp;"Arial,Bold"&amp;16&amp;F&amp;C&amp;"Arial,Bold"&amp;16&amp;A&amp;R&amp;16&amp;D&amp;10 &amp;P  of  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IW118"/>
  <sheetViews>
    <sheetView zoomScaleNormal="100" workbookViewId="0">
      <selection activeCell="G78" sqref="G78"/>
    </sheetView>
  </sheetViews>
  <sheetFormatPr defaultColWidth="0" defaultRowHeight="15.5" zeroHeight="1" x14ac:dyDescent="0.35"/>
  <cols>
    <col min="1" max="1" width="2.1796875" style="42" customWidth="1"/>
    <col min="2" max="2" width="11.54296875" style="42" customWidth="1"/>
    <col min="3" max="3" width="12.26953125" style="42" customWidth="1"/>
    <col min="4" max="4" width="5.26953125" style="42" customWidth="1"/>
    <col min="5" max="6" width="8.7265625" style="42" customWidth="1"/>
    <col min="7" max="7" width="14.54296875" style="42" customWidth="1"/>
    <col min="8" max="8" width="8.81640625" style="42" customWidth="1"/>
    <col min="9" max="10" width="7.81640625" style="42" customWidth="1"/>
    <col min="11" max="11" width="8.7265625" style="42" customWidth="1"/>
    <col min="12" max="13" width="8.453125" style="42" customWidth="1"/>
    <col min="14" max="14" width="9.453125" style="42" customWidth="1"/>
    <col min="15" max="16" width="8.453125" style="42" customWidth="1"/>
    <col min="17" max="18" width="7.54296875" style="42" customWidth="1"/>
    <col min="19" max="19" width="9.1796875" style="42" customWidth="1"/>
    <col min="20" max="20" width="10.26953125" style="42" customWidth="1"/>
    <col min="21" max="21" width="12.7265625" style="42" customWidth="1"/>
    <col min="22" max="22" width="9.81640625" style="42" customWidth="1"/>
    <col min="23" max="23" width="15.26953125" style="42" customWidth="1"/>
    <col min="24" max="24" width="12.54296875" style="42" customWidth="1"/>
    <col min="25" max="25" width="12" hidden="1" customWidth="1"/>
    <col min="26" max="26" width="4.1796875" hidden="1" customWidth="1"/>
    <col min="27" max="31" width="9.1796875" hidden="1" customWidth="1"/>
    <col min="32" max="32" width="14.1796875" hidden="1" customWidth="1"/>
    <col min="33" max="49" width="9.1796875" hidden="1" customWidth="1"/>
    <col min="50" max="50" width="10.26953125" hidden="1" customWidth="1"/>
    <col min="51" max="53" width="9.1796875" hidden="1" customWidth="1"/>
    <col min="54" max="54" width="11.54296875" hidden="1" customWidth="1"/>
    <col min="55" max="55" width="20.81640625" hidden="1" customWidth="1"/>
    <col min="56" max="56" width="19" hidden="1" customWidth="1"/>
    <col min="57" max="57" width="20.81640625" hidden="1" customWidth="1"/>
    <col min="58" max="58" width="16.81640625" hidden="1" customWidth="1"/>
    <col min="59" max="59" width="9.1796875" hidden="1" customWidth="1"/>
    <col min="60" max="60" width="26.54296875" hidden="1" customWidth="1"/>
    <col min="61" max="230" width="9.1796875" hidden="1" customWidth="1"/>
    <col min="231" max="256" width="9.1796875" style="42" hidden="1" customWidth="1"/>
    <col min="257" max="257" width="2.1796875" style="42" customWidth="1"/>
    <col min="258" max="16384" width="2.1796875" style="42" hidden="1"/>
  </cols>
  <sheetData>
    <row r="1" spans="2:60" ht="16" thickBot="1" x14ac:dyDescent="0.4"/>
    <row r="2" spans="2:60" ht="15.75" customHeight="1" thickBot="1" x14ac:dyDescent="0.4">
      <c r="B2" s="883" t="s">
        <v>303</v>
      </c>
      <c r="C2" s="879"/>
      <c r="D2" s="879"/>
      <c r="E2" s="1333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792" t="s">
        <v>305</v>
      </c>
      <c r="V2" s="2615"/>
      <c r="W2" s="2648">
        <v>37456</v>
      </c>
      <c r="X2" s="2649"/>
      <c r="Z2" s="299"/>
    </row>
    <row r="3" spans="2:60" ht="26.25" customHeight="1" thickBot="1" x14ac:dyDescent="0.4">
      <c r="B3" s="1947">
        <f>Summary!C2</f>
        <v>0</v>
      </c>
      <c r="C3" s="1948"/>
      <c r="D3" s="1948"/>
      <c r="E3" s="1949"/>
      <c r="F3" s="298"/>
      <c r="G3" s="298"/>
      <c r="H3" s="1194" t="s">
        <v>131</v>
      </c>
      <c r="I3" s="879"/>
      <c r="J3" s="879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S3" s="298"/>
      <c r="T3" s="298"/>
      <c r="U3" s="792" t="s">
        <v>304</v>
      </c>
      <c r="V3" s="942"/>
      <c r="W3" s="1084" t="str">
        <f>Information!C8</f>
        <v>Chad McKinney</v>
      </c>
      <c r="X3" s="1320"/>
      <c r="Z3" s="299"/>
      <c r="AA3" s="42"/>
      <c r="AB3" s="42"/>
      <c r="AC3" s="42"/>
      <c r="AD3" s="42"/>
      <c r="AE3" s="42"/>
      <c r="AF3" s="42"/>
    </row>
    <row r="4" spans="2:60" ht="18" customHeight="1" x14ac:dyDescent="0.35">
      <c r="B4" s="1952">
        <f>Summary!C3</f>
        <v>0</v>
      </c>
      <c r="C4" s="1953"/>
      <c r="D4" s="1953"/>
      <c r="E4" s="1954"/>
      <c r="F4" s="298"/>
      <c r="G4" s="298"/>
      <c r="H4" s="1195" t="s">
        <v>132</v>
      </c>
      <c r="I4" s="897"/>
      <c r="J4" s="2789">
        <f>Summary!K3</f>
        <v>0</v>
      </c>
      <c r="K4" s="2790"/>
      <c r="L4" s="2790"/>
      <c r="M4" s="2790"/>
      <c r="N4" s="2791"/>
      <c r="O4" s="2270">
        <f>Summary!O3</f>
        <v>0</v>
      </c>
      <c r="P4" s="2271"/>
      <c r="Q4" s="2272">
        <f>Summary!P3</f>
        <v>0</v>
      </c>
      <c r="R4" s="1965"/>
      <c r="S4" s="298"/>
      <c r="T4" s="298"/>
      <c r="U4" s="1321"/>
      <c r="V4" s="1324"/>
      <c r="W4" s="1324"/>
      <c r="X4" s="1322"/>
      <c r="Z4" s="299"/>
    </row>
    <row r="5" spans="2:60" ht="18" customHeight="1" thickBot="1" x14ac:dyDescent="0.4">
      <c r="B5" s="1966">
        <f>Summary!C4</f>
        <v>0</v>
      </c>
      <c r="C5" s="1967"/>
      <c r="D5" s="1967"/>
      <c r="E5" s="1968"/>
      <c r="F5" s="298"/>
      <c r="G5" s="298"/>
      <c r="H5" s="938"/>
      <c r="I5" s="939" t="s">
        <v>133</v>
      </c>
      <c r="J5" s="2786">
        <f>Summary!K4</f>
        <v>0</v>
      </c>
      <c r="K5" s="2787"/>
      <c r="L5" s="2787"/>
      <c r="M5" s="2787"/>
      <c r="N5" s="2788"/>
      <c r="O5" s="2226">
        <f>Summary!O4</f>
        <v>0</v>
      </c>
      <c r="P5" s="2227"/>
      <c r="Q5" s="2277">
        <f>Summary!P4</f>
        <v>0</v>
      </c>
      <c r="R5" s="1928"/>
      <c r="S5" s="298"/>
      <c r="T5" s="298"/>
      <c r="U5" s="1323" t="str">
        <f>Information!H5</f>
        <v>Approved by Chad:</v>
      </c>
      <c r="V5" s="1325"/>
      <c r="W5" s="945"/>
      <c r="X5" s="946"/>
      <c r="Z5" s="299"/>
    </row>
    <row r="6" spans="2:60" ht="18" customHeight="1" x14ac:dyDescent="0.35">
      <c r="B6" s="57" t="s">
        <v>115</v>
      </c>
      <c r="C6" s="298"/>
      <c r="D6" s="1959" t="s">
        <v>125</v>
      </c>
      <c r="E6" s="1959"/>
      <c r="F6" s="298"/>
      <c r="G6" s="298"/>
      <c r="H6" s="938"/>
      <c r="I6" s="939" t="s">
        <v>134</v>
      </c>
      <c r="J6" s="2786">
        <f>Summary!K5</f>
        <v>0</v>
      </c>
      <c r="K6" s="2787"/>
      <c r="L6" s="2787"/>
      <c r="M6" s="2787"/>
      <c r="N6" s="2788"/>
      <c r="O6" s="2226">
        <f>Summary!O5</f>
        <v>0</v>
      </c>
      <c r="P6" s="2227"/>
      <c r="Q6" s="2277">
        <f>Summary!P5</f>
        <v>0</v>
      </c>
      <c r="R6" s="1928"/>
      <c r="S6" s="298"/>
      <c r="T6" s="298"/>
      <c r="U6" s="790"/>
      <c r="V6" s="770"/>
      <c r="W6" s="770"/>
      <c r="X6" s="876"/>
      <c r="Z6" s="299"/>
    </row>
    <row r="7" spans="2:60" ht="18" customHeight="1" thickBot="1" x14ac:dyDescent="0.4">
      <c r="B7" s="775">
        <v>0</v>
      </c>
      <c r="C7" s="298"/>
      <c r="D7" s="2287">
        <v>0</v>
      </c>
      <c r="E7" s="2288"/>
      <c r="F7" s="298"/>
      <c r="G7" s="298"/>
      <c r="H7" s="889"/>
      <c r="I7" s="940" t="s">
        <v>135</v>
      </c>
      <c r="J7" s="2793">
        <f>Summary!K6</f>
        <v>0</v>
      </c>
      <c r="K7" s="2794"/>
      <c r="L7" s="2794"/>
      <c r="M7" s="2794"/>
      <c r="N7" s="2795"/>
      <c r="O7" s="2291">
        <f>Summary!O6</f>
        <v>0</v>
      </c>
      <c r="P7" s="2292"/>
      <c r="Q7" s="2293">
        <f>Summary!P6</f>
        <v>0</v>
      </c>
      <c r="R7" s="1971"/>
      <c r="S7" s="298"/>
      <c r="T7" s="298"/>
      <c r="U7" s="791" t="str">
        <f>Information!H5</f>
        <v>Approved by Chad:</v>
      </c>
      <c r="V7" s="947"/>
      <c r="W7" s="947"/>
      <c r="X7" s="948"/>
      <c r="Z7" s="299"/>
    </row>
    <row r="8" spans="2:60" ht="18" customHeight="1" thickBot="1" x14ac:dyDescent="0.4">
      <c r="B8" s="903">
        <v>0</v>
      </c>
      <c r="C8" s="298"/>
      <c r="D8" s="1960">
        <v>0</v>
      </c>
      <c r="E8" s="1961"/>
      <c r="F8" s="298"/>
      <c r="G8" s="1963" t="s">
        <v>308</v>
      </c>
      <c r="H8" s="1963"/>
      <c r="I8" s="1963"/>
      <c r="J8" s="2208" t="str">
        <f>Pricing!A2</f>
        <v>Martin Marrieta</v>
      </c>
      <c r="K8" s="2208"/>
      <c r="L8" s="2208"/>
      <c r="M8" s="2208"/>
      <c r="N8" s="2208"/>
      <c r="O8" s="298"/>
      <c r="P8" s="298"/>
      <c r="Q8" s="298"/>
      <c r="R8" s="298"/>
      <c r="S8" s="298"/>
      <c r="T8" s="298"/>
      <c r="U8" s="298"/>
      <c r="V8" s="298"/>
      <c r="W8" s="298"/>
      <c r="X8" s="298"/>
      <c r="Z8" s="299"/>
    </row>
    <row r="9" spans="2:60" ht="18" customHeight="1" x14ac:dyDescent="0.35">
      <c r="B9" s="798"/>
      <c r="C9" s="799"/>
      <c r="D9" s="799"/>
      <c r="E9" s="2772" t="s">
        <v>52</v>
      </c>
      <c r="F9" s="1975" t="s">
        <v>35</v>
      </c>
      <c r="G9" s="1931" t="s">
        <v>503</v>
      </c>
      <c r="H9" s="1917"/>
      <c r="I9" s="1982"/>
      <c r="J9" s="1931" t="s">
        <v>504</v>
      </c>
      <c r="K9" s="1982"/>
      <c r="L9" s="1931" t="s">
        <v>505</v>
      </c>
      <c r="M9" s="1982"/>
      <c r="N9" s="1931" t="s">
        <v>505</v>
      </c>
      <c r="O9" s="1982"/>
      <c r="P9" s="1931" t="s">
        <v>319</v>
      </c>
      <c r="Q9" s="1982"/>
      <c r="R9" s="1931" t="s">
        <v>27</v>
      </c>
      <c r="S9" s="1917"/>
      <c r="T9" s="1918"/>
      <c r="U9" s="2501" t="s">
        <v>296</v>
      </c>
      <c r="V9" s="2503" t="s">
        <v>64</v>
      </c>
      <c r="W9" s="798" t="s">
        <v>511</v>
      </c>
      <c r="X9" s="1314"/>
      <c r="Z9" s="299"/>
      <c r="AP9" t="s">
        <v>297</v>
      </c>
      <c r="BE9">
        <f>SUM(BD11:BF11)</f>
        <v>0</v>
      </c>
    </row>
    <row r="10" spans="2:60" ht="29.25" customHeight="1" thickBot="1" x14ac:dyDescent="0.4">
      <c r="B10" s="2768" t="s">
        <v>513</v>
      </c>
      <c r="C10" s="2760"/>
      <c r="D10" s="1331"/>
      <c r="E10" s="2774"/>
      <c r="F10" s="1976"/>
      <c r="G10" s="1299" t="s">
        <v>502</v>
      </c>
      <c r="H10" s="1295" t="s">
        <v>506</v>
      </c>
      <c r="I10" s="1299" t="s">
        <v>501</v>
      </c>
      <c r="J10" s="1295" t="s">
        <v>320</v>
      </c>
      <c r="K10" s="1299" t="s">
        <v>28</v>
      </c>
      <c r="L10" s="1295" t="s">
        <v>320</v>
      </c>
      <c r="M10" s="1299" t="s">
        <v>28</v>
      </c>
      <c r="N10" s="1295" t="s">
        <v>320</v>
      </c>
      <c r="O10" s="1299" t="s">
        <v>28</v>
      </c>
      <c r="P10" s="1295" t="s">
        <v>28</v>
      </c>
      <c r="Q10" s="1299" t="s">
        <v>29</v>
      </c>
      <c r="R10" s="1295" t="s">
        <v>28</v>
      </c>
      <c r="S10" s="1293" t="s">
        <v>52</v>
      </c>
      <c r="T10" s="1332" t="s">
        <v>325</v>
      </c>
      <c r="U10" s="2760"/>
      <c r="V10" s="2759"/>
      <c r="W10" s="1292" t="s">
        <v>507</v>
      </c>
      <c r="X10" s="1332" t="s">
        <v>140</v>
      </c>
      <c r="Z10" s="299"/>
      <c r="AO10" t="s">
        <v>227</v>
      </c>
      <c r="AP10" t="s">
        <v>228</v>
      </c>
      <c r="AQ10" t="s">
        <v>229</v>
      </c>
      <c r="AR10" t="s">
        <v>230</v>
      </c>
      <c r="AS10" t="s">
        <v>231</v>
      </c>
      <c r="AT10" t="s">
        <v>232</v>
      </c>
      <c r="AU10" t="s">
        <v>106</v>
      </c>
      <c r="AV10" t="s">
        <v>82</v>
      </c>
      <c r="AW10" t="s">
        <v>331</v>
      </c>
      <c r="AX10" t="s">
        <v>330</v>
      </c>
      <c r="BB10" t="s">
        <v>10</v>
      </c>
      <c r="BC10" t="s">
        <v>337</v>
      </c>
      <c r="BD10" t="s">
        <v>338</v>
      </c>
      <c r="BE10" t="s">
        <v>512</v>
      </c>
      <c r="BF10" t="s">
        <v>340</v>
      </c>
      <c r="BG10" t="s">
        <v>341</v>
      </c>
      <c r="BH10" t="s">
        <v>342</v>
      </c>
    </row>
    <row r="11" spans="2:60" ht="18" customHeight="1" x14ac:dyDescent="0.35">
      <c r="B11" s="1979"/>
      <c r="C11" s="1980"/>
      <c r="D11" s="106"/>
      <c r="E11" s="1215"/>
      <c r="F11" s="30"/>
      <c r="G11" s="1315"/>
      <c r="H11" s="176"/>
      <c r="I11" s="126"/>
      <c r="J11" s="125"/>
      <c r="K11" s="126"/>
      <c r="L11" s="125"/>
      <c r="M11" s="126"/>
      <c r="N11" s="125"/>
      <c r="O11" s="126"/>
      <c r="P11" s="125"/>
      <c r="Q11" s="126"/>
      <c r="R11" s="125"/>
      <c r="S11" s="184"/>
      <c r="T11" s="185"/>
      <c r="U11" s="1316">
        <f t="shared" ref="U11:U31" si="0">IF(Q11=0,0,(G11*J11*K11/16*K11/16*10.680159)+((G11*L11*M11/16*M11/16*10.680159)+(N11*O11/16*O11/16*10.680159*G11)+((P11/16*P11/16)*3.145*0.2836*((((H11*2)+(I11*2))*G11*12/Q11))))*(1+K$53))*E11+E11*R11/16*R11/16*10.703064*T11*S11*(1+K$53)</f>
        <v>0</v>
      </c>
      <c r="V11" s="1317">
        <f t="shared" ref="V11:V36" si="1">ROUNDUP((G11*H11/12*I11/324)*E11*(1+K$50),0)</f>
        <v>0</v>
      </c>
      <c r="W11" s="1326">
        <f>IF(E11=0,0,SUM(BB11:BH11)/E11*(1+M$41))</f>
        <v>0</v>
      </c>
      <c r="X11" s="245">
        <f>IF(E11=0,0,W11*E11)</f>
        <v>0</v>
      </c>
      <c r="Z11" s="299"/>
      <c r="AO11">
        <f>IF($F11=1,$V11,0)</f>
        <v>0</v>
      </c>
      <c r="AP11">
        <f t="shared" ref="AP11:AP35" si="2">IF($F11=2,V11,0)</f>
        <v>0</v>
      </c>
      <c r="AQ11">
        <f t="shared" ref="AQ11:AQ35" si="3">IF($F11=3,V11,0)</f>
        <v>0</v>
      </c>
      <c r="AR11">
        <f t="shared" ref="AR11:AR35" si="4">IF($F11=4,V11,0)</f>
        <v>0</v>
      </c>
      <c r="AS11">
        <f t="shared" ref="AS11:AS35" si="5">IF($F11=5,V11,0)</f>
        <v>0</v>
      </c>
      <c r="AT11">
        <f t="shared" ref="AT11:AT35" si="6">IF($F11=6,V11,0)</f>
        <v>0</v>
      </c>
      <c r="AU11">
        <f>SUM(AO11:AT11)</f>
        <v>0</v>
      </c>
      <c r="AV11">
        <f>U11</f>
        <v>0</v>
      </c>
      <c r="AW11">
        <f>G11*I11*H11/36*E11/2</f>
        <v>0</v>
      </c>
      <c r="AX11">
        <f>G11*I11*H11/36*E11</f>
        <v>0</v>
      </c>
      <c r="BB11">
        <f t="shared" ref="BB11:BB36" si="7">U11*G$53*IF(U$40="N",(1+W$40),1)</f>
        <v>0</v>
      </c>
      <c r="BC11">
        <f>(AO11*Pricing!F$2+AP11*Pricing!G$2+AQ11*Pricing!H$2+AR11*Pricing!I$2+AS11*Pricing!J$2+AT11*Pricing!K$2)*IF(U$40="N",(1+W$40),1)</f>
        <v>0</v>
      </c>
      <c r="BD11">
        <f t="shared" ref="BD11:BD36" si="8">AW11*(H$64+E$67)</f>
        <v>0</v>
      </c>
      <c r="BE11">
        <f t="shared" ref="BE11:BE36" si="9">IF(I$64=0,0,O$63/I$64*AW11)</f>
        <v>0</v>
      </c>
      <c r="BF11">
        <f t="shared" ref="BF11:BF36" si="10">U11/2000*E$68</f>
        <v>0</v>
      </c>
      <c r="BG11" t="e">
        <f t="shared" ref="BG11:BG36" si="11">I$69/E$37*G11</f>
        <v>#DIV/0!</v>
      </c>
      <c r="BH11">
        <f t="shared" ref="BH11:BH37" si="12">IF(I$64=0,0,(SUM(O$72:P$74)+SUM(O$76:P$81)+SUM(O$83:P$88)+SUM(O$54:P$61)+X$88)/I$64*AW11)</f>
        <v>0</v>
      </c>
    </row>
    <row r="12" spans="2:60" ht="18" customHeight="1" x14ac:dyDescent="0.35">
      <c r="B12" s="1979"/>
      <c r="C12" s="1980"/>
      <c r="D12" s="106"/>
      <c r="E12" s="1215"/>
      <c r="F12" s="30"/>
      <c r="G12" s="1315"/>
      <c r="H12" s="176"/>
      <c r="I12" s="126"/>
      <c r="J12" s="125"/>
      <c r="K12" s="126"/>
      <c r="L12" s="125"/>
      <c r="M12" s="126"/>
      <c r="N12" s="125"/>
      <c r="O12" s="126"/>
      <c r="P12" s="125"/>
      <c r="Q12" s="126"/>
      <c r="R12" s="125"/>
      <c r="S12" s="184"/>
      <c r="T12" s="185"/>
      <c r="U12" s="1316">
        <f t="shared" si="0"/>
        <v>0</v>
      </c>
      <c r="V12" s="1317">
        <f t="shared" si="1"/>
        <v>0</v>
      </c>
      <c r="W12" s="1326">
        <f t="shared" ref="W12:W36" si="13">IF(E12=0,0,SUM(BB12:BH12)/E12*(1+M$41))</f>
        <v>0</v>
      </c>
      <c r="X12" s="245">
        <f t="shared" ref="X12:X36" si="14">IF(E12=0,0,W12*E12)</f>
        <v>0</v>
      </c>
      <c r="Z12" s="299"/>
      <c r="AO12">
        <f t="shared" ref="AO12:AO35" si="15">IF(F12=1,V12,0)</f>
        <v>0</v>
      </c>
      <c r="AP12">
        <f t="shared" si="2"/>
        <v>0</v>
      </c>
      <c r="AQ12">
        <f t="shared" si="3"/>
        <v>0</v>
      </c>
      <c r="AR12">
        <f t="shared" si="4"/>
        <v>0</v>
      </c>
      <c r="AS12">
        <f t="shared" si="5"/>
        <v>0</v>
      </c>
      <c r="AT12">
        <f t="shared" si="6"/>
        <v>0</v>
      </c>
      <c r="AU12">
        <f t="shared" ref="AU12:AU36" si="16">SUM(AO12:AT12)</f>
        <v>0</v>
      </c>
      <c r="AW12">
        <f t="shared" ref="AW12:AW36" si="17">G12*I12*H12/36*E12/2</f>
        <v>0</v>
      </c>
      <c r="AX12">
        <f t="shared" ref="AX12:AX36" si="18">G12*I12*H12/36*E12</f>
        <v>0</v>
      </c>
      <c r="BB12">
        <f t="shared" si="7"/>
        <v>0</v>
      </c>
      <c r="BC12">
        <f>(AO12*Pricing!F$2+AP12*Pricing!G$2+AQ12*Pricing!H$2+AR12*Pricing!I$2+AS12*Pricing!J$2+AT12*Pricing!K$2)*IF(U$40="N",(1+W$40),1)</f>
        <v>0</v>
      </c>
      <c r="BD12">
        <f t="shared" si="8"/>
        <v>0</v>
      </c>
      <c r="BE12">
        <f t="shared" si="9"/>
        <v>0</v>
      </c>
      <c r="BF12">
        <f t="shared" si="10"/>
        <v>0</v>
      </c>
      <c r="BG12" t="e">
        <f t="shared" si="11"/>
        <v>#DIV/0!</v>
      </c>
      <c r="BH12">
        <f t="shared" si="12"/>
        <v>0</v>
      </c>
    </row>
    <row r="13" spans="2:60" ht="18" customHeight="1" x14ac:dyDescent="0.35">
      <c r="B13" s="1979"/>
      <c r="C13" s="1980"/>
      <c r="D13" s="106"/>
      <c r="E13" s="1215"/>
      <c r="F13" s="30"/>
      <c r="G13" s="1315"/>
      <c r="H13" s="176"/>
      <c r="I13" s="126"/>
      <c r="J13" s="125"/>
      <c r="K13" s="126"/>
      <c r="L13" s="125"/>
      <c r="M13" s="126"/>
      <c r="N13" s="125"/>
      <c r="O13" s="126"/>
      <c r="P13" s="125"/>
      <c r="Q13" s="126"/>
      <c r="R13" s="125"/>
      <c r="S13" s="184"/>
      <c r="T13" s="185"/>
      <c r="U13" s="1316">
        <f t="shared" si="0"/>
        <v>0</v>
      </c>
      <c r="V13" s="1317">
        <f t="shared" si="1"/>
        <v>0</v>
      </c>
      <c r="W13" s="1326">
        <f t="shared" si="13"/>
        <v>0</v>
      </c>
      <c r="X13" s="245">
        <f t="shared" si="14"/>
        <v>0</v>
      </c>
      <c r="Z13" s="299"/>
      <c r="AO13">
        <f t="shared" si="15"/>
        <v>0</v>
      </c>
      <c r="AP13">
        <f t="shared" si="2"/>
        <v>0</v>
      </c>
      <c r="AQ13">
        <f t="shared" si="3"/>
        <v>0</v>
      </c>
      <c r="AR13">
        <f t="shared" si="4"/>
        <v>0</v>
      </c>
      <c r="AS13">
        <f t="shared" si="5"/>
        <v>0</v>
      </c>
      <c r="AT13">
        <f t="shared" si="6"/>
        <v>0</v>
      </c>
      <c r="AU13">
        <f t="shared" si="16"/>
        <v>0</v>
      </c>
      <c r="AW13">
        <f t="shared" si="17"/>
        <v>0</v>
      </c>
      <c r="AX13">
        <f t="shared" si="18"/>
        <v>0</v>
      </c>
      <c r="BB13">
        <f t="shared" si="7"/>
        <v>0</v>
      </c>
      <c r="BC13">
        <f>(AO13*Pricing!F$2+AP13*Pricing!G$2+AQ13*Pricing!H$2+AR13*Pricing!I$2+AS13*Pricing!J$2+AT13*Pricing!K$2)*IF(U$40="N",(1+W$40),1)</f>
        <v>0</v>
      </c>
      <c r="BD13">
        <f t="shared" si="8"/>
        <v>0</v>
      </c>
      <c r="BE13">
        <f t="shared" si="9"/>
        <v>0</v>
      </c>
      <c r="BF13">
        <f t="shared" si="10"/>
        <v>0</v>
      </c>
      <c r="BG13" t="e">
        <f t="shared" si="11"/>
        <v>#DIV/0!</v>
      </c>
      <c r="BH13">
        <f t="shared" si="12"/>
        <v>0</v>
      </c>
    </row>
    <row r="14" spans="2:60" ht="18" customHeight="1" x14ac:dyDescent="0.35">
      <c r="B14" s="1979"/>
      <c r="C14" s="1980"/>
      <c r="D14" s="106"/>
      <c r="E14" s="1215"/>
      <c r="F14" s="30"/>
      <c r="G14" s="1315"/>
      <c r="H14" s="176"/>
      <c r="I14" s="126"/>
      <c r="J14" s="125"/>
      <c r="K14" s="126"/>
      <c r="L14" s="125"/>
      <c r="M14" s="126"/>
      <c r="N14" s="125"/>
      <c r="O14" s="126"/>
      <c r="P14" s="125"/>
      <c r="Q14" s="126"/>
      <c r="R14" s="125"/>
      <c r="S14" s="184"/>
      <c r="T14" s="185"/>
      <c r="U14" s="1316">
        <f t="shared" si="0"/>
        <v>0</v>
      </c>
      <c r="V14" s="1317">
        <f t="shared" si="1"/>
        <v>0</v>
      </c>
      <c r="W14" s="1326">
        <f t="shared" si="13"/>
        <v>0</v>
      </c>
      <c r="X14" s="245">
        <f t="shared" si="14"/>
        <v>0</v>
      </c>
      <c r="Z14" s="299"/>
      <c r="AO14">
        <f t="shared" si="15"/>
        <v>0</v>
      </c>
      <c r="AP14">
        <f t="shared" si="2"/>
        <v>0</v>
      </c>
      <c r="AQ14">
        <f t="shared" si="3"/>
        <v>0</v>
      </c>
      <c r="AR14">
        <f t="shared" si="4"/>
        <v>0</v>
      </c>
      <c r="AS14">
        <f t="shared" si="5"/>
        <v>0</v>
      </c>
      <c r="AT14">
        <f t="shared" si="6"/>
        <v>0</v>
      </c>
      <c r="AU14">
        <f t="shared" si="16"/>
        <v>0</v>
      </c>
      <c r="AW14">
        <f t="shared" si="17"/>
        <v>0</v>
      </c>
      <c r="AX14">
        <f t="shared" si="18"/>
        <v>0</v>
      </c>
      <c r="BB14">
        <f t="shared" si="7"/>
        <v>0</v>
      </c>
      <c r="BC14">
        <f>(AO14*Pricing!F$2+AP14*Pricing!G$2+AQ14*Pricing!H$2+AR14*Pricing!I$2+AS14*Pricing!J$2+AT14*Pricing!K$2)*IF(U$40="N",(1+W$40),1)</f>
        <v>0</v>
      </c>
      <c r="BD14">
        <f t="shared" si="8"/>
        <v>0</v>
      </c>
      <c r="BE14">
        <f t="shared" si="9"/>
        <v>0</v>
      </c>
      <c r="BF14">
        <f t="shared" si="10"/>
        <v>0</v>
      </c>
      <c r="BG14" t="e">
        <f t="shared" si="11"/>
        <v>#DIV/0!</v>
      </c>
      <c r="BH14">
        <f t="shared" si="12"/>
        <v>0</v>
      </c>
    </row>
    <row r="15" spans="2:60" ht="18" customHeight="1" x14ac:dyDescent="0.35">
      <c r="B15" s="1979"/>
      <c r="C15" s="1980"/>
      <c r="D15" s="106"/>
      <c r="E15" s="1215"/>
      <c r="F15" s="30"/>
      <c r="G15" s="1315"/>
      <c r="H15" s="176"/>
      <c r="I15" s="126"/>
      <c r="J15" s="125"/>
      <c r="K15" s="126"/>
      <c r="L15" s="125"/>
      <c r="M15" s="126"/>
      <c r="N15" s="125"/>
      <c r="O15" s="126"/>
      <c r="P15" s="125"/>
      <c r="Q15" s="126"/>
      <c r="R15" s="428"/>
      <c r="S15" s="184"/>
      <c r="T15" s="185"/>
      <c r="U15" s="1316">
        <f t="shared" si="0"/>
        <v>0</v>
      </c>
      <c r="V15" s="1317">
        <f t="shared" si="1"/>
        <v>0</v>
      </c>
      <c r="W15" s="1326">
        <f t="shared" si="13"/>
        <v>0</v>
      </c>
      <c r="X15" s="245">
        <f t="shared" si="14"/>
        <v>0</v>
      </c>
      <c r="Z15" s="299"/>
      <c r="AO15">
        <f t="shared" si="15"/>
        <v>0</v>
      </c>
      <c r="AP15">
        <f t="shared" si="2"/>
        <v>0</v>
      </c>
      <c r="AQ15">
        <f t="shared" si="3"/>
        <v>0</v>
      </c>
      <c r="AR15">
        <f t="shared" si="4"/>
        <v>0</v>
      </c>
      <c r="AS15">
        <f t="shared" si="5"/>
        <v>0</v>
      </c>
      <c r="AT15">
        <f t="shared" si="6"/>
        <v>0</v>
      </c>
      <c r="AU15">
        <f t="shared" si="16"/>
        <v>0</v>
      </c>
      <c r="AW15">
        <f t="shared" si="17"/>
        <v>0</v>
      </c>
      <c r="AX15">
        <f t="shared" si="18"/>
        <v>0</v>
      </c>
      <c r="BB15">
        <f t="shared" si="7"/>
        <v>0</v>
      </c>
      <c r="BC15">
        <f>(AO15*Pricing!F$2+AP15*Pricing!G$2+AQ15*Pricing!H$2+AR15*Pricing!I$2+AS15*Pricing!J$2+AT15*Pricing!K$2)*IF(U$40="N",(1+W$40),1)</f>
        <v>0</v>
      </c>
      <c r="BD15">
        <f t="shared" si="8"/>
        <v>0</v>
      </c>
      <c r="BE15">
        <f t="shared" si="9"/>
        <v>0</v>
      </c>
      <c r="BF15">
        <f t="shared" si="10"/>
        <v>0</v>
      </c>
      <c r="BG15" t="e">
        <f t="shared" si="11"/>
        <v>#DIV/0!</v>
      </c>
      <c r="BH15">
        <f t="shared" si="12"/>
        <v>0</v>
      </c>
    </row>
    <row r="16" spans="2:60" ht="18" customHeight="1" x14ac:dyDescent="0.35">
      <c r="B16" s="1979"/>
      <c r="C16" s="1980"/>
      <c r="D16" s="106"/>
      <c r="E16" s="1215"/>
      <c r="F16" s="30"/>
      <c r="G16" s="1315"/>
      <c r="H16" s="176"/>
      <c r="I16" s="126"/>
      <c r="J16" s="125"/>
      <c r="K16" s="126"/>
      <c r="L16" s="125"/>
      <c r="M16" s="126"/>
      <c r="N16" s="125"/>
      <c r="O16" s="126"/>
      <c r="P16" s="125"/>
      <c r="Q16" s="126"/>
      <c r="R16" s="125"/>
      <c r="S16" s="184"/>
      <c r="T16" s="185"/>
      <c r="U16" s="1316">
        <f t="shared" si="0"/>
        <v>0</v>
      </c>
      <c r="V16" s="1317">
        <f t="shared" si="1"/>
        <v>0</v>
      </c>
      <c r="W16" s="1326">
        <f t="shared" si="13"/>
        <v>0</v>
      </c>
      <c r="X16" s="245">
        <f t="shared" si="14"/>
        <v>0</v>
      </c>
      <c r="Z16" s="299"/>
      <c r="AO16">
        <f t="shared" si="15"/>
        <v>0</v>
      </c>
      <c r="AP16">
        <f t="shared" si="2"/>
        <v>0</v>
      </c>
      <c r="AQ16">
        <f t="shared" si="3"/>
        <v>0</v>
      </c>
      <c r="AR16">
        <f t="shared" si="4"/>
        <v>0</v>
      </c>
      <c r="AS16">
        <f t="shared" si="5"/>
        <v>0</v>
      </c>
      <c r="AT16">
        <f t="shared" si="6"/>
        <v>0</v>
      </c>
      <c r="AU16">
        <f t="shared" si="16"/>
        <v>0</v>
      </c>
      <c r="AW16">
        <f t="shared" si="17"/>
        <v>0</v>
      </c>
      <c r="AX16">
        <f t="shared" si="18"/>
        <v>0</v>
      </c>
      <c r="BB16">
        <f t="shared" si="7"/>
        <v>0</v>
      </c>
      <c r="BC16">
        <f>(AO16*Pricing!F$2+AP16*Pricing!G$2+AQ16*Pricing!H$2+AR16*Pricing!I$2+AS16*Pricing!J$2+AT16*Pricing!K$2)*IF(U$40="N",(1+W$40),1)</f>
        <v>0</v>
      </c>
      <c r="BD16">
        <f t="shared" si="8"/>
        <v>0</v>
      </c>
      <c r="BE16">
        <f t="shared" si="9"/>
        <v>0</v>
      </c>
      <c r="BF16">
        <f t="shared" si="10"/>
        <v>0</v>
      </c>
      <c r="BG16" t="e">
        <f t="shared" si="11"/>
        <v>#DIV/0!</v>
      </c>
      <c r="BH16">
        <f t="shared" si="12"/>
        <v>0</v>
      </c>
    </row>
    <row r="17" spans="2:60" ht="18" customHeight="1" x14ac:dyDescent="0.35">
      <c r="B17" s="1979"/>
      <c r="C17" s="1980"/>
      <c r="D17" s="106"/>
      <c r="E17" s="1215"/>
      <c r="F17" s="30"/>
      <c r="G17" s="1315"/>
      <c r="H17" s="176"/>
      <c r="I17" s="126"/>
      <c r="J17" s="125"/>
      <c r="K17" s="126"/>
      <c r="L17" s="125"/>
      <c r="M17" s="126"/>
      <c r="N17" s="125"/>
      <c r="O17" s="126"/>
      <c r="P17" s="125"/>
      <c r="Q17" s="126"/>
      <c r="R17" s="125"/>
      <c r="S17" s="184"/>
      <c r="T17" s="185"/>
      <c r="U17" s="1316">
        <f t="shared" si="0"/>
        <v>0</v>
      </c>
      <c r="V17" s="1317">
        <f t="shared" si="1"/>
        <v>0</v>
      </c>
      <c r="W17" s="1326">
        <f t="shared" si="13"/>
        <v>0</v>
      </c>
      <c r="X17" s="245">
        <f t="shared" si="14"/>
        <v>0</v>
      </c>
      <c r="Z17" s="299"/>
      <c r="AO17">
        <f t="shared" si="15"/>
        <v>0</v>
      </c>
      <c r="AP17">
        <f t="shared" si="2"/>
        <v>0</v>
      </c>
      <c r="AQ17">
        <f t="shared" si="3"/>
        <v>0</v>
      </c>
      <c r="AR17">
        <f t="shared" si="4"/>
        <v>0</v>
      </c>
      <c r="AS17">
        <f t="shared" si="5"/>
        <v>0</v>
      </c>
      <c r="AT17">
        <f t="shared" si="6"/>
        <v>0</v>
      </c>
      <c r="AU17">
        <f t="shared" si="16"/>
        <v>0</v>
      </c>
      <c r="AW17">
        <f t="shared" si="17"/>
        <v>0</v>
      </c>
      <c r="AX17">
        <f t="shared" si="18"/>
        <v>0</v>
      </c>
      <c r="BB17">
        <f t="shared" si="7"/>
        <v>0</v>
      </c>
      <c r="BC17">
        <f>(AO17*Pricing!F$2+AP17*Pricing!G$2+AQ17*Pricing!H$2+AR17*Pricing!I$2+AS17*Pricing!J$2+AT17*Pricing!K$2)*IF(U$40="N",(1+W$40),1)</f>
        <v>0</v>
      </c>
      <c r="BD17">
        <f t="shared" si="8"/>
        <v>0</v>
      </c>
      <c r="BE17">
        <f t="shared" si="9"/>
        <v>0</v>
      </c>
      <c r="BF17">
        <f t="shared" si="10"/>
        <v>0</v>
      </c>
      <c r="BG17" t="e">
        <f t="shared" si="11"/>
        <v>#DIV/0!</v>
      </c>
      <c r="BH17">
        <f t="shared" si="12"/>
        <v>0</v>
      </c>
    </row>
    <row r="18" spans="2:60" ht="18" customHeight="1" x14ac:dyDescent="0.35">
      <c r="B18" s="1979"/>
      <c r="C18" s="1980"/>
      <c r="D18" s="106"/>
      <c r="E18" s="1215"/>
      <c r="F18" s="30"/>
      <c r="G18" s="1315"/>
      <c r="H18" s="176"/>
      <c r="I18" s="126"/>
      <c r="J18" s="125"/>
      <c r="K18" s="126"/>
      <c r="L18" s="125"/>
      <c r="M18" s="126"/>
      <c r="N18" s="125"/>
      <c r="O18" s="126"/>
      <c r="P18" s="125"/>
      <c r="Q18" s="126"/>
      <c r="R18" s="428"/>
      <c r="S18" s="184"/>
      <c r="T18" s="185"/>
      <c r="U18" s="1316">
        <f t="shared" si="0"/>
        <v>0</v>
      </c>
      <c r="V18" s="1317">
        <f t="shared" si="1"/>
        <v>0</v>
      </c>
      <c r="W18" s="1326">
        <f t="shared" si="13"/>
        <v>0</v>
      </c>
      <c r="X18" s="245">
        <f t="shared" si="14"/>
        <v>0</v>
      </c>
      <c r="Z18" s="299"/>
      <c r="AO18">
        <f t="shared" si="15"/>
        <v>0</v>
      </c>
      <c r="AP18">
        <f t="shared" si="2"/>
        <v>0</v>
      </c>
      <c r="AQ18">
        <f t="shared" si="3"/>
        <v>0</v>
      </c>
      <c r="AR18">
        <f t="shared" si="4"/>
        <v>0</v>
      </c>
      <c r="AS18">
        <f t="shared" si="5"/>
        <v>0</v>
      </c>
      <c r="AT18">
        <f t="shared" si="6"/>
        <v>0</v>
      </c>
      <c r="AU18">
        <f t="shared" si="16"/>
        <v>0</v>
      </c>
      <c r="AW18">
        <f t="shared" si="17"/>
        <v>0</v>
      </c>
      <c r="AX18">
        <f t="shared" si="18"/>
        <v>0</v>
      </c>
      <c r="BB18">
        <f t="shared" si="7"/>
        <v>0</v>
      </c>
      <c r="BC18">
        <f>(AO18*Pricing!F$2+AP18*Pricing!G$2+AQ18*Pricing!H$2+AR18*Pricing!I$2+AS18*Pricing!J$2+AT18*Pricing!K$2)*IF(U$40="N",(1+W$40),1)</f>
        <v>0</v>
      </c>
      <c r="BD18">
        <f t="shared" si="8"/>
        <v>0</v>
      </c>
      <c r="BE18">
        <f t="shared" si="9"/>
        <v>0</v>
      </c>
      <c r="BF18">
        <f t="shared" si="10"/>
        <v>0</v>
      </c>
      <c r="BG18" t="e">
        <f t="shared" si="11"/>
        <v>#DIV/0!</v>
      </c>
      <c r="BH18">
        <f t="shared" si="12"/>
        <v>0</v>
      </c>
    </row>
    <row r="19" spans="2:60" ht="18" customHeight="1" x14ac:dyDescent="0.35">
      <c r="B19" s="1979"/>
      <c r="C19" s="1980"/>
      <c r="D19" s="106"/>
      <c r="E19" s="1215"/>
      <c r="F19" s="30"/>
      <c r="G19" s="1315"/>
      <c r="H19" s="176"/>
      <c r="I19" s="126"/>
      <c r="J19" s="125"/>
      <c r="K19" s="126"/>
      <c r="L19" s="125"/>
      <c r="M19" s="126"/>
      <c r="N19" s="125"/>
      <c r="O19" s="126"/>
      <c r="P19" s="125"/>
      <c r="Q19" s="126"/>
      <c r="R19" s="428"/>
      <c r="S19" s="184"/>
      <c r="T19" s="185"/>
      <c r="U19" s="1316">
        <f t="shared" si="0"/>
        <v>0</v>
      </c>
      <c r="V19" s="1317">
        <f t="shared" si="1"/>
        <v>0</v>
      </c>
      <c r="W19" s="1326">
        <f t="shared" si="13"/>
        <v>0</v>
      </c>
      <c r="X19" s="245">
        <f t="shared" si="14"/>
        <v>0</v>
      </c>
      <c r="Z19" s="299"/>
      <c r="AO19">
        <f t="shared" si="15"/>
        <v>0</v>
      </c>
      <c r="AP19">
        <f t="shared" si="2"/>
        <v>0</v>
      </c>
      <c r="AQ19">
        <f t="shared" si="3"/>
        <v>0</v>
      </c>
      <c r="AR19">
        <f t="shared" si="4"/>
        <v>0</v>
      </c>
      <c r="AS19">
        <f t="shared" si="5"/>
        <v>0</v>
      </c>
      <c r="AT19">
        <f t="shared" si="6"/>
        <v>0</v>
      </c>
      <c r="AU19">
        <f t="shared" si="16"/>
        <v>0</v>
      </c>
      <c r="AW19">
        <f t="shared" si="17"/>
        <v>0</v>
      </c>
      <c r="AX19">
        <f t="shared" si="18"/>
        <v>0</v>
      </c>
      <c r="BB19">
        <f t="shared" si="7"/>
        <v>0</v>
      </c>
      <c r="BC19">
        <f>(AO19*Pricing!F$2+AP19*Pricing!G$2+AQ19*Pricing!H$2+AR19*Pricing!I$2+AS19*Pricing!J$2+AT19*Pricing!K$2)*IF(U$40="N",(1+W$40),1)</f>
        <v>0</v>
      </c>
      <c r="BD19">
        <f t="shared" si="8"/>
        <v>0</v>
      </c>
      <c r="BE19">
        <f t="shared" si="9"/>
        <v>0</v>
      </c>
      <c r="BF19">
        <f t="shared" si="10"/>
        <v>0</v>
      </c>
      <c r="BG19" t="e">
        <f t="shared" si="11"/>
        <v>#DIV/0!</v>
      </c>
      <c r="BH19">
        <f t="shared" si="12"/>
        <v>0</v>
      </c>
    </row>
    <row r="20" spans="2:60" ht="18" customHeight="1" x14ac:dyDescent="0.35">
      <c r="B20" s="1979"/>
      <c r="C20" s="1980"/>
      <c r="D20" s="106"/>
      <c r="E20" s="1215"/>
      <c r="F20" s="30"/>
      <c r="G20" s="1315"/>
      <c r="H20" s="176"/>
      <c r="I20" s="126"/>
      <c r="J20" s="125"/>
      <c r="K20" s="126"/>
      <c r="L20" s="125"/>
      <c r="M20" s="126"/>
      <c r="N20" s="125"/>
      <c r="O20" s="126"/>
      <c r="P20" s="125"/>
      <c r="Q20" s="126"/>
      <c r="R20" s="125"/>
      <c r="S20" s="184"/>
      <c r="T20" s="185"/>
      <c r="U20" s="1316">
        <f t="shared" si="0"/>
        <v>0</v>
      </c>
      <c r="V20" s="1317">
        <f t="shared" si="1"/>
        <v>0</v>
      </c>
      <c r="W20" s="1326">
        <f t="shared" si="13"/>
        <v>0</v>
      </c>
      <c r="X20" s="245">
        <f t="shared" si="14"/>
        <v>0</v>
      </c>
      <c r="Z20" s="299"/>
      <c r="AO20">
        <f t="shared" si="15"/>
        <v>0</v>
      </c>
      <c r="AP20">
        <f t="shared" si="2"/>
        <v>0</v>
      </c>
      <c r="AQ20">
        <f t="shared" si="3"/>
        <v>0</v>
      </c>
      <c r="AR20">
        <f t="shared" si="4"/>
        <v>0</v>
      </c>
      <c r="AS20">
        <f t="shared" si="5"/>
        <v>0</v>
      </c>
      <c r="AT20">
        <f t="shared" si="6"/>
        <v>0</v>
      </c>
      <c r="AU20">
        <f t="shared" si="16"/>
        <v>0</v>
      </c>
      <c r="AW20">
        <f t="shared" si="17"/>
        <v>0</v>
      </c>
      <c r="AX20">
        <f t="shared" si="18"/>
        <v>0</v>
      </c>
      <c r="BB20">
        <f t="shared" si="7"/>
        <v>0</v>
      </c>
      <c r="BC20">
        <f>(AO20*Pricing!F$2+AP20*Pricing!G$2+AQ20*Pricing!H$2+AR20*Pricing!I$2+AS20*Pricing!J$2+AT20*Pricing!K$2)*IF(U$40="N",(1+W$40),1)</f>
        <v>0</v>
      </c>
      <c r="BD20">
        <f t="shared" si="8"/>
        <v>0</v>
      </c>
      <c r="BE20">
        <f t="shared" si="9"/>
        <v>0</v>
      </c>
      <c r="BF20">
        <f t="shared" si="10"/>
        <v>0</v>
      </c>
      <c r="BG20" t="e">
        <f t="shared" si="11"/>
        <v>#DIV/0!</v>
      </c>
      <c r="BH20">
        <f t="shared" si="12"/>
        <v>0</v>
      </c>
    </row>
    <row r="21" spans="2:60" ht="18" customHeight="1" x14ac:dyDescent="0.35">
      <c r="B21" s="1979"/>
      <c r="C21" s="1980"/>
      <c r="D21" s="106"/>
      <c r="E21" s="1215"/>
      <c r="F21" s="30"/>
      <c r="G21" s="1315"/>
      <c r="H21" s="176"/>
      <c r="I21" s="126"/>
      <c r="J21" s="125"/>
      <c r="K21" s="126"/>
      <c r="L21" s="125"/>
      <c r="M21" s="126"/>
      <c r="N21" s="125"/>
      <c r="O21" s="126"/>
      <c r="P21" s="125"/>
      <c r="Q21" s="126"/>
      <c r="R21" s="125"/>
      <c r="S21" s="184"/>
      <c r="T21" s="185"/>
      <c r="U21" s="1316">
        <f t="shared" si="0"/>
        <v>0</v>
      </c>
      <c r="V21" s="1317">
        <f t="shared" si="1"/>
        <v>0</v>
      </c>
      <c r="W21" s="1326">
        <f t="shared" si="13"/>
        <v>0</v>
      </c>
      <c r="X21" s="245">
        <f t="shared" si="14"/>
        <v>0</v>
      </c>
      <c r="Z21" s="299"/>
      <c r="AO21">
        <f t="shared" si="15"/>
        <v>0</v>
      </c>
      <c r="AP21">
        <f t="shared" si="2"/>
        <v>0</v>
      </c>
      <c r="AQ21">
        <f t="shared" si="3"/>
        <v>0</v>
      </c>
      <c r="AR21">
        <f t="shared" si="4"/>
        <v>0</v>
      </c>
      <c r="AS21">
        <f t="shared" si="5"/>
        <v>0</v>
      </c>
      <c r="AT21">
        <f t="shared" si="6"/>
        <v>0</v>
      </c>
      <c r="AU21">
        <f t="shared" si="16"/>
        <v>0</v>
      </c>
      <c r="AW21">
        <f t="shared" si="17"/>
        <v>0</v>
      </c>
      <c r="AX21">
        <f t="shared" si="18"/>
        <v>0</v>
      </c>
      <c r="BB21">
        <f t="shared" si="7"/>
        <v>0</v>
      </c>
      <c r="BC21">
        <f>(AO21*Pricing!F$2+AP21*Pricing!G$2+AQ21*Pricing!H$2+AR21*Pricing!I$2+AS21*Pricing!J$2+AT21*Pricing!K$2)*IF(U$40="N",(1+W$40),1)</f>
        <v>0</v>
      </c>
      <c r="BD21">
        <f t="shared" si="8"/>
        <v>0</v>
      </c>
      <c r="BE21">
        <f t="shared" si="9"/>
        <v>0</v>
      </c>
      <c r="BF21">
        <f t="shared" si="10"/>
        <v>0</v>
      </c>
      <c r="BG21" t="e">
        <f t="shared" si="11"/>
        <v>#DIV/0!</v>
      </c>
      <c r="BH21">
        <f t="shared" si="12"/>
        <v>0</v>
      </c>
    </row>
    <row r="22" spans="2:60" ht="18" customHeight="1" x14ac:dyDescent="0.35">
      <c r="B22" s="1979"/>
      <c r="C22" s="1980"/>
      <c r="D22" s="106"/>
      <c r="E22" s="1215"/>
      <c r="F22" s="30"/>
      <c r="G22" s="1315"/>
      <c r="H22" s="176"/>
      <c r="I22" s="126"/>
      <c r="J22" s="125"/>
      <c r="K22" s="126"/>
      <c r="L22" s="125"/>
      <c r="M22" s="126"/>
      <c r="N22" s="125"/>
      <c r="O22" s="126"/>
      <c r="P22" s="125"/>
      <c r="Q22" s="126"/>
      <c r="R22" s="125"/>
      <c r="S22" s="184"/>
      <c r="T22" s="185"/>
      <c r="U22" s="1316">
        <f t="shared" si="0"/>
        <v>0</v>
      </c>
      <c r="V22" s="1317">
        <f t="shared" si="1"/>
        <v>0</v>
      </c>
      <c r="W22" s="1326">
        <f t="shared" si="13"/>
        <v>0</v>
      </c>
      <c r="X22" s="245">
        <f t="shared" si="14"/>
        <v>0</v>
      </c>
      <c r="Z22" s="299"/>
      <c r="AO22">
        <f t="shared" si="15"/>
        <v>0</v>
      </c>
      <c r="AP22">
        <f t="shared" si="2"/>
        <v>0</v>
      </c>
      <c r="AQ22">
        <f t="shared" si="3"/>
        <v>0</v>
      </c>
      <c r="AR22">
        <f t="shared" si="4"/>
        <v>0</v>
      </c>
      <c r="AS22">
        <f t="shared" si="5"/>
        <v>0</v>
      </c>
      <c r="AT22">
        <f t="shared" si="6"/>
        <v>0</v>
      </c>
      <c r="AU22">
        <f t="shared" si="16"/>
        <v>0</v>
      </c>
      <c r="AW22">
        <f t="shared" si="17"/>
        <v>0</v>
      </c>
      <c r="AX22">
        <f t="shared" si="18"/>
        <v>0</v>
      </c>
      <c r="BB22">
        <f t="shared" si="7"/>
        <v>0</v>
      </c>
      <c r="BC22">
        <f>(AO22*Pricing!F$2+AP22*Pricing!G$2+AQ22*Pricing!H$2+AR22*Pricing!I$2+AS22*Pricing!J$2+AT22*Pricing!K$2)*IF(U$40="N",(1+W$40),1)</f>
        <v>0</v>
      </c>
      <c r="BD22">
        <f t="shared" si="8"/>
        <v>0</v>
      </c>
      <c r="BE22">
        <f t="shared" si="9"/>
        <v>0</v>
      </c>
      <c r="BF22">
        <f t="shared" si="10"/>
        <v>0</v>
      </c>
      <c r="BG22" t="e">
        <f t="shared" si="11"/>
        <v>#DIV/0!</v>
      </c>
      <c r="BH22">
        <f t="shared" si="12"/>
        <v>0</v>
      </c>
    </row>
    <row r="23" spans="2:60" ht="18" customHeight="1" x14ac:dyDescent="0.35">
      <c r="B23" s="1979"/>
      <c r="C23" s="1980"/>
      <c r="D23" s="106"/>
      <c r="E23" s="1215"/>
      <c r="F23" s="30"/>
      <c r="G23" s="1315"/>
      <c r="H23" s="176"/>
      <c r="I23" s="126"/>
      <c r="J23" s="125"/>
      <c r="K23" s="126"/>
      <c r="L23" s="125"/>
      <c r="M23" s="126"/>
      <c r="N23" s="125"/>
      <c r="O23" s="126"/>
      <c r="P23" s="125"/>
      <c r="Q23" s="126"/>
      <c r="R23" s="125"/>
      <c r="S23" s="184"/>
      <c r="T23" s="185"/>
      <c r="U23" s="1316">
        <f t="shared" si="0"/>
        <v>0</v>
      </c>
      <c r="V23" s="1317">
        <f t="shared" si="1"/>
        <v>0</v>
      </c>
      <c r="W23" s="1326">
        <f t="shared" si="13"/>
        <v>0</v>
      </c>
      <c r="X23" s="245">
        <f t="shared" si="14"/>
        <v>0</v>
      </c>
      <c r="Z23" s="299"/>
      <c r="AO23">
        <f t="shared" si="15"/>
        <v>0</v>
      </c>
      <c r="AP23">
        <f t="shared" si="2"/>
        <v>0</v>
      </c>
      <c r="AQ23">
        <f t="shared" si="3"/>
        <v>0</v>
      </c>
      <c r="AR23">
        <f t="shared" si="4"/>
        <v>0</v>
      </c>
      <c r="AS23">
        <f t="shared" si="5"/>
        <v>0</v>
      </c>
      <c r="AT23">
        <f t="shared" si="6"/>
        <v>0</v>
      </c>
      <c r="AU23">
        <f t="shared" si="16"/>
        <v>0</v>
      </c>
      <c r="AW23">
        <f t="shared" si="17"/>
        <v>0</v>
      </c>
      <c r="AX23">
        <f t="shared" si="18"/>
        <v>0</v>
      </c>
      <c r="BB23">
        <f t="shared" si="7"/>
        <v>0</v>
      </c>
      <c r="BC23">
        <f>(AO23*Pricing!F$2+AP23*Pricing!G$2+AQ23*Pricing!H$2+AR23*Pricing!I$2+AS23*Pricing!J$2+AT23*Pricing!K$2)*IF(U$40="N",(1+W$40),1)</f>
        <v>0</v>
      </c>
      <c r="BD23">
        <f t="shared" si="8"/>
        <v>0</v>
      </c>
      <c r="BE23">
        <f t="shared" si="9"/>
        <v>0</v>
      </c>
      <c r="BF23">
        <f t="shared" si="10"/>
        <v>0</v>
      </c>
      <c r="BG23" t="e">
        <f t="shared" si="11"/>
        <v>#DIV/0!</v>
      </c>
      <c r="BH23">
        <f t="shared" si="12"/>
        <v>0</v>
      </c>
    </row>
    <row r="24" spans="2:60" ht="18" customHeight="1" x14ac:dyDescent="0.35">
      <c r="B24" s="1979"/>
      <c r="C24" s="1980"/>
      <c r="D24" s="106"/>
      <c r="E24" s="1215"/>
      <c r="F24" s="30"/>
      <c r="G24" s="1315"/>
      <c r="H24" s="176"/>
      <c r="I24" s="126"/>
      <c r="J24" s="125"/>
      <c r="K24" s="126"/>
      <c r="L24" s="125"/>
      <c r="M24" s="126"/>
      <c r="N24" s="125"/>
      <c r="O24" s="126"/>
      <c r="P24" s="125"/>
      <c r="Q24" s="126"/>
      <c r="R24" s="125"/>
      <c r="S24" s="184"/>
      <c r="T24" s="185"/>
      <c r="U24" s="1316">
        <f t="shared" si="0"/>
        <v>0</v>
      </c>
      <c r="V24" s="1317">
        <f t="shared" si="1"/>
        <v>0</v>
      </c>
      <c r="W24" s="1326">
        <f t="shared" si="13"/>
        <v>0</v>
      </c>
      <c r="X24" s="245">
        <f t="shared" si="14"/>
        <v>0</v>
      </c>
      <c r="Z24" s="299"/>
      <c r="AO24">
        <f t="shared" si="15"/>
        <v>0</v>
      </c>
      <c r="AP24">
        <f t="shared" si="2"/>
        <v>0</v>
      </c>
      <c r="AQ24">
        <f t="shared" si="3"/>
        <v>0</v>
      </c>
      <c r="AR24">
        <f t="shared" si="4"/>
        <v>0</v>
      </c>
      <c r="AS24">
        <f t="shared" si="5"/>
        <v>0</v>
      </c>
      <c r="AT24">
        <f t="shared" si="6"/>
        <v>0</v>
      </c>
      <c r="AU24">
        <f t="shared" si="16"/>
        <v>0</v>
      </c>
      <c r="AW24">
        <f t="shared" si="17"/>
        <v>0</v>
      </c>
      <c r="AX24">
        <f t="shared" si="18"/>
        <v>0</v>
      </c>
      <c r="BB24">
        <f t="shared" si="7"/>
        <v>0</v>
      </c>
      <c r="BC24">
        <f>(AO24*Pricing!F$2+AP24*Pricing!G$2+AQ24*Pricing!H$2+AR24*Pricing!I$2+AS24*Pricing!J$2+AT24*Pricing!K$2)*IF(U$40="N",(1+W$40),1)</f>
        <v>0</v>
      </c>
      <c r="BD24">
        <f t="shared" si="8"/>
        <v>0</v>
      </c>
      <c r="BE24">
        <f t="shared" si="9"/>
        <v>0</v>
      </c>
      <c r="BF24">
        <f t="shared" si="10"/>
        <v>0</v>
      </c>
      <c r="BG24" t="e">
        <f t="shared" si="11"/>
        <v>#DIV/0!</v>
      </c>
      <c r="BH24">
        <f t="shared" si="12"/>
        <v>0</v>
      </c>
    </row>
    <row r="25" spans="2:60" ht="18" customHeight="1" x14ac:dyDescent="0.35">
      <c r="B25" s="1979"/>
      <c r="C25" s="1980"/>
      <c r="D25" s="106"/>
      <c r="E25" s="1215"/>
      <c r="F25" s="30"/>
      <c r="G25" s="1315"/>
      <c r="H25" s="176"/>
      <c r="I25" s="126"/>
      <c r="J25" s="125"/>
      <c r="K25" s="126"/>
      <c r="L25" s="125"/>
      <c r="M25" s="126"/>
      <c r="N25" s="125"/>
      <c r="O25" s="126"/>
      <c r="P25" s="125"/>
      <c r="Q25" s="126"/>
      <c r="R25" s="125"/>
      <c r="S25" s="184"/>
      <c r="T25" s="185"/>
      <c r="U25" s="1316">
        <f t="shared" si="0"/>
        <v>0</v>
      </c>
      <c r="V25" s="1317">
        <f t="shared" si="1"/>
        <v>0</v>
      </c>
      <c r="W25" s="1326">
        <f t="shared" si="13"/>
        <v>0</v>
      </c>
      <c r="X25" s="245">
        <f t="shared" si="14"/>
        <v>0</v>
      </c>
      <c r="Z25" s="299"/>
      <c r="AO25">
        <f t="shared" si="15"/>
        <v>0</v>
      </c>
      <c r="AP25">
        <f t="shared" si="2"/>
        <v>0</v>
      </c>
      <c r="AQ25">
        <f t="shared" si="3"/>
        <v>0</v>
      </c>
      <c r="AR25">
        <f t="shared" si="4"/>
        <v>0</v>
      </c>
      <c r="AS25">
        <f t="shared" si="5"/>
        <v>0</v>
      </c>
      <c r="AT25">
        <f t="shared" si="6"/>
        <v>0</v>
      </c>
      <c r="AU25">
        <f t="shared" si="16"/>
        <v>0</v>
      </c>
      <c r="AW25">
        <f t="shared" si="17"/>
        <v>0</v>
      </c>
      <c r="AX25">
        <f t="shared" si="18"/>
        <v>0</v>
      </c>
      <c r="BB25">
        <f t="shared" si="7"/>
        <v>0</v>
      </c>
      <c r="BC25">
        <f>(AO25*Pricing!F$2+AP25*Pricing!G$2+AQ25*Pricing!H$2+AR25*Pricing!I$2+AS25*Pricing!J$2+AT25*Pricing!K$2)*IF(U$40="N",(1+W$40),1)</f>
        <v>0</v>
      </c>
      <c r="BD25">
        <f t="shared" si="8"/>
        <v>0</v>
      </c>
      <c r="BE25">
        <f t="shared" si="9"/>
        <v>0</v>
      </c>
      <c r="BF25">
        <f t="shared" si="10"/>
        <v>0</v>
      </c>
      <c r="BG25" t="e">
        <f t="shared" si="11"/>
        <v>#DIV/0!</v>
      </c>
      <c r="BH25">
        <f t="shared" si="12"/>
        <v>0</v>
      </c>
    </row>
    <row r="26" spans="2:60" ht="18" customHeight="1" x14ac:dyDescent="0.35">
      <c r="B26" s="1979"/>
      <c r="C26" s="1980"/>
      <c r="D26" s="106"/>
      <c r="E26" s="1215"/>
      <c r="F26" s="30"/>
      <c r="G26" s="1315"/>
      <c r="H26" s="176"/>
      <c r="I26" s="126"/>
      <c r="J26" s="125"/>
      <c r="K26" s="126"/>
      <c r="L26" s="125"/>
      <c r="M26" s="126"/>
      <c r="N26" s="125"/>
      <c r="O26" s="126"/>
      <c r="P26" s="125"/>
      <c r="Q26" s="126"/>
      <c r="R26" s="125"/>
      <c r="S26" s="176"/>
      <c r="T26" s="185"/>
      <c r="U26" s="1316">
        <f t="shared" si="0"/>
        <v>0</v>
      </c>
      <c r="V26" s="1317">
        <f t="shared" si="1"/>
        <v>0</v>
      </c>
      <c r="W26" s="1326">
        <f t="shared" si="13"/>
        <v>0</v>
      </c>
      <c r="X26" s="245">
        <f t="shared" si="14"/>
        <v>0</v>
      </c>
      <c r="Z26" s="299"/>
      <c r="AO26">
        <f t="shared" si="15"/>
        <v>0</v>
      </c>
      <c r="AP26">
        <f t="shared" si="2"/>
        <v>0</v>
      </c>
      <c r="AQ26">
        <f t="shared" si="3"/>
        <v>0</v>
      </c>
      <c r="AR26">
        <f t="shared" si="4"/>
        <v>0</v>
      </c>
      <c r="AS26">
        <f t="shared" si="5"/>
        <v>0</v>
      </c>
      <c r="AT26">
        <f t="shared" si="6"/>
        <v>0</v>
      </c>
      <c r="AU26">
        <f t="shared" si="16"/>
        <v>0</v>
      </c>
      <c r="AW26">
        <f t="shared" si="17"/>
        <v>0</v>
      </c>
      <c r="AX26">
        <f t="shared" si="18"/>
        <v>0</v>
      </c>
      <c r="BB26">
        <f t="shared" si="7"/>
        <v>0</v>
      </c>
      <c r="BC26">
        <f>(AO26*Pricing!F$2+AP26*Pricing!G$2+AQ26*Pricing!H$2+AR26*Pricing!I$2+AS26*Pricing!J$2+AT26*Pricing!K$2)*IF(U$40="N",(1+W$40),1)</f>
        <v>0</v>
      </c>
      <c r="BD26">
        <f t="shared" si="8"/>
        <v>0</v>
      </c>
      <c r="BE26">
        <f t="shared" si="9"/>
        <v>0</v>
      </c>
      <c r="BF26">
        <f t="shared" si="10"/>
        <v>0</v>
      </c>
      <c r="BG26" t="e">
        <f t="shared" si="11"/>
        <v>#DIV/0!</v>
      </c>
      <c r="BH26">
        <f t="shared" si="12"/>
        <v>0</v>
      </c>
    </row>
    <row r="27" spans="2:60" ht="18" customHeight="1" x14ac:dyDescent="0.35">
      <c r="B27" s="1979"/>
      <c r="C27" s="1980"/>
      <c r="D27" s="106"/>
      <c r="E27" s="1215"/>
      <c r="F27" s="30"/>
      <c r="G27" s="1315"/>
      <c r="H27" s="176"/>
      <c r="I27" s="126"/>
      <c r="J27" s="125"/>
      <c r="K27" s="126"/>
      <c r="L27" s="125"/>
      <c r="M27" s="126"/>
      <c r="N27" s="125"/>
      <c r="O27" s="126"/>
      <c r="P27" s="125"/>
      <c r="Q27" s="126"/>
      <c r="R27" s="125"/>
      <c r="S27" s="176"/>
      <c r="T27" s="185"/>
      <c r="U27" s="1316">
        <f t="shared" si="0"/>
        <v>0</v>
      </c>
      <c r="V27" s="1317">
        <f t="shared" si="1"/>
        <v>0</v>
      </c>
      <c r="W27" s="1326">
        <f t="shared" si="13"/>
        <v>0</v>
      </c>
      <c r="X27" s="245">
        <f t="shared" si="14"/>
        <v>0</v>
      </c>
      <c r="Z27" s="299"/>
      <c r="AO27">
        <f t="shared" si="15"/>
        <v>0</v>
      </c>
      <c r="AP27">
        <f t="shared" si="2"/>
        <v>0</v>
      </c>
      <c r="AQ27">
        <f t="shared" si="3"/>
        <v>0</v>
      </c>
      <c r="AR27">
        <f t="shared" si="4"/>
        <v>0</v>
      </c>
      <c r="AS27">
        <f t="shared" si="5"/>
        <v>0</v>
      </c>
      <c r="AT27">
        <f t="shared" si="6"/>
        <v>0</v>
      </c>
      <c r="AU27">
        <f t="shared" si="16"/>
        <v>0</v>
      </c>
      <c r="AW27">
        <f t="shared" si="17"/>
        <v>0</v>
      </c>
      <c r="AX27">
        <f t="shared" si="18"/>
        <v>0</v>
      </c>
      <c r="BB27">
        <f t="shared" si="7"/>
        <v>0</v>
      </c>
      <c r="BC27">
        <f>(AO27*Pricing!F$2+AP27*Pricing!G$2+AQ27*Pricing!H$2+AR27*Pricing!I$2+AS27*Pricing!J$2+AT27*Pricing!K$2)*IF(U$40="N",(1+W$40),1)</f>
        <v>0</v>
      </c>
      <c r="BD27">
        <f t="shared" si="8"/>
        <v>0</v>
      </c>
      <c r="BE27">
        <f t="shared" si="9"/>
        <v>0</v>
      </c>
      <c r="BF27">
        <f t="shared" si="10"/>
        <v>0</v>
      </c>
      <c r="BG27" t="e">
        <f t="shared" si="11"/>
        <v>#DIV/0!</v>
      </c>
      <c r="BH27">
        <f t="shared" si="12"/>
        <v>0</v>
      </c>
    </row>
    <row r="28" spans="2:60" ht="18" customHeight="1" x14ac:dyDescent="0.35">
      <c r="B28" s="1979"/>
      <c r="C28" s="1980"/>
      <c r="D28" s="106"/>
      <c r="E28" s="1215"/>
      <c r="F28" s="30"/>
      <c r="G28" s="1315"/>
      <c r="H28" s="176"/>
      <c r="I28" s="126"/>
      <c r="J28" s="125"/>
      <c r="K28" s="126"/>
      <c r="L28" s="125"/>
      <c r="M28" s="126"/>
      <c r="N28" s="125"/>
      <c r="O28" s="126"/>
      <c r="P28" s="125"/>
      <c r="Q28" s="126"/>
      <c r="R28" s="125"/>
      <c r="S28" s="176"/>
      <c r="T28" s="185"/>
      <c r="U28" s="1316">
        <f t="shared" si="0"/>
        <v>0</v>
      </c>
      <c r="V28" s="1317">
        <f t="shared" si="1"/>
        <v>0</v>
      </c>
      <c r="W28" s="1326">
        <f t="shared" si="13"/>
        <v>0</v>
      </c>
      <c r="X28" s="245">
        <f t="shared" si="14"/>
        <v>0</v>
      </c>
      <c r="Z28" s="299"/>
      <c r="AO28">
        <f t="shared" si="15"/>
        <v>0</v>
      </c>
      <c r="AP28">
        <f t="shared" si="2"/>
        <v>0</v>
      </c>
      <c r="AQ28">
        <f t="shared" si="3"/>
        <v>0</v>
      </c>
      <c r="AR28">
        <f t="shared" si="4"/>
        <v>0</v>
      </c>
      <c r="AS28">
        <f t="shared" si="5"/>
        <v>0</v>
      </c>
      <c r="AT28">
        <f t="shared" si="6"/>
        <v>0</v>
      </c>
      <c r="AU28">
        <f t="shared" si="16"/>
        <v>0</v>
      </c>
      <c r="AW28">
        <f t="shared" si="17"/>
        <v>0</v>
      </c>
      <c r="AX28">
        <f t="shared" si="18"/>
        <v>0</v>
      </c>
      <c r="BB28">
        <f t="shared" si="7"/>
        <v>0</v>
      </c>
      <c r="BC28">
        <f>(AO28*Pricing!F$2+AP28*Pricing!G$2+AQ28*Pricing!H$2+AR28*Pricing!I$2+AS28*Pricing!J$2+AT28*Pricing!K$2)*IF(U$40="N",(1+W$40),1)</f>
        <v>0</v>
      </c>
      <c r="BD28">
        <f t="shared" si="8"/>
        <v>0</v>
      </c>
      <c r="BE28">
        <f t="shared" si="9"/>
        <v>0</v>
      </c>
      <c r="BF28">
        <f t="shared" si="10"/>
        <v>0</v>
      </c>
      <c r="BG28" t="e">
        <f t="shared" si="11"/>
        <v>#DIV/0!</v>
      </c>
      <c r="BH28">
        <f t="shared" si="12"/>
        <v>0</v>
      </c>
    </row>
    <row r="29" spans="2:60" ht="18" customHeight="1" x14ac:dyDescent="0.35">
      <c r="B29" s="1979"/>
      <c r="C29" s="1980"/>
      <c r="D29" s="106"/>
      <c r="E29" s="1215"/>
      <c r="F29" s="30"/>
      <c r="G29" s="1315"/>
      <c r="H29" s="176"/>
      <c r="I29" s="126"/>
      <c r="J29" s="125"/>
      <c r="K29" s="126"/>
      <c r="L29" s="125"/>
      <c r="M29" s="126"/>
      <c r="N29" s="125"/>
      <c r="O29" s="126"/>
      <c r="P29" s="125"/>
      <c r="Q29" s="126"/>
      <c r="R29" s="125"/>
      <c r="S29" s="176"/>
      <c r="T29" s="185"/>
      <c r="U29" s="1316">
        <f t="shared" si="0"/>
        <v>0</v>
      </c>
      <c r="V29" s="1317">
        <f t="shared" si="1"/>
        <v>0</v>
      </c>
      <c r="W29" s="1326">
        <f t="shared" si="13"/>
        <v>0</v>
      </c>
      <c r="X29" s="245">
        <f t="shared" si="14"/>
        <v>0</v>
      </c>
      <c r="Z29" s="299"/>
      <c r="AO29">
        <f t="shared" si="15"/>
        <v>0</v>
      </c>
      <c r="AP29">
        <f t="shared" si="2"/>
        <v>0</v>
      </c>
      <c r="AQ29">
        <f t="shared" si="3"/>
        <v>0</v>
      </c>
      <c r="AR29">
        <f t="shared" si="4"/>
        <v>0</v>
      </c>
      <c r="AS29">
        <f t="shared" si="5"/>
        <v>0</v>
      </c>
      <c r="AT29">
        <f t="shared" si="6"/>
        <v>0</v>
      </c>
      <c r="AU29">
        <f t="shared" si="16"/>
        <v>0</v>
      </c>
      <c r="AW29">
        <f t="shared" si="17"/>
        <v>0</v>
      </c>
      <c r="AX29">
        <f t="shared" si="18"/>
        <v>0</v>
      </c>
      <c r="BB29">
        <f t="shared" si="7"/>
        <v>0</v>
      </c>
      <c r="BC29">
        <f>(AO29*Pricing!F$2+AP29*Pricing!G$2+AQ29*Pricing!H$2+AR29*Pricing!I$2+AS29*Pricing!J$2+AT29*Pricing!K$2)*IF(U$40="N",(1+W$40),1)</f>
        <v>0</v>
      </c>
      <c r="BD29">
        <f t="shared" si="8"/>
        <v>0</v>
      </c>
      <c r="BE29">
        <f t="shared" si="9"/>
        <v>0</v>
      </c>
      <c r="BF29">
        <f t="shared" si="10"/>
        <v>0</v>
      </c>
      <c r="BG29" t="e">
        <f t="shared" si="11"/>
        <v>#DIV/0!</v>
      </c>
      <c r="BH29">
        <f t="shared" si="12"/>
        <v>0</v>
      </c>
    </row>
    <row r="30" spans="2:60" ht="18" customHeight="1" x14ac:dyDescent="0.35">
      <c r="B30" s="1979"/>
      <c r="C30" s="1980"/>
      <c r="D30" s="106"/>
      <c r="E30" s="1215"/>
      <c r="F30" s="30"/>
      <c r="G30" s="1315"/>
      <c r="H30" s="176"/>
      <c r="I30" s="126"/>
      <c r="J30" s="125"/>
      <c r="K30" s="126"/>
      <c r="L30" s="125"/>
      <c r="M30" s="126"/>
      <c r="N30" s="125"/>
      <c r="O30" s="126"/>
      <c r="P30" s="125"/>
      <c r="Q30" s="126"/>
      <c r="R30" s="125"/>
      <c r="S30" s="176"/>
      <c r="T30" s="185"/>
      <c r="U30" s="1316">
        <f t="shared" si="0"/>
        <v>0</v>
      </c>
      <c r="V30" s="1317">
        <f t="shared" si="1"/>
        <v>0</v>
      </c>
      <c r="W30" s="1326">
        <f t="shared" si="13"/>
        <v>0</v>
      </c>
      <c r="X30" s="245">
        <f t="shared" si="14"/>
        <v>0</v>
      </c>
      <c r="Z30" s="299"/>
      <c r="AO30">
        <f t="shared" si="15"/>
        <v>0</v>
      </c>
      <c r="AP30">
        <f t="shared" si="2"/>
        <v>0</v>
      </c>
      <c r="AQ30">
        <f t="shared" si="3"/>
        <v>0</v>
      </c>
      <c r="AR30">
        <f t="shared" si="4"/>
        <v>0</v>
      </c>
      <c r="AS30">
        <f t="shared" si="5"/>
        <v>0</v>
      </c>
      <c r="AT30">
        <f t="shared" si="6"/>
        <v>0</v>
      </c>
      <c r="AU30">
        <f t="shared" si="16"/>
        <v>0</v>
      </c>
      <c r="AW30">
        <f t="shared" si="17"/>
        <v>0</v>
      </c>
      <c r="AX30">
        <f t="shared" si="18"/>
        <v>0</v>
      </c>
      <c r="BB30">
        <f t="shared" si="7"/>
        <v>0</v>
      </c>
      <c r="BC30">
        <f>(AO30*Pricing!F$2+AP30*Pricing!G$2+AQ30*Pricing!H$2+AR30*Pricing!I$2+AS30*Pricing!J$2+AT30*Pricing!K$2)*IF(U$40="N",(1+W$40),1)</f>
        <v>0</v>
      </c>
      <c r="BD30">
        <f t="shared" si="8"/>
        <v>0</v>
      </c>
      <c r="BE30">
        <f t="shared" si="9"/>
        <v>0</v>
      </c>
      <c r="BF30">
        <f t="shared" si="10"/>
        <v>0</v>
      </c>
      <c r="BG30" t="e">
        <f t="shared" si="11"/>
        <v>#DIV/0!</v>
      </c>
      <c r="BH30">
        <f t="shared" si="12"/>
        <v>0</v>
      </c>
    </row>
    <row r="31" spans="2:60" ht="18" customHeight="1" x14ac:dyDescent="0.35">
      <c r="B31" s="1979"/>
      <c r="C31" s="1980"/>
      <c r="D31" s="106"/>
      <c r="E31" s="1215"/>
      <c r="F31" s="30"/>
      <c r="G31" s="1315"/>
      <c r="H31" s="176"/>
      <c r="I31" s="126"/>
      <c r="J31" s="125"/>
      <c r="K31" s="126"/>
      <c r="L31" s="125"/>
      <c r="M31" s="126"/>
      <c r="N31" s="125"/>
      <c r="O31" s="126"/>
      <c r="P31" s="125"/>
      <c r="Q31" s="126"/>
      <c r="R31" s="125"/>
      <c r="S31" s="176"/>
      <c r="T31" s="185"/>
      <c r="U31" s="1316">
        <f t="shared" si="0"/>
        <v>0</v>
      </c>
      <c r="V31" s="1317">
        <f t="shared" si="1"/>
        <v>0</v>
      </c>
      <c r="W31" s="1326">
        <f t="shared" si="13"/>
        <v>0</v>
      </c>
      <c r="X31" s="245">
        <f t="shared" si="14"/>
        <v>0</v>
      </c>
      <c r="Z31" s="299"/>
      <c r="AO31">
        <f t="shared" si="15"/>
        <v>0</v>
      </c>
      <c r="AP31">
        <f t="shared" si="2"/>
        <v>0</v>
      </c>
      <c r="AQ31">
        <f t="shared" si="3"/>
        <v>0</v>
      </c>
      <c r="AR31">
        <f t="shared" si="4"/>
        <v>0</v>
      </c>
      <c r="AS31">
        <f t="shared" si="5"/>
        <v>0</v>
      </c>
      <c r="AT31">
        <f t="shared" si="6"/>
        <v>0</v>
      </c>
      <c r="AU31">
        <f t="shared" si="16"/>
        <v>0</v>
      </c>
      <c r="AW31">
        <f t="shared" si="17"/>
        <v>0</v>
      </c>
      <c r="AX31">
        <f t="shared" si="18"/>
        <v>0</v>
      </c>
      <c r="BB31">
        <f t="shared" si="7"/>
        <v>0</v>
      </c>
      <c r="BC31">
        <f>(AO31*Pricing!F$2+AP31*Pricing!G$2+AQ31*Pricing!H$2+AR31*Pricing!I$2+AS31*Pricing!J$2+AT31*Pricing!K$2)*IF(U$40="N",(1+W$40),1)</f>
        <v>0</v>
      </c>
      <c r="BD31">
        <f t="shared" si="8"/>
        <v>0</v>
      </c>
      <c r="BE31">
        <f t="shared" si="9"/>
        <v>0</v>
      </c>
      <c r="BF31">
        <f t="shared" si="10"/>
        <v>0</v>
      </c>
      <c r="BG31" t="e">
        <f t="shared" si="11"/>
        <v>#DIV/0!</v>
      </c>
      <c r="BH31">
        <f t="shared" si="12"/>
        <v>0</v>
      </c>
    </row>
    <row r="32" spans="2:60" ht="18" customHeight="1" x14ac:dyDescent="0.35">
      <c r="B32" s="1979"/>
      <c r="C32" s="1980"/>
      <c r="D32" s="106"/>
      <c r="E32" s="1215"/>
      <c r="F32" s="30"/>
      <c r="G32" s="1315"/>
      <c r="H32" s="176"/>
      <c r="I32" s="126"/>
      <c r="J32" s="125"/>
      <c r="K32" s="126"/>
      <c r="L32" s="125"/>
      <c r="M32" s="126"/>
      <c r="N32" s="125"/>
      <c r="O32" s="126"/>
      <c r="P32" s="125"/>
      <c r="Q32" s="126"/>
      <c r="R32" s="125"/>
      <c r="S32" s="176"/>
      <c r="T32" s="185"/>
      <c r="U32" s="1316">
        <f>IF(Q32=0,0,(G32*J32*K32/16*K32/16*10.680159)+((G32*L32*M32/16*M32/16*10.680159)+(N32*O32/16*O32/16*10.680159*G32)+((P32/16*P32/16)*3.145*0.2836*((((H32*2)+(I32*2))*G32*12/Q32))))*(1+K$53))*E32+E32*R32/16*R32/16*10.703064*T32*S32*(1+K$53)</f>
        <v>0</v>
      </c>
      <c r="V32" s="1317">
        <f t="shared" si="1"/>
        <v>0</v>
      </c>
      <c r="W32" s="1326">
        <f t="shared" si="13"/>
        <v>0</v>
      </c>
      <c r="X32" s="245">
        <f t="shared" si="14"/>
        <v>0</v>
      </c>
      <c r="Z32" s="299"/>
      <c r="AO32">
        <f t="shared" si="15"/>
        <v>0</v>
      </c>
      <c r="AP32">
        <f t="shared" si="2"/>
        <v>0</v>
      </c>
      <c r="AQ32">
        <f t="shared" si="3"/>
        <v>0</v>
      </c>
      <c r="AR32">
        <f t="shared" si="4"/>
        <v>0</v>
      </c>
      <c r="AS32">
        <f t="shared" si="5"/>
        <v>0</v>
      </c>
      <c r="AT32">
        <f t="shared" si="6"/>
        <v>0</v>
      </c>
      <c r="AU32">
        <f t="shared" si="16"/>
        <v>0</v>
      </c>
      <c r="AW32">
        <f t="shared" si="17"/>
        <v>0</v>
      </c>
      <c r="AX32">
        <f t="shared" si="18"/>
        <v>0</v>
      </c>
      <c r="BB32">
        <f t="shared" si="7"/>
        <v>0</v>
      </c>
      <c r="BC32">
        <f>(AO32*Pricing!F$2+AP32*Pricing!G$2+AQ32*Pricing!H$2+AR32*Pricing!I$2+AS32*Pricing!J$2+AT32*Pricing!K$2)*IF(U$40="N",(1+W$40),1)</f>
        <v>0</v>
      </c>
      <c r="BD32">
        <f t="shared" si="8"/>
        <v>0</v>
      </c>
      <c r="BE32">
        <f t="shared" si="9"/>
        <v>0</v>
      </c>
      <c r="BF32">
        <f t="shared" si="10"/>
        <v>0</v>
      </c>
      <c r="BG32" t="e">
        <f t="shared" si="11"/>
        <v>#DIV/0!</v>
      </c>
      <c r="BH32">
        <f t="shared" si="12"/>
        <v>0</v>
      </c>
    </row>
    <row r="33" spans="2:60" ht="18" customHeight="1" x14ac:dyDescent="0.35">
      <c r="B33" s="1979">
        <f>E37/5</f>
        <v>0</v>
      </c>
      <c r="C33" s="1980"/>
      <c r="D33" s="106"/>
      <c r="E33" s="1215"/>
      <c r="F33" s="30"/>
      <c r="G33" s="1215"/>
      <c r="H33" s="176"/>
      <c r="I33" s="126"/>
      <c r="J33" s="125"/>
      <c r="K33" s="126"/>
      <c r="L33" s="125"/>
      <c r="M33" s="126"/>
      <c r="N33" s="125"/>
      <c r="O33" s="126"/>
      <c r="P33" s="125"/>
      <c r="Q33" s="126"/>
      <c r="R33" s="125"/>
      <c r="S33" s="176"/>
      <c r="T33" s="185"/>
      <c r="U33" s="1316">
        <f>IF(Q33=0,0,(G33*J33*K33/16*K33/16*10.680159)+((G33*L33*M33/16*M33/16*10.680159)+(N33*O33/16*O33/16*10.680159*G33)+((P33/16*P33/16)*3.145*0.2836*((((H33*2)+(I33*2))*G33*12/Q33))))*(1+K$53))*E33+E33*R33/16*R33/16*10.703064*T33*S33*(1+K$53)</f>
        <v>0</v>
      </c>
      <c r="V33" s="1317">
        <f t="shared" si="1"/>
        <v>0</v>
      </c>
      <c r="W33" s="1326">
        <f t="shared" si="13"/>
        <v>0</v>
      </c>
      <c r="X33" s="245">
        <f t="shared" si="14"/>
        <v>0</v>
      </c>
      <c r="Z33" s="299"/>
      <c r="AO33">
        <f t="shared" si="15"/>
        <v>0</v>
      </c>
      <c r="AP33">
        <f t="shared" si="2"/>
        <v>0</v>
      </c>
      <c r="AQ33">
        <f t="shared" si="3"/>
        <v>0</v>
      </c>
      <c r="AR33">
        <f t="shared" si="4"/>
        <v>0</v>
      </c>
      <c r="AS33">
        <f t="shared" si="5"/>
        <v>0</v>
      </c>
      <c r="AT33">
        <f t="shared" si="6"/>
        <v>0</v>
      </c>
      <c r="AU33">
        <f t="shared" si="16"/>
        <v>0</v>
      </c>
      <c r="AW33">
        <f t="shared" si="17"/>
        <v>0</v>
      </c>
      <c r="AX33">
        <f t="shared" si="18"/>
        <v>0</v>
      </c>
      <c r="BB33">
        <f t="shared" si="7"/>
        <v>0</v>
      </c>
      <c r="BC33">
        <f>(AO33*Pricing!F$2+AP33*Pricing!G$2+AQ33*Pricing!H$2+AR33*Pricing!I$2+AS33*Pricing!J$2+AT33*Pricing!K$2)*IF(U$40="N",(1+W$40),1)</f>
        <v>0</v>
      </c>
      <c r="BD33">
        <f t="shared" si="8"/>
        <v>0</v>
      </c>
      <c r="BE33">
        <f t="shared" si="9"/>
        <v>0</v>
      </c>
      <c r="BF33">
        <f t="shared" si="10"/>
        <v>0</v>
      </c>
      <c r="BG33" t="e">
        <f t="shared" si="11"/>
        <v>#DIV/0!</v>
      </c>
      <c r="BH33">
        <f t="shared" si="12"/>
        <v>0</v>
      </c>
    </row>
    <row r="34" spans="2:60" ht="18" customHeight="1" x14ac:dyDescent="0.35">
      <c r="B34" s="1979"/>
      <c r="C34" s="1980"/>
      <c r="D34" s="106"/>
      <c r="E34" s="1215"/>
      <c r="F34" s="30"/>
      <c r="G34" s="1215"/>
      <c r="H34" s="176"/>
      <c r="I34" s="126"/>
      <c r="J34" s="125"/>
      <c r="K34" s="126"/>
      <c r="L34" s="125"/>
      <c r="M34" s="126"/>
      <c r="N34" s="125"/>
      <c r="O34" s="126"/>
      <c r="P34" s="125"/>
      <c r="Q34" s="126"/>
      <c r="R34" s="125"/>
      <c r="S34" s="176"/>
      <c r="T34" s="185"/>
      <c r="U34" s="1316">
        <f>IF(Q34=0,0,(G34*J34*K34/16*K34/16*10.680159)+((G34*L34*M34/16*M34/16*10.680159)+(N34*O34/16*O34/16*10.680159*G34)+((P34/16*P34/16)*3.145*0.2836*((((H34*2)+(I34*2))*G34*12/Q34))))*(1+K$53))*E34+E34*R34/16*R34/16*10.703064*T34*S34*(1+K$53)</f>
        <v>0</v>
      </c>
      <c r="V34" s="1317">
        <f t="shared" si="1"/>
        <v>0</v>
      </c>
      <c r="W34" s="1326">
        <f t="shared" si="13"/>
        <v>0</v>
      </c>
      <c r="X34" s="245">
        <f t="shared" si="14"/>
        <v>0</v>
      </c>
      <c r="Z34" s="299"/>
      <c r="AO34">
        <f t="shared" si="15"/>
        <v>0</v>
      </c>
      <c r="AP34">
        <f t="shared" si="2"/>
        <v>0</v>
      </c>
      <c r="AQ34">
        <f t="shared" si="3"/>
        <v>0</v>
      </c>
      <c r="AR34">
        <f t="shared" si="4"/>
        <v>0</v>
      </c>
      <c r="AS34">
        <f t="shared" si="5"/>
        <v>0</v>
      </c>
      <c r="AT34">
        <f t="shared" si="6"/>
        <v>0</v>
      </c>
      <c r="AU34">
        <f t="shared" si="16"/>
        <v>0</v>
      </c>
      <c r="AW34">
        <f t="shared" si="17"/>
        <v>0</v>
      </c>
      <c r="AX34">
        <f t="shared" si="18"/>
        <v>0</v>
      </c>
      <c r="BB34">
        <f t="shared" si="7"/>
        <v>0</v>
      </c>
      <c r="BC34">
        <f>(AO34*Pricing!F$2+AP34*Pricing!G$2+AQ34*Pricing!H$2+AR34*Pricing!I$2+AS34*Pricing!J$2+AT34*Pricing!K$2)*IF(U$40="N",(1+W$40),1)</f>
        <v>0</v>
      </c>
      <c r="BD34">
        <f t="shared" si="8"/>
        <v>0</v>
      </c>
      <c r="BE34">
        <f t="shared" si="9"/>
        <v>0</v>
      </c>
      <c r="BF34">
        <f t="shared" si="10"/>
        <v>0</v>
      </c>
      <c r="BG34" t="e">
        <f t="shared" si="11"/>
        <v>#DIV/0!</v>
      </c>
      <c r="BH34">
        <f t="shared" si="12"/>
        <v>0</v>
      </c>
    </row>
    <row r="35" spans="2:60" ht="18" customHeight="1" x14ac:dyDescent="0.35">
      <c r="B35" s="1979"/>
      <c r="C35" s="1980"/>
      <c r="D35" s="106"/>
      <c r="E35" s="1215"/>
      <c r="F35" s="30"/>
      <c r="G35" s="1215"/>
      <c r="H35" s="176"/>
      <c r="I35" s="126"/>
      <c r="J35" s="125"/>
      <c r="K35" s="126"/>
      <c r="L35" s="125"/>
      <c r="M35" s="126"/>
      <c r="N35" s="125"/>
      <c r="O35" s="126"/>
      <c r="P35" s="125"/>
      <c r="Q35" s="126"/>
      <c r="R35" s="125"/>
      <c r="S35" s="176"/>
      <c r="T35" s="185"/>
      <c r="U35" s="1316">
        <f>IF(Q35=0,0,(G35*J35*K35/16*K35/16*10.680159)+((G35*L35*M35/16*M35/16*10.680159)+(N35*O35/16*O35/16*10.680159*G35)+((P35/16*P35/16)*3.145*0.2836*((((H35*2)+(I35*2))*G35*12/Q35))))*(1+K$53))*E35+E35*R35/16*R35/16*10.703064*T35*S35*(1+K$53)</f>
        <v>0</v>
      </c>
      <c r="V35" s="1317">
        <f t="shared" si="1"/>
        <v>0</v>
      </c>
      <c r="W35" s="1326">
        <f t="shared" si="13"/>
        <v>0</v>
      </c>
      <c r="X35" s="245">
        <f t="shared" si="14"/>
        <v>0</v>
      </c>
      <c r="Z35" s="299"/>
      <c r="AO35">
        <f t="shared" si="15"/>
        <v>0</v>
      </c>
      <c r="AP35">
        <f t="shared" si="2"/>
        <v>0</v>
      </c>
      <c r="AQ35">
        <f t="shared" si="3"/>
        <v>0</v>
      </c>
      <c r="AR35">
        <f t="shared" si="4"/>
        <v>0</v>
      </c>
      <c r="AS35">
        <f t="shared" si="5"/>
        <v>0</v>
      </c>
      <c r="AT35">
        <f t="shared" si="6"/>
        <v>0</v>
      </c>
      <c r="AU35">
        <f t="shared" si="16"/>
        <v>0</v>
      </c>
      <c r="AW35">
        <f t="shared" si="17"/>
        <v>0</v>
      </c>
      <c r="AX35">
        <f t="shared" si="18"/>
        <v>0</v>
      </c>
      <c r="BB35">
        <f t="shared" si="7"/>
        <v>0</v>
      </c>
      <c r="BC35">
        <f>(AO35*Pricing!F$2+AP35*Pricing!G$2+AQ35*Pricing!H$2+AR35*Pricing!I$2+AS35*Pricing!J$2+AT35*Pricing!K$2)*IF(U$40="N",(1+W$40),1)</f>
        <v>0</v>
      </c>
      <c r="BD35">
        <f t="shared" si="8"/>
        <v>0</v>
      </c>
      <c r="BE35">
        <f t="shared" si="9"/>
        <v>0</v>
      </c>
      <c r="BF35">
        <f t="shared" si="10"/>
        <v>0</v>
      </c>
      <c r="BG35" t="e">
        <f t="shared" si="11"/>
        <v>#DIV/0!</v>
      </c>
      <c r="BH35">
        <f t="shared" si="12"/>
        <v>0</v>
      </c>
    </row>
    <row r="36" spans="2:60" ht="18" customHeight="1" thickBot="1" x14ac:dyDescent="0.4">
      <c r="B36" s="2069"/>
      <c r="C36" s="2070"/>
      <c r="D36" s="188"/>
      <c r="E36" s="1205"/>
      <c r="F36" s="33"/>
      <c r="G36" s="1205"/>
      <c r="H36" s="33"/>
      <c r="I36" s="181"/>
      <c r="J36" s="130"/>
      <c r="K36" s="181"/>
      <c r="L36" s="130"/>
      <c r="M36" s="181"/>
      <c r="N36" s="130"/>
      <c r="O36" s="181"/>
      <c r="P36" s="130"/>
      <c r="Q36" s="181"/>
      <c r="R36" s="130"/>
      <c r="S36" s="182"/>
      <c r="T36" s="222"/>
      <c r="U36" s="1318">
        <f>IF(Q36=0,0,(G36*J36*K36/16*K36/16*10.680159)+((G36*L36*M36/16*M36/16*10.680159)+(N36*O36/16*O36/16*10.680159*G36)+((P36/16*P36/16)*3.145*0.2836*((((H36*2)+(I36*2))*G36*12/Q36))))*(1+K$53))*E36+E36*R36/16*R36/16*10.703064*T36*S36*(1+K$53)</f>
        <v>0</v>
      </c>
      <c r="V36" s="1319">
        <f t="shared" si="1"/>
        <v>0</v>
      </c>
      <c r="W36" s="1327">
        <f t="shared" si="13"/>
        <v>0</v>
      </c>
      <c r="X36" s="142">
        <f t="shared" si="14"/>
        <v>0</v>
      </c>
      <c r="Z36" s="299"/>
      <c r="AA36" s="42"/>
      <c r="AB36" s="42"/>
      <c r="AC36" s="42"/>
      <c r="AD36" s="42"/>
      <c r="AE36" s="42"/>
      <c r="AF36" s="42"/>
      <c r="AO36">
        <f>IF(F36=1,U36,0)</f>
        <v>0</v>
      </c>
      <c r="AP36">
        <f>IF($F36=2,U36,0)</f>
        <v>0</v>
      </c>
      <c r="AQ36">
        <f>IF($F36=3,U36,0)</f>
        <v>0</v>
      </c>
      <c r="AR36">
        <f>IF($F36=4,U36,0)</f>
        <v>0</v>
      </c>
      <c r="AS36">
        <f>IF($F36=5,U36,0)</f>
        <v>0</v>
      </c>
      <c r="AT36">
        <f>IF($F36=6,U36,0)</f>
        <v>0</v>
      </c>
      <c r="AU36">
        <f t="shared" si="16"/>
        <v>0</v>
      </c>
      <c r="AW36">
        <f t="shared" si="17"/>
        <v>0</v>
      </c>
      <c r="AX36">
        <f t="shared" si="18"/>
        <v>0</v>
      </c>
      <c r="BB36">
        <f t="shared" si="7"/>
        <v>0</v>
      </c>
      <c r="BC36">
        <f>(AO36*Pricing!F$2+AP36*Pricing!G$2+AQ36*Pricing!H$2+AR36*Pricing!I$2+AS36*Pricing!J$2+AT36*Pricing!K$2)*IF(U$40="N",(1+W$40),1)</f>
        <v>0</v>
      </c>
      <c r="BD36">
        <f t="shared" si="8"/>
        <v>0</v>
      </c>
      <c r="BE36">
        <f t="shared" si="9"/>
        <v>0</v>
      </c>
      <c r="BF36">
        <f t="shared" si="10"/>
        <v>0</v>
      </c>
      <c r="BG36" t="e">
        <f t="shared" si="11"/>
        <v>#DIV/0!</v>
      </c>
      <c r="BH36">
        <f t="shared" si="12"/>
        <v>0</v>
      </c>
    </row>
    <row r="37" spans="2:60" ht="15" customHeight="1" x14ac:dyDescent="0.35">
      <c r="B37" s="298"/>
      <c r="C37" s="298"/>
      <c r="D37" s="298"/>
      <c r="E37" s="321">
        <f>SUM(E11:E36)</f>
        <v>0</v>
      </c>
      <c r="F37" s="2697" t="s">
        <v>509</v>
      </c>
      <c r="G37" s="2697"/>
      <c r="H37" s="2697"/>
      <c r="I37" s="2697"/>
      <c r="J37" s="298" t="s">
        <v>510</v>
      </c>
      <c r="K37" s="298"/>
      <c r="L37" s="2775">
        <f>IF(E41=0,0,E41/SUM(V11:V36))</f>
        <v>0</v>
      </c>
      <c r="M37" s="2775"/>
      <c r="N37" s="298"/>
      <c r="O37" s="298"/>
      <c r="P37" s="2802" t="s">
        <v>54</v>
      </c>
      <c r="Q37" s="2802"/>
      <c r="R37" s="2802"/>
      <c r="S37" s="2802"/>
      <c r="T37" s="298"/>
      <c r="U37" s="345">
        <f>SUM(U11:U25)</f>
        <v>0</v>
      </c>
      <c r="V37" s="541">
        <f>SUM(V11:V36)</f>
        <v>0</v>
      </c>
      <c r="W37" s="345"/>
      <c r="X37" s="684"/>
      <c r="Z37" s="299"/>
      <c r="AA37" s="42"/>
      <c r="AB37" s="42"/>
      <c r="AC37" s="42"/>
      <c r="AD37" s="42"/>
      <c r="AE37" s="42"/>
      <c r="AF37" s="42"/>
      <c r="AO37">
        <f t="shared" ref="AO37:BG37" si="19">SUM(AO11:AO36)</f>
        <v>0</v>
      </c>
      <c r="AP37">
        <f t="shared" si="19"/>
        <v>0</v>
      </c>
      <c r="AQ37">
        <f t="shared" si="19"/>
        <v>0</v>
      </c>
      <c r="AR37">
        <f t="shared" si="19"/>
        <v>0</v>
      </c>
      <c r="AS37">
        <f t="shared" si="19"/>
        <v>0</v>
      </c>
      <c r="AT37">
        <f t="shared" si="19"/>
        <v>0</v>
      </c>
      <c r="AU37">
        <f t="shared" si="19"/>
        <v>0</v>
      </c>
      <c r="AV37">
        <f t="shared" si="19"/>
        <v>0</v>
      </c>
      <c r="AW37">
        <f t="shared" si="19"/>
        <v>0</v>
      </c>
      <c r="AX37">
        <f t="shared" si="19"/>
        <v>0</v>
      </c>
      <c r="AY37">
        <f t="shared" si="19"/>
        <v>0</v>
      </c>
      <c r="AZ37">
        <f t="shared" si="19"/>
        <v>0</v>
      </c>
      <c r="BA37">
        <f t="shared" si="19"/>
        <v>0</v>
      </c>
      <c r="BB37">
        <f t="shared" si="19"/>
        <v>0</v>
      </c>
      <c r="BC37">
        <f t="shared" si="19"/>
        <v>0</v>
      </c>
      <c r="BD37">
        <f t="shared" si="19"/>
        <v>0</v>
      </c>
      <c r="BE37">
        <f t="shared" si="19"/>
        <v>0</v>
      </c>
      <c r="BF37">
        <f t="shared" si="19"/>
        <v>0</v>
      </c>
      <c r="BG37" t="e">
        <f t="shared" si="19"/>
        <v>#DIV/0!</v>
      </c>
      <c r="BH37">
        <f t="shared" si="12"/>
        <v>0</v>
      </c>
    </row>
    <row r="38" spans="2:60" ht="15" customHeight="1" thickBot="1" x14ac:dyDescent="0.4"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306"/>
      <c r="P38" s="2802" t="s">
        <v>56</v>
      </c>
      <c r="Q38" s="2802"/>
      <c r="R38" s="2802"/>
      <c r="S38" s="2802"/>
      <c r="T38" s="298"/>
      <c r="U38" s="302">
        <f>ROUNDUP(U37/2000,0)</f>
        <v>0</v>
      </c>
      <c r="V38" s="298"/>
      <c r="W38" s="306"/>
      <c r="X38" s="310"/>
      <c r="Z38" s="299"/>
      <c r="AA38" s="42"/>
      <c r="AB38" s="42"/>
      <c r="AC38" s="42"/>
      <c r="AD38" s="42"/>
      <c r="AE38" s="42"/>
      <c r="AF38" s="42"/>
    </row>
    <row r="39" spans="2:60" ht="15" customHeight="1" thickBot="1" x14ac:dyDescent="0.4">
      <c r="B39" s="898"/>
      <c r="C39" s="899"/>
      <c r="D39" s="899"/>
      <c r="E39" s="899"/>
      <c r="F39" s="899"/>
      <c r="G39" s="899"/>
      <c r="H39" s="899"/>
      <c r="I39" s="899"/>
      <c r="J39" s="899"/>
      <c r="K39" s="899"/>
      <c r="L39" s="900"/>
      <c r="M39" s="899"/>
      <c r="N39" s="899"/>
      <c r="O39" s="899"/>
      <c r="P39" s="899"/>
      <c r="Q39" s="899"/>
      <c r="R39" s="899"/>
      <c r="S39" s="899"/>
      <c r="T39" s="899"/>
      <c r="U39" s="899"/>
      <c r="V39" s="899"/>
      <c r="W39" s="899"/>
      <c r="X39" s="1115"/>
      <c r="Z39" s="299"/>
    </row>
    <row r="40" spans="2:60" ht="15" customHeight="1" x14ac:dyDescent="0.35">
      <c r="B40" s="1987" t="s">
        <v>514</v>
      </c>
      <c r="C40" s="2041"/>
      <c r="D40" s="1988"/>
      <c r="E40" s="1987" t="s">
        <v>140</v>
      </c>
      <c r="F40" s="1988"/>
      <c r="G40" s="1987" t="s">
        <v>178</v>
      </c>
      <c r="H40" s="2041"/>
      <c r="I40" s="1988"/>
      <c r="J40" s="1935" t="s">
        <v>184</v>
      </c>
      <c r="K40" s="1936"/>
      <c r="L40" s="1937"/>
      <c r="M40" s="2044" t="s">
        <v>179</v>
      </c>
      <c r="N40" s="2045"/>
      <c r="O40" s="132"/>
      <c r="P40" s="133"/>
      <c r="Q40" s="897"/>
      <c r="R40" s="43" t="s">
        <v>34</v>
      </c>
      <c r="T40" s="42" t="s">
        <v>220</v>
      </c>
      <c r="U40" s="1098" t="str">
        <f>Summary!P65</f>
        <v>n</v>
      </c>
      <c r="V40" s="73" t="s">
        <v>298</v>
      </c>
      <c r="W40" s="1307">
        <f>Summary!R65</f>
        <v>8.2500000000000004E-2</v>
      </c>
      <c r="X40" s="1113"/>
      <c r="Z40" s="299"/>
    </row>
    <row r="41" spans="2:60" ht="27" customHeight="1" thickBot="1" x14ac:dyDescent="0.4">
      <c r="B41" s="11" t="s">
        <v>180</v>
      </c>
      <c r="C41" s="1999">
        <f>IF(E37=0,0,E41/E37)</f>
        <v>0</v>
      </c>
      <c r="D41" s="2000"/>
      <c r="E41" s="2784">
        <f>U41*(1+M41+Summary!P64)</f>
        <v>0</v>
      </c>
      <c r="F41" s="2785"/>
      <c r="G41" s="15">
        <f>IF(E41=0,0,H41/E41)</f>
        <v>0</v>
      </c>
      <c r="H41" s="2042">
        <f>E41-U41</f>
        <v>0</v>
      </c>
      <c r="I41" s="2043"/>
      <c r="J41" s="2064">
        <f>IF(E37=0,0,U41/E37)</f>
        <v>0</v>
      </c>
      <c r="K41" s="2065"/>
      <c r="L41" s="2066"/>
      <c r="M41" s="2302">
        <v>0.23</v>
      </c>
      <c r="N41" s="2303"/>
      <c r="O41" s="2303"/>
      <c r="P41" s="2304"/>
      <c r="Q41" s="902"/>
      <c r="R41" s="86" t="s">
        <v>50</v>
      </c>
      <c r="U41" s="1932">
        <f>SUM(O50:P60)+SUM(O63:P69)+SUM(O72:P74)+SUM(O76:P81)+SUM(O83:P88)+X88+O61+SUM(L63:M69)</f>
        <v>0</v>
      </c>
      <c r="V41" s="1932"/>
      <c r="X41" s="1113"/>
      <c r="Z41" s="299"/>
    </row>
    <row r="42" spans="2:60" ht="15" customHeight="1" thickBot="1" x14ac:dyDescent="0.4">
      <c r="B42" s="889"/>
      <c r="C42" s="890"/>
      <c r="D42" s="890"/>
      <c r="E42" s="890"/>
      <c r="F42" s="890"/>
      <c r="G42" s="890"/>
      <c r="H42" s="890"/>
      <c r="I42" s="891" t="s">
        <v>891</v>
      </c>
      <c r="J42" s="892"/>
      <c r="K42" s="2036"/>
      <c r="L42" s="2037"/>
      <c r="M42" s="893"/>
      <c r="N42" s="1899">
        <f>IF(K42&gt;0,(K42-E41)/(1+M41),0)</f>
        <v>0</v>
      </c>
      <c r="O42" s="1900"/>
      <c r="P42" s="890"/>
      <c r="Q42" s="890"/>
      <c r="R42" s="890"/>
      <c r="S42" s="890"/>
      <c r="T42" s="890"/>
      <c r="U42" s="2245">
        <f>AF118</f>
        <v>0</v>
      </c>
      <c r="V42" s="2622"/>
      <c r="W42" s="890"/>
      <c r="X42" s="896"/>
      <c r="Z42" s="299"/>
    </row>
    <row r="43" spans="2:60" ht="16" thickBot="1" x14ac:dyDescent="0.4"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Z43" s="299"/>
    </row>
    <row r="44" spans="2:60" ht="16" thickBot="1" x14ac:dyDescent="0.4">
      <c r="B44" s="42" t="s">
        <v>632</v>
      </c>
      <c r="C44" s="770" t="s">
        <v>633</v>
      </c>
      <c r="D44" s="770"/>
      <c r="E44" s="770"/>
      <c r="F44" s="770"/>
      <c r="G44" s="770"/>
      <c r="H44" s="770"/>
      <c r="I44" s="770"/>
      <c r="J44" s="770"/>
      <c r="K44" s="770"/>
      <c r="L44" s="770"/>
      <c r="M44" s="770"/>
      <c r="N44" s="770"/>
      <c r="O44" s="770"/>
      <c r="P44" s="770"/>
      <c r="Q44" s="298"/>
      <c r="R44" s="298"/>
      <c r="S44" s="490" t="s">
        <v>890</v>
      </c>
      <c r="T44" s="586"/>
      <c r="U44" s="585">
        <f>IF(L53=0,0,L53/(V37*13231.64))</f>
        <v>0</v>
      </c>
      <c r="V44" s="298"/>
      <c r="W44" s="298"/>
      <c r="X44" s="298"/>
      <c r="Z44" s="299"/>
    </row>
    <row r="45" spans="2:60" ht="32.25" customHeight="1" x14ac:dyDescent="0.35">
      <c r="B45" s="298"/>
      <c r="C45" s="770"/>
      <c r="D45" s="770"/>
      <c r="E45" s="770"/>
      <c r="F45" s="770"/>
      <c r="G45" s="770"/>
      <c r="H45" s="770"/>
      <c r="I45" s="770"/>
      <c r="J45" s="2248"/>
      <c r="K45" s="2248"/>
      <c r="L45" s="770"/>
      <c r="M45" s="770"/>
      <c r="N45" s="770"/>
      <c r="O45" s="770"/>
      <c r="P45" s="770"/>
      <c r="Q45" s="298"/>
      <c r="R45" s="298"/>
      <c r="S45" s="298"/>
      <c r="T45" s="298"/>
      <c r="U45" s="298"/>
      <c r="V45" s="298"/>
      <c r="W45" s="298"/>
      <c r="X45" s="298"/>
      <c r="Z45" s="299"/>
    </row>
    <row r="46" spans="2:60" ht="19" customHeight="1" x14ac:dyDescent="0.35">
      <c r="B46" s="298"/>
      <c r="C46" s="770"/>
      <c r="D46" s="770"/>
      <c r="E46" s="770"/>
      <c r="F46" s="770"/>
      <c r="G46" s="770"/>
      <c r="H46" s="770"/>
      <c r="I46" s="770"/>
      <c r="J46" s="770"/>
      <c r="K46" s="770"/>
      <c r="L46" s="770"/>
      <c r="M46" s="770"/>
      <c r="N46" s="770"/>
      <c r="O46" s="770"/>
      <c r="P46" s="770"/>
      <c r="Q46" s="298"/>
      <c r="R46" s="298"/>
      <c r="S46" s="298"/>
      <c r="T46" s="298"/>
      <c r="U46" s="298"/>
      <c r="V46" s="298"/>
      <c r="W46" s="298"/>
      <c r="X46" s="298"/>
      <c r="Z46" s="299"/>
    </row>
    <row r="47" spans="2:60" ht="19" customHeight="1" x14ac:dyDescent="0.35">
      <c r="B47" s="298"/>
      <c r="C47" s="770"/>
      <c r="D47" s="770"/>
      <c r="E47" s="770"/>
      <c r="F47" s="770"/>
      <c r="G47" s="770"/>
      <c r="H47" s="770"/>
      <c r="I47" s="770"/>
      <c r="J47" s="770"/>
      <c r="K47" s="770"/>
      <c r="L47" s="770"/>
      <c r="M47" s="770"/>
      <c r="N47" s="770"/>
      <c r="O47" s="770"/>
      <c r="P47" s="770"/>
      <c r="Q47" s="298"/>
      <c r="R47" s="298"/>
      <c r="S47" s="298"/>
      <c r="T47" s="298"/>
      <c r="U47" s="298"/>
      <c r="V47" s="298"/>
      <c r="W47" s="298"/>
      <c r="X47" s="298"/>
      <c r="Z47" s="299"/>
    </row>
    <row r="48" spans="2:60" ht="19" customHeight="1" thickBot="1" x14ac:dyDescent="0.4"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306"/>
      <c r="U48" s="306"/>
      <c r="V48" s="306"/>
      <c r="W48" s="306"/>
      <c r="X48" s="298"/>
      <c r="Y48" s="261">
        <f>U41-U42</f>
        <v>0</v>
      </c>
      <c r="Z48" s="299"/>
    </row>
    <row r="49" spans="2:32" ht="33.75" customHeight="1" thickBot="1" x14ac:dyDescent="0.4">
      <c r="B49" s="862" t="s">
        <v>226</v>
      </c>
      <c r="C49" s="2294" t="s">
        <v>167</v>
      </c>
      <c r="D49" s="2295"/>
      <c r="E49" s="2295"/>
      <c r="F49" s="2295"/>
      <c r="G49" s="2295"/>
      <c r="H49" s="2295"/>
      <c r="I49" s="2295"/>
      <c r="J49" s="2295"/>
      <c r="K49" s="2295"/>
      <c r="L49" s="2295"/>
      <c r="M49" s="2295"/>
      <c r="N49" s="2295"/>
      <c r="O49" s="2295"/>
      <c r="P49" s="2296"/>
      <c r="Q49" s="862" t="s">
        <v>284</v>
      </c>
      <c r="R49" s="2657" t="s">
        <v>196</v>
      </c>
      <c r="S49" s="2657"/>
      <c r="T49" s="1082" t="s">
        <v>52</v>
      </c>
      <c r="U49" s="1256"/>
      <c r="V49" s="834" t="s">
        <v>7</v>
      </c>
      <c r="W49" s="1256"/>
      <c r="X49" s="1074"/>
      <c r="Z49" s="299"/>
    </row>
    <row r="50" spans="2:32" ht="19" customHeight="1" x14ac:dyDescent="0.35">
      <c r="B50" s="442">
        <v>5</v>
      </c>
      <c r="C50" s="42" t="str">
        <f>IF(B50=1,Pricing!F$1,IF(B50=2,Pricing!G$1,IF(B50=3,Pricing!H$1,IF(B50=4,Pricing!I$1,IF(B50=5,Pricing!J$1,IF(B50=6,Pricing!K$1,0))))))</f>
        <v>5000 psi</v>
      </c>
      <c r="G50" s="764">
        <f>IF(B50=1,Pricing!F$2,IF(B50=2,Pricing!G$2,IF(B50=3,Pricing!H$2,IF(B50=4,Pricing!I$2,IF(B50=5,Pricing!J$2,IF(B50=6,Pricing!K$2,0))))))</f>
        <v>167</v>
      </c>
      <c r="H50" s="88" t="s">
        <v>168</v>
      </c>
      <c r="I50" s="2032" t="s">
        <v>323</v>
      </c>
      <c r="J50" s="2033"/>
      <c r="K50" s="2039">
        <v>0.05</v>
      </c>
      <c r="L50" s="1908">
        <f>IF(B50=1,AO$37,IF(B50=2,AP$37,IF(B50=3,AQ$37,IF(B50=4,AR$37,IF(B50=5,AS$37,IF(B50=6,AT$37))))))</f>
        <v>0</v>
      </c>
      <c r="M50" s="1909"/>
      <c r="N50" s="58" t="s">
        <v>102</v>
      </c>
      <c r="O50" s="2457">
        <f>L50*G50*(IF(U$40="N",1+W$40,1))</f>
        <v>0</v>
      </c>
      <c r="P50" s="2458"/>
      <c r="Q50" s="856">
        <v>2</v>
      </c>
      <c r="R50" s="106" t="s">
        <v>466</v>
      </c>
      <c r="S50" s="106"/>
      <c r="T50" s="747">
        <v>1</v>
      </c>
      <c r="U50" s="106"/>
      <c r="V50" s="195">
        <f>BB69</f>
        <v>0</v>
      </c>
      <c r="W50" s="106"/>
      <c r="X50" s="118">
        <f>V50*T50</f>
        <v>0</v>
      </c>
      <c r="Z50" s="299"/>
    </row>
    <row r="51" spans="2:32" ht="19" customHeight="1" x14ac:dyDescent="0.35">
      <c r="B51" s="443">
        <v>6</v>
      </c>
      <c r="C51" s="42" t="str">
        <f>IF(B51=1,Pricing!F$1,IF(B51=2,Pricing!G$1,IF(B51=3,Pricing!H$1,IF(B51=4,Pricing!I$1,IF(B51=5,Pricing!J$1,IF(B51=6,Pricing!K$1,0))))))</f>
        <v>3000 PSI Sidewalk and Hardscape</v>
      </c>
      <c r="G51" s="762">
        <f>IF(B51=1,Pricing!F$2,IF(B51=2,Pricing!G$2,IF(B51=3,Pricing!H$2,IF(B51=4,Pricing!I$2,IF(B51=5,Pricing!J$2,IF(B51=6,Pricing!K$2,0))))))</f>
        <v>147</v>
      </c>
      <c r="H51" s="88" t="s">
        <v>168</v>
      </c>
      <c r="I51" s="2032"/>
      <c r="J51" s="2033"/>
      <c r="K51" s="2039"/>
      <c r="L51" s="1908">
        <f>IF(B51=1,AO$37,IF(B51=2,AP$37,IF(B51=3,AQ$37,IF(B51=4,AR$37,IF(B51=5,AS$37,IF(B51=6,AT$37))))))</f>
        <v>0</v>
      </c>
      <c r="M51" s="1909"/>
      <c r="N51" s="58" t="s">
        <v>102</v>
      </c>
      <c r="O51" s="2457">
        <f>L51*G51*(IF(U$40="N",1+W$40,1))</f>
        <v>0</v>
      </c>
      <c r="P51" s="2458"/>
      <c r="Q51" s="856">
        <v>2</v>
      </c>
      <c r="R51" s="106" t="s">
        <v>203</v>
      </c>
      <c r="S51" s="106"/>
      <c r="T51" s="194">
        <f>I64*T50*1.5</f>
        <v>0</v>
      </c>
      <c r="U51" s="387" t="s">
        <v>197</v>
      </c>
      <c r="V51" s="195">
        <f>Pricing!N3</f>
        <v>0.5625</v>
      </c>
      <c r="W51" s="401" t="s">
        <v>99</v>
      </c>
      <c r="X51" s="118">
        <f t="shared" ref="X51:X62" si="20">IF(U$40="Y",T51*V51,T51*V51*(1+W$40))</f>
        <v>0</v>
      </c>
      <c r="Z51" s="299"/>
    </row>
    <row r="52" spans="2:32" ht="19" customHeight="1" thickBot="1" x14ac:dyDescent="0.4">
      <c r="B52" s="444">
        <v>3</v>
      </c>
      <c r="C52" s="75" t="str">
        <f>IF(B52=1,Pricing!F$1,IF(B52=2,Pricing!G$1,IF(B52=3,Pricing!H$1,IF(B52=4,Pricing!I$1,IF(B52=5,Pricing!J$1,IF(B52=6,Pricing!K$1,0))))))</f>
        <v>4000 psi</v>
      </c>
      <c r="D52" s="75"/>
      <c r="E52" s="75"/>
      <c r="F52" s="75"/>
      <c r="G52" s="763">
        <f>IF(B52=1,Pricing!F$2,IF(B52=2,Pricing!G$2,IF(B52=3,Pricing!H$2,IF(B52=4,Pricing!I$2,IF(B52=5,Pricing!J$2,IF(B52=6,Pricing!K$2,0))))))</f>
        <v>157</v>
      </c>
      <c r="H52" s="90" t="s">
        <v>168</v>
      </c>
      <c r="I52" s="2034"/>
      <c r="J52" s="2035"/>
      <c r="K52" s="2040"/>
      <c r="L52" s="1908">
        <f>IF(B52=1,AO$37,IF(B52=2,AP$37,IF(B52=3,AQ$37,IF(B52=4,AR$37,IF(B52=5,AS$37,IF(B52=6,AT$37))))))</f>
        <v>0</v>
      </c>
      <c r="M52" s="1909"/>
      <c r="N52" s="91" t="s">
        <v>102</v>
      </c>
      <c r="O52" s="2457">
        <f>L52*G52*(IF(U$40="N",1+W$40,1))</f>
        <v>0</v>
      </c>
      <c r="P52" s="2458"/>
      <c r="Q52" s="856">
        <v>2</v>
      </c>
      <c r="R52" s="106" t="s">
        <v>204</v>
      </c>
      <c r="S52" s="106"/>
      <c r="T52" s="194">
        <f>T54</f>
        <v>0</v>
      </c>
      <c r="U52" s="387" t="s">
        <v>197</v>
      </c>
      <c r="V52" s="195">
        <f>Pricing!N4</f>
        <v>0.65625</v>
      </c>
      <c r="W52" s="401" t="s">
        <v>99</v>
      </c>
      <c r="X52" s="118">
        <f t="shared" si="20"/>
        <v>0</v>
      </c>
      <c r="Z52" s="299"/>
    </row>
    <row r="53" spans="2:32" ht="19" customHeight="1" thickTop="1" x14ac:dyDescent="0.35">
      <c r="B53" s="43"/>
      <c r="C53" s="92" t="s">
        <v>104</v>
      </c>
      <c r="G53" s="762">
        <f>Pricing!D22</f>
        <v>0.6</v>
      </c>
      <c r="H53" s="88" t="s">
        <v>88</v>
      </c>
      <c r="I53" s="2246" t="s">
        <v>202</v>
      </c>
      <c r="J53" s="2247"/>
      <c r="K53" s="826">
        <v>0.1</v>
      </c>
      <c r="L53" s="2062">
        <f>U37</f>
        <v>0</v>
      </c>
      <c r="M53" s="2063"/>
      <c r="N53" s="42" t="s">
        <v>32</v>
      </c>
      <c r="O53" s="2450">
        <f>G53*L53*(IF(U40="N",1+W40,1))</f>
        <v>0</v>
      </c>
      <c r="P53" s="2451"/>
      <c r="Q53" s="856">
        <v>2</v>
      </c>
      <c r="R53" s="106" t="s">
        <v>206</v>
      </c>
      <c r="S53" s="106"/>
      <c r="T53" s="194"/>
      <c r="U53" s="387" t="s">
        <v>197</v>
      </c>
      <c r="V53" s="195">
        <f>Pricing!N5</f>
        <v>1</v>
      </c>
      <c r="W53" s="401" t="s">
        <v>99</v>
      </c>
      <c r="X53" s="118">
        <f t="shared" si="20"/>
        <v>0</v>
      </c>
      <c r="Z53" s="299"/>
    </row>
    <row r="54" spans="2:32" ht="19" customHeight="1" x14ac:dyDescent="0.35">
      <c r="B54" s="43"/>
      <c r="C54" s="92"/>
      <c r="G54" s="762">
        <f>Pricing!F5</f>
        <v>0</v>
      </c>
      <c r="H54" s="88" t="s">
        <v>69</v>
      </c>
      <c r="I54" s="2008" t="s">
        <v>202</v>
      </c>
      <c r="J54" s="2009"/>
      <c r="K54" s="748">
        <v>0.05</v>
      </c>
      <c r="L54" s="1908"/>
      <c r="M54" s="1909"/>
      <c r="N54" s="42" t="s">
        <v>95</v>
      </c>
      <c r="O54" s="2457">
        <f>L54*G54*(IF(U40="N",1+W40,1))*(K54+1)</f>
        <v>0</v>
      </c>
      <c r="P54" s="2458"/>
      <c r="Q54" s="856">
        <v>2</v>
      </c>
      <c r="R54" s="106" t="s">
        <v>205</v>
      </c>
      <c r="S54" s="106"/>
      <c r="T54" s="194">
        <f>ROUNDUP(AL29*0.5,0)</f>
        <v>0</v>
      </c>
      <c r="U54" s="387" t="s">
        <v>197</v>
      </c>
      <c r="V54" s="195">
        <f>Pricing!N6</f>
        <v>1.25</v>
      </c>
      <c r="W54" s="401" t="s">
        <v>99</v>
      </c>
      <c r="X54" s="118">
        <f t="shared" si="20"/>
        <v>0</v>
      </c>
      <c r="Z54" s="299"/>
    </row>
    <row r="55" spans="2:32" ht="19" customHeight="1" thickBot="1" x14ac:dyDescent="0.4">
      <c r="B55" s="43"/>
      <c r="C55" s="93"/>
      <c r="D55" s="75"/>
      <c r="E55" s="75"/>
      <c r="F55" s="75"/>
      <c r="G55" s="763">
        <v>0.35</v>
      </c>
      <c r="H55" s="90" t="s">
        <v>121</v>
      </c>
      <c r="I55" s="75" t="s">
        <v>199</v>
      </c>
      <c r="J55" s="2375"/>
      <c r="K55" s="2375"/>
      <c r="L55" s="2061"/>
      <c r="M55" s="2061"/>
      <c r="N55" s="75" t="s">
        <v>95</v>
      </c>
      <c r="O55" s="2442">
        <f>IF(N36="y",IF(J55=0,L55*G55,J55),0)*(IF(T$62="N",1+V$62,1))</f>
        <v>0</v>
      </c>
      <c r="P55" s="2443"/>
      <c r="Q55" s="856">
        <v>2</v>
      </c>
      <c r="R55" s="106" t="s">
        <v>207</v>
      </c>
      <c r="S55" s="106"/>
      <c r="T55" s="194"/>
      <c r="U55" s="106" t="s">
        <v>209</v>
      </c>
      <c r="V55" s="195">
        <f>Pricing!N7</f>
        <v>50</v>
      </c>
      <c r="W55" s="401" t="s">
        <v>290</v>
      </c>
      <c r="X55" s="118">
        <f t="shared" si="20"/>
        <v>0</v>
      </c>
      <c r="Z55" s="299"/>
    </row>
    <row r="56" spans="2:32" ht="19" customHeight="1" thickTop="1" x14ac:dyDescent="0.35">
      <c r="B56" s="94"/>
      <c r="C56" s="58" t="s">
        <v>103</v>
      </c>
      <c r="G56" s="838">
        <f>Pricing!D18</f>
        <v>25</v>
      </c>
      <c r="H56" s="88" t="s">
        <v>169</v>
      </c>
      <c r="I56" s="2444" t="s">
        <v>202</v>
      </c>
      <c r="J56" s="2445"/>
      <c r="K56" s="2603">
        <v>0.05</v>
      </c>
      <c r="L56" s="1909">
        <f>AI29</f>
        <v>0</v>
      </c>
      <c r="M56" s="1909"/>
      <c r="N56" s="42" t="s">
        <v>102</v>
      </c>
      <c r="O56" s="2450">
        <f>L56*G56*IF(S24="N",1+D24,1)</f>
        <v>0</v>
      </c>
      <c r="P56" s="2451"/>
      <c r="Q56" s="856">
        <v>2</v>
      </c>
      <c r="R56" s="106" t="s">
        <v>225</v>
      </c>
      <c r="S56" s="106"/>
      <c r="T56" s="194">
        <f>ROUNDUP(E37/2/25,0)</f>
        <v>0</v>
      </c>
      <c r="U56" s="106" t="s">
        <v>224</v>
      </c>
      <c r="V56" s="195">
        <f>Pricing!N14</f>
        <v>18</v>
      </c>
      <c r="W56" s="401" t="s">
        <v>291</v>
      </c>
      <c r="X56" s="118">
        <f t="shared" si="20"/>
        <v>0</v>
      </c>
      <c r="Z56" s="299"/>
    </row>
    <row r="57" spans="2:32" ht="19" customHeight="1" thickBot="1" x14ac:dyDescent="0.4">
      <c r="B57" s="43"/>
      <c r="C57" s="134" t="s">
        <v>344</v>
      </c>
      <c r="D57" s="75"/>
      <c r="E57" s="95"/>
      <c r="F57" s="75"/>
      <c r="G57" s="839">
        <v>15</v>
      </c>
      <c r="H57" s="90" t="s">
        <v>124</v>
      </c>
      <c r="I57" s="2446"/>
      <c r="J57" s="2447"/>
      <c r="K57" s="2604"/>
      <c r="L57" s="2061"/>
      <c r="M57" s="2061"/>
      <c r="N57" s="75" t="s">
        <v>95</v>
      </c>
      <c r="O57" s="2452">
        <f>L57*G57</f>
        <v>0</v>
      </c>
      <c r="P57" s="2453"/>
      <c r="Q57" s="856">
        <v>2</v>
      </c>
      <c r="R57" s="106" t="s">
        <v>0</v>
      </c>
      <c r="S57" s="106"/>
      <c r="T57" s="194">
        <f>ROUNDUP(I64/1800,0)</f>
        <v>0</v>
      </c>
      <c r="U57" s="106" t="s">
        <v>6</v>
      </c>
      <c r="V57" s="195">
        <f>Pricing!N15</f>
        <v>42</v>
      </c>
      <c r="W57" s="401" t="s">
        <v>292</v>
      </c>
      <c r="X57" s="118">
        <f t="shared" si="20"/>
        <v>0</v>
      </c>
      <c r="Z57" s="299"/>
    </row>
    <row r="58" spans="2:32" ht="19" customHeight="1" thickTop="1" x14ac:dyDescent="0.35">
      <c r="B58" s="43"/>
      <c r="C58" s="58"/>
      <c r="E58" s="73"/>
      <c r="G58" s="1329">
        <v>0.17</v>
      </c>
      <c r="H58" s="42" t="s">
        <v>171</v>
      </c>
      <c r="I58" s="2444" t="s">
        <v>202</v>
      </c>
      <c r="J58" s="2445"/>
      <c r="K58" s="2611">
        <v>0.1</v>
      </c>
      <c r="L58" s="1908"/>
      <c r="M58" s="1909"/>
      <c r="N58" s="42" t="s">
        <v>95</v>
      </c>
      <c r="O58" s="2388">
        <f>G58*L58</f>
        <v>0</v>
      </c>
      <c r="P58" s="2389"/>
      <c r="Q58" s="856">
        <v>2</v>
      </c>
      <c r="R58" s="106" t="s">
        <v>2</v>
      </c>
      <c r="S58" s="106"/>
      <c r="T58" s="194">
        <f>ROUNDUP(I64/3000,0)</f>
        <v>0</v>
      </c>
      <c r="U58" s="106" t="s">
        <v>6</v>
      </c>
      <c r="V58" s="195">
        <f>Pricing!N16</f>
        <v>42</v>
      </c>
      <c r="W58" s="401" t="s">
        <v>292</v>
      </c>
      <c r="X58" s="118">
        <f t="shared" si="20"/>
        <v>0</v>
      </c>
      <c r="Z58" s="299"/>
    </row>
    <row r="59" spans="2:32" ht="19" customHeight="1" x14ac:dyDescent="0.35">
      <c r="B59" s="2259" t="s">
        <v>192</v>
      </c>
      <c r="C59" s="1972"/>
      <c r="D59" s="1972"/>
      <c r="E59" s="73" t="s">
        <v>301</v>
      </c>
      <c r="F59" s="777" t="s">
        <v>198</v>
      </c>
      <c r="G59" s="767">
        <v>1.75</v>
      </c>
      <c r="H59" s="88" t="s">
        <v>69</v>
      </c>
      <c r="I59" s="2607"/>
      <c r="J59" s="2608"/>
      <c r="K59" s="2603"/>
      <c r="L59" s="1908">
        <f>IF(F59="Y",E37*(1+K58),0)</f>
        <v>0</v>
      </c>
      <c r="M59" s="1909"/>
      <c r="N59" s="42" t="s">
        <v>42</v>
      </c>
      <c r="O59" s="2388">
        <f>L59*G59</f>
        <v>0</v>
      </c>
      <c r="P59" s="2389"/>
      <c r="Q59" s="856">
        <v>2</v>
      </c>
      <c r="R59" s="106" t="s">
        <v>1</v>
      </c>
      <c r="S59" s="106"/>
      <c r="T59" s="194">
        <f>T58</f>
        <v>0</v>
      </c>
      <c r="U59" s="106" t="s">
        <v>6</v>
      </c>
      <c r="V59" s="195">
        <f>Pricing!N17</f>
        <v>42</v>
      </c>
      <c r="W59" s="401" t="s">
        <v>292</v>
      </c>
      <c r="X59" s="118">
        <f t="shared" si="20"/>
        <v>0</v>
      </c>
      <c r="Z59" s="299"/>
      <c r="AA59" t="s">
        <v>237</v>
      </c>
    </row>
    <row r="60" spans="2:32" ht="19" customHeight="1" thickBot="1" x14ac:dyDescent="0.4">
      <c r="B60" s="2654" t="s">
        <v>201</v>
      </c>
      <c r="C60" s="2655"/>
      <c r="D60" s="2655"/>
      <c r="E60" s="329" t="s">
        <v>301</v>
      </c>
      <c r="F60" s="1148" t="s">
        <v>198</v>
      </c>
      <c r="G60" s="1149">
        <v>1.8</v>
      </c>
      <c r="H60" s="90" t="s">
        <v>170</v>
      </c>
      <c r="I60" s="2446"/>
      <c r="J60" s="2447"/>
      <c r="K60" s="2604"/>
      <c r="L60" s="2060">
        <f>IF(F60="Y",,0)*E37*2*(1+K58)</f>
        <v>0</v>
      </c>
      <c r="M60" s="2061"/>
      <c r="N60" s="75" t="s">
        <v>42</v>
      </c>
      <c r="O60" s="2442">
        <f>L60*G60</f>
        <v>0</v>
      </c>
      <c r="P60" s="2443"/>
      <c r="Q60" s="856">
        <v>2</v>
      </c>
      <c r="R60" s="106" t="s">
        <v>210</v>
      </c>
      <c r="S60" s="106"/>
      <c r="T60" s="194">
        <f>AM29*12/48/50</f>
        <v>0</v>
      </c>
      <c r="U60" s="106" t="s">
        <v>6</v>
      </c>
      <c r="V60" s="195">
        <f>Pricing!N33</f>
        <v>25.5</v>
      </c>
      <c r="W60" s="401" t="s">
        <v>292</v>
      </c>
      <c r="X60" s="118">
        <f t="shared" si="20"/>
        <v>0</v>
      </c>
      <c r="Z60" s="299"/>
      <c r="AA60" t="s">
        <v>126</v>
      </c>
      <c r="AB60">
        <v>0</v>
      </c>
    </row>
    <row r="61" spans="2:32" ht="19" customHeight="1" thickTop="1" thickBot="1" x14ac:dyDescent="0.4">
      <c r="B61" s="47"/>
      <c r="C61" s="47" t="s">
        <v>70</v>
      </c>
      <c r="D61" s="49"/>
      <c r="E61" s="49"/>
      <c r="F61" s="49"/>
      <c r="G61" s="1330">
        <v>1.25</v>
      </c>
      <c r="H61" s="96" t="s">
        <v>193</v>
      </c>
      <c r="I61" s="2360" t="s">
        <v>195</v>
      </c>
      <c r="J61" s="2361"/>
      <c r="K61" s="828">
        <v>1</v>
      </c>
      <c r="L61" s="2362">
        <f>AX37</f>
        <v>0</v>
      </c>
      <c r="M61" s="2363"/>
      <c r="N61" s="49" t="s">
        <v>95</v>
      </c>
      <c r="O61" s="2429">
        <f>G61*K61*L61</f>
        <v>0</v>
      </c>
      <c r="P61" s="2430"/>
      <c r="Q61" s="856">
        <v>2</v>
      </c>
      <c r="R61" s="106" t="s">
        <v>236</v>
      </c>
      <c r="S61" s="106"/>
      <c r="T61" s="194">
        <f>BE51+AE112</f>
        <v>0</v>
      </c>
      <c r="U61" s="106" t="s">
        <v>197</v>
      </c>
      <c r="V61" s="195">
        <f>Pricing!N18</f>
        <v>0.78</v>
      </c>
      <c r="W61" s="401" t="s">
        <v>99</v>
      </c>
      <c r="X61" s="118">
        <f t="shared" si="20"/>
        <v>0</v>
      </c>
      <c r="Z61" s="299"/>
      <c r="AA61" t="s">
        <v>238</v>
      </c>
      <c r="AB61">
        <v>0</v>
      </c>
    </row>
    <row r="62" spans="2:32" ht="19" customHeight="1" thickBot="1" x14ac:dyDescent="0.4">
      <c r="B62" s="835" t="s">
        <v>221</v>
      </c>
      <c r="C62" s="834"/>
      <c r="D62" s="834" t="s">
        <v>299</v>
      </c>
      <c r="E62" s="834" t="s">
        <v>570</v>
      </c>
      <c r="F62" s="834"/>
      <c r="G62" s="834"/>
      <c r="H62" s="834"/>
      <c r="I62" s="834"/>
      <c r="J62" s="834"/>
      <c r="K62" s="834"/>
      <c r="L62" s="2306" t="s">
        <v>45</v>
      </c>
      <c r="M62" s="2306"/>
      <c r="N62" s="2306" t="s">
        <v>300</v>
      </c>
      <c r="O62" s="2306"/>
      <c r="P62" s="2307"/>
      <c r="Q62" s="856">
        <v>2</v>
      </c>
      <c r="R62" s="106" t="s">
        <v>119</v>
      </c>
      <c r="S62" s="106"/>
      <c r="T62" s="194">
        <f>SUM(G11:G36)*4</f>
        <v>0</v>
      </c>
      <c r="U62" s="106" t="s">
        <v>197</v>
      </c>
      <c r="V62" s="195">
        <f>Pricing!N19</f>
        <v>0.16</v>
      </c>
      <c r="W62" s="401" t="s">
        <v>99</v>
      </c>
      <c r="X62" s="118">
        <f t="shared" si="20"/>
        <v>0</v>
      </c>
      <c r="Z62" s="299"/>
      <c r="AA62" t="s">
        <v>283</v>
      </c>
      <c r="AB62">
        <v>0</v>
      </c>
    </row>
    <row r="63" spans="2:32" ht="19" customHeight="1" x14ac:dyDescent="0.35">
      <c r="B63" s="250" t="s">
        <v>508</v>
      </c>
      <c r="C63" s="421"/>
      <c r="D63" s="246" t="s">
        <v>200</v>
      </c>
      <c r="E63" s="2028">
        <v>1</v>
      </c>
      <c r="F63" s="2028"/>
      <c r="G63" s="419" t="s">
        <v>191</v>
      </c>
      <c r="H63" s="48"/>
      <c r="I63" s="2637">
        <f>I64</f>
        <v>0</v>
      </c>
      <c r="J63" s="1959"/>
      <c r="K63" s="48" t="s">
        <v>675</v>
      </c>
      <c r="L63" s="2359">
        <f>IF(D63="N",E63*I63,0)</f>
        <v>0</v>
      </c>
      <c r="M63" s="2359"/>
      <c r="N63" s="247"/>
      <c r="O63" s="2714">
        <f>IF(D63="y",E63*I63,0)</f>
        <v>0</v>
      </c>
      <c r="P63" s="2783"/>
      <c r="Q63" s="856">
        <v>2</v>
      </c>
      <c r="R63" s="106" t="s">
        <v>218</v>
      </c>
      <c r="S63" s="106"/>
      <c r="T63" s="194"/>
      <c r="U63" s="106" t="s">
        <v>6</v>
      </c>
      <c r="V63" s="195">
        <f>Pricing!N20</f>
        <v>45</v>
      </c>
      <c r="W63" s="401" t="s">
        <v>292</v>
      </c>
      <c r="X63" s="118">
        <f>IF(U$40="Y",T63*V63,T63*V63*(1+W$40))</f>
        <v>0</v>
      </c>
      <c r="Z63" s="299"/>
      <c r="AA63" t="s">
        <v>239</v>
      </c>
      <c r="AB63" t="s">
        <v>240</v>
      </c>
      <c r="AF63" t="s">
        <v>92</v>
      </c>
    </row>
    <row r="64" spans="2:32" ht="19" customHeight="1" x14ac:dyDescent="0.35">
      <c r="B64" s="193" t="s">
        <v>329</v>
      </c>
      <c r="C64" s="30"/>
      <c r="D64" s="97" t="s">
        <v>235</v>
      </c>
      <c r="E64" s="1844">
        <v>2</v>
      </c>
      <c r="F64" s="1845"/>
      <c r="G64" s="401" t="s">
        <v>191</v>
      </c>
      <c r="H64" s="2431">
        <f>SUM(E64:F66)</f>
        <v>4.9000000000000004</v>
      </c>
      <c r="I64" s="2557">
        <f>AW37</f>
        <v>0</v>
      </c>
      <c r="J64" s="2558"/>
      <c r="K64" s="42" t="s">
        <v>674</v>
      </c>
      <c r="L64" s="2231">
        <f>IF(D64="N",E64*I$64,0)</f>
        <v>0</v>
      </c>
      <c r="M64" s="2231"/>
      <c r="N64"/>
      <c r="O64" s="2700">
        <f>IF(D64="y",I$64*E64,0)</f>
        <v>0</v>
      </c>
      <c r="P64" s="2796"/>
      <c r="Q64" s="856">
        <v>2</v>
      </c>
      <c r="R64" s="106"/>
      <c r="S64" s="106"/>
      <c r="T64" s="106"/>
      <c r="U64" s="106"/>
      <c r="V64" s="195">
        <f>BB70</f>
        <v>0</v>
      </c>
      <c r="W64" s="106"/>
      <c r="X64" s="118">
        <f>V64*T64</f>
        <v>0</v>
      </c>
      <c r="Z64" s="299"/>
    </row>
    <row r="65" spans="2:32" ht="19" customHeight="1" x14ac:dyDescent="0.35">
      <c r="B65" s="196" t="s">
        <v>162</v>
      </c>
      <c r="C65" s="30"/>
      <c r="D65" s="98" t="s">
        <v>235</v>
      </c>
      <c r="E65" s="1844">
        <v>2</v>
      </c>
      <c r="F65" s="1845"/>
      <c r="G65" s="401" t="s">
        <v>191</v>
      </c>
      <c r="H65" s="2431"/>
      <c r="I65" s="2559"/>
      <c r="J65" s="2560"/>
      <c r="K65" s="42" t="s">
        <v>674</v>
      </c>
      <c r="L65" s="2231">
        <f>IF(D65="N",E65*I$64,0)</f>
        <v>0</v>
      </c>
      <c r="M65" s="2231"/>
      <c r="N65"/>
      <c r="O65" s="2700">
        <f>IF(D65="y",I$64*E65,0)</f>
        <v>0</v>
      </c>
      <c r="P65" s="2796"/>
      <c r="Q65" s="856">
        <v>2</v>
      </c>
      <c r="R65" s="106" t="s">
        <v>123</v>
      </c>
      <c r="S65" s="106"/>
      <c r="T65" s="106">
        <v>0</v>
      </c>
      <c r="U65" s="106" t="s">
        <v>208</v>
      </c>
      <c r="V65" s="195">
        <f>BH61</f>
        <v>0</v>
      </c>
      <c r="W65" s="401" t="s">
        <v>294</v>
      </c>
      <c r="X65" s="118">
        <f>V65*T65</f>
        <v>0</v>
      </c>
      <c r="Z65" s="299"/>
      <c r="AA65">
        <v>0</v>
      </c>
      <c r="AB65" t="s">
        <v>241</v>
      </c>
    </row>
    <row r="66" spans="2:32" ht="19" customHeight="1" x14ac:dyDescent="0.35">
      <c r="B66" s="196" t="s">
        <v>84</v>
      </c>
      <c r="C66" s="30"/>
      <c r="D66" s="98" t="s">
        <v>235</v>
      </c>
      <c r="E66" s="1844">
        <v>0.9</v>
      </c>
      <c r="F66" s="1845"/>
      <c r="G66" s="401" t="s">
        <v>191</v>
      </c>
      <c r="H66" s="2431"/>
      <c r="I66" s="2559"/>
      <c r="J66" s="2560"/>
      <c r="K66" s="42" t="s">
        <v>674</v>
      </c>
      <c r="L66" s="2231">
        <f>IF(D66="N",E66*I$64,0)</f>
        <v>0</v>
      </c>
      <c r="M66" s="2231"/>
      <c r="N66"/>
      <c r="O66" s="2700">
        <f>IF(D66="y",I$64*E66,0)</f>
        <v>0</v>
      </c>
      <c r="P66" s="2796"/>
      <c r="Q66" s="856">
        <v>2</v>
      </c>
      <c r="R66" s="106"/>
      <c r="S66" s="106"/>
      <c r="T66" s="194"/>
      <c r="U66" s="106"/>
      <c r="V66" s="195">
        <v>0</v>
      </c>
      <c r="W66" s="106"/>
      <c r="X66" s="118">
        <f t="shared" ref="X66:X74" si="21">T66*V66</f>
        <v>0</v>
      </c>
      <c r="Z66" s="299"/>
      <c r="AA66">
        <v>1</v>
      </c>
      <c r="AB66" t="s">
        <v>242</v>
      </c>
    </row>
    <row r="67" spans="2:32" ht="19" customHeight="1" x14ac:dyDescent="0.35">
      <c r="B67" s="196" t="s">
        <v>322</v>
      </c>
      <c r="C67" s="30"/>
      <c r="D67" s="98" t="s">
        <v>235</v>
      </c>
      <c r="E67" s="1844">
        <v>0.3</v>
      </c>
      <c r="F67" s="1845"/>
      <c r="G67" s="401" t="s">
        <v>191</v>
      </c>
      <c r="I67" s="2561"/>
      <c r="J67" s="2562"/>
      <c r="K67" s="42" t="s">
        <v>332</v>
      </c>
      <c r="L67" s="2231">
        <f>IF(D67="N",E67*I$64,0)</f>
        <v>0</v>
      </c>
      <c r="M67" s="2231"/>
      <c r="N67"/>
      <c r="O67" s="2700">
        <f>IF(D67="y",I$64*E67,0)</f>
        <v>0</v>
      </c>
      <c r="P67" s="2796"/>
      <c r="Q67" s="856">
        <v>2</v>
      </c>
      <c r="R67" s="106"/>
      <c r="S67" s="106"/>
      <c r="T67" s="194"/>
      <c r="U67" s="106"/>
      <c r="V67" s="195">
        <v>0</v>
      </c>
      <c r="W67" s="106"/>
      <c r="X67" s="118">
        <f t="shared" si="21"/>
        <v>0</v>
      </c>
      <c r="Z67" s="299"/>
      <c r="AA67">
        <v>2</v>
      </c>
      <c r="AB67" t="s">
        <v>243</v>
      </c>
      <c r="AF67" s="261">
        <f>SUM(X51:X74)+O54+O58+O87+O55</f>
        <v>0</v>
      </c>
    </row>
    <row r="68" spans="2:32" ht="19" customHeight="1" x14ac:dyDescent="0.35">
      <c r="B68" s="196" t="s">
        <v>33</v>
      </c>
      <c r="C68" s="30"/>
      <c r="D68" s="98" t="s">
        <v>235</v>
      </c>
      <c r="E68" s="1844">
        <v>400</v>
      </c>
      <c r="F68" s="1845"/>
      <c r="G68" s="401" t="s">
        <v>89</v>
      </c>
      <c r="I68" s="1909">
        <f>(L53/2000)</f>
        <v>0</v>
      </c>
      <c r="J68" s="1909"/>
      <c r="K68" s="42" t="s">
        <v>183</v>
      </c>
      <c r="L68" s="2231">
        <f>IF(D68="N",E68*I68,0)</f>
        <v>0</v>
      </c>
      <c r="M68" s="2231"/>
      <c r="N68"/>
      <c r="O68" s="2700">
        <f>IF(D68="y",I68*E68,0)</f>
        <v>0</v>
      </c>
      <c r="P68" s="2796"/>
      <c r="Q68" s="856">
        <v>2</v>
      </c>
      <c r="R68" s="106"/>
      <c r="S68" s="106"/>
      <c r="T68" s="194">
        <f>BE56+BM56</f>
        <v>0</v>
      </c>
      <c r="U68" s="106"/>
      <c r="V68" s="195">
        <f>BH56</f>
        <v>0</v>
      </c>
      <c r="W68" s="106"/>
      <c r="X68" s="118">
        <f t="shared" si="21"/>
        <v>0</v>
      </c>
      <c r="Z68" s="299"/>
      <c r="AA68">
        <v>3</v>
      </c>
      <c r="AB68" t="s">
        <v>244</v>
      </c>
      <c r="AF68">
        <f>O56</f>
        <v>0</v>
      </c>
    </row>
    <row r="69" spans="2:32" ht="19" customHeight="1" x14ac:dyDescent="0.35">
      <c r="B69" s="209" t="s">
        <v>326</v>
      </c>
      <c r="C69" s="32"/>
      <c r="D69" s="98" t="s">
        <v>235</v>
      </c>
      <c r="E69" s="1842">
        <v>4</v>
      </c>
      <c r="F69" s="1843"/>
      <c r="G69" s="445" t="s">
        <v>327</v>
      </c>
      <c r="H69" s="52"/>
      <c r="I69" s="2257"/>
      <c r="J69" s="2257"/>
      <c r="K69" s="52" t="s">
        <v>328</v>
      </c>
      <c r="L69" s="2258">
        <f>IF(D69="N",E69*I69,0)</f>
        <v>0</v>
      </c>
      <c r="M69" s="2258"/>
      <c r="N69"/>
      <c r="O69" s="2797">
        <f>IF(D69="y",I69*E69,0)</f>
        <v>0</v>
      </c>
      <c r="P69" s="2798"/>
      <c r="Q69" s="856">
        <v>2</v>
      </c>
      <c r="R69" s="106"/>
      <c r="S69" s="106"/>
      <c r="T69" s="194">
        <f>BE58+BM58</f>
        <v>0</v>
      </c>
      <c r="U69" s="106"/>
      <c r="V69" s="195">
        <f>BH58</f>
        <v>0</v>
      </c>
      <c r="W69" s="106"/>
      <c r="X69" s="118">
        <f t="shared" si="21"/>
        <v>0</v>
      </c>
      <c r="Z69" s="299"/>
      <c r="AA69">
        <v>4</v>
      </c>
      <c r="AB69" t="s">
        <v>245</v>
      </c>
      <c r="AF69">
        <f>O57</f>
        <v>0</v>
      </c>
    </row>
    <row r="70" spans="2:32" ht="19" customHeight="1" thickBot="1" x14ac:dyDescent="0.4">
      <c r="B70" s="6" t="s">
        <v>572</v>
      </c>
      <c r="C70" s="4"/>
      <c r="D70" s="5"/>
      <c r="E70" s="2323">
        <f>IF(E37=0,0,O70/E37)</f>
        <v>0</v>
      </c>
      <c r="F70" s="2776"/>
      <c r="G70" s="76"/>
      <c r="H70" s="49"/>
      <c r="I70" s="2017" t="s">
        <v>50</v>
      </c>
      <c r="J70" s="2017"/>
      <c r="K70" s="2017"/>
      <c r="L70" s="2232">
        <f>SUM(L63:M69)</f>
        <v>0</v>
      </c>
      <c r="M70" s="2232"/>
      <c r="N70" s="248"/>
      <c r="O70" s="2711">
        <f>SUM(O63:P69)</f>
        <v>0</v>
      </c>
      <c r="P70" s="2801"/>
      <c r="Q70" s="856">
        <v>2</v>
      </c>
      <c r="R70" s="106"/>
      <c r="S70" s="106"/>
      <c r="T70" s="194">
        <f>BE59+BM59</f>
        <v>0</v>
      </c>
      <c r="U70" s="402"/>
      <c r="V70" s="195">
        <f>BH59</f>
        <v>0</v>
      </c>
      <c r="W70" s="106"/>
      <c r="X70" s="118">
        <f t="shared" si="21"/>
        <v>0</v>
      </c>
      <c r="Z70" s="299"/>
      <c r="AA70">
        <v>5</v>
      </c>
      <c r="AB70" t="s">
        <v>246</v>
      </c>
      <c r="AF70">
        <f>O53</f>
        <v>0</v>
      </c>
    </row>
    <row r="71" spans="2:32" ht="19" customHeight="1" thickBot="1" x14ac:dyDescent="0.4">
      <c r="B71" s="2305" t="s">
        <v>194</v>
      </c>
      <c r="C71" s="2306"/>
      <c r="D71" s="2306"/>
      <c r="E71" s="2306"/>
      <c r="F71" s="2306"/>
      <c r="G71" s="2306"/>
      <c r="H71" s="2306"/>
      <c r="I71" s="2306"/>
      <c r="J71" s="2306"/>
      <c r="K71" s="2306"/>
      <c r="L71" s="2306"/>
      <c r="M71" s="2306"/>
      <c r="N71" s="2306"/>
      <c r="O71" s="2306"/>
      <c r="P71" s="2307"/>
      <c r="Q71" s="856">
        <v>2</v>
      </c>
      <c r="R71" s="106" t="s">
        <v>219</v>
      </c>
      <c r="S71" s="106"/>
      <c r="T71" s="194"/>
      <c r="U71" s="106"/>
      <c r="V71" s="195">
        <f>Pricing!N3</f>
        <v>0.5625</v>
      </c>
      <c r="W71" s="106" t="s">
        <v>18</v>
      </c>
      <c r="X71" s="118">
        <f t="shared" si="21"/>
        <v>0</v>
      </c>
      <c r="Z71" s="299"/>
      <c r="AA71">
        <v>6</v>
      </c>
      <c r="AB71" t="s">
        <v>248</v>
      </c>
      <c r="AF71">
        <f>SUM(X76:X81)</f>
        <v>0</v>
      </c>
    </row>
    <row r="72" spans="2:32" ht="19" customHeight="1" x14ac:dyDescent="0.35">
      <c r="B72" s="390" t="s">
        <v>173</v>
      </c>
      <c r="C72" s="421"/>
      <c r="D72" s="101"/>
      <c r="E72" s="752">
        <v>0</v>
      </c>
      <c r="F72" s="421" t="s">
        <v>187</v>
      </c>
      <c r="G72" s="1150">
        <v>390</v>
      </c>
      <c r="H72" s="446" t="s">
        <v>172</v>
      </c>
      <c r="I72" s="48"/>
      <c r="J72" s="48"/>
      <c r="K72" s="48"/>
      <c r="L72" s="48"/>
      <c r="M72" s="2799">
        <f>IF(E41=0,0,(SUM(O72:P74))/E41)</f>
        <v>0</v>
      </c>
      <c r="N72" s="2800"/>
      <c r="O72" s="2412">
        <f>E72*G72</f>
        <v>0</v>
      </c>
      <c r="P72" s="2413"/>
      <c r="Q72" s="856">
        <v>2</v>
      </c>
      <c r="R72" s="106" t="s">
        <v>233</v>
      </c>
      <c r="S72" s="106"/>
      <c r="T72" s="194"/>
      <c r="U72" s="106"/>
      <c r="V72" s="195">
        <f>Pricing!N4</f>
        <v>0.65625</v>
      </c>
      <c r="W72" s="106" t="s">
        <v>18</v>
      </c>
      <c r="X72" s="118">
        <f t="shared" si="21"/>
        <v>0</v>
      </c>
      <c r="Z72" s="299"/>
      <c r="AA72">
        <v>7</v>
      </c>
      <c r="AB72" t="s">
        <v>247</v>
      </c>
    </row>
    <row r="73" spans="2:32" ht="19" customHeight="1" x14ac:dyDescent="0.35">
      <c r="B73" s="196" t="s">
        <v>158</v>
      </c>
      <c r="C73" s="106"/>
      <c r="D73" s="106"/>
      <c r="E73" s="753">
        <v>0</v>
      </c>
      <c r="F73" s="447" t="s">
        <v>187</v>
      </c>
      <c r="G73" s="1201">
        <v>295</v>
      </c>
      <c r="H73" s="448" t="s">
        <v>172</v>
      </c>
      <c r="M73" s="2076">
        <f>SUM(O72:P74)</f>
        <v>0</v>
      </c>
      <c r="N73" s="2077"/>
      <c r="O73" s="2388">
        <f>E73*G73</f>
        <v>0</v>
      </c>
      <c r="P73" s="2389"/>
      <c r="Q73" s="856">
        <v>2</v>
      </c>
      <c r="R73" s="106" t="s">
        <v>336</v>
      </c>
      <c r="S73" s="106"/>
      <c r="T73" s="194"/>
      <c r="U73" s="106" t="s">
        <v>288</v>
      </c>
      <c r="V73" s="195">
        <f>Pricing!N27</f>
        <v>15</v>
      </c>
      <c r="W73" s="401" t="s">
        <v>293</v>
      </c>
      <c r="X73" s="118">
        <f t="shared" si="21"/>
        <v>0</v>
      </c>
      <c r="Z73" s="299"/>
      <c r="AA73">
        <v>8</v>
      </c>
      <c r="AB73" t="s">
        <v>249</v>
      </c>
      <c r="AF73">
        <f>SUM(O50:P52)</f>
        <v>0</v>
      </c>
    </row>
    <row r="74" spans="2:32" ht="19" customHeight="1" thickBot="1" x14ac:dyDescent="0.4">
      <c r="B74" s="219" t="s">
        <v>188</v>
      </c>
      <c r="C74" s="188"/>
      <c r="D74" s="188"/>
      <c r="E74" s="754">
        <f>E72</f>
        <v>0</v>
      </c>
      <c r="F74" s="188" t="s">
        <v>187</v>
      </c>
      <c r="G74" s="768">
        <v>100</v>
      </c>
      <c r="H74" s="188" t="s">
        <v>172</v>
      </c>
      <c r="I74" s="49"/>
      <c r="J74" s="49"/>
      <c r="K74" s="49"/>
      <c r="L74" s="49"/>
      <c r="M74" s="49"/>
      <c r="N74" s="49"/>
      <c r="O74" s="2402">
        <f>E74*G74</f>
        <v>0</v>
      </c>
      <c r="P74" s="2403"/>
      <c r="Q74" s="856">
        <v>2</v>
      </c>
      <c r="R74" s="106"/>
      <c r="S74" s="106"/>
      <c r="T74" s="194">
        <f>BE58+BM58</f>
        <v>0</v>
      </c>
      <c r="U74" s="106"/>
      <c r="V74" s="195">
        <f>BH58</f>
        <v>0</v>
      </c>
      <c r="W74" s="106"/>
      <c r="X74" s="118">
        <f t="shared" si="21"/>
        <v>0</v>
      </c>
      <c r="Z74" s="299"/>
      <c r="AA74">
        <v>9</v>
      </c>
      <c r="AB74" t="s">
        <v>234</v>
      </c>
      <c r="AF74">
        <f>SUM(O59:P60)</f>
        <v>0</v>
      </c>
    </row>
    <row r="75" spans="2:32" ht="19" customHeight="1" thickBot="1" x14ac:dyDescent="0.4">
      <c r="B75" s="2305" t="s">
        <v>44</v>
      </c>
      <c r="C75" s="2306"/>
      <c r="D75" s="2306"/>
      <c r="E75" s="2306"/>
      <c r="F75" s="2306"/>
      <c r="G75" s="2306"/>
      <c r="H75" s="2306"/>
      <c r="I75" s="2306"/>
      <c r="J75" s="2306"/>
      <c r="K75" s="2306"/>
      <c r="L75" s="2306"/>
      <c r="M75" s="2306"/>
      <c r="N75" s="2306"/>
      <c r="O75" s="2306"/>
      <c r="P75" s="2307"/>
      <c r="Q75" s="856">
        <v>2</v>
      </c>
      <c r="R75" s="851" t="s">
        <v>892</v>
      </c>
      <c r="S75" s="852"/>
      <c r="T75" s="851"/>
      <c r="U75" s="853"/>
      <c r="V75" s="2243"/>
      <c r="W75" s="2244"/>
      <c r="X75" s="850">
        <f>V75</f>
        <v>0</v>
      </c>
      <c r="Z75" s="299"/>
      <c r="AA75">
        <v>10</v>
      </c>
      <c r="AB75" t="s">
        <v>250</v>
      </c>
      <c r="AF75">
        <f>SUM(X82:X84)</f>
        <v>0</v>
      </c>
    </row>
    <row r="76" spans="2:32" ht="19" customHeight="1" thickTop="1" x14ac:dyDescent="0.35">
      <c r="B76" s="2052" t="s">
        <v>90</v>
      </c>
      <c r="C76" s="2053"/>
      <c r="D76" s="2054"/>
      <c r="E76" s="752"/>
      <c r="F76" s="421" t="s">
        <v>107</v>
      </c>
      <c r="G76" s="1150">
        <f>Pricing!D31</f>
        <v>385</v>
      </c>
      <c r="H76" s="419" t="s">
        <v>172</v>
      </c>
      <c r="I76" s="48"/>
      <c r="J76" s="48"/>
      <c r="K76" s="48"/>
      <c r="L76" s="48"/>
      <c r="M76" s="48"/>
      <c r="N76" s="48"/>
      <c r="O76" s="2412">
        <f>(IF(AND(E76&gt;0,E76&lt;4),E76*G76,0)+IF(AND(E76&gt;3,E76&lt;8),G76*3,0)+IF(AND(E76&gt;7,E76&lt;21),E76/7*G76*3,0)+IF(AND(E76&gt;20,E76&lt;30),G76*9,0)+IF(E76&gt;29,E76/30*G76*9,0))*(1+W$40+J$78)</f>
        <v>0</v>
      </c>
      <c r="P76" s="2413"/>
      <c r="Q76" s="856">
        <v>6</v>
      </c>
      <c r="R76" s="106" t="s">
        <v>287</v>
      </c>
      <c r="S76" s="106"/>
      <c r="T76" s="106">
        <f>ROUNDUP(I64/12000,0)</f>
        <v>0</v>
      </c>
      <c r="U76" s="106" t="s">
        <v>288</v>
      </c>
      <c r="V76" s="195">
        <f>BH65</f>
        <v>0</v>
      </c>
      <c r="W76" s="401" t="s">
        <v>293</v>
      </c>
      <c r="X76" s="111">
        <f>T76*V76</f>
        <v>0</v>
      </c>
      <c r="Z76" s="299"/>
      <c r="AA76">
        <v>11</v>
      </c>
      <c r="AB76" t="s">
        <v>251</v>
      </c>
    </row>
    <row r="77" spans="2:32" ht="19" customHeight="1" thickBot="1" x14ac:dyDescent="0.4">
      <c r="B77" s="1979" t="s">
        <v>91</v>
      </c>
      <c r="C77" s="1980"/>
      <c r="D77" s="1981"/>
      <c r="E77" s="755">
        <f>IF(E$72&gt;0,IF(E$72&lt;=3,E$72,7),0)+IF(E$72&gt;5,IF(E$72&lt;=10,7,0),0)+IF(E$72&gt;10,IF(E$72&lt;=15,14,0),0)+IF(E$72&gt;15,IF(E$72&lt;=20,23,0),0)+IF(E$72&gt;20,IF(E$72&lt;=40,53,0),0)+IF(E$72&gt;40,IF(E$72&lt;=60,83,0),0)+IF(E$72&gt;60,IF(E$72&lt;=80,113,0),0)+IF(E$72&gt;80,IF(E$72&lt;=100,143,0),0)</f>
        <v>0</v>
      </c>
      <c r="F77" s="106" t="s">
        <v>107</v>
      </c>
      <c r="G77" s="1151">
        <f>Pricing!D33</f>
        <v>350</v>
      </c>
      <c r="H77" s="401" t="s">
        <v>172</v>
      </c>
      <c r="J77" s="2083" t="s">
        <v>469</v>
      </c>
      <c r="K77" s="2084"/>
      <c r="M77" s="2777">
        <f>IF(E41=0,0,(SUM(O76:P81))/E41)</f>
        <v>0</v>
      </c>
      <c r="N77" s="2778"/>
      <c r="O77" s="2388">
        <f>(IF(AND(E77&gt;0,E77&lt;4),E77*G77,0)+IF(AND(E77&gt;3,E77&lt;8),G77*3,0)+IF(AND(E77&gt;7,E77&lt;21),E77/7*G77*3,0)+IF(AND(E77&gt;20,E77&lt;30),G77*9,0)+IF(E77&gt;29,E77/30*G77*9,0))*(1+W$40+J$78)</f>
        <v>0</v>
      </c>
      <c r="P77" s="2389"/>
      <c r="Q77" s="856">
        <v>6</v>
      </c>
      <c r="R77" s="106" t="s">
        <v>286</v>
      </c>
      <c r="S77" s="106"/>
      <c r="T77" s="106"/>
      <c r="U77" s="106"/>
      <c r="V77" s="195">
        <v>0</v>
      </c>
      <c r="W77" s="401" t="s">
        <v>99</v>
      </c>
      <c r="X77" s="118">
        <f t="shared" ref="X77:X84" si="22">V77*T77</f>
        <v>0</v>
      </c>
      <c r="Z77" s="299"/>
      <c r="AA77">
        <v>12</v>
      </c>
      <c r="AB77" t="s">
        <v>252</v>
      </c>
    </row>
    <row r="78" spans="2:32" ht="19" customHeight="1" thickTop="1" x14ac:dyDescent="0.35">
      <c r="B78" s="1979" t="s">
        <v>663</v>
      </c>
      <c r="C78" s="1980"/>
      <c r="D78" s="1981"/>
      <c r="E78" s="755"/>
      <c r="F78" s="106" t="s">
        <v>107</v>
      </c>
      <c r="G78" s="1151">
        <f>Pricing!D34</f>
        <v>300</v>
      </c>
      <c r="H78" s="401" t="s">
        <v>172</v>
      </c>
      <c r="J78" s="2779">
        <v>0.7</v>
      </c>
      <c r="K78" s="2780"/>
      <c r="M78" s="2076">
        <f>SUM(O76:P81)</f>
        <v>0</v>
      </c>
      <c r="N78" s="2077"/>
      <c r="O78" s="2388">
        <f>(IF(AND(E78&gt;0,E78&lt;4),E78*G78,0)+IF(AND(E78&gt;3,E78&lt;8),G78*3,0)+IF(AND(E78&gt;7,E78&lt;21),E78/7*G78*3,0)+IF(AND(E78&gt;20,E78&lt;30),G78*9,0)+IF(E78&gt;29,E78/30*G78*9,0))*(1+W$40+J$78)</f>
        <v>0</v>
      </c>
      <c r="P78" s="2389"/>
      <c r="Q78" s="856">
        <v>6</v>
      </c>
      <c r="R78" s="106" t="s">
        <v>285</v>
      </c>
      <c r="S78" s="106"/>
      <c r="T78" s="197">
        <f>L53</f>
        <v>0</v>
      </c>
      <c r="U78" s="106" t="s">
        <v>32</v>
      </c>
      <c r="V78" s="195">
        <v>0.02</v>
      </c>
      <c r="W78" s="401" t="s">
        <v>88</v>
      </c>
      <c r="X78" s="118">
        <f>V78*T78</f>
        <v>0</v>
      </c>
      <c r="Z78" s="299"/>
      <c r="AA78">
        <v>15</v>
      </c>
      <c r="AB78" t="s">
        <v>253</v>
      </c>
    </row>
    <row r="79" spans="2:32" ht="19" customHeight="1" x14ac:dyDescent="0.35">
      <c r="B79" s="1979" t="s">
        <v>160</v>
      </c>
      <c r="C79" s="1980"/>
      <c r="D79" s="1981"/>
      <c r="E79" s="755">
        <f>IF(E$72&gt;0,IF(E$72&lt;=3,E$72,7),0)+IF(E$72&gt;5,IF(E$72&lt;=10,7,0),0)+IF(E$72&gt;10,IF(E$72&lt;=15,14,0),0)+IF(E$72&gt;15,IF(E$72&lt;=20,23,0),0)+IF(E$72&gt;20,IF(E$72&lt;=40,53,0),0)+IF(E$72&gt;40,IF(E$72&lt;=60,83,0),0)+IF(E$72&gt;60,IF(E$72&lt;=80,113,0),0)+IF(E$72&gt;80,IF(E$72&lt;=100,143,0),0)</f>
        <v>0</v>
      </c>
      <c r="F79" s="106" t="s">
        <v>107</v>
      </c>
      <c r="G79" s="1151">
        <f>Pricing!D37</f>
        <v>65</v>
      </c>
      <c r="H79" s="401" t="s">
        <v>172</v>
      </c>
      <c r="J79" s="2781"/>
      <c r="K79" s="2782"/>
      <c r="O79" s="2388">
        <f>(IF(AND(E79&gt;0,E79&lt;4),E79*G79,0)+IF(AND(E79&gt;3,E79&lt;8),G79*3,0)+IF(AND(E79&gt;7,E79&lt;21),E79/7*G79*3,0)+IF(AND(E79&gt;20,E79&lt;30),G79*9,0)+IF(E79&gt;29,E79/30*G79*9,0))*(1+W$40+J$78)</f>
        <v>0</v>
      </c>
      <c r="P79" s="2389"/>
      <c r="Q79" s="856">
        <v>6</v>
      </c>
      <c r="R79" s="106"/>
      <c r="S79" s="106"/>
      <c r="T79" s="106"/>
      <c r="U79" s="106"/>
      <c r="V79" s="195">
        <v>0</v>
      </c>
      <c r="W79" s="106"/>
      <c r="X79" s="118">
        <f>V79*T79</f>
        <v>0</v>
      </c>
      <c r="Z79" s="299"/>
      <c r="AA79">
        <v>16</v>
      </c>
      <c r="AB79" t="s">
        <v>841</v>
      </c>
      <c r="AF79" s="261">
        <f>O61</f>
        <v>0</v>
      </c>
    </row>
    <row r="80" spans="2:32" ht="19" customHeight="1" x14ac:dyDescent="0.35">
      <c r="B80" s="1979" t="s">
        <v>1019</v>
      </c>
      <c r="C80" s="1980"/>
      <c r="D80" s="1981"/>
      <c r="E80" s="755">
        <f>IF(E$72&gt;0,IF(E$72&lt;=3,E$72,7),0)+IF(E$72&gt;5,IF(E$72&lt;=10,7,0),0)+IF(E$72&gt;10,IF(E$72&lt;=15,14,0),0)+IF(E$72&gt;15,IF(E$72&lt;=20,23,0),0)+IF(E$72&gt;20,IF(E$72&lt;=40,53,0),0)+IF(E$72&gt;40,IF(E$72&lt;=60,83,0),0)+IF(E$72&gt;60,IF(E$72&lt;=80,113,0),0)+IF(E$72&gt;80,IF(E$72&lt;=100,143,0),0)</f>
        <v>0</v>
      </c>
      <c r="F80" s="106" t="s">
        <v>107</v>
      </c>
      <c r="G80" s="1151">
        <f>Pricing!D39</f>
        <v>420</v>
      </c>
      <c r="H80" s="401" t="s">
        <v>172</v>
      </c>
      <c r="O80" s="2388">
        <f>(IF(AND(E80&gt;0,E80&lt;4),E80*G80,0)+IF(AND(E80&gt;3,E80&lt;8),G80*3,0)+IF(AND(E80&gt;7,E80&lt;21),E80/7*G80*3,0)+IF(AND(E80&gt;20,E80&lt;30),G80*9,0)+IF(E80&gt;29,E80/30*G80*9,0))*(1+W$40+J$78)</f>
        <v>0</v>
      </c>
      <c r="P80" s="2389"/>
      <c r="Q80" s="856">
        <v>6</v>
      </c>
      <c r="R80" s="106"/>
      <c r="S80" s="106"/>
      <c r="T80" s="106"/>
      <c r="U80" s="106"/>
      <c r="V80" s="195">
        <v>0</v>
      </c>
      <c r="W80" s="106"/>
      <c r="X80" s="118">
        <f>V80*T80</f>
        <v>0</v>
      </c>
      <c r="Z80" s="299"/>
      <c r="AA80">
        <v>17</v>
      </c>
      <c r="AB80" t="s">
        <v>842</v>
      </c>
    </row>
    <row r="81" spans="2:32" ht="19" customHeight="1" thickBot="1" x14ac:dyDescent="0.4">
      <c r="B81" s="2069" t="s">
        <v>108</v>
      </c>
      <c r="C81" s="2070"/>
      <c r="D81" s="2071"/>
      <c r="E81" s="829">
        <f>IF(E$72&gt;0,IF(E$72&lt;=3,E$72,7),0)+IF(E$72&gt;5,IF(E$72&lt;=10,7,0),0)+IF(E$72&gt;10,IF(E$72&lt;=15,14,0),0)+IF(E$72&gt;15,IF(E$72&lt;=20,23,0),0)+IF(E$72&gt;20,IF(E$72&lt;=40,53,0),0)+IF(E$72&gt;40,IF(E$72&lt;=60,83,0),0)+IF(E$72&gt;60,IF(E$72&lt;=80,113,0),0)+IF(E$72&gt;80,IF(E$72&lt;=100,143,0),0)</f>
        <v>0</v>
      </c>
      <c r="F81" s="188" t="s">
        <v>107</v>
      </c>
      <c r="G81" s="1152">
        <v>35</v>
      </c>
      <c r="H81" s="422" t="s">
        <v>172</v>
      </c>
      <c r="I81" s="49"/>
      <c r="J81" s="49"/>
      <c r="K81" s="49"/>
      <c r="L81" s="49"/>
      <c r="M81" s="117"/>
      <c r="N81" s="49"/>
      <c r="O81" s="2402">
        <f>(IF(AND(E81&gt;0,E81&lt;4),E81*G81,0)+IF(AND(E81&gt;3,E81&lt;8),G81*3,0)+IF(AND(E81&gt;7,E81&lt;21),E81/7*G81*3,0)+IF(AND(E81&gt;20,E81&lt;30),G81*9,0)+IF(E81&gt;29,E81/30*G81*9,0))</f>
        <v>0</v>
      </c>
      <c r="P81" s="2403"/>
      <c r="Q81" s="856">
        <v>6</v>
      </c>
      <c r="R81" s="199"/>
      <c r="S81" s="199"/>
      <c r="T81" s="199"/>
      <c r="U81" s="199"/>
      <c r="V81" s="201">
        <v>0</v>
      </c>
      <c r="W81" s="199"/>
      <c r="X81" s="119">
        <f t="shared" si="22"/>
        <v>0</v>
      </c>
      <c r="Z81" s="299"/>
      <c r="AA81">
        <v>18</v>
      </c>
      <c r="AB81" t="s">
        <v>843</v>
      </c>
    </row>
    <row r="82" spans="2:32" ht="19" customHeight="1" thickTop="1" thickBot="1" x14ac:dyDescent="0.4">
      <c r="B82" s="2305" t="s">
        <v>174</v>
      </c>
      <c r="C82" s="2306"/>
      <c r="D82" s="2306"/>
      <c r="E82" s="2306"/>
      <c r="F82" s="2306"/>
      <c r="G82" s="2306"/>
      <c r="H82" s="2306"/>
      <c r="I82" s="2306"/>
      <c r="J82" s="2306"/>
      <c r="K82" s="2306"/>
      <c r="L82" s="2306"/>
      <c r="M82" s="2306"/>
      <c r="N82" s="2306"/>
      <c r="O82" s="2306"/>
      <c r="P82" s="2307"/>
      <c r="Q82" s="856">
        <v>10</v>
      </c>
      <c r="R82" s="106"/>
      <c r="S82" s="106"/>
      <c r="T82" s="106"/>
      <c r="U82" s="106"/>
      <c r="V82" s="195">
        <f>BB68</f>
        <v>0</v>
      </c>
      <c r="W82" s="106"/>
      <c r="X82" s="111">
        <f t="shared" si="22"/>
        <v>0</v>
      </c>
      <c r="Z82" s="299"/>
      <c r="AA82">
        <v>20</v>
      </c>
      <c r="AB82" t="s">
        <v>93</v>
      </c>
      <c r="AF82">
        <f>SUM(O72:P73)</f>
        <v>0</v>
      </c>
    </row>
    <row r="83" spans="2:32" ht="19" customHeight="1" x14ac:dyDescent="0.35">
      <c r="B83" s="2627" t="s">
        <v>85</v>
      </c>
      <c r="C83" s="2628"/>
      <c r="D83" s="2629"/>
      <c r="E83" s="756">
        <f>Pricing!D41</f>
        <v>16</v>
      </c>
      <c r="F83" s="451" t="s">
        <v>117</v>
      </c>
      <c r="G83" s="1147">
        <f>SUM(L50:M52)</f>
        <v>0</v>
      </c>
      <c r="H83" s="419" t="s">
        <v>190</v>
      </c>
      <c r="I83" s="48"/>
      <c r="J83" s="48"/>
      <c r="K83" s="48"/>
      <c r="L83" s="48"/>
      <c r="M83" s="48"/>
      <c r="N83" s="48"/>
      <c r="O83" s="2399">
        <f>G83*E83</f>
        <v>0</v>
      </c>
      <c r="P83" s="2400"/>
      <c r="Q83" s="856">
        <v>10</v>
      </c>
      <c r="R83" s="106" t="s">
        <v>211</v>
      </c>
      <c r="S83" s="106"/>
      <c r="T83" s="431"/>
      <c r="U83" s="106" t="s">
        <v>213</v>
      </c>
      <c r="V83" s="195">
        <f>Pricing!N42</f>
        <v>540</v>
      </c>
      <c r="W83" s="401" t="s">
        <v>295</v>
      </c>
      <c r="X83" s="118">
        <f>V83*T83</f>
        <v>0</v>
      </c>
      <c r="Z83" s="299"/>
      <c r="AA83">
        <v>21</v>
      </c>
      <c r="AB83" t="s">
        <v>254</v>
      </c>
      <c r="AF83">
        <f>O74</f>
        <v>0</v>
      </c>
    </row>
    <row r="84" spans="2:32" ht="19" customHeight="1" thickBot="1" x14ac:dyDescent="0.4">
      <c r="B84" s="2114" t="s">
        <v>189</v>
      </c>
      <c r="C84" s="2115"/>
      <c r="D84" s="2571"/>
      <c r="E84" s="1087"/>
      <c r="F84" s="401" t="s">
        <v>69</v>
      </c>
      <c r="G84" s="846"/>
      <c r="H84" s="401" t="s">
        <v>69</v>
      </c>
      <c r="O84" s="2377">
        <f>E84*G84</f>
        <v>0</v>
      </c>
      <c r="P84" s="2378"/>
      <c r="Q84" s="856">
        <v>10</v>
      </c>
      <c r="R84" s="199" t="s">
        <v>212</v>
      </c>
      <c r="S84" s="199"/>
      <c r="T84" s="199">
        <f>ROUNDUP(I64/300/55,0)</f>
        <v>0</v>
      </c>
      <c r="U84" s="199" t="s">
        <v>213</v>
      </c>
      <c r="V84" s="202">
        <f>Pricing!N43</f>
        <v>542</v>
      </c>
      <c r="W84" s="426" t="s">
        <v>295</v>
      </c>
      <c r="X84" s="119">
        <f t="shared" si="22"/>
        <v>0</v>
      </c>
      <c r="Z84" s="299"/>
      <c r="AA84">
        <v>22</v>
      </c>
      <c r="AB84" t="s">
        <v>255</v>
      </c>
      <c r="AF84">
        <f>SUM(L63:M69)</f>
        <v>0</v>
      </c>
    </row>
    <row r="85" spans="2:32" ht="19" customHeight="1" thickTop="1" x14ac:dyDescent="0.35">
      <c r="B85" s="2114" t="s">
        <v>176</v>
      </c>
      <c r="C85" s="2115"/>
      <c r="D85" s="2571"/>
      <c r="E85" s="1087"/>
      <c r="F85" s="452" t="s">
        <v>118</v>
      </c>
      <c r="G85" s="846"/>
      <c r="H85" s="401" t="s">
        <v>118</v>
      </c>
      <c r="O85" s="2377">
        <f>E85*G85</f>
        <v>0</v>
      </c>
      <c r="P85" s="2378"/>
      <c r="Q85" s="856"/>
      <c r="X85" s="111"/>
      <c r="Z85" s="299"/>
      <c r="AA85">
        <v>23</v>
      </c>
      <c r="AB85" t="s">
        <v>256</v>
      </c>
      <c r="AF85">
        <f>O88</f>
        <v>0</v>
      </c>
    </row>
    <row r="86" spans="2:32" ht="19" customHeight="1" x14ac:dyDescent="0.35">
      <c r="B86" s="2114" t="s">
        <v>108</v>
      </c>
      <c r="C86" s="2115"/>
      <c r="D86" s="2571"/>
      <c r="E86" s="1328"/>
      <c r="F86" s="453"/>
      <c r="G86" s="846">
        <v>1000</v>
      </c>
      <c r="H86" s="454" t="s">
        <v>177</v>
      </c>
      <c r="I86" s="42" t="s">
        <v>658</v>
      </c>
      <c r="O86" s="2377">
        <f>E86*G86</f>
        <v>0</v>
      </c>
      <c r="P86" s="2378"/>
      <c r="Q86" s="856"/>
      <c r="R86" s="2315" t="s">
        <v>216</v>
      </c>
      <c r="S86" s="2315"/>
      <c r="T86" s="42">
        <v>18</v>
      </c>
      <c r="U86" s="42" t="s">
        <v>217</v>
      </c>
      <c r="X86" s="112"/>
      <c r="Z86" s="299"/>
      <c r="AA86">
        <v>24</v>
      </c>
      <c r="AB86" t="s">
        <v>257</v>
      </c>
    </row>
    <row r="87" spans="2:32" ht="19" customHeight="1" thickBot="1" x14ac:dyDescent="0.4">
      <c r="B87" s="2114" t="s">
        <v>307</v>
      </c>
      <c r="C87" s="2115"/>
      <c r="D87" s="2571"/>
      <c r="E87" s="758">
        <v>4</v>
      </c>
      <c r="F87" s="425" t="s">
        <v>124</v>
      </c>
      <c r="G87" s="848"/>
      <c r="H87" s="106" t="s">
        <v>31</v>
      </c>
      <c r="O87" s="2377">
        <f>E87*G87</f>
        <v>0</v>
      </c>
      <c r="P87" s="2378"/>
      <c r="Q87" s="857"/>
      <c r="R87" s="49" t="s">
        <v>214</v>
      </c>
      <c r="S87" s="49"/>
      <c r="T87" s="49">
        <f>T61*12/T86</f>
        <v>0</v>
      </c>
      <c r="U87" s="49" t="s">
        <v>215</v>
      </c>
      <c r="V87" s="2313">
        <f>BH67</f>
        <v>0</v>
      </c>
      <c r="W87" s="2313"/>
      <c r="X87" s="22">
        <f>V87*T87</f>
        <v>0</v>
      </c>
      <c r="Z87" s="299"/>
      <c r="AA87">
        <v>25</v>
      </c>
      <c r="AB87" t="s">
        <v>258</v>
      </c>
    </row>
    <row r="88" spans="2:32" ht="19" customHeight="1" thickBot="1" x14ac:dyDescent="0.4">
      <c r="B88" s="2577" t="s">
        <v>186</v>
      </c>
      <c r="C88" s="2233"/>
      <c r="D88" s="2578"/>
      <c r="E88" s="1207">
        <v>0</v>
      </c>
      <c r="F88" s="455" t="s">
        <v>97</v>
      </c>
      <c r="G88" s="1202">
        <v>250</v>
      </c>
      <c r="H88" s="422" t="s">
        <v>68</v>
      </c>
      <c r="I88" s="49"/>
      <c r="J88" s="49"/>
      <c r="K88" s="49"/>
      <c r="L88" s="49"/>
      <c r="M88" s="49"/>
      <c r="N88" s="49"/>
      <c r="O88" s="2383">
        <f>E88*G88</f>
        <v>0</v>
      </c>
      <c r="P88" s="2384"/>
      <c r="Q88" s="797"/>
      <c r="X88" s="120">
        <f>SUM(X51:X87)</f>
        <v>0</v>
      </c>
      <c r="Z88" s="299"/>
      <c r="AA88">
        <v>30</v>
      </c>
      <c r="AB88" t="s">
        <v>259</v>
      </c>
      <c r="AF88" s="261">
        <f>O83+O86</f>
        <v>0</v>
      </c>
    </row>
    <row r="89" spans="2:32" ht="16" thickBot="1" x14ac:dyDescent="0.4">
      <c r="B89" s="898"/>
      <c r="C89" s="899"/>
      <c r="D89" s="899"/>
      <c r="E89" s="899"/>
      <c r="F89" s="899"/>
      <c r="G89" s="899"/>
      <c r="H89" s="899"/>
      <c r="I89" s="899"/>
      <c r="J89" s="899"/>
      <c r="K89" s="899"/>
      <c r="L89" s="900"/>
      <c r="M89" s="899"/>
      <c r="N89" s="899"/>
      <c r="O89" s="899"/>
      <c r="P89" s="899"/>
      <c r="Q89" s="899"/>
      <c r="R89" s="899"/>
      <c r="S89" s="899"/>
      <c r="T89" s="899"/>
      <c r="U89" s="899"/>
      <c r="V89" s="899"/>
      <c r="W89" s="899"/>
      <c r="X89" s="1115"/>
      <c r="Z89" s="299"/>
      <c r="AA89">
        <v>31</v>
      </c>
      <c r="AB89" t="s">
        <v>744</v>
      </c>
    </row>
    <row r="90" spans="2:32" x14ac:dyDescent="0.35">
      <c r="B90" s="1987" t="s">
        <v>185</v>
      </c>
      <c r="C90" s="2041"/>
      <c r="D90" s="1988"/>
      <c r="E90" s="1987" t="s">
        <v>140</v>
      </c>
      <c r="F90" s="1988"/>
      <c r="G90" s="1987" t="s">
        <v>178</v>
      </c>
      <c r="H90" s="2041"/>
      <c r="I90" s="1988"/>
      <c r="J90" s="1935" t="s">
        <v>184</v>
      </c>
      <c r="K90" s="1936"/>
      <c r="L90" s="1937"/>
      <c r="M90" s="2044" t="s">
        <v>179</v>
      </c>
      <c r="N90" s="2045"/>
      <c r="O90" s="132"/>
      <c r="P90" s="133"/>
      <c r="Q90" s="897"/>
      <c r="R90" s="43" t="s">
        <v>34</v>
      </c>
      <c r="T90" s="42" t="s">
        <v>220</v>
      </c>
      <c r="U90" s="728" t="str">
        <f>U40</f>
        <v>n</v>
      </c>
      <c r="V90" s="73" t="s">
        <v>298</v>
      </c>
      <c r="W90" s="729">
        <f>W40</f>
        <v>8.2500000000000004E-2</v>
      </c>
      <c r="X90" s="1113"/>
      <c r="Z90" s="299"/>
      <c r="AA90">
        <v>32</v>
      </c>
      <c r="AB90" t="s">
        <v>260</v>
      </c>
    </row>
    <row r="91" spans="2:32" ht="16" thickBot="1" x14ac:dyDescent="0.4">
      <c r="B91" s="11" t="s">
        <v>180</v>
      </c>
      <c r="C91" s="1999">
        <f>C41</f>
        <v>0</v>
      </c>
      <c r="D91" s="2000"/>
      <c r="E91" s="2003">
        <f>E41</f>
        <v>0</v>
      </c>
      <c r="F91" s="2004"/>
      <c r="G91" s="15">
        <f>G41</f>
        <v>0</v>
      </c>
      <c r="H91" s="2042">
        <f>H41</f>
        <v>0</v>
      </c>
      <c r="I91" s="2043"/>
      <c r="J91" s="2064">
        <f>J41</f>
        <v>0</v>
      </c>
      <c r="K91" s="2065"/>
      <c r="L91" s="2066"/>
      <c r="M91" s="1879">
        <f>M41</f>
        <v>0.23</v>
      </c>
      <c r="N91" s="1880"/>
      <c r="O91" s="1880"/>
      <c r="P91" s="1881"/>
      <c r="Q91" s="902"/>
      <c r="R91" s="86" t="s">
        <v>50</v>
      </c>
      <c r="U91" s="1932">
        <f>U41</f>
        <v>0</v>
      </c>
      <c r="V91" s="1932"/>
      <c r="X91" s="1113"/>
      <c r="Z91" s="299"/>
      <c r="AA91">
        <v>33</v>
      </c>
      <c r="AB91" t="s">
        <v>261</v>
      </c>
      <c r="AF91">
        <f>O87</f>
        <v>0</v>
      </c>
    </row>
    <row r="92" spans="2:32" ht="16" thickBot="1" x14ac:dyDescent="0.4">
      <c r="B92" s="889"/>
      <c r="C92" s="890"/>
      <c r="D92" s="890"/>
      <c r="E92" s="890"/>
      <c r="F92" s="890"/>
      <c r="G92" s="890"/>
      <c r="H92" s="890"/>
      <c r="I92" s="890"/>
      <c r="J92" s="890"/>
      <c r="K92" s="890"/>
      <c r="L92" s="890"/>
      <c r="M92" s="890"/>
      <c r="N92" s="890"/>
      <c r="O92" s="890"/>
      <c r="P92" s="890"/>
      <c r="Q92" s="890"/>
      <c r="R92" s="890"/>
      <c r="S92" s="890"/>
      <c r="T92" s="890"/>
      <c r="U92" s="890"/>
      <c r="V92" s="890"/>
      <c r="W92" s="890"/>
      <c r="X92" s="896"/>
      <c r="Z92" s="299"/>
      <c r="AA92">
        <v>34</v>
      </c>
      <c r="AB92" t="s">
        <v>262</v>
      </c>
      <c r="AF92">
        <f>O85</f>
        <v>0</v>
      </c>
    </row>
    <row r="93" spans="2:32" x14ac:dyDescent="0.35"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Z93" s="299"/>
      <c r="AA93">
        <v>35</v>
      </c>
      <c r="AB93" t="s">
        <v>263</v>
      </c>
    </row>
    <row r="94" spans="2:32" hidden="1" x14ac:dyDescent="0.35"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Z94" s="299"/>
      <c r="AA94">
        <v>36</v>
      </c>
      <c r="AB94" t="s">
        <v>745</v>
      </c>
    </row>
    <row r="95" spans="2:32" hidden="1" x14ac:dyDescent="0.35"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Z95" s="299"/>
      <c r="AA95">
        <v>39</v>
      </c>
      <c r="AB95" t="s">
        <v>264</v>
      </c>
    </row>
    <row r="96" spans="2:32" hidden="1" x14ac:dyDescent="0.35">
      <c r="AA96">
        <v>40</v>
      </c>
      <c r="AB96" t="s">
        <v>222</v>
      </c>
      <c r="AF96" s="261"/>
    </row>
    <row r="97" spans="27:32" hidden="1" x14ac:dyDescent="0.35">
      <c r="AA97">
        <v>41</v>
      </c>
      <c r="AB97" t="s">
        <v>265</v>
      </c>
    </row>
    <row r="98" spans="27:32" hidden="1" x14ac:dyDescent="0.35">
      <c r="AA98">
        <v>42</v>
      </c>
      <c r="AB98" t="s">
        <v>266</v>
      </c>
    </row>
    <row r="99" spans="27:32" hidden="1" x14ac:dyDescent="0.35">
      <c r="AA99">
        <v>44</v>
      </c>
      <c r="AB99" t="s">
        <v>267</v>
      </c>
    </row>
    <row r="100" spans="27:32" hidden="1" x14ac:dyDescent="0.35">
      <c r="AA100">
        <v>45</v>
      </c>
      <c r="AB100" t="s">
        <v>268</v>
      </c>
    </row>
    <row r="101" spans="27:32" hidden="1" x14ac:dyDescent="0.35">
      <c r="AA101">
        <v>46</v>
      </c>
      <c r="AB101" t="s">
        <v>269</v>
      </c>
    </row>
    <row r="102" spans="27:32" hidden="1" x14ac:dyDescent="0.35">
      <c r="AA102">
        <v>47</v>
      </c>
      <c r="AB102" t="s">
        <v>270</v>
      </c>
    </row>
    <row r="103" spans="27:32" hidden="1" x14ac:dyDescent="0.35">
      <c r="AA103">
        <v>48</v>
      </c>
      <c r="AB103" t="s">
        <v>271</v>
      </c>
    </row>
    <row r="104" spans="27:32" hidden="1" x14ac:dyDescent="0.35">
      <c r="AA104">
        <v>49</v>
      </c>
      <c r="AB104" t="s">
        <v>272</v>
      </c>
    </row>
    <row r="105" spans="27:32" hidden="1" x14ac:dyDescent="0.35">
      <c r="AA105">
        <v>50</v>
      </c>
      <c r="AB105" t="s">
        <v>711</v>
      </c>
    </row>
    <row r="106" spans="27:32" hidden="1" x14ac:dyDescent="0.35">
      <c r="AA106">
        <v>51</v>
      </c>
      <c r="AB106" t="s">
        <v>717</v>
      </c>
    </row>
    <row r="107" spans="27:32" hidden="1" x14ac:dyDescent="0.35">
      <c r="AA107">
        <v>52</v>
      </c>
      <c r="AB107" t="s">
        <v>273</v>
      </c>
    </row>
    <row r="108" spans="27:32" hidden="1" x14ac:dyDescent="0.35">
      <c r="AA108">
        <v>53</v>
      </c>
      <c r="AB108" t="s">
        <v>274</v>
      </c>
    </row>
    <row r="109" spans="27:32" hidden="1" x14ac:dyDescent="0.35">
      <c r="AA109">
        <v>54</v>
      </c>
      <c r="AB109" t="s">
        <v>275</v>
      </c>
    </row>
    <row r="110" spans="27:32" hidden="1" x14ac:dyDescent="0.35">
      <c r="AA110">
        <v>55</v>
      </c>
      <c r="AB110" t="s">
        <v>276</v>
      </c>
      <c r="AF110" s="382">
        <f>SUM(O63:P69)-O68</f>
        <v>0</v>
      </c>
    </row>
    <row r="111" spans="27:32" hidden="1" x14ac:dyDescent="0.35">
      <c r="AA111">
        <v>56</v>
      </c>
      <c r="AB111" t="s">
        <v>277</v>
      </c>
    </row>
    <row r="112" spans="27:32" hidden="1" x14ac:dyDescent="0.35">
      <c r="AA112">
        <v>57</v>
      </c>
      <c r="AB112" t="s">
        <v>278</v>
      </c>
    </row>
    <row r="113" spans="27:32" hidden="1" x14ac:dyDescent="0.35">
      <c r="AA113">
        <v>58</v>
      </c>
      <c r="AB113" t="s">
        <v>279</v>
      </c>
    </row>
    <row r="114" spans="27:32" hidden="1" x14ac:dyDescent="0.35">
      <c r="AA114">
        <v>59</v>
      </c>
      <c r="AB114" t="s">
        <v>280</v>
      </c>
      <c r="AF114">
        <f>O68</f>
        <v>0</v>
      </c>
    </row>
    <row r="115" spans="27:32" hidden="1" x14ac:dyDescent="0.35">
      <c r="AA115">
        <v>60</v>
      </c>
      <c r="AB115" t="s">
        <v>281</v>
      </c>
      <c r="AF115">
        <f>SUM(O76:P81)-O81</f>
        <v>0</v>
      </c>
    </row>
    <row r="116" spans="27:32" hidden="1" x14ac:dyDescent="0.35">
      <c r="AA116">
        <v>65</v>
      </c>
      <c r="AB116" t="s">
        <v>282</v>
      </c>
      <c r="AF116">
        <f>O81</f>
        <v>0</v>
      </c>
    </row>
    <row r="117" spans="27:32" hidden="1" x14ac:dyDescent="0.35">
      <c r="AA117">
        <v>99</v>
      </c>
      <c r="AB117" t="s">
        <v>894</v>
      </c>
      <c r="AF117" s="382">
        <f>X75</f>
        <v>0</v>
      </c>
    </row>
    <row r="118" spans="27:32" hidden="1" x14ac:dyDescent="0.35">
      <c r="AF118">
        <f>SUM(AF65:AF117)</f>
        <v>0</v>
      </c>
    </row>
  </sheetData>
  <mergeCells count="200">
    <mergeCell ref="B31:C31"/>
    <mergeCell ref="B34:C34"/>
    <mergeCell ref="L56:M56"/>
    <mergeCell ref="J55:K55"/>
    <mergeCell ref="O55:P55"/>
    <mergeCell ref="B40:D40"/>
    <mergeCell ref="K56:K57"/>
    <mergeCell ref="I53:J53"/>
    <mergeCell ref="L53:M53"/>
    <mergeCell ref="O53:P53"/>
    <mergeCell ref="B36:C36"/>
    <mergeCell ref="B35:C35"/>
    <mergeCell ref="C41:D41"/>
    <mergeCell ref="O52:P52"/>
    <mergeCell ref="O50:P50"/>
    <mergeCell ref="L50:M50"/>
    <mergeCell ref="P37:S37"/>
    <mergeCell ref="P38:S38"/>
    <mergeCell ref="O66:P66"/>
    <mergeCell ref="B24:C24"/>
    <mergeCell ref="B25:C25"/>
    <mergeCell ref="O64:P64"/>
    <mergeCell ref="O65:P65"/>
    <mergeCell ref="B28:C28"/>
    <mergeCell ref="B29:C29"/>
    <mergeCell ref="B30:C30"/>
    <mergeCell ref="I68:J68"/>
    <mergeCell ref="L68:M68"/>
    <mergeCell ref="E67:F67"/>
    <mergeCell ref="B26:C26"/>
    <mergeCell ref="B27:C27"/>
    <mergeCell ref="B32:C32"/>
    <mergeCell ref="B33:C33"/>
    <mergeCell ref="E66:F66"/>
    <mergeCell ref="E63:F63"/>
    <mergeCell ref="B59:D59"/>
    <mergeCell ref="E68:F68"/>
    <mergeCell ref="L51:M51"/>
    <mergeCell ref="L52:M52"/>
    <mergeCell ref="M41:P41"/>
    <mergeCell ref="J45:K45"/>
    <mergeCell ref="E40:F40"/>
    <mergeCell ref="O74:P74"/>
    <mergeCell ref="L69:M69"/>
    <mergeCell ref="O67:P67"/>
    <mergeCell ref="O68:P68"/>
    <mergeCell ref="O69:P69"/>
    <mergeCell ref="I69:J69"/>
    <mergeCell ref="O72:P72"/>
    <mergeCell ref="M72:N72"/>
    <mergeCell ref="O70:P70"/>
    <mergeCell ref="L70:M70"/>
    <mergeCell ref="D6:E6"/>
    <mergeCell ref="J6:N6"/>
    <mergeCell ref="O6:P6"/>
    <mergeCell ref="B14:C14"/>
    <mergeCell ref="J8:N8"/>
    <mergeCell ref="J7:N7"/>
    <mergeCell ref="O7:P7"/>
    <mergeCell ref="B12:C12"/>
    <mergeCell ref="B13:C13"/>
    <mergeCell ref="P9:Q9"/>
    <mergeCell ref="F9:F10"/>
    <mergeCell ref="G9:I9"/>
    <mergeCell ref="J9:K9"/>
    <mergeCell ref="B19:C19"/>
    <mergeCell ref="B21:C21"/>
    <mergeCell ref="D7:E7"/>
    <mergeCell ref="B10:C10"/>
    <mergeCell ref="D8:E8"/>
    <mergeCell ref="B11:C11"/>
    <mergeCell ref="B17:C17"/>
    <mergeCell ref="B15:C15"/>
    <mergeCell ref="B16:C16"/>
    <mergeCell ref="B20:C20"/>
    <mergeCell ref="B18:C18"/>
    <mergeCell ref="W2:X2"/>
    <mergeCell ref="G8:I8"/>
    <mergeCell ref="O5:P5"/>
    <mergeCell ref="J5:N5"/>
    <mergeCell ref="Q3:R3"/>
    <mergeCell ref="J4:N4"/>
    <mergeCell ref="O4:P4"/>
    <mergeCell ref="Q4:R4"/>
    <mergeCell ref="O3:P3"/>
    <mergeCell ref="U2:V2"/>
    <mergeCell ref="Q6:R6"/>
    <mergeCell ref="Q5:R5"/>
    <mergeCell ref="Q7:R7"/>
    <mergeCell ref="R9:T9"/>
    <mergeCell ref="V9:V10"/>
    <mergeCell ref="B76:D76"/>
    <mergeCell ref="I61:J61"/>
    <mergeCell ref="L61:M61"/>
    <mergeCell ref="B75:P75"/>
    <mergeCell ref="E69:F69"/>
    <mergeCell ref="I58:J60"/>
    <mergeCell ref="K58:K60"/>
    <mergeCell ref="L59:M59"/>
    <mergeCell ref="O58:P58"/>
    <mergeCell ref="M73:N73"/>
    <mergeCell ref="V75:W75"/>
    <mergeCell ref="U9:U10"/>
    <mergeCell ref="L63:M63"/>
    <mergeCell ref="O59:P59"/>
    <mergeCell ref="N42:O42"/>
    <mergeCell ref="L62:M62"/>
    <mergeCell ref="N62:P62"/>
    <mergeCell ref="L58:M58"/>
    <mergeCell ref="L55:M55"/>
    <mergeCell ref="O56:P56"/>
    <mergeCell ref="L57:M57"/>
    <mergeCell ref="L60:M60"/>
    <mergeCell ref="O80:P80"/>
    <mergeCell ref="B81:D81"/>
    <mergeCell ref="O81:P81"/>
    <mergeCell ref="O79:P79"/>
    <mergeCell ref="B80:D80"/>
    <mergeCell ref="U41:V41"/>
    <mergeCell ref="U42:V42"/>
    <mergeCell ref="C49:P49"/>
    <mergeCell ref="R49:S49"/>
    <mergeCell ref="K42:L42"/>
    <mergeCell ref="O61:P61"/>
    <mergeCell ref="O57:P57"/>
    <mergeCell ref="O63:P63"/>
    <mergeCell ref="O60:P60"/>
    <mergeCell ref="O54:P54"/>
    <mergeCell ref="I50:J52"/>
    <mergeCell ref="K50:K52"/>
    <mergeCell ref="L64:M64"/>
    <mergeCell ref="L67:M67"/>
    <mergeCell ref="L54:M54"/>
    <mergeCell ref="E41:F41"/>
    <mergeCell ref="H41:I41"/>
    <mergeCell ref="J41:L41"/>
    <mergeCell ref="E65:F65"/>
    <mergeCell ref="B82:P82"/>
    <mergeCell ref="B84:D84"/>
    <mergeCell ref="B85:D85"/>
    <mergeCell ref="B86:D86"/>
    <mergeCell ref="O86:P86"/>
    <mergeCell ref="V87:W87"/>
    <mergeCell ref="R86:S86"/>
    <mergeCell ref="E70:F70"/>
    <mergeCell ref="I70:K70"/>
    <mergeCell ref="B71:P71"/>
    <mergeCell ref="B77:D77"/>
    <mergeCell ref="J77:K77"/>
    <mergeCell ref="M77:N77"/>
    <mergeCell ref="J78:K79"/>
    <mergeCell ref="O76:P76"/>
    <mergeCell ref="O77:P77"/>
    <mergeCell ref="O78:P78"/>
    <mergeCell ref="B79:D79"/>
    <mergeCell ref="B78:D78"/>
    <mergeCell ref="M78:N78"/>
    <mergeCell ref="B83:D83"/>
    <mergeCell ref="O83:P83"/>
    <mergeCell ref="O84:P84"/>
    <mergeCell ref="O85:P85"/>
    <mergeCell ref="U91:V91"/>
    <mergeCell ref="E90:F90"/>
    <mergeCell ref="M90:N90"/>
    <mergeCell ref="B87:D87"/>
    <mergeCell ref="O87:P87"/>
    <mergeCell ref="C91:D91"/>
    <mergeCell ref="B90:D90"/>
    <mergeCell ref="G90:I90"/>
    <mergeCell ref="E91:F91"/>
    <mergeCell ref="M91:P91"/>
    <mergeCell ref="H91:I91"/>
    <mergeCell ref="J91:L91"/>
    <mergeCell ref="O88:P88"/>
    <mergeCell ref="J90:L90"/>
    <mergeCell ref="B88:D88"/>
    <mergeCell ref="B3:E3"/>
    <mergeCell ref="B4:E4"/>
    <mergeCell ref="B5:E5"/>
    <mergeCell ref="E9:E10"/>
    <mergeCell ref="B60:D60"/>
    <mergeCell ref="L65:M65"/>
    <mergeCell ref="L66:M66"/>
    <mergeCell ref="O51:P51"/>
    <mergeCell ref="O73:P73"/>
    <mergeCell ref="L9:M9"/>
    <mergeCell ref="G40:I40"/>
    <mergeCell ref="N9:O9"/>
    <mergeCell ref="B22:C22"/>
    <mergeCell ref="B23:C23"/>
    <mergeCell ref="J40:L40"/>
    <mergeCell ref="M40:N40"/>
    <mergeCell ref="E64:F64"/>
    <mergeCell ref="H64:H66"/>
    <mergeCell ref="I64:J67"/>
    <mergeCell ref="I54:J54"/>
    <mergeCell ref="I56:J57"/>
    <mergeCell ref="I63:J63"/>
    <mergeCell ref="F37:I37"/>
    <mergeCell ref="L37:M37"/>
  </mergeCells>
  <printOptions gridLines="1"/>
  <pageMargins left="0.61" right="0.2" top="0.72" bottom="0.5" header="0.5" footer="0.5"/>
  <pageSetup paperSize="5" scale="60" fitToHeight="2" orientation="landscape" horizontalDpi="1200" verticalDpi="1200" r:id="rId1"/>
  <headerFooter alignWithMargins="0">
    <oddHeader>&amp;L&amp;16         &amp;A&amp;C&amp;20&amp;F&amp;R&amp;20&amp;D</oddHeader>
  </headerFooter>
  <rowBreaks count="1" manualBreakCount="1">
    <brk id="48" max="16383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IW279"/>
  <sheetViews>
    <sheetView topLeftCell="A9" zoomScaleNormal="100" workbookViewId="0">
      <selection activeCell="U18" sqref="U18"/>
    </sheetView>
  </sheetViews>
  <sheetFormatPr defaultColWidth="0" defaultRowHeight="15.5" x14ac:dyDescent="0.35"/>
  <cols>
    <col min="1" max="1" width="2.453125" style="42" customWidth="1"/>
    <col min="2" max="2" width="13.26953125" style="42" customWidth="1"/>
    <col min="3" max="3" width="9.7265625" style="42" customWidth="1"/>
    <col min="4" max="4" width="10.26953125" style="42" customWidth="1"/>
    <col min="5" max="6" width="9.7265625" style="42" customWidth="1"/>
    <col min="7" max="7" width="11.453125" style="42" customWidth="1"/>
    <col min="8" max="8" width="10.453125" style="42" customWidth="1"/>
    <col min="9" max="9" width="9.7265625" style="42" customWidth="1"/>
    <col min="10" max="10" width="10.54296875" style="42" customWidth="1"/>
    <col min="11" max="11" width="9.7265625" style="42" customWidth="1"/>
    <col min="12" max="12" width="12.453125" style="42" customWidth="1"/>
    <col min="13" max="13" width="9.7265625" style="42" customWidth="1"/>
    <col min="14" max="14" width="13.453125" style="42" customWidth="1"/>
    <col min="15" max="16" width="9.7265625" style="42" customWidth="1"/>
    <col min="17" max="17" width="8.81640625" style="42" customWidth="1"/>
    <col min="18" max="18" width="8.7265625" style="42" customWidth="1"/>
    <col min="19" max="19" width="28.453125" style="42" customWidth="1"/>
    <col min="20" max="20" width="12" style="42" customWidth="1"/>
    <col min="21" max="21" width="14" style="42" customWidth="1"/>
    <col min="22" max="22" width="15.453125" style="42" customWidth="1"/>
    <col min="23" max="23" width="17" style="42" customWidth="1"/>
    <col min="24" max="24" width="15.453125" style="42" customWidth="1"/>
    <col min="25" max="25" width="5.1796875" customWidth="1"/>
    <col min="26" max="26" width="7" hidden="1" customWidth="1"/>
    <col min="27" max="31" width="9.1796875" style="42" hidden="1" customWidth="1"/>
    <col min="32" max="32" width="14.54296875" style="42" hidden="1" customWidth="1"/>
    <col min="33" max="33" width="9.1796875" style="42" hidden="1" customWidth="1"/>
    <col min="34" max="37" width="10.453125" style="42" hidden="1" customWidth="1"/>
    <col min="38" max="38" width="9.1796875" style="42" hidden="1" customWidth="1"/>
    <col min="39" max="42" width="10.1796875" style="42" hidden="1" customWidth="1"/>
    <col min="43" max="43" width="17.54296875" style="42" hidden="1" customWidth="1"/>
    <col min="44" max="44" width="14.26953125" style="42" hidden="1" customWidth="1"/>
    <col min="45" max="45" width="11.1796875" style="42" hidden="1" customWidth="1"/>
    <col min="46" max="53" width="9.1796875" style="42" hidden="1" customWidth="1"/>
    <col min="54" max="54" width="18.7265625" style="42" hidden="1" customWidth="1"/>
    <col min="55" max="57" width="22" style="42" hidden="1" customWidth="1"/>
    <col min="58" max="58" width="15.1796875" style="42" hidden="1" customWidth="1"/>
    <col min="59" max="59" width="17.7265625" style="42" hidden="1" customWidth="1"/>
    <col min="60" max="60" width="18.1796875" style="42" hidden="1" customWidth="1"/>
    <col min="61" max="61" width="12.7265625" style="42" hidden="1" customWidth="1"/>
    <col min="62" max="62" width="21.26953125" style="42" hidden="1" customWidth="1"/>
    <col min="63" max="63" width="19.81640625" style="42" hidden="1" customWidth="1"/>
    <col min="64" max="64" width="18.26953125" style="42" hidden="1" customWidth="1"/>
    <col min="65" max="65" width="15.26953125" style="42" hidden="1" customWidth="1"/>
    <col min="66" max="66" width="15.1796875" style="42" hidden="1" customWidth="1"/>
    <col min="67" max="67" width="14.81640625" style="42" hidden="1" customWidth="1"/>
    <col min="68" max="68" width="12.7265625" style="42" hidden="1" customWidth="1"/>
    <col min="69" max="69" width="18.7265625" style="42" hidden="1" customWidth="1"/>
    <col min="70" max="74" width="12.7265625" style="42" hidden="1" customWidth="1"/>
    <col min="75" max="167" width="9.1796875" style="42" hidden="1" customWidth="1"/>
    <col min="168" max="223" width="9.1796875" hidden="1" customWidth="1"/>
    <col min="224" max="256" width="9.1796875" style="42" hidden="1" customWidth="1"/>
    <col min="257" max="257" width="4" style="42" customWidth="1"/>
    <col min="258" max="16384" width="2.453125" style="42" hidden="1"/>
  </cols>
  <sheetData>
    <row r="1" spans="2:223" ht="16" thickBot="1" x14ac:dyDescent="0.4"/>
    <row r="2" spans="2:223" s="298" customFormat="1" ht="28.5" customHeight="1" thickBot="1" x14ac:dyDescent="0.4">
      <c r="B2" s="883" t="s">
        <v>303</v>
      </c>
      <c r="C2" s="879"/>
      <c r="D2" s="879"/>
      <c r="E2" s="1333"/>
      <c r="U2" s="2857" t="s">
        <v>305</v>
      </c>
      <c r="V2" s="2858"/>
      <c r="W2" s="2648">
        <v>37456</v>
      </c>
      <c r="X2" s="2649"/>
      <c r="Y2" s="299"/>
      <c r="Z2" s="299"/>
      <c r="FL2" s="299"/>
      <c r="FM2" s="299"/>
      <c r="FN2" s="299"/>
      <c r="FO2" s="299"/>
      <c r="FP2" s="299"/>
      <c r="FQ2" s="299"/>
      <c r="FR2" s="299"/>
      <c r="FS2" s="299"/>
      <c r="FT2" s="299"/>
      <c r="FU2" s="299"/>
      <c r="FV2" s="299"/>
      <c r="FW2" s="299"/>
      <c r="FX2" s="299"/>
      <c r="FY2" s="299"/>
      <c r="FZ2" s="299"/>
      <c r="GA2" s="299"/>
      <c r="GB2" s="299"/>
      <c r="GC2" s="299"/>
      <c r="GD2" s="299"/>
      <c r="GE2" s="299"/>
      <c r="GF2" s="299"/>
      <c r="GG2" s="299"/>
      <c r="GH2" s="299"/>
      <c r="GI2" s="299"/>
      <c r="GJ2" s="299"/>
      <c r="GK2" s="299"/>
      <c r="GL2" s="299"/>
      <c r="GM2" s="299"/>
      <c r="GN2" s="299"/>
      <c r="GO2" s="299"/>
      <c r="GP2" s="299"/>
      <c r="GQ2" s="299"/>
      <c r="GR2" s="299"/>
      <c r="GS2" s="299"/>
      <c r="GT2" s="299"/>
      <c r="GU2" s="299"/>
      <c r="GV2" s="299"/>
      <c r="GW2" s="299"/>
      <c r="GX2" s="299"/>
      <c r="GY2" s="299"/>
      <c r="GZ2" s="299"/>
      <c r="HA2" s="299"/>
      <c r="HB2" s="299"/>
      <c r="HC2" s="299"/>
      <c r="HD2" s="299"/>
      <c r="HE2" s="299"/>
      <c r="HF2" s="299"/>
      <c r="HG2" s="299"/>
      <c r="HH2" s="299"/>
      <c r="HI2" s="299"/>
      <c r="HJ2" s="299"/>
      <c r="HK2" s="299"/>
      <c r="HL2" s="299"/>
      <c r="HM2" s="299"/>
      <c r="HN2" s="299"/>
      <c r="HO2" s="299"/>
    </row>
    <row r="3" spans="2:223" s="298" customFormat="1" ht="16" thickBot="1" x14ac:dyDescent="0.4">
      <c r="B3" s="2679">
        <f>Summary!C2</f>
        <v>0</v>
      </c>
      <c r="C3" s="2680"/>
      <c r="D3" s="2680"/>
      <c r="E3" s="2681"/>
      <c r="H3" s="1194" t="s">
        <v>131</v>
      </c>
      <c r="I3" s="1364"/>
      <c r="J3" s="877"/>
      <c r="K3" s="880" t="s">
        <v>96</v>
      </c>
      <c r="L3" s="879"/>
      <c r="M3" s="879"/>
      <c r="N3" s="879"/>
      <c r="O3" s="1950" t="s">
        <v>125</v>
      </c>
      <c r="P3" s="1950"/>
      <c r="Q3" s="1950" t="s">
        <v>306</v>
      </c>
      <c r="R3" s="1951"/>
      <c r="U3" s="1183" t="s">
        <v>304</v>
      </c>
      <c r="V3" s="1180"/>
      <c r="W3" s="1184" t="str">
        <f>Information!C8</f>
        <v>Chad McKinney</v>
      </c>
      <c r="X3" s="1185"/>
      <c r="Y3" s="299"/>
      <c r="Z3" s="299"/>
      <c r="FL3" s="299"/>
      <c r="FM3" s="299"/>
      <c r="FN3" s="299"/>
      <c r="FO3" s="299"/>
      <c r="FP3" s="299"/>
      <c r="FQ3" s="299"/>
      <c r="FR3" s="299"/>
      <c r="FS3" s="299"/>
      <c r="FT3" s="299"/>
      <c r="FU3" s="299"/>
      <c r="FV3" s="299"/>
      <c r="FW3" s="299"/>
      <c r="FX3" s="299"/>
      <c r="FY3" s="299"/>
      <c r="FZ3" s="299"/>
      <c r="GA3" s="299"/>
      <c r="GB3" s="299"/>
      <c r="GC3" s="299"/>
      <c r="GD3" s="299"/>
      <c r="GE3" s="299"/>
      <c r="GF3" s="299"/>
      <c r="GG3" s="299"/>
      <c r="GH3" s="299"/>
      <c r="GI3" s="299"/>
      <c r="GJ3" s="299"/>
      <c r="GK3" s="299"/>
      <c r="GL3" s="299"/>
      <c r="GM3" s="299"/>
      <c r="GN3" s="299"/>
      <c r="GO3" s="299"/>
      <c r="GP3" s="299"/>
      <c r="GQ3" s="299"/>
      <c r="GR3" s="299"/>
      <c r="GS3" s="299"/>
      <c r="GT3" s="299"/>
      <c r="GU3" s="299"/>
      <c r="GV3" s="299"/>
      <c r="GW3" s="299"/>
      <c r="GX3" s="299"/>
      <c r="GY3" s="299"/>
      <c r="GZ3" s="299"/>
      <c r="HA3" s="299"/>
      <c r="HB3" s="299"/>
      <c r="HC3" s="299"/>
      <c r="HD3" s="299"/>
      <c r="HE3" s="299"/>
      <c r="HF3" s="299"/>
      <c r="HG3" s="299"/>
      <c r="HH3" s="299"/>
      <c r="HI3" s="299"/>
      <c r="HJ3" s="299"/>
      <c r="HK3" s="299"/>
      <c r="HL3" s="299"/>
      <c r="HM3" s="299"/>
      <c r="HN3" s="299"/>
      <c r="HO3" s="299"/>
    </row>
    <row r="4" spans="2:223" s="298" customFormat="1" ht="20.149999999999999" customHeight="1" x14ac:dyDescent="0.35">
      <c r="B4" s="2682">
        <f>Summary!C3</f>
        <v>0</v>
      </c>
      <c r="C4" s="2683"/>
      <c r="D4" s="2683"/>
      <c r="E4" s="2684"/>
      <c r="H4" s="938" t="s">
        <v>636</v>
      </c>
      <c r="I4" s="939"/>
      <c r="J4" s="2679">
        <f>Summary!K3</f>
        <v>0</v>
      </c>
      <c r="K4" s="2680"/>
      <c r="L4" s="2680"/>
      <c r="M4" s="2680"/>
      <c r="N4" s="2680"/>
      <c r="O4" s="2843">
        <f>Summary!O3</f>
        <v>0</v>
      </c>
      <c r="P4" s="2843"/>
      <c r="Q4" s="2843">
        <f>Summary!P3</f>
        <v>0</v>
      </c>
      <c r="R4" s="2844"/>
      <c r="U4" s="1186"/>
      <c r="V4" s="1187"/>
      <c r="W4" s="1187"/>
      <c r="X4" s="1188"/>
      <c r="Y4" s="299"/>
      <c r="Z4" s="299"/>
      <c r="FL4" s="299"/>
      <c r="FM4" s="299"/>
      <c r="FN4" s="299"/>
      <c r="FO4" s="299"/>
      <c r="FP4" s="299"/>
      <c r="FQ4" s="299"/>
      <c r="FR4" s="299"/>
      <c r="FS4" s="299"/>
      <c r="FT4" s="299"/>
      <c r="FU4" s="299"/>
      <c r="FV4" s="299"/>
      <c r="FW4" s="299"/>
      <c r="FX4" s="299"/>
      <c r="FY4" s="299"/>
      <c r="FZ4" s="299"/>
      <c r="GA4" s="299"/>
      <c r="GB4" s="299"/>
      <c r="GC4" s="299"/>
      <c r="GD4" s="299"/>
      <c r="GE4" s="299"/>
      <c r="GF4" s="299"/>
      <c r="GG4" s="299"/>
      <c r="GH4" s="299"/>
      <c r="GI4" s="299"/>
      <c r="GJ4" s="299"/>
      <c r="GK4" s="299"/>
      <c r="GL4" s="299"/>
      <c r="GM4" s="299"/>
      <c r="GN4" s="299"/>
      <c r="GO4" s="299"/>
      <c r="GP4" s="299"/>
      <c r="GQ4" s="299"/>
      <c r="GR4" s="299"/>
      <c r="GS4" s="299"/>
      <c r="GT4" s="299"/>
      <c r="GU4" s="299"/>
      <c r="GV4" s="299"/>
      <c r="GW4" s="299"/>
      <c r="GX4" s="299"/>
      <c r="GY4" s="299"/>
      <c r="GZ4" s="299"/>
      <c r="HA4" s="299"/>
      <c r="HB4" s="299"/>
      <c r="HC4" s="299"/>
      <c r="HD4" s="299"/>
      <c r="HE4" s="299"/>
      <c r="HF4" s="299"/>
      <c r="HG4" s="299"/>
      <c r="HH4" s="299"/>
      <c r="HI4" s="299"/>
      <c r="HJ4" s="299"/>
      <c r="HK4" s="299"/>
      <c r="HL4" s="299"/>
      <c r="HM4" s="299"/>
      <c r="HN4" s="299"/>
      <c r="HO4" s="299"/>
    </row>
    <row r="5" spans="2:223" s="298" customFormat="1" ht="20.149999999999999" customHeight="1" thickBot="1" x14ac:dyDescent="0.4">
      <c r="B5" s="2685">
        <f>Summary!C4</f>
        <v>0</v>
      </c>
      <c r="C5" s="2686"/>
      <c r="D5" s="2686"/>
      <c r="E5" s="2687"/>
      <c r="H5" s="938" t="s">
        <v>637</v>
      </c>
      <c r="I5" s="939"/>
      <c r="J5" s="2682">
        <f>Summary!K4</f>
        <v>0</v>
      </c>
      <c r="K5" s="2683"/>
      <c r="L5" s="2683"/>
      <c r="M5" s="2683"/>
      <c r="N5" s="2683"/>
      <c r="O5" s="2845">
        <f>Summary!O4</f>
        <v>0</v>
      </c>
      <c r="P5" s="2845"/>
      <c r="Q5" s="2845">
        <f>Summary!P4</f>
        <v>0</v>
      </c>
      <c r="R5" s="2846"/>
      <c r="U5" s="1186" t="str">
        <f>Information!H5</f>
        <v>Approved by Chad:</v>
      </c>
      <c r="V5" s="1187"/>
      <c r="W5" s="1189"/>
      <c r="X5" s="1190"/>
      <c r="Y5" s="299"/>
      <c r="Z5" s="299"/>
      <c r="FL5" s="299"/>
      <c r="FM5" s="299"/>
      <c r="FN5" s="299"/>
      <c r="FO5" s="299"/>
      <c r="FP5" s="299"/>
      <c r="FQ5" s="299"/>
      <c r="FR5" s="299"/>
      <c r="FS5" s="299"/>
      <c r="FT5" s="299"/>
      <c r="FU5" s="299"/>
      <c r="FV5" s="299"/>
      <c r="FW5" s="299"/>
      <c r="FX5" s="299"/>
      <c r="FY5" s="299"/>
      <c r="FZ5" s="299"/>
      <c r="GA5" s="299"/>
      <c r="GB5" s="299"/>
      <c r="GC5" s="299"/>
      <c r="GD5" s="299"/>
      <c r="GE5" s="299"/>
      <c r="GF5" s="299"/>
      <c r="GG5" s="299"/>
      <c r="GH5" s="299"/>
      <c r="GI5" s="299"/>
      <c r="GJ5" s="299"/>
      <c r="GK5" s="299"/>
      <c r="GL5" s="299"/>
      <c r="GM5" s="299"/>
      <c r="GN5" s="299"/>
      <c r="GO5" s="299"/>
      <c r="GP5" s="299"/>
      <c r="GQ5" s="299"/>
      <c r="GR5" s="299"/>
      <c r="GS5" s="299"/>
      <c r="GT5" s="299"/>
      <c r="GU5" s="299"/>
      <c r="GV5" s="299"/>
      <c r="GW5" s="299"/>
      <c r="GX5" s="299"/>
      <c r="GY5" s="299"/>
      <c r="GZ5" s="299"/>
      <c r="HA5" s="299"/>
      <c r="HB5" s="299"/>
      <c r="HC5" s="299"/>
      <c r="HD5" s="299"/>
      <c r="HE5" s="299"/>
      <c r="HF5" s="299"/>
      <c r="HG5" s="299"/>
      <c r="HH5" s="299"/>
      <c r="HI5" s="299"/>
      <c r="HJ5" s="299"/>
      <c r="HK5" s="299"/>
      <c r="HL5" s="299"/>
      <c r="HM5" s="299"/>
      <c r="HN5" s="299"/>
      <c r="HO5" s="299"/>
    </row>
    <row r="6" spans="2:223" s="298" customFormat="1" ht="20.149999999999999" customHeight="1" thickBot="1" x14ac:dyDescent="0.4">
      <c r="B6" s="57" t="s">
        <v>115</v>
      </c>
      <c r="C6" s="42"/>
      <c r="D6" s="2149" t="s">
        <v>125</v>
      </c>
      <c r="E6" s="2149"/>
      <c r="H6" s="938"/>
      <c r="I6" s="939" t="s">
        <v>134</v>
      </c>
      <c r="J6" s="2682">
        <f>Summary!K5</f>
        <v>0</v>
      </c>
      <c r="K6" s="2683"/>
      <c r="L6" s="2683"/>
      <c r="M6" s="2683"/>
      <c r="N6" s="2683"/>
      <c r="O6" s="2845">
        <f>Summary!O5</f>
        <v>0</v>
      </c>
      <c r="P6" s="2845"/>
      <c r="Q6" s="2845">
        <f>Summary!P5</f>
        <v>0</v>
      </c>
      <c r="R6" s="2846"/>
      <c r="U6" s="1186"/>
      <c r="V6" s="1187"/>
      <c r="W6" s="1187"/>
      <c r="X6" s="1188"/>
      <c r="Y6" s="299"/>
      <c r="Z6" s="299"/>
      <c r="FL6" s="299"/>
      <c r="FM6" s="299"/>
      <c r="FN6" s="299"/>
      <c r="FO6" s="299"/>
      <c r="FP6" s="299"/>
      <c r="FQ6" s="299"/>
      <c r="FR6" s="299"/>
      <c r="FS6" s="299"/>
      <c r="FT6" s="299"/>
      <c r="FU6" s="299"/>
      <c r="FV6" s="299"/>
      <c r="FW6" s="299"/>
      <c r="FX6" s="299"/>
      <c r="FY6" s="299"/>
      <c r="FZ6" s="299"/>
      <c r="GA6" s="299"/>
      <c r="GB6" s="299"/>
      <c r="GC6" s="299"/>
      <c r="GD6" s="299"/>
      <c r="GE6" s="299"/>
      <c r="GF6" s="299"/>
      <c r="GG6" s="299"/>
      <c r="GH6" s="299"/>
      <c r="GI6" s="299"/>
      <c r="GJ6" s="299"/>
      <c r="GK6" s="299"/>
      <c r="GL6" s="299"/>
      <c r="GM6" s="299"/>
      <c r="GN6" s="299"/>
      <c r="GO6" s="299"/>
      <c r="GP6" s="299"/>
      <c r="GQ6" s="299"/>
      <c r="GR6" s="299"/>
      <c r="GS6" s="299"/>
      <c r="GT6" s="299"/>
      <c r="GU6" s="299"/>
      <c r="GV6" s="299"/>
      <c r="GW6" s="299"/>
      <c r="GX6" s="299"/>
      <c r="GY6" s="299"/>
      <c r="GZ6" s="299"/>
      <c r="HA6" s="299"/>
      <c r="HB6" s="299"/>
      <c r="HC6" s="299"/>
      <c r="HD6" s="299"/>
      <c r="HE6" s="299"/>
      <c r="HF6" s="299"/>
      <c r="HG6" s="299"/>
      <c r="HH6" s="299"/>
      <c r="HI6" s="299"/>
      <c r="HJ6" s="299"/>
      <c r="HK6" s="299"/>
      <c r="HL6" s="299"/>
      <c r="HM6" s="299"/>
      <c r="HN6" s="299"/>
      <c r="HO6" s="299"/>
    </row>
    <row r="7" spans="2:223" s="298" customFormat="1" ht="20.149999999999999" customHeight="1" thickBot="1" x14ac:dyDescent="0.4">
      <c r="B7" s="1377">
        <v>0</v>
      </c>
      <c r="C7" s="42"/>
      <c r="D7" s="2850">
        <v>0</v>
      </c>
      <c r="E7" s="2851"/>
      <c r="H7" s="889"/>
      <c r="I7" s="940" t="s">
        <v>135</v>
      </c>
      <c r="J7" s="2685">
        <f>Summary!K6</f>
        <v>0</v>
      </c>
      <c r="K7" s="2686"/>
      <c r="L7" s="2686"/>
      <c r="M7" s="2686"/>
      <c r="N7" s="2686"/>
      <c r="O7" s="2852">
        <f>Summary!O6</f>
        <v>0</v>
      </c>
      <c r="P7" s="2852"/>
      <c r="Q7" s="2852">
        <f>Summary!P6</f>
        <v>0</v>
      </c>
      <c r="R7" s="2853"/>
      <c r="U7" s="1191" t="str">
        <f>Information!H6</f>
        <v>Approved by Edward:</v>
      </c>
      <c r="V7" s="1181"/>
      <c r="W7" s="1181"/>
      <c r="X7" s="1182"/>
      <c r="Y7" s="299"/>
      <c r="Z7" s="299"/>
      <c r="FL7" s="299"/>
      <c r="FM7" s="299"/>
      <c r="FN7" s="299"/>
      <c r="FO7" s="299"/>
      <c r="FP7" s="299"/>
      <c r="FQ7" s="299"/>
      <c r="FR7" s="299"/>
      <c r="FS7" s="299"/>
      <c r="FT7" s="299"/>
      <c r="FU7" s="299"/>
      <c r="FV7" s="299"/>
      <c r="FW7" s="299"/>
      <c r="FX7" s="299"/>
      <c r="FY7" s="299"/>
      <c r="FZ7" s="299"/>
      <c r="GA7" s="299"/>
      <c r="GB7" s="299"/>
      <c r="GC7" s="299"/>
      <c r="GD7" s="299"/>
      <c r="GE7" s="299"/>
      <c r="GF7" s="299"/>
      <c r="GG7" s="299"/>
      <c r="GH7" s="299"/>
      <c r="GI7" s="299"/>
      <c r="GJ7" s="299"/>
      <c r="GK7" s="299"/>
      <c r="GL7" s="299"/>
      <c r="GM7" s="299"/>
      <c r="GN7" s="299"/>
      <c r="GO7" s="299"/>
      <c r="GP7" s="299"/>
      <c r="GQ7" s="299"/>
      <c r="GR7" s="299"/>
      <c r="GS7" s="299"/>
      <c r="GT7" s="299"/>
      <c r="GU7" s="299"/>
      <c r="GV7" s="299"/>
      <c r="GW7" s="299"/>
      <c r="GX7" s="299"/>
      <c r="GY7" s="299"/>
      <c r="GZ7" s="299"/>
      <c r="HA7" s="299"/>
      <c r="HB7" s="299"/>
      <c r="HC7" s="299"/>
      <c r="HD7" s="299"/>
      <c r="HE7" s="299"/>
      <c r="HF7" s="299"/>
      <c r="HG7" s="299"/>
      <c r="HH7" s="299"/>
      <c r="HI7" s="299"/>
      <c r="HJ7" s="299"/>
      <c r="HK7" s="299"/>
      <c r="HL7" s="299"/>
      <c r="HM7" s="299"/>
      <c r="HN7" s="299"/>
      <c r="HO7" s="299"/>
    </row>
    <row r="8" spans="2:223" ht="20.149999999999999" customHeight="1" thickBot="1" x14ac:dyDescent="0.4">
      <c r="B8" s="1378">
        <v>0</v>
      </c>
      <c r="D8" s="2808">
        <v>0</v>
      </c>
      <c r="E8" s="2809"/>
      <c r="F8" s="306"/>
      <c r="G8" s="2854" t="s">
        <v>308</v>
      </c>
      <c r="H8" s="2854"/>
      <c r="I8" s="2854"/>
      <c r="J8" s="2308" t="str">
        <f>Pricing!A2</f>
        <v>Martin Marrieta</v>
      </c>
      <c r="K8" s="2308"/>
      <c r="L8" s="2308"/>
      <c r="M8" s="2308"/>
      <c r="N8" s="2308"/>
      <c r="O8" s="49"/>
      <c r="P8" s="306"/>
      <c r="Q8" s="306"/>
      <c r="R8" s="306"/>
      <c r="S8" s="306"/>
      <c r="T8" s="306"/>
      <c r="U8" s="298"/>
      <c r="V8" s="298"/>
      <c r="W8" s="298"/>
      <c r="X8" s="298"/>
      <c r="Y8" s="299"/>
      <c r="Z8" s="299"/>
    </row>
    <row r="9" spans="2:223" ht="39" customHeight="1" x14ac:dyDescent="0.35">
      <c r="B9" s="2847" t="s">
        <v>499</v>
      </c>
      <c r="C9" s="2269"/>
      <c r="D9" s="1870" t="s">
        <v>346</v>
      </c>
      <c r="E9" s="1871"/>
      <c r="F9" s="2501" t="s">
        <v>569</v>
      </c>
      <c r="G9" s="1866" t="s">
        <v>568</v>
      </c>
      <c r="H9" s="1975" t="s">
        <v>35</v>
      </c>
      <c r="I9" s="1866" t="s">
        <v>493</v>
      </c>
      <c r="J9" s="1933" t="s">
        <v>403</v>
      </c>
      <c r="K9" s="1934"/>
      <c r="L9" s="1933" t="s">
        <v>404</v>
      </c>
      <c r="M9" s="1934"/>
      <c r="N9" s="2855" t="s">
        <v>577</v>
      </c>
      <c r="O9" s="2217" t="s">
        <v>48</v>
      </c>
      <c r="P9" s="1917"/>
      <c r="Q9" s="1917"/>
      <c r="R9" s="1917"/>
      <c r="S9" s="1917"/>
      <c r="T9" s="1918"/>
      <c r="U9" s="2510" t="s">
        <v>349</v>
      </c>
      <c r="V9" s="2501" t="s">
        <v>106</v>
      </c>
      <c r="W9" s="2501" t="s">
        <v>410</v>
      </c>
      <c r="X9" s="2501" t="s">
        <v>350</v>
      </c>
      <c r="Y9" s="2503"/>
      <c r="Z9" s="299"/>
      <c r="AL9" s="42" t="s">
        <v>519</v>
      </c>
      <c r="BK9" s="42">
        <f>SUM(BJ29:BM29)</f>
        <v>0</v>
      </c>
    </row>
    <row r="10" spans="2:223" ht="20.149999999999999" customHeight="1" thickBot="1" x14ac:dyDescent="0.4">
      <c r="B10" s="2848"/>
      <c r="C10" s="2849"/>
      <c r="D10" s="2218"/>
      <c r="E10" s="2219"/>
      <c r="F10" s="2760"/>
      <c r="G10" s="1867"/>
      <c r="H10" s="1976"/>
      <c r="I10" s="1867"/>
      <c r="J10" s="1398" t="s">
        <v>28</v>
      </c>
      <c r="K10" s="871" t="s">
        <v>576</v>
      </c>
      <c r="L10" s="1398" t="s">
        <v>28</v>
      </c>
      <c r="M10" s="871" t="s">
        <v>576</v>
      </c>
      <c r="N10" s="2856"/>
      <c r="O10" s="1399" t="s">
        <v>47</v>
      </c>
      <c r="P10" s="1400" t="s">
        <v>42</v>
      </c>
      <c r="Q10" s="1401" t="s">
        <v>47</v>
      </c>
      <c r="R10" s="1400" t="s">
        <v>42</v>
      </c>
      <c r="S10" s="1399" t="s">
        <v>496</v>
      </c>
      <c r="T10" s="1402" t="s">
        <v>42</v>
      </c>
      <c r="U10" s="2768"/>
      <c r="V10" s="2760"/>
      <c r="W10" s="2760"/>
      <c r="X10" s="2760"/>
      <c r="Y10" s="2759"/>
      <c r="Z10" s="299"/>
      <c r="AM10" s="42" t="s">
        <v>516</v>
      </c>
      <c r="AQ10" s="42" t="s">
        <v>580</v>
      </c>
      <c r="AR10" s="42" t="s">
        <v>578</v>
      </c>
      <c r="AT10" s="42" t="s">
        <v>386</v>
      </c>
      <c r="AU10" s="42" t="s">
        <v>227</v>
      </c>
      <c r="AV10" s="42" t="s">
        <v>228</v>
      </c>
      <c r="AW10" s="42" t="s">
        <v>229</v>
      </c>
      <c r="AX10" s="42" t="s">
        <v>230</v>
      </c>
      <c r="AY10" s="42" t="s">
        <v>231</v>
      </c>
      <c r="AZ10" s="42" t="s">
        <v>232</v>
      </c>
      <c r="BA10" s="42" t="s">
        <v>114</v>
      </c>
      <c r="BB10" s="42" t="s">
        <v>497</v>
      </c>
      <c r="BC10" s="42" t="s">
        <v>807</v>
      </c>
      <c r="BD10" s="42" t="s">
        <v>807</v>
      </c>
      <c r="BE10" s="42" t="s">
        <v>807</v>
      </c>
      <c r="BG10" s="42" t="s">
        <v>106</v>
      </c>
      <c r="BH10" s="42" t="s">
        <v>82</v>
      </c>
      <c r="BI10" s="42" t="s">
        <v>660</v>
      </c>
      <c r="BJ10" s="42" t="s">
        <v>353</v>
      </c>
      <c r="BK10" s="42" t="s">
        <v>355</v>
      </c>
      <c r="BL10" s="42" t="s">
        <v>322</v>
      </c>
      <c r="BM10" s="42" t="s">
        <v>33</v>
      </c>
      <c r="BN10" s="42" t="s">
        <v>360</v>
      </c>
      <c r="BO10" s="42" t="s">
        <v>67</v>
      </c>
      <c r="BP10" s="42" t="s">
        <v>148</v>
      </c>
      <c r="BQ10" s="42" t="s">
        <v>370</v>
      </c>
      <c r="BR10" s="42" t="s">
        <v>500</v>
      </c>
      <c r="BT10" s="42" t="s">
        <v>409</v>
      </c>
      <c r="BU10" s="42" t="s">
        <v>86</v>
      </c>
    </row>
    <row r="11" spans="2:223" ht="20.149999999999999" customHeight="1" x14ac:dyDescent="0.35">
      <c r="B11" s="2052"/>
      <c r="C11" s="2054"/>
      <c r="D11" s="2859"/>
      <c r="E11" s="2860"/>
      <c r="F11" s="1390"/>
      <c r="G11" s="449"/>
      <c r="H11" s="1276"/>
      <c r="I11" s="1237"/>
      <c r="J11" s="449"/>
      <c r="K11" s="450"/>
      <c r="L11" s="449"/>
      <c r="M11" s="450"/>
      <c r="N11" s="1391"/>
      <c r="O11" s="683"/>
      <c r="P11" s="1392"/>
      <c r="Q11" s="449"/>
      <c r="R11" s="450"/>
      <c r="S11" s="1278"/>
      <c r="T11" s="1393"/>
      <c r="U11" s="1394">
        <f>SUM(AI11:AQ12)</f>
        <v>0</v>
      </c>
      <c r="V11" s="1395">
        <f>((((D11*F11/324)+(D12*F12/324))*(1+K$60))+AL11+AL12)</f>
        <v>0</v>
      </c>
      <c r="W11" s="1396">
        <f>IF(D11=0,0,X11/(D11+D12))</f>
        <v>0</v>
      </c>
      <c r="X11" s="2499">
        <f>(IF(SUM(BG11:BU12)=0,0,SUM(BG11:BU12)*(1+M$52+Summary!P$64)))</f>
        <v>0</v>
      </c>
      <c r="Y11" s="2500"/>
      <c r="Z11" s="299"/>
      <c r="AI11" s="42">
        <f>IF(O11=1,P11*$R$44,0)+IF(O11=2,P11*$R$45,0)+IF(O11=3,P11*$R$46,0)+IF(O11=4,P11*$R$47,0)+IF(O11=5,P11*$R$48,0)+IF(O11=6,P11*$R$49,0)</f>
        <v>0</v>
      </c>
      <c r="AJ11" s="42">
        <f>IF(Q11=1,R11*$R$44,0)+IF(Q11=2,R11*$R$45,0)+IF(Q11=3,R11*$R$46,0)+IF(Q11=4,R11*$R$47,0)+IF(Q11=5,R11*$R$48,0)+IF(Q11=6,R11*$R$49,0)</f>
        <v>0</v>
      </c>
      <c r="AK11" s="42">
        <f>IF(S11=1,T11*$R$44,0)+IF(S11=2,T11*$R$45,0)+IF(S11=3,T11*$R$46,0)+IF(S11=4,T11*$R$47,0)+IF(S11=5,T11*$R$48,0)+IF(S11=6,T11*$R$49,0)</f>
        <v>0</v>
      </c>
      <c r="AL11" s="42">
        <f>SUM(AI11:AK11)</f>
        <v>0</v>
      </c>
      <c r="AM11" s="42">
        <f>ROUNDUP(IF(O11=1,P11*$P$44,0)+IF(O11=2,P11*$P$45,0)+IF(O11=3,P11*$P$46,0)+IF(O11=4,P11*$P$47,0)+IF(O11=5,P11*$P$48,0)+IF(O11=6,P11*$P$49,0),0)</f>
        <v>0</v>
      </c>
      <c r="AN11" s="42">
        <f>ROUNDUP(IF(Q11=1,R11*$P$44,0)+IF(Q11=2,R11*$P$45,0)+IF(Q11=3,R11*$P$46,0)+IF(Q11=4,R11*$P$47,0)+IF(Q11=5,R11*$P$48,0)+IF(Q11=6,R11*$P$49,0),0)</f>
        <v>0</v>
      </c>
      <c r="AO11" s="42">
        <f>ROUNDUP(IF(S11=1,T11*$P$44,0)+IF(S11=2,T11*$P$45,0)+IF(S11=3,T11*$P$46,0)+IF(S11=4,T11*$P$47,0)+IF(S11=5,T11*$P$48,0)+IF(S11=6,T11*$P$49,0),0)</f>
        <v>0</v>
      </c>
      <c r="AP11" s="42">
        <f>SUM(AM11:AO11)</f>
        <v>0</v>
      </c>
      <c r="AQ11" s="186">
        <f t="shared" ref="AQ11:AQ40" si="0">IF(M11=0,0,(M11/12+M11/12)/(M11/12*M11/12)*D11*((L11/16*L11/16)*10.6870159))*(1+K$63)+IF(K11=0,0,(K11/12+K11/12)/(K11/12*K11/12)*D11*((J11/16*J11/16)*10.6870159))*(1+K$63)</f>
        <v>0</v>
      </c>
      <c r="AR11" s="42">
        <f t="shared" ref="AR11:AR40" si="1">N11*(1+K$64)</f>
        <v>0</v>
      </c>
      <c r="AT11" s="42">
        <f t="shared" ref="AT11:AT29" si="2">IF(N11="y",D11,0)</f>
        <v>0</v>
      </c>
      <c r="AU11" s="42">
        <f t="shared" ref="AU11:AU40" si="3">IF($H11=1,$V11,0)</f>
        <v>0</v>
      </c>
      <c r="AV11" s="42">
        <f t="shared" ref="AV11:AV40" si="4">IF($H11=2,$V11,0)</f>
        <v>0</v>
      </c>
      <c r="AW11" s="42">
        <f t="shared" ref="AW11:AW40" si="5">IF($H11=3,$V11,0)</f>
        <v>0</v>
      </c>
      <c r="AX11" s="42">
        <f t="shared" ref="AX11:AX40" si="6">IF($H11=4,$V11,0)</f>
        <v>0</v>
      </c>
      <c r="AY11" s="42">
        <f t="shared" ref="AY11:AY40" si="7">IF($H11=5,$V11,0)</f>
        <v>0</v>
      </c>
      <c r="AZ11" s="42">
        <f t="shared" ref="AZ11:AZ40" si="8">IF($H11=6,$V11,0)</f>
        <v>0</v>
      </c>
      <c r="BA11" s="42">
        <f>SUM(AU11:AZ11)</f>
        <v>0</v>
      </c>
      <c r="BB11" s="42">
        <f>IF(G11="N",0,D11)</f>
        <v>0</v>
      </c>
      <c r="BC11" s="42">
        <f>IF(O11=1,P11*$V$44,0)+IF(O11=2,P11*$V$45,0)+IF(O11=3,P11*$V$46,0)+IF(O11=4,P11*$V$47,0)+IF(O11=5,P11*$V$48,0)+IF(O11=6,P11*$V$49,0)</f>
        <v>0</v>
      </c>
      <c r="BD11" s="42">
        <f>IF(Q11=1,R11*$V$44,0)+IF(Q11=2,R11*$V$45,0)+IF(Q11=3,R11*$V$46,0)+IF(Q11=4,R11*$V$47,0)+IF(Q11=5,R11*$V$48,0)+IF(Q11=6,R11*$V$49,0)</f>
        <v>0</v>
      </c>
      <c r="BE11" s="42">
        <f>IF(S11=1,T11*$V$44,0)+IF(S11=2,T11*$V$45,0)+IF(S11=3,T11*$V$46,0)+IF(S11=4,T11*$V$47,0)+IF(S11=5,T11*$V$48,0)+IF(S11=6,T11*$V$49,0)</f>
        <v>0</v>
      </c>
      <c r="BG11" s="335">
        <f>(AU11*Pricing!F$2+AV11*Pricing!G$2+AW11*Pricing!H$2+AX11*Pricing!I$2+AY11*Pricing!J$2+AZ11*Pricing!K$2)*IF(U$51="N",(1+W$51),1)</f>
        <v>0</v>
      </c>
      <c r="BH11" s="335">
        <f t="shared" ref="BH11:BH40" si="9">U11*G$63*IF(U$51="n",1+W$51,1)</f>
        <v>0</v>
      </c>
      <c r="BI11" s="335">
        <f>IF(BB$41=0,0,IF(G11="y",O$66/BB$41*BB11,0))</f>
        <v>0</v>
      </c>
      <c r="BJ11" s="335">
        <f>(D11*H$72)</f>
        <v>0</v>
      </c>
      <c r="BK11" s="335">
        <f t="shared" ref="BK11:BK40" si="10">I11*E$77</f>
        <v>0</v>
      </c>
      <c r="BL11" s="335">
        <f t="shared" ref="BL11:BL40" si="11">E$78*D11</f>
        <v>0</v>
      </c>
      <c r="BM11" s="335">
        <f>IF(D11=0,0,(U11/2000*E$81+O$80/I$72*D11))</f>
        <v>0</v>
      </c>
      <c r="BN11" s="335">
        <f t="shared" ref="BN11:BN40" si="12">IF(D11=0,0,SUM(O$84:P$86)/D$41*D11)</f>
        <v>0</v>
      </c>
      <c r="BO11" s="335">
        <f t="shared" ref="BO11:BO40" si="13">IF(D11=0,0,SUM(X$60:X$89)/D$41*D11)+IF(I$72=0,0,(O$69+O$68+O$67)/I$72*D11)</f>
        <v>0</v>
      </c>
      <c r="BP11" s="335">
        <f t="shared" ref="BP11:BP40" si="14">IF(D11=0,0,SUM(O$88:P$93)/D$41*D11)</f>
        <v>0</v>
      </c>
      <c r="BQ11" s="335">
        <f t="shared" ref="BQ11:BQ40" si="15">IF(D11=0,0,SUM(O$95:P$101)/D$41)*D11</f>
        <v>0</v>
      </c>
      <c r="BR11" s="335">
        <f t="shared" ref="BR11:BR40" si="16">IF(D$41=0,0,SUM(X$90:X$101)/D$41*D11)</f>
        <v>0</v>
      </c>
      <c r="BS11" s="335"/>
      <c r="BT11" s="335">
        <f t="shared" ref="BT11:BT40" si="17">AH11*G$65*IF(U$51="n",(1+W$51),1)</f>
        <v>0</v>
      </c>
      <c r="BU11" s="335">
        <f t="shared" ref="BU11:BU40" si="18">AR11*G$64*IF(U$51="Y",1,1+W$51)</f>
        <v>0</v>
      </c>
    </row>
    <row r="12" spans="2:223" ht="20.149999999999999" customHeight="1" x14ac:dyDescent="0.35">
      <c r="B12" s="2804"/>
      <c r="C12" s="2805"/>
      <c r="D12" s="2803"/>
      <c r="E12" s="1992"/>
      <c r="F12" s="127"/>
      <c r="G12" s="30"/>
      <c r="H12" s="1315"/>
      <c r="I12" s="126"/>
      <c r="J12" s="30"/>
      <c r="K12" s="121"/>
      <c r="L12" s="30"/>
      <c r="M12" s="121"/>
      <c r="N12" s="416"/>
      <c r="O12" s="205"/>
      <c r="P12" s="126"/>
      <c r="Q12" s="30"/>
      <c r="R12" s="121"/>
      <c r="S12" s="176"/>
      <c r="T12" s="185"/>
      <c r="U12" s="1381"/>
      <c r="V12" s="1382"/>
      <c r="W12" s="1388"/>
      <c r="X12" s="2488"/>
      <c r="Y12" s="2489"/>
      <c r="Z12" s="299"/>
      <c r="AI12" s="42">
        <f t="shared" ref="AI12:AI40" si="19">IF(O12=1,P12*$R$44,0)+IF(O12=2,P12*$R$45,0)+IF(O12=3,P12*$R$46,0)+IF(O12=4,P12*$R$47,0)+IF(O12=5,P12*$R$48,0)+IF(O12=6,P12*$R$49,0)</f>
        <v>0</v>
      </c>
      <c r="AJ12" s="42">
        <f t="shared" ref="AJ12:AJ40" si="20">IF(Q12=1,R12*$R$44,0)+IF(Q12=2,R12*$R$45,0)+IF(Q12=3,R12*$R$46,0)+IF(Q12=4,R12*$R$47,0)+IF(Q12=5,R12*$R$48,0)+IF(Q12=6,R12*$R$49,0)</f>
        <v>0</v>
      </c>
      <c r="AK12" s="42">
        <f t="shared" ref="AK12:AK40" si="21">IF(S12=1,T12*$R$44,0)+IF(S12=2,T12*$R$45,0)+IF(S12=3,T12*$R$46,0)+IF(S12=4,T12*$R$47,0)+IF(S12=5,T12*$R$48,0)+IF(S12=6,T12*$R$49,0)</f>
        <v>0</v>
      </c>
      <c r="AL12" s="42">
        <f t="shared" ref="AL12:AL40" si="22">SUM(AI12:AK12)</f>
        <v>0</v>
      </c>
      <c r="AM12" s="42">
        <f t="shared" ref="AM12:AM40" si="23">ROUNDUP(IF(O12=1,P12*$P$44,0)+IF(O12=2,P12*$P$45,0)+IF(O12=3,P12*$P$46,0)+IF(O12=4,P12*$P$47,0)+IF(O12=5,P12*$P$48,0)+IF(O12=6,P12*$P$49,0),0)</f>
        <v>0</v>
      </c>
      <c r="AN12" s="42">
        <f t="shared" ref="AN12:AN40" si="24">ROUNDUP(IF(Q12=1,R12*$P$44,0)+IF(Q12=2,R12*$P$45,0)+IF(Q12=3,R12*$P$46,0)+IF(Q12=4,R12*$P$47,0)+IF(Q12=5,R12*$P$48,0)+IF(Q12=6,R12*$P$49,0),0)</f>
        <v>0</v>
      </c>
      <c r="AO12" s="42">
        <f t="shared" ref="AO12:AO40" si="25">ROUNDUP(IF(S12=1,T12*$P$44,0)+IF(S12=2,T12*$P$45,0)+IF(S12=3,T12*$P$46,0)+IF(S12=4,T12*$P$47,0)+IF(S12=5,T12*$P$48,0)+IF(S12=6,T12*$P$49,0),0)</f>
        <v>0</v>
      </c>
      <c r="AP12" s="42">
        <f t="shared" ref="AP12:AP40" si="26">SUM(AM12:AO12)</f>
        <v>0</v>
      </c>
      <c r="AQ12" s="186">
        <f t="shared" si="0"/>
        <v>0</v>
      </c>
      <c r="AR12" s="42">
        <f t="shared" si="1"/>
        <v>0</v>
      </c>
      <c r="AT12" s="42">
        <f t="shared" si="2"/>
        <v>0</v>
      </c>
      <c r="AU12" s="42">
        <f t="shared" si="3"/>
        <v>0</v>
      </c>
      <c r="AV12" s="42">
        <f t="shared" si="4"/>
        <v>0</v>
      </c>
      <c r="AW12" s="42">
        <f t="shared" si="5"/>
        <v>0</v>
      </c>
      <c r="AX12" s="42">
        <f t="shared" si="6"/>
        <v>0</v>
      </c>
      <c r="AY12" s="42">
        <f t="shared" si="7"/>
        <v>0</v>
      </c>
      <c r="AZ12" s="42">
        <f t="shared" si="8"/>
        <v>0</v>
      </c>
      <c r="BA12" s="42">
        <f t="shared" ref="BA12:BA40" si="27">SUM(AU12:AZ12)</f>
        <v>0</v>
      </c>
      <c r="BB12" s="42">
        <f t="shared" ref="BB12:BB40" si="28">IF(G12="N",0,D12)</f>
        <v>0</v>
      </c>
      <c r="BC12" s="42">
        <f t="shared" ref="BC12:BC40" si="29">IF(O12=1,P12*$V$44,0)+IF(O12=2,P12*$V$45,0)+IF(O12=3,P12*$V$46,0)+IF(O12=4,P12*$V$47,0)+IF(O12=5,P12*$V$48,0)+IF(O12=6,P12*$V$49,0)</f>
        <v>0</v>
      </c>
      <c r="BD12" s="42">
        <f t="shared" ref="BD12:BD40" si="30">IF(Q12=1,R12*$V$44,0)+IF(Q12=2,R12*$V$45,0)+IF(Q12=3,R12*$V$46,0)+IF(Q12=4,R12*$V$47,0)+IF(Q12=5,R12*$V$48,0)+IF(Q12=6,R12*$V$49,0)</f>
        <v>0</v>
      </c>
      <c r="BE12" s="42">
        <f t="shared" ref="BE12:BE40" si="31">IF(S12=1,T12*$V$44,0)+IF(S12=2,T12*$V$45,0)+IF(S12=3,T12*$V$46,0)+IF(S12=4,T12*$V$47,0)+IF(S12=5,T12*$V$48,0)+IF(S12=6,T12*$V$49,0)</f>
        <v>0</v>
      </c>
      <c r="BG12" s="335">
        <f>(AU12*Pricing!F$2+AV12*Pricing!G$2+AW12*Pricing!H$2+AX12*Pricing!I$2+AY12*Pricing!J$2+AZ12*Pricing!K$2)*IF(U$51="N",(1+W$51),1)</f>
        <v>0</v>
      </c>
      <c r="BH12" s="335">
        <f t="shared" si="9"/>
        <v>0</v>
      </c>
      <c r="BI12" s="335">
        <f t="shared" ref="BI12:BI40" si="32">IF(BB$41=0,0,IF(G12="y",O$66/BB$41*BB12,0))</f>
        <v>0</v>
      </c>
      <c r="BJ12" s="335">
        <f t="shared" ref="BJ12:BJ40" si="33">(D12*H$72)</f>
        <v>0</v>
      </c>
      <c r="BK12" s="335">
        <f t="shared" si="10"/>
        <v>0</v>
      </c>
      <c r="BL12" s="335">
        <f t="shared" si="11"/>
        <v>0</v>
      </c>
      <c r="BM12" s="335">
        <f t="shared" ref="BM12:BM40" si="34">IF(D12=0,0,(U12/2000*E$81+O$80/I$72*D12))</f>
        <v>0</v>
      </c>
      <c r="BN12" s="335">
        <f t="shared" si="12"/>
        <v>0</v>
      </c>
      <c r="BO12" s="335">
        <f t="shared" si="13"/>
        <v>0</v>
      </c>
      <c r="BP12" s="335">
        <f t="shared" si="14"/>
        <v>0</v>
      </c>
      <c r="BQ12" s="335">
        <f t="shared" si="15"/>
        <v>0</v>
      </c>
      <c r="BR12" s="335">
        <f t="shared" si="16"/>
        <v>0</v>
      </c>
      <c r="BS12" s="335"/>
      <c r="BT12" s="335">
        <f t="shared" si="17"/>
        <v>0</v>
      </c>
      <c r="BU12" s="335">
        <f t="shared" si="18"/>
        <v>0</v>
      </c>
    </row>
    <row r="13" spans="2:223" ht="20.149999999999999" customHeight="1" x14ac:dyDescent="0.35">
      <c r="B13" s="2807"/>
      <c r="C13" s="2676"/>
      <c r="D13" s="2806"/>
      <c r="E13" s="2002"/>
      <c r="F13" s="206"/>
      <c r="G13" s="31"/>
      <c r="H13" s="777"/>
      <c r="I13" s="177"/>
      <c r="J13" s="31"/>
      <c r="K13" s="206"/>
      <c r="L13" s="31"/>
      <c r="M13" s="206"/>
      <c r="N13" s="1397"/>
      <c r="O13" s="207"/>
      <c r="P13" s="177"/>
      <c r="Q13" s="31"/>
      <c r="R13" s="206"/>
      <c r="S13" s="178"/>
      <c r="T13" s="208"/>
      <c r="U13" s="1380">
        <f>SUM(AI13:AQ14)</f>
        <v>0</v>
      </c>
      <c r="V13" s="906">
        <f>((((D13*F13/324)+(D14*F14/324))*(1+K$60))+AL13+AL14)</f>
        <v>0</v>
      </c>
      <c r="W13" s="1387">
        <f>IF(D13=0,0,X13/(D13+D14))</f>
        <v>0</v>
      </c>
      <c r="X13" s="2488">
        <f>SUM(BG13:BU14)*(1+M$52+Summary!P$64)</f>
        <v>0</v>
      </c>
      <c r="Y13" s="2489"/>
      <c r="Z13" s="299"/>
      <c r="AI13" s="42">
        <f t="shared" si="19"/>
        <v>0</v>
      </c>
      <c r="AJ13" s="42">
        <f t="shared" si="20"/>
        <v>0</v>
      </c>
      <c r="AK13" s="42">
        <f t="shared" si="21"/>
        <v>0</v>
      </c>
      <c r="AL13" s="42">
        <f t="shared" si="22"/>
        <v>0</v>
      </c>
      <c r="AM13" s="42">
        <f t="shared" si="23"/>
        <v>0</v>
      </c>
      <c r="AN13" s="42">
        <f t="shared" si="24"/>
        <v>0</v>
      </c>
      <c r="AO13" s="42">
        <f t="shared" si="25"/>
        <v>0</v>
      </c>
      <c r="AP13" s="42">
        <f t="shared" si="26"/>
        <v>0</v>
      </c>
      <c r="AQ13" s="186">
        <f t="shared" si="0"/>
        <v>0</v>
      </c>
      <c r="AR13" s="42">
        <f t="shared" si="1"/>
        <v>0</v>
      </c>
      <c r="AT13" s="42">
        <f t="shared" si="2"/>
        <v>0</v>
      </c>
      <c r="AU13" s="42">
        <f t="shared" si="3"/>
        <v>0</v>
      </c>
      <c r="AV13" s="42">
        <f t="shared" si="4"/>
        <v>0</v>
      </c>
      <c r="AW13" s="42">
        <f t="shared" si="5"/>
        <v>0</v>
      </c>
      <c r="AX13" s="42">
        <f t="shared" si="6"/>
        <v>0</v>
      </c>
      <c r="AY13" s="42">
        <f t="shared" si="7"/>
        <v>0</v>
      </c>
      <c r="AZ13" s="42">
        <f t="shared" si="8"/>
        <v>0</v>
      </c>
      <c r="BA13" s="42">
        <f t="shared" si="27"/>
        <v>0</v>
      </c>
      <c r="BB13" s="42">
        <f t="shared" si="28"/>
        <v>0</v>
      </c>
      <c r="BC13" s="42">
        <f t="shared" si="29"/>
        <v>0</v>
      </c>
      <c r="BD13" s="42">
        <f t="shared" si="30"/>
        <v>0</v>
      </c>
      <c r="BE13" s="42">
        <f t="shared" si="31"/>
        <v>0</v>
      </c>
      <c r="BG13" s="335">
        <f>(AU13*Pricing!F$2+AV13*Pricing!G$2+AW13*Pricing!H$2+AX13*Pricing!I$2+AY13*Pricing!J$2+AZ13*Pricing!K$2)*IF(U$51="N",(1+W$51),1)</f>
        <v>0</v>
      </c>
      <c r="BH13" s="335">
        <f t="shared" si="9"/>
        <v>0</v>
      </c>
      <c r="BI13" s="335">
        <f t="shared" si="32"/>
        <v>0</v>
      </c>
      <c r="BJ13" s="335">
        <f t="shared" si="33"/>
        <v>0</v>
      </c>
      <c r="BK13" s="335">
        <f t="shared" si="10"/>
        <v>0</v>
      </c>
      <c r="BL13" s="335">
        <f t="shared" si="11"/>
        <v>0</v>
      </c>
      <c r="BM13" s="335">
        <f t="shared" si="34"/>
        <v>0</v>
      </c>
      <c r="BN13" s="335">
        <f t="shared" si="12"/>
        <v>0</v>
      </c>
      <c r="BO13" s="335">
        <f t="shared" si="13"/>
        <v>0</v>
      </c>
      <c r="BP13" s="335">
        <f t="shared" si="14"/>
        <v>0</v>
      </c>
      <c r="BQ13" s="335">
        <f t="shared" si="15"/>
        <v>0</v>
      </c>
      <c r="BR13" s="335">
        <f t="shared" si="16"/>
        <v>0</v>
      </c>
      <c r="BS13" s="335"/>
      <c r="BT13" s="335">
        <f t="shared" si="17"/>
        <v>0</v>
      </c>
      <c r="BU13" s="335">
        <f t="shared" si="18"/>
        <v>0</v>
      </c>
    </row>
    <row r="14" spans="2:223" ht="20.149999999999999" customHeight="1" x14ac:dyDescent="0.35">
      <c r="B14" s="209"/>
      <c r="C14" s="210"/>
      <c r="D14" s="2803"/>
      <c r="E14" s="1992"/>
      <c r="F14" s="211"/>
      <c r="G14" s="32"/>
      <c r="H14" s="779"/>
      <c r="I14" s="179"/>
      <c r="J14" s="32"/>
      <c r="K14" s="211"/>
      <c r="L14" s="32"/>
      <c r="M14" s="211"/>
      <c r="N14" s="416"/>
      <c r="O14" s="212"/>
      <c r="P14" s="179"/>
      <c r="Q14" s="32"/>
      <c r="R14" s="211"/>
      <c r="S14" s="180"/>
      <c r="T14" s="213"/>
      <c r="U14" s="1381"/>
      <c r="V14" s="1382"/>
      <c r="W14" s="1388"/>
      <c r="X14" s="2488"/>
      <c r="Y14" s="2489"/>
      <c r="Z14" s="299"/>
      <c r="AI14" s="42">
        <f t="shared" si="19"/>
        <v>0</v>
      </c>
      <c r="AJ14" s="42">
        <f t="shared" si="20"/>
        <v>0</v>
      </c>
      <c r="AK14" s="42">
        <f t="shared" si="21"/>
        <v>0</v>
      </c>
      <c r="AL14" s="42">
        <f t="shared" si="22"/>
        <v>0</v>
      </c>
      <c r="AM14" s="42">
        <f t="shared" si="23"/>
        <v>0</v>
      </c>
      <c r="AN14" s="42">
        <f t="shared" si="24"/>
        <v>0</v>
      </c>
      <c r="AO14" s="42">
        <f t="shared" si="25"/>
        <v>0</v>
      </c>
      <c r="AP14" s="42">
        <f t="shared" si="26"/>
        <v>0</v>
      </c>
      <c r="AQ14" s="186">
        <f t="shared" si="0"/>
        <v>0</v>
      </c>
      <c r="AR14" s="42">
        <f t="shared" si="1"/>
        <v>0</v>
      </c>
      <c r="AT14" s="42">
        <f t="shared" si="2"/>
        <v>0</v>
      </c>
      <c r="AU14" s="42">
        <f t="shared" si="3"/>
        <v>0</v>
      </c>
      <c r="AV14" s="42">
        <f t="shared" si="4"/>
        <v>0</v>
      </c>
      <c r="AW14" s="42">
        <f t="shared" si="5"/>
        <v>0</v>
      </c>
      <c r="AX14" s="42">
        <f t="shared" si="6"/>
        <v>0</v>
      </c>
      <c r="AY14" s="42">
        <f t="shared" si="7"/>
        <v>0</v>
      </c>
      <c r="AZ14" s="42">
        <f t="shared" si="8"/>
        <v>0</v>
      </c>
      <c r="BA14" s="42">
        <f t="shared" si="27"/>
        <v>0</v>
      </c>
      <c r="BB14" s="42">
        <f t="shared" si="28"/>
        <v>0</v>
      </c>
      <c r="BC14" s="42">
        <f t="shared" si="29"/>
        <v>0</v>
      </c>
      <c r="BD14" s="42">
        <f t="shared" si="30"/>
        <v>0</v>
      </c>
      <c r="BE14" s="42">
        <f t="shared" si="31"/>
        <v>0</v>
      </c>
      <c r="BG14" s="335">
        <f>(AU14*Pricing!F$2+AV14*Pricing!G$2+AW14*Pricing!H$2+AX14*Pricing!I$2+AY14*Pricing!J$2+AZ14*Pricing!K$2)*IF(U$51="N",(1+W$51),1)</f>
        <v>0</v>
      </c>
      <c r="BH14" s="335">
        <f t="shared" si="9"/>
        <v>0</v>
      </c>
      <c r="BI14" s="335">
        <f t="shared" si="32"/>
        <v>0</v>
      </c>
      <c r="BJ14" s="335">
        <f t="shared" si="33"/>
        <v>0</v>
      </c>
      <c r="BK14" s="335">
        <f t="shared" si="10"/>
        <v>0</v>
      </c>
      <c r="BL14" s="335">
        <f t="shared" si="11"/>
        <v>0</v>
      </c>
      <c r="BM14" s="335">
        <f t="shared" si="34"/>
        <v>0</v>
      </c>
      <c r="BN14" s="335">
        <f t="shared" si="12"/>
        <v>0</v>
      </c>
      <c r="BO14" s="335">
        <f t="shared" si="13"/>
        <v>0</v>
      </c>
      <c r="BP14" s="335">
        <f t="shared" si="14"/>
        <v>0</v>
      </c>
      <c r="BQ14" s="335">
        <f t="shared" si="15"/>
        <v>0</v>
      </c>
      <c r="BR14" s="335">
        <f t="shared" si="16"/>
        <v>0</v>
      </c>
      <c r="BS14" s="335"/>
      <c r="BT14" s="335">
        <f t="shared" si="17"/>
        <v>0</v>
      </c>
      <c r="BU14" s="335">
        <f t="shared" si="18"/>
        <v>0</v>
      </c>
    </row>
    <row r="15" spans="2:223" ht="20.149999999999999" customHeight="1" x14ac:dyDescent="0.35">
      <c r="B15" s="1979"/>
      <c r="C15" s="1981"/>
      <c r="D15" s="2806"/>
      <c r="E15" s="2002"/>
      <c r="F15" s="206"/>
      <c r="G15" s="31"/>
      <c r="H15" s="777"/>
      <c r="I15" s="177"/>
      <c r="J15" s="31"/>
      <c r="K15" s="206"/>
      <c r="L15" s="31"/>
      <c r="M15" s="206"/>
      <c r="N15" s="1397"/>
      <c r="O15" s="207"/>
      <c r="P15" s="177"/>
      <c r="Q15" s="31"/>
      <c r="R15" s="521"/>
      <c r="S15" s="176"/>
      <c r="T15" s="185"/>
      <c r="U15" s="1380">
        <f>SUM(AI15:AQ16)</f>
        <v>0</v>
      </c>
      <c r="V15" s="906">
        <f>((((D15*F15/324)+(D16*F16/324))*(1+K$60))+AL15+AL16)</f>
        <v>0</v>
      </c>
      <c r="W15" s="1387">
        <f>IF(D15=0,0,X15/(D15+D16))</f>
        <v>0</v>
      </c>
      <c r="X15" s="2488">
        <f>SUM(BG15:BU16)*(1+M$52+Summary!P$64)</f>
        <v>0</v>
      </c>
      <c r="Y15" s="2489"/>
      <c r="Z15" s="299"/>
      <c r="AI15" s="42">
        <f t="shared" si="19"/>
        <v>0</v>
      </c>
      <c r="AJ15" s="42">
        <f t="shared" si="20"/>
        <v>0</v>
      </c>
      <c r="AK15" s="42">
        <f t="shared" si="21"/>
        <v>0</v>
      </c>
      <c r="AL15" s="42">
        <f t="shared" si="22"/>
        <v>0</v>
      </c>
      <c r="AM15" s="42">
        <f t="shared" si="23"/>
        <v>0</v>
      </c>
      <c r="AN15" s="42">
        <f t="shared" si="24"/>
        <v>0</v>
      </c>
      <c r="AO15" s="42">
        <f t="shared" si="25"/>
        <v>0</v>
      </c>
      <c r="AP15" s="42">
        <f t="shared" si="26"/>
        <v>0</v>
      </c>
      <c r="AQ15" s="186">
        <f t="shared" si="0"/>
        <v>0</v>
      </c>
      <c r="AR15" s="42">
        <f t="shared" si="1"/>
        <v>0</v>
      </c>
      <c r="AT15" s="42">
        <f t="shared" si="2"/>
        <v>0</v>
      </c>
      <c r="AU15" s="42">
        <f t="shared" si="3"/>
        <v>0</v>
      </c>
      <c r="AV15" s="42">
        <f t="shared" si="4"/>
        <v>0</v>
      </c>
      <c r="AW15" s="42">
        <f t="shared" si="5"/>
        <v>0</v>
      </c>
      <c r="AX15" s="42">
        <f t="shared" si="6"/>
        <v>0</v>
      </c>
      <c r="AY15" s="42">
        <f t="shared" si="7"/>
        <v>0</v>
      </c>
      <c r="AZ15" s="42">
        <f t="shared" si="8"/>
        <v>0</v>
      </c>
      <c r="BA15" s="42">
        <f t="shared" si="27"/>
        <v>0</v>
      </c>
      <c r="BB15" s="42">
        <f t="shared" si="28"/>
        <v>0</v>
      </c>
      <c r="BC15" s="42">
        <f t="shared" si="29"/>
        <v>0</v>
      </c>
      <c r="BD15" s="42">
        <f t="shared" si="30"/>
        <v>0</v>
      </c>
      <c r="BE15" s="42">
        <f t="shared" si="31"/>
        <v>0</v>
      </c>
      <c r="BG15" s="335">
        <f>(AU15*Pricing!F$2+AV15*Pricing!G$2+AW15*Pricing!H$2+AX15*Pricing!I$2+AY15*Pricing!J$2+AZ15*Pricing!K$2)*IF(U$51="N",(1+W$51),1)</f>
        <v>0</v>
      </c>
      <c r="BH15" s="335">
        <f t="shared" si="9"/>
        <v>0</v>
      </c>
      <c r="BI15" s="335">
        <f t="shared" si="32"/>
        <v>0</v>
      </c>
      <c r="BJ15" s="335">
        <f t="shared" si="33"/>
        <v>0</v>
      </c>
      <c r="BK15" s="335">
        <f t="shared" si="10"/>
        <v>0</v>
      </c>
      <c r="BL15" s="335">
        <f t="shared" si="11"/>
        <v>0</v>
      </c>
      <c r="BM15" s="335">
        <f t="shared" si="34"/>
        <v>0</v>
      </c>
      <c r="BN15" s="335">
        <f t="shared" si="12"/>
        <v>0</v>
      </c>
      <c r="BO15" s="335">
        <f t="shared" si="13"/>
        <v>0</v>
      </c>
      <c r="BP15" s="335">
        <f t="shared" si="14"/>
        <v>0</v>
      </c>
      <c r="BQ15" s="335">
        <f t="shared" si="15"/>
        <v>0</v>
      </c>
      <c r="BR15" s="335">
        <f t="shared" si="16"/>
        <v>0</v>
      </c>
      <c r="BS15" s="335"/>
      <c r="BT15" s="335">
        <f t="shared" si="17"/>
        <v>0</v>
      </c>
      <c r="BU15" s="335">
        <f t="shared" si="18"/>
        <v>0</v>
      </c>
    </row>
    <row r="16" spans="2:223" ht="20.149999999999999" customHeight="1" x14ac:dyDescent="0.35">
      <c r="B16" s="196"/>
      <c r="C16" s="204"/>
      <c r="D16" s="2803"/>
      <c r="E16" s="1992"/>
      <c r="F16" s="211"/>
      <c r="G16" s="32"/>
      <c r="H16" s="779"/>
      <c r="I16" s="179"/>
      <c r="J16" s="32"/>
      <c r="K16" s="211"/>
      <c r="L16" s="32"/>
      <c r="M16" s="211"/>
      <c r="N16" s="416"/>
      <c r="O16" s="212"/>
      <c r="P16" s="179"/>
      <c r="Q16" s="32"/>
      <c r="R16" s="121"/>
      <c r="S16" s="176"/>
      <c r="T16" s="185"/>
      <c r="U16" s="1381"/>
      <c r="V16" s="1382"/>
      <c r="W16" s="1388"/>
      <c r="X16" s="2488"/>
      <c r="Y16" s="2489"/>
      <c r="Z16" s="299"/>
      <c r="AI16" s="42">
        <f t="shared" si="19"/>
        <v>0</v>
      </c>
      <c r="AJ16" s="42">
        <f t="shared" si="20"/>
        <v>0</v>
      </c>
      <c r="AK16" s="42">
        <f t="shared" si="21"/>
        <v>0</v>
      </c>
      <c r="AL16" s="42">
        <f t="shared" si="22"/>
        <v>0</v>
      </c>
      <c r="AM16" s="42">
        <f t="shared" si="23"/>
        <v>0</v>
      </c>
      <c r="AN16" s="42">
        <f t="shared" si="24"/>
        <v>0</v>
      </c>
      <c r="AO16" s="42">
        <f t="shared" si="25"/>
        <v>0</v>
      </c>
      <c r="AP16" s="42">
        <f t="shared" si="26"/>
        <v>0</v>
      </c>
      <c r="AQ16" s="186">
        <f t="shared" si="0"/>
        <v>0</v>
      </c>
      <c r="AR16" s="42">
        <f t="shared" si="1"/>
        <v>0</v>
      </c>
      <c r="AT16" s="42">
        <f t="shared" si="2"/>
        <v>0</v>
      </c>
      <c r="AU16" s="42">
        <f t="shared" si="3"/>
        <v>0</v>
      </c>
      <c r="AV16" s="42">
        <f t="shared" si="4"/>
        <v>0</v>
      </c>
      <c r="AW16" s="42">
        <f t="shared" si="5"/>
        <v>0</v>
      </c>
      <c r="AX16" s="42">
        <f t="shared" si="6"/>
        <v>0</v>
      </c>
      <c r="AY16" s="42">
        <f t="shared" si="7"/>
        <v>0</v>
      </c>
      <c r="AZ16" s="42">
        <f t="shared" si="8"/>
        <v>0</v>
      </c>
      <c r="BA16" s="42">
        <f t="shared" si="27"/>
        <v>0</v>
      </c>
      <c r="BB16" s="42">
        <f t="shared" si="28"/>
        <v>0</v>
      </c>
      <c r="BC16" s="42">
        <f t="shared" si="29"/>
        <v>0</v>
      </c>
      <c r="BD16" s="42">
        <f t="shared" si="30"/>
        <v>0</v>
      </c>
      <c r="BE16" s="42">
        <f t="shared" si="31"/>
        <v>0</v>
      </c>
      <c r="BG16" s="335">
        <f>(AU16*Pricing!F$2+AV16*Pricing!G$2+AW16*Pricing!H$2+AX16*Pricing!I$2+AY16*Pricing!J$2+AZ16*Pricing!K$2)*IF(U$51="N",(1+W$51),1)</f>
        <v>0</v>
      </c>
      <c r="BH16" s="335">
        <f t="shared" si="9"/>
        <v>0</v>
      </c>
      <c r="BI16" s="335">
        <f t="shared" si="32"/>
        <v>0</v>
      </c>
      <c r="BJ16" s="335">
        <f t="shared" si="33"/>
        <v>0</v>
      </c>
      <c r="BK16" s="335">
        <f t="shared" si="10"/>
        <v>0</v>
      </c>
      <c r="BL16" s="335">
        <f t="shared" si="11"/>
        <v>0</v>
      </c>
      <c r="BM16" s="335">
        <f t="shared" si="34"/>
        <v>0</v>
      </c>
      <c r="BN16" s="335">
        <f t="shared" si="12"/>
        <v>0</v>
      </c>
      <c r="BO16" s="335">
        <f t="shared" si="13"/>
        <v>0</v>
      </c>
      <c r="BP16" s="335">
        <f t="shared" si="14"/>
        <v>0</v>
      </c>
      <c r="BQ16" s="335">
        <f t="shared" si="15"/>
        <v>0</v>
      </c>
      <c r="BR16" s="335">
        <f t="shared" si="16"/>
        <v>0</v>
      </c>
      <c r="BS16" s="335"/>
      <c r="BT16" s="335">
        <f t="shared" si="17"/>
        <v>0</v>
      </c>
      <c r="BU16" s="335">
        <f t="shared" si="18"/>
        <v>0</v>
      </c>
    </row>
    <row r="17" spans="2:73" ht="20.149999999999999" customHeight="1" x14ac:dyDescent="0.35">
      <c r="B17" s="2807"/>
      <c r="C17" s="2814"/>
      <c r="D17" s="2806"/>
      <c r="E17" s="2002"/>
      <c r="F17" s="206"/>
      <c r="G17" s="31"/>
      <c r="H17" s="777"/>
      <c r="I17" s="177"/>
      <c r="J17" s="31"/>
      <c r="K17" s="206"/>
      <c r="L17" s="31"/>
      <c r="M17" s="206"/>
      <c r="N17" s="1397"/>
      <c r="O17" s="207"/>
      <c r="P17" s="177"/>
      <c r="Q17" s="31"/>
      <c r="R17" s="522"/>
      <c r="S17" s="178"/>
      <c r="T17" s="208"/>
      <c r="U17" s="1380">
        <f>SUM(AI17:AQ18)</f>
        <v>0</v>
      </c>
      <c r="V17" s="906">
        <f>((((D17*F17/324)+(D18*F18/324))*(1+K$60))+AL17+AL18)</f>
        <v>0</v>
      </c>
      <c r="W17" s="1387">
        <f>IF(D17=0,0,X17/(D17+D18))</f>
        <v>0</v>
      </c>
      <c r="X17" s="2488">
        <f>SUM(BG17:BU18)*(1+M$52+Summary!P$64)</f>
        <v>0</v>
      </c>
      <c r="Y17" s="2489"/>
      <c r="Z17" s="299"/>
      <c r="AI17" s="42">
        <f t="shared" si="19"/>
        <v>0</v>
      </c>
      <c r="AJ17" s="42">
        <f t="shared" si="20"/>
        <v>0</v>
      </c>
      <c r="AK17" s="42">
        <f t="shared" si="21"/>
        <v>0</v>
      </c>
      <c r="AL17" s="42">
        <f t="shared" si="22"/>
        <v>0</v>
      </c>
      <c r="AM17" s="42">
        <f t="shared" si="23"/>
        <v>0</v>
      </c>
      <c r="AN17" s="42">
        <f t="shared" si="24"/>
        <v>0</v>
      </c>
      <c r="AO17" s="42">
        <f t="shared" si="25"/>
        <v>0</v>
      </c>
      <c r="AP17" s="42">
        <f t="shared" si="26"/>
        <v>0</v>
      </c>
      <c r="AQ17" s="186">
        <f t="shared" si="0"/>
        <v>0</v>
      </c>
      <c r="AR17" s="42">
        <f t="shared" si="1"/>
        <v>0</v>
      </c>
      <c r="AT17" s="42">
        <f t="shared" si="2"/>
        <v>0</v>
      </c>
      <c r="AU17" s="42">
        <f t="shared" si="3"/>
        <v>0</v>
      </c>
      <c r="AV17" s="42">
        <f t="shared" si="4"/>
        <v>0</v>
      </c>
      <c r="AW17" s="42">
        <f t="shared" si="5"/>
        <v>0</v>
      </c>
      <c r="AX17" s="42">
        <f t="shared" si="6"/>
        <v>0</v>
      </c>
      <c r="AY17" s="42">
        <f t="shared" si="7"/>
        <v>0</v>
      </c>
      <c r="AZ17" s="42">
        <f t="shared" si="8"/>
        <v>0</v>
      </c>
      <c r="BA17" s="42">
        <f t="shared" si="27"/>
        <v>0</v>
      </c>
      <c r="BB17" s="42">
        <f t="shared" si="28"/>
        <v>0</v>
      </c>
      <c r="BC17" s="42">
        <f t="shared" si="29"/>
        <v>0</v>
      </c>
      <c r="BD17" s="42">
        <f t="shared" si="30"/>
        <v>0</v>
      </c>
      <c r="BE17" s="42">
        <f t="shared" si="31"/>
        <v>0</v>
      </c>
      <c r="BG17" s="335">
        <f>(AU17*Pricing!F$2+AV17*Pricing!G$2+AW17*Pricing!H$2+AX17*Pricing!I$2+AY17*Pricing!J$2+AZ17*Pricing!K$2)*IF(U$51="N",(1+W$51),1)</f>
        <v>0</v>
      </c>
      <c r="BH17" s="335">
        <f t="shared" si="9"/>
        <v>0</v>
      </c>
      <c r="BI17" s="335">
        <f t="shared" si="32"/>
        <v>0</v>
      </c>
      <c r="BJ17" s="335">
        <f t="shared" si="33"/>
        <v>0</v>
      </c>
      <c r="BK17" s="335">
        <f t="shared" si="10"/>
        <v>0</v>
      </c>
      <c r="BL17" s="335">
        <f t="shared" si="11"/>
        <v>0</v>
      </c>
      <c r="BM17" s="335">
        <f t="shared" si="34"/>
        <v>0</v>
      </c>
      <c r="BN17" s="335">
        <f t="shared" si="12"/>
        <v>0</v>
      </c>
      <c r="BO17" s="335">
        <f t="shared" si="13"/>
        <v>0</v>
      </c>
      <c r="BP17" s="335">
        <f t="shared" si="14"/>
        <v>0</v>
      </c>
      <c r="BQ17" s="335">
        <f t="shared" si="15"/>
        <v>0</v>
      </c>
      <c r="BR17" s="335">
        <f t="shared" si="16"/>
        <v>0</v>
      </c>
      <c r="BS17" s="335"/>
      <c r="BT17" s="335">
        <f t="shared" si="17"/>
        <v>0</v>
      </c>
      <c r="BU17" s="335">
        <f t="shared" si="18"/>
        <v>0</v>
      </c>
    </row>
    <row r="18" spans="2:73" ht="20.149999999999999" customHeight="1" x14ac:dyDescent="0.35">
      <c r="B18" s="209"/>
      <c r="C18" s="215"/>
      <c r="D18" s="2803"/>
      <c r="E18" s="1992"/>
      <c r="F18" s="211"/>
      <c r="G18" s="32"/>
      <c r="H18" s="779"/>
      <c r="I18" s="179"/>
      <c r="J18" s="32"/>
      <c r="K18" s="211"/>
      <c r="L18" s="32"/>
      <c r="M18" s="211"/>
      <c r="N18" s="416"/>
      <c r="O18" s="212"/>
      <c r="P18" s="179"/>
      <c r="Q18" s="32"/>
      <c r="R18" s="216"/>
      <c r="S18" s="180"/>
      <c r="T18" s="213"/>
      <c r="U18" s="1381"/>
      <c r="V18" s="1382"/>
      <c r="W18" s="1388"/>
      <c r="X18" s="2488"/>
      <c r="Y18" s="2489"/>
      <c r="Z18" s="299"/>
      <c r="AI18" s="42">
        <f t="shared" si="19"/>
        <v>0</v>
      </c>
      <c r="AJ18" s="42">
        <f t="shared" si="20"/>
        <v>0</v>
      </c>
      <c r="AK18" s="42">
        <f t="shared" si="21"/>
        <v>0</v>
      </c>
      <c r="AL18" s="42">
        <f t="shared" si="22"/>
        <v>0</v>
      </c>
      <c r="AM18" s="42">
        <f t="shared" si="23"/>
        <v>0</v>
      </c>
      <c r="AN18" s="42">
        <f t="shared" si="24"/>
        <v>0</v>
      </c>
      <c r="AO18" s="42">
        <f t="shared" si="25"/>
        <v>0</v>
      </c>
      <c r="AP18" s="42">
        <f t="shared" si="26"/>
        <v>0</v>
      </c>
      <c r="AQ18" s="186">
        <f t="shared" si="0"/>
        <v>0</v>
      </c>
      <c r="AR18" s="42">
        <f t="shared" si="1"/>
        <v>0</v>
      </c>
      <c r="AT18" s="42">
        <f t="shared" si="2"/>
        <v>0</v>
      </c>
      <c r="AU18" s="42">
        <f t="shared" si="3"/>
        <v>0</v>
      </c>
      <c r="AV18" s="42">
        <f t="shared" si="4"/>
        <v>0</v>
      </c>
      <c r="AW18" s="42">
        <f t="shared" si="5"/>
        <v>0</v>
      </c>
      <c r="AX18" s="42">
        <f t="shared" si="6"/>
        <v>0</v>
      </c>
      <c r="AY18" s="42">
        <f t="shared" si="7"/>
        <v>0</v>
      </c>
      <c r="AZ18" s="42">
        <f t="shared" si="8"/>
        <v>0</v>
      </c>
      <c r="BA18" s="42">
        <f t="shared" si="27"/>
        <v>0</v>
      </c>
      <c r="BB18" s="42">
        <f t="shared" si="28"/>
        <v>0</v>
      </c>
      <c r="BC18" s="42">
        <f t="shared" si="29"/>
        <v>0</v>
      </c>
      <c r="BD18" s="42">
        <f t="shared" si="30"/>
        <v>0</v>
      </c>
      <c r="BE18" s="42">
        <f t="shared" si="31"/>
        <v>0</v>
      </c>
      <c r="BG18" s="335">
        <f>(AU18*Pricing!F$2+AV18*Pricing!G$2+AW18*Pricing!H$2+AX18*Pricing!I$2+AY18*Pricing!J$2+AZ18*Pricing!K$2)*IF(U$51="N",(1+W$51),1)</f>
        <v>0</v>
      </c>
      <c r="BH18" s="335">
        <f t="shared" si="9"/>
        <v>0</v>
      </c>
      <c r="BI18" s="335">
        <f t="shared" si="32"/>
        <v>0</v>
      </c>
      <c r="BJ18" s="335">
        <f t="shared" si="33"/>
        <v>0</v>
      </c>
      <c r="BK18" s="335">
        <f t="shared" si="10"/>
        <v>0</v>
      </c>
      <c r="BL18" s="335">
        <f t="shared" si="11"/>
        <v>0</v>
      </c>
      <c r="BM18" s="335">
        <f t="shared" si="34"/>
        <v>0</v>
      </c>
      <c r="BN18" s="335">
        <f t="shared" si="12"/>
        <v>0</v>
      </c>
      <c r="BO18" s="335">
        <f t="shared" si="13"/>
        <v>0</v>
      </c>
      <c r="BP18" s="335">
        <f t="shared" si="14"/>
        <v>0</v>
      </c>
      <c r="BQ18" s="335">
        <f t="shared" si="15"/>
        <v>0</v>
      </c>
      <c r="BR18" s="335">
        <f t="shared" si="16"/>
        <v>0</v>
      </c>
      <c r="BS18" s="335"/>
      <c r="BT18" s="335">
        <f t="shared" si="17"/>
        <v>0</v>
      </c>
      <c r="BU18" s="335">
        <f t="shared" si="18"/>
        <v>0</v>
      </c>
    </row>
    <row r="19" spans="2:73" ht="20.149999999999999" customHeight="1" x14ac:dyDescent="0.35">
      <c r="B19" s="1979" t="s">
        <v>390</v>
      </c>
      <c r="C19" s="1981"/>
      <c r="D19" s="2862"/>
      <c r="E19" s="1986"/>
      <c r="F19" s="127"/>
      <c r="G19" s="30"/>
      <c r="H19" s="777"/>
      <c r="I19" s="126"/>
      <c r="J19" s="30"/>
      <c r="K19" s="121"/>
      <c r="L19" s="30"/>
      <c r="M19" s="121"/>
      <c r="N19" s="1397"/>
      <c r="O19" s="205"/>
      <c r="P19" s="126"/>
      <c r="Q19" s="30"/>
      <c r="R19" s="523"/>
      <c r="S19" s="176"/>
      <c r="T19" s="185"/>
      <c r="U19" s="1380">
        <f>SUM(AI19:AQ20)</f>
        <v>0</v>
      </c>
      <c r="V19" s="906">
        <f>((((D19*F19/324)+(D20*F20/324))*(1+K$60))+AL19+AL20)</f>
        <v>0</v>
      </c>
      <c r="W19" s="1387">
        <f>IF(D19=0,0,X19/(D19+D20))</f>
        <v>0</v>
      </c>
      <c r="X19" s="2488">
        <f>SUM(BG19:BU20)*(1+M$52+Summary!P64)</f>
        <v>0</v>
      </c>
      <c r="Y19" s="2489"/>
      <c r="Z19" s="299"/>
      <c r="AI19" s="42">
        <f t="shared" si="19"/>
        <v>0</v>
      </c>
      <c r="AJ19" s="42">
        <f t="shared" si="20"/>
        <v>0</v>
      </c>
      <c r="AK19" s="42">
        <f t="shared" si="21"/>
        <v>0</v>
      </c>
      <c r="AL19" s="42">
        <f t="shared" si="22"/>
        <v>0</v>
      </c>
      <c r="AM19" s="42">
        <f t="shared" si="23"/>
        <v>0</v>
      </c>
      <c r="AN19" s="42">
        <f t="shared" si="24"/>
        <v>0</v>
      </c>
      <c r="AO19" s="42">
        <f t="shared" si="25"/>
        <v>0</v>
      </c>
      <c r="AP19" s="42">
        <f t="shared" si="26"/>
        <v>0</v>
      </c>
      <c r="AQ19" s="186">
        <f t="shared" si="0"/>
        <v>0</v>
      </c>
      <c r="AR19" s="42">
        <f t="shared" si="1"/>
        <v>0</v>
      </c>
      <c r="AT19" s="42">
        <f t="shared" si="2"/>
        <v>0</v>
      </c>
      <c r="AU19" s="42">
        <f t="shared" si="3"/>
        <v>0</v>
      </c>
      <c r="AV19" s="42">
        <f t="shared" si="4"/>
        <v>0</v>
      </c>
      <c r="AW19" s="42">
        <f t="shared" si="5"/>
        <v>0</v>
      </c>
      <c r="AX19" s="42">
        <f t="shared" si="6"/>
        <v>0</v>
      </c>
      <c r="AY19" s="42">
        <f t="shared" si="7"/>
        <v>0</v>
      </c>
      <c r="AZ19" s="42">
        <f t="shared" si="8"/>
        <v>0</v>
      </c>
      <c r="BA19" s="42">
        <f t="shared" si="27"/>
        <v>0</v>
      </c>
      <c r="BB19" s="42">
        <f t="shared" si="28"/>
        <v>0</v>
      </c>
      <c r="BC19" s="42">
        <f t="shared" si="29"/>
        <v>0</v>
      </c>
      <c r="BD19" s="42">
        <f t="shared" si="30"/>
        <v>0</v>
      </c>
      <c r="BE19" s="42">
        <f t="shared" si="31"/>
        <v>0</v>
      </c>
      <c r="BG19" s="335">
        <f>(AU19*Pricing!F$2+AV19*Pricing!G$2+AW19*Pricing!H$2+AX19*Pricing!I$2+AY19*Pricing!J$2+AZ19*Pricing!K$2)*IF(U$51="N",(1+W$51),1)</f>
        <v>0</v>
      </c>
      <c r="BH19" s="335">
        <f t="shared" si="9"/>
        <v>0</v>
      </c>
      <c r="BI19" s="335">
        <f t="shared" si="32"/>
        <v>0</v>
      </c>
      <c r="BJ19" s="335">
        <f t="shared" si="33"/>
        <v>0</v>
      </c>
      <c r="BK19" s="335">
        <f t="shared" si="10"/>
        <v>0</v>
      </c>
      <c r="BL19" s="335">
        <f t="shared" si="11"/>
        <v>0</v>
      </c>
      <c r="BM19" s="335">
        <f t="shared" si="34"/>
        <v>0</v>
      </c>
      <c r="BN19" s="335">
        <f t="shared" si="12"/>
        <v>0</v>
      </c>
      <c r="BO19" s="335">
        <f t="shared" si="13"/>
        <v>0</v>
      </c>
      <c r="BP19" s="335">
        <f t="shared" si="14"/>
        <v>0</v>
      </c>
      <c r="BQ19" s="335">
        <f t="shared" si="15"/>
        <v>0</v>
      </c>
      <c r="BR19" s="335">
        <f t="shared" si="16"/>
        <v>0</v>
      </c>
      <c r="BS19" s="335"/>
      <c r="BT19" s="335">
        <f t="shared" si="17"/>
        <v>0</v>
      </c>
      <c r="BU19" s="335">
        <f t="shared" si="18"/>
        <v>0</v>
      </c>
    </row>
    <row r="20" spans="2:73" ht="20.149999999999999" customHeight="1" x14ac:dyDescent="0.35">
      <c r="B20" s="196"/>
      <c r="C20" s="204"/>
      <c r="D20" s="1991"/>
      <c r="E20" s="1992"/>
      <c r="F20" s="127"/>
      <c r="G20" s="30"/>
      <c r="H20" s="1315"/>
      <c r="I20" s="126"/>
      <c r="J20" s="30"/>
      <c r="K20" s="121"/>
      <c r="L20" s="30"/>
      <c r="M20" s="121"/>
      <c r="N20" s="416"/>
      <c r="O20" s="205"/>
      <c r="P20" s="126"/>
      <c r="Q20" s="30"/>
      <c r="R20" s="217"/>
      <c r="S20" s="176"/>
      <c r="T20" s="185"/>
      <c r="U20" s="1381"/>
      <c r="V20" s="1382"/>
      <c r="W20" s="1388"/>
      <c r="X20" s="2488"/>
      <c r="Y20" s="2489"/>
      <c r="Z20" s="299"/>
      <c r="AI20" s="42">
        <f t="shared" si="19"/>
        <v>0</v>
      </c>
      <c r="AJ20" s="42">
        <f t="shared" si="20"/>
        <v>0</v>
      </c>
      <c r="AK20" s="42">
        <f t="shared" si="21"/>
        <v>0</v>
      </c>
      <c r="AL20" s="42">
        <f t="shared" si="22"/>
        <v>0</v>
      </c>
      <c r="AM20" s="42">
        <f t="shared" si="23"/>
        <v>0</v>
      </c>
      <c r="AN20" s="42">
        <f t="shared" si="24"/>
        <v>0</v>
      </c>
      <c r="AO20" s="42">
        <f t="shared" si="25"/>
        <v>0</v>
      </c>
      <c r="AP20" s="42">
        <f t="shared" si="26"/>
        <v>0</v>
      </c>
      <c r="AQ20" s="186">
        <f t="shared" si="0"/>
        <v>0</v>
      </c>
      <c r="AR20" s="42">
        <f t="shared" si="1"/>
        <v>0</v>
      </c>
      <c r="AT20" s="42">
        <f t="shared" si="2"/>
        <v>0</v>
      </c>
      <c r="AU20" s="42">
        <f t="shared" si="3"/>
        <v>0</v>
      </c>
      <c r="AV20" s="42">
        <f t="shared" si="4"/>
        <v>0</v>
      </c>
      <c r="AW20" s="42">
        <f t="shared" si="5"/>
        <v>0</v>
      </c>
      <c r="AX20" s="42">
        <f t="shared" si="6"/>
        <v>0</v>
      </c>
      <c r="AY20" s="42">
        <f t="shared" si="7"/>
        <v>0</v>
      </c>
      <c r="AZ20" s="42">
        <f t="shared" si="8"/>
        <v>0</v>
      </c>
      <c r="BA20" s="42">
        <f t="shared" si="27"/>
        <v>0</v>
      </c>
      <c r="BB20" s="42">
        <f t="shared" si="28"/>
        <v>0</v>
      </c>
      <c r="BC20" s="42">
        <f t="shared" si="29"/>
        <v>0</v>
      </c>
      <c r="BD20" s="42">
        <f t="shared" si="30"/>
        <v>0</v>
      </c>
      <c r="BE20" s="42">
        <f t="shared" si="31"/>
        <v>0</v>
      </c>
      <c r="BG20" s="335">
        <f>(AU20*Pricing!F$2+AV20*Pricing!G$2+AW20*Pricing!H$2+AX20*Pricing!I$2+AY20*Pricing!J$2+AZ20*Pricing!K$2)*IF(U$51="N",(1+W$51),1)</f>
        <v>0</v>
      </c>
      <c r="BH20" s="335">
        <f t="shared" si="9"/>
        <v>0</v>
      </c>
      <c r="BI20" s="335">
        <f t="shared" si="32"/>
        <v>0</v>
      </c>
      <c r="BJ20" s="335">
        <f t="shared" si="33"/>
        <v>0</v>
      </c>
      <c r="BK20" s="335">
        <f t="shared" si="10"/>
        <v>0</v>
      </c>
      <c r="BL20" s="335">
        <f t="shared" si="11"/>
        <v>0</v>
      </c>
      <c r="BM20" s="335">
        <f t="shared" si="34"/>
        <v>0</v>
      </c>
      <c r="BN20" s="335">
        <f t="shared" si="12"/>
        <v>0</v>
      </c>
      <c r="BO20" s="335">
        <f t="shared" si="13"/>
        <v>0</v>
      </c>
      <c r="BP20" s="335">
        <f t="shared" si="14"/>
        <v>0</v>
      </c>
      <c r="BQ20" s="335">
        <f t="shared" si="15"/>
        <v>0</v>
      </c>
      <c r="BR20" s="335">
        <f t="shared" si="16"/>
        <v>0</v>
      </c>
      <c r="BS20" s="335"/>
      <c r="BT20" s="335">
        <f t="shared" si="17"/>
        <v>0</v>
      </c>
      <c r="BU20" s="335">
        <f t="shared" si="18"/>
        <v>0</v>
      </c>
    </row>
    <row r="21" spans="2:73" ht="20.149999999999999" customHeight="1" x14ac:dyDescent="0.35">
      <c r="B21" s="2807" t="s">
        <v>391</v>
      </c>
      <c r="C21" s="2814"/>
      <c r="D21" s="1985"/>
      <c r="E21" s="1986"/>
      <c r="F21" s="214"/>
      <c r="G21" s="31"/>
      <c r="H21" s="777"/>
      <c r="I21" s="177"/>
      <c r="J21" s="31"/>
      <c r="K21" s="206"/>
      <c r="L21" s="31"/>
      <c r="M21" s="206"/>
      <c r="N21" s="417"/>
      <c r="O21" s="207"/>
      <c r="P21" s="177"/>
      <c r="Q21" s="31"/>
      <c r="R21" s="218"/>
      <c r="S21" s="178"/>
      <c r="T21" s="208"/>
      <c r="U21" s="1380">
        <f>SUM(AI21:AQ22)</f>
        <v>0</v>
      </c>
      <c r="V21" s="906">
        <f>((((D21*F21/324)+(D22*F22/324))*(1+K$60))+AL21+AL22)</f>
        <v>0</v>
      </c>
      <c r="W21" s="1387">
        <f>IF(D21=0,0,X21/(D21+D22))</f>
        <v>0</v>
      </c>
      <c r="X21" s="2488">
        <f>SUM(BG21:BU22)*(1+M$52+Summary!P64)</f>
        <v>0</v>
      </c>
      <c r="Y21" s="2489"/>
      <c r="Z21" s="299"/>
      <c r="AI21" s="42">
        <f t="shared" si="19"/>
        <v>0</v>
      </c>
      <c r="AJ21" s="42">
        <f t="shared" si="20"/>
        <v>0</v>
      </c>
      <c r="AK21" s="42">
        <f t="shared" si="21"/>
        <v>0</v>
      </c>
      <c r="AL21" s="42">
        <f t="shared" si="22"/>
        <v>0</v>
      </c>
      <c r="AM21" s="42">
        <f t="shared" si="23"/>
        <v>0</v>
      </c>
      <c r="AN21" s="42">
        <f t="shared" si="24"/>
        <v>0</v>
      </c>
      <c r="AO21" s="42">
        <f t="shared" si="25"/>
        <v>0</v>
      </c>
      <c r="AP21" s="42">
        <f t="shared" si="26"/>
        <v>0</v>
      </c>
      <c r="AQ21" s="186">
        <f t="shared" si="0"/>
        <v>0</v>
      </c>
      <c r="AR21" s="42">
        <f t="shared" si="1"/>
        <v>0</v>
      </c>
      <c r="AT21" s="42">
        <f t="shared" si="2"/>
        <v>0</v>
      </c>
      <c r="AU21" s="42">
        <f t="shared" si="3"/>
        <v>0</v>
      </c>
      <c r="AV21" s="42">
        <f t="shared" si="4"/>
        <v>0</v>
      </c>
      <c r="AW21" s="42">
        <f t="shared" si="5"/>
        <v>0</v>
      </c>
      <c r="AX21" s="42">
        <f t="shared" si="6"/>
        <v>0</v>
      </c>
      <c r="AY21" s="42">
        <f t="shared" si="7"/>
        <v>0</v>
      </c>
      <c r="AZ21" s="42">
        <f t="shared" si="8"/>
        <v>0</v>
      </c>
      <c r="BA21" s="42">
        <f t="shared" si="27"/>
        <v>0</v>
      </c>
      <c r="BB21" s="42">
        <f t="shared" si="28"/>
        <v>0</v>
      </c>
      <c r="BC21" s="42">
        <f t="shared" si="29"/>
        <v>0</v>
      </c>
      <c r="BD21" s="42">
        <f t="shared" si="30"/>
        <v>0</v>
      </c>
      <c r="BE21" s="42">
        <f t="shared" si="31"/>
        <v>0</v>
      </c>
      <c r="BG21" s="335">
        <f>(AU21*Pricing!F$2+AV21*Pricing!G$2+AW21*Pricing!H$2+AX21*Pricing!I$2+AY21*Pricing!J$2+AZ21*Pricing!K$2)*IF(U$51="N",(1+W$51),1)</f>
        <v>0</v>
      </c>
      <c r="BH21" s="335">
        <f t="shared" si="9"/>
        <v>0</v>
      </c>
      <c r="BI21" s="335">
        <f t="shared" si="32"/>
        <v>0</v>
      </c>
      <c r="BJ21" s="335">
        <f t="shared" si="33"/>
        <v>0</v>
      </c>
      <c r="BK21" s="335">
        <f t="shared" si="10"/>
        <v>0</v>
      </c>
      <c r="BL21" s="335">
        <f t="shared" si="11"/>
        <v>0</v>
      </c>
      <c r="BM21" s="335">
        <f t="shared" si="34"/>
        <v>0</v>
      </c>
      <c r="BN21" s="335">
        <f t="shared" si="12"/>
        <v>0</v>
      </c>
      <c r="BO21" s="335">
        <f t="shared" si="13"/>
        <v>0</v>
      </c>
      <c r="BP21" s="335">
        <f t="shared" si="14"/>
        <v>0</v>
      </c>
      <c r="BQ21" s="335">
        <f t="shared" si="15"/>
        <v>0</v>
      </c>
      <c r="BR21" s="335">
        <f t="shared" si="16"/>
        <v>0</v>
      </c>
      <c r="BS21" s="335"/>
      <c r="BT21" s="335">
        <f t="shared" si="17"/>
        <v>0</v>
      </c>
      <c r="BU21" s="335">
        <f t="shared" si="18"/>
        <v>0</v>
      </c>
    </row>
    <row r="22" spans="2:73" ht="20.149999999999999" customHeight="1" x14ac:dyDescent="0.35">
      <c r="B22" s="209"/>
      <c r="C22" s="215"/>
      <c r="D22" s="1991"/>
      <c r="E22" s="1992"/>
      <c r="F22" s="97"/>
      <c r="G22" s="32"/>
      <c r="H22" s="779"/>
      <c r="I22" s="179"/>
      <c r="J22" s="32"/>
      <c r="K22" s="211"/>
      <c r="L22" s="32"/>
      <c r="M22" s="211"/>
      <c r="N22" s="416"/>
      <c r="O22" s="212"/>
      <c r="P22" s="179"/>
      <c r="Q22" s="32"/>
      <c r="R22" s="216"/>
      <c r="S22" s="180"/>
      <c r="T22" s="213"/>
      <c r="U22" s="1381"/>
      <c r="V22" s="1382"/>
      <c r="W22" s="1388"/>
      <c r="X22" s="2488"/>
      <c r="Y22" s="2489"/>
      <c r="Z22" s="299"/>
      <c r="AI22" s="42">
        <f t="shared" si="19"/>
        <v>0</v>
      </c>
      <c r="AJ22" s="42">
        <f t="shared" si="20"/>
        <v>0</v>
      </c>
      <c r="AK22" s="42">
        <f t="shared" si="21"/>
        <v>0</v>
      </c>
      <c r="AL22" s="42">
        <f t="shared" si="22"/>
        <v>0</v>
      </c>
      <c r="AM22" s="42">
        <f t="shared" si="23"/>
        <v>0</v>
      </c>
      <c r="AN22" s="42">
        <f t="shared" si="24"/>
        <v>0</v>
      </c>
      <c r="AO22" s="42">
        <f t="shared" si="25"/>
        <v>0</v>
      </c>
      <c r="AP22" s="42">
        <f t="shared" si="26"/>
        <v>0</v>
      </c>
      <c r="AQ22" s="186">
        <f t="shared" si="0"/>
        <v>0</v>
      </c>
      <c r="AR22" s="42">
        <f t="shared" si="1"/>
        <v>0</v>
      </c>
      <c r="AT22" s="42">
        <f t="shared" si="2"/>
        <v>0</v>
      </c>
      <c r="AU22" s="42">
        <f t="shared" si="3"/>
        <v>0</v>
      </c>
      <c r="AV22" s="42">
        <f t="shared" si="4"/>
        <v>0</v>
      </c>
      <c r="AW22" s="42">
        <f t="shared" si="5"/>
        <v>0</v>
      </c>
      <c r="AX22" s="42">
        <f t="shared" si="6"/>
        <v>0</v>
      </c>
      <c r="AY22" s="42">
        <f t="shared" si="7"/>
        <v>0</v>
      </c>
      <c r="AZ22" s="42">
        <f t="shared" si="8"/>
        <v>0</v>
      </c>
      <c r="BA22" s="42">
        <f t="shared" si="27"/>
        <v>0</v>
      </c>
      <c r="BB22" s="42">
        <f t="shared" si="28"/>
        <v>0</v>
      </c>
      <c r="BC22" s="42">
        <f t="shared" si="29"/>
        <v>0</v>
      </c>
      <c r="BD22" s="42">
        <f t="shared" si="30"/>
        <v>0</v>
      </c>
      <c r="BE22" s="42">
        <f t="shared" si="31"/>
        <v>0</v>
      </c>
      <c r="BG22" s="335">
        <f>(AU22*Pricing!F$2+AV22*Pricing!G$2+AW22*Pricing!H$2+AX22*Pricing!I$2+AY22*Pricing!J$2+AZ22*Pricing!K$2)*IF(U$51="N",(1+W$51),1)</f>
        <v>0</v>
      </c>
      <c r="BH22" s="335">
        <f t="shared" si="9"/>
        <v>0</v>
      </c>
      <c r="BI22" s="335">
        <f t="shared" si="32"/>
        <v>0</v>
      </c>
      <c r="BJ22" s="335">
        <f t="shared" si="33"/>
        <v>0</v>
      </c>
      <c r="BK22" s="335">
        <f t="shared" si="10"/>
        <v>0</v>
      </c>
      <c r="BL22" s="335">
        <f t="shared" si="11"/>
        <v>0</v>
      </c>
      <c r="BM22" s="335">
        <f t="shared" si="34"/>
        <v>0</v>
      </c>
      <c r="BN22" s="335">
        <f t="shared" si="12"/>
        <v>0</v>
      </c>
      <c r="BO22" s="335">
        <f t="shared" si="13"/>
        <v>0</v>
      </c>
      <c r="BP22" s="335">
        <f t="shared" si="14"/>
        <v>0</v>
      </c>
      <c r="BQ22" s="335">
        <f t="shared" si="15"/>
        <v>0</v>
      </c>
      <c r="BR22" s="335">
        <f t="shared" si="16"/>
        <v>0</v>
      </c>
      <c r="BS22" s="335"/>
      <c r="BT22" s="335">
        <f t="shared" si="17"/>
        <v>0</v>
      </c>
      <c r="BU22" s="335">
        <f t="shared" si="18"/>
        <v>0</v>
      </c>
    </row>
    <row r="23" spans="2:73" ht="20.149999999999999" customHeight="1" x14ac:dyDescent="0.35">
      <c r="B23" s="1979" t="s">
        <v>392</v>
      </c>
      <c r="C23" s="1981"/>
      <c r="D23" s="1985"/>
      <c r="E23" s="1986"/>
      <c r="F23" s="127"/>
      <c r="G23" s="30"/>
      <c r="H23" s="777"/>
      <c r="I23" s="126"/>
      <c r="J23" s="30"/>
      <c r="K23" s="121"/>
      <c r="L23" s="30"/>
      <c r="M23" s="121"/>
      <c r="N23" s="1397"/>
      <c r="O23" s="205"/>
      <c r="P23" s="126"/>
      <c r="Q23" s="30"/>
      <c r="R23" s="217"/>
      <c r="S23" s="176"/>
      <c r="T23" s="185"/>
      <c r="U23" s="1380">
        <f>SUM(AI23:AQ24)</f>
        <v>0</v>
      </c>
      <c r="V23" s="906">
        <f>((((D23*F23/324)+(D24*F24/324))*(1+K$60))+AL23+AL24)</f>
        <v>0</v>
      </c>
      <c r="W23" s="1387">
        <f>IF(D23=0,0,X23/(D23+D24))</f>
        <v>0</v>
      </c>
      <c r="X23" s="2488">
        <f>SUM(BG23:BU24)*(1+M$52+Summary!P64)</f>
        <v>0</v>
      </c>
      <c r="Y23" s="2489"/>
      <c r="Z23" s="299"/>
      <c r="AI23" s="42">
        <f t="shared" si="19"/>
        <v>0</v>
      </c>
      <c r="AJ23" s="42">
        <f t="shared" si="20"/>
        <v>0</v>
      </c>
      <c r="AK23" s="42">
        <f t="shared" si="21"/>
        <v>0</v>
      </c>
      <c r="AL23" s="42">
        <f t="shared" si="22"/>
        <v>0</v>
      </c>
      <c r="AM23" s="42">
        <f t="shared" si="23"/>
        <v>0</v>
      </c>
      <c r="AN23" s="42">
        <f t="shared" si="24"/>
        <v>0</v>
      </c>
      <c r="AO23" s="42">
        <f t="shared" si="25"/>
        <v>0</v>
      </c>
      <c r="AP23" s="42">
        <f t="shared" si="26"/>
        <v>0</v>
      </c>
      <c r="AQ23" s="186">
        <f t="shared" si="0"/>
        <v>0</v>
      </c>
      <c r="AR23" s="42">
        <f t="shared" si="1"/>
        <v>0</v>
      </c>
      <c r="AT23" s="42">
        <f t="shared" si="2"/>
        <v>0</v>
      </c>
      <c r="AU23" s="42">
        <f t="shared" si="3"/>
        <v>0</v>
      </c>
      <c r="AV23" s="42">
        <f t="shared" si="4"/>
        <v>0</v>
      </c>
      <c r="AW23" s="42">
        <f t="shared" si="5"/>
        <v>0</v>
      </c>
      <c r="AX23" s="42">
        <f t="shared" si="6"/>
        <v>0</v>
      </c>
      <c r="AY23" s="42">
        <f t="shared" si="7"/>
        <v>0</v>
      </c>
      <c r="AZ23" s="42">
        <f t="shared" si="8"/>
        <v>0</v>
      </c>
      <c r="BA23" s="42">
        <f t="shared" si="27"/>
        <v>0</v>
      </c>
      <c r="BB23" s="42">
        <f t="shared" si="28"/>
        <v>0</v>
      </c>
      <c r="BC23" s="42">
        <f t="shared" si="29"/>
        <v>0</v>
      </c>
      <c r="BD23" s="42">
        <f t="shared" si="30"/>
        <v>0</v>
      </c>
      <c r="BE23" s="42">
        <f t="shared" si="31"/>
        <v>0</v>
      </c>
      <c r="BG23" s="335">
        <f>(AU23*Pricing!F$2+AV23*Pricing!G$2+AW23*Pricing!H$2+AX23*Pricing!I$2+AY23*Pricing!J$2+AZ23*Pricing!K$2)*IF(U$51="N",(1+W$51),1)</f>
        <v>0</v>
      </c>
      <c r="BH23" s="335">
        <f t="shared" si="9"/>
        <v>0</v>
      </c>
      <c r="BI23" s="335">
        <f t="shared" si="32"/>
        <v>0</v>
      </c>
      <c r="BJ23" s="335">
        <f t="shared" si="33"/>
        <v>0</v>
      </c>
      <c r="BK23" s="335">
        <f t="shared" si="10"/>
        <v>0</v>
      </c>
      <c r="BL23" s="335">
        <f t="shared" si="11"/>
        <v>0</v>
      </c>
      <c r="BM23" s="335">
        <f t="shared" si="34"/>
        <v>0</v>
      </c>
      <c r="BN23" s="335">
        <f t="shared" si="12"/>
        <v>0</v>
      </c>
      <c r="BO23" s="335">
        <f t="shared" si="13"/>
        <v>0</v>
      </c>
      <c r="BP23" s="335">
        <f t="shared" si="14"/>
        <v>0</v>
      </c>
      <c r="BQ23" s="335">
        <f t="shared" si="15"/>
        <v>0</v>
      </c>
      <c r="BR23" s="335">
        <f t="shared" si="16"/>
        <v>0</v>
      </c>
      <c r="BS23" s="335"/>
      <c r="BT23" s="335">
        <f t="shared" si="17"/>
        <v>0</v>
      </c>
      <c r="BU23" s="335">
        <f t="shared" si="18"/>
        <v>0</v>
      </c>
    </row>
    <row r="24" spans="2:73" ht="20.149999999999999" customHeight="1" x14ac:dyDescent="0.35">
      <c r="B24" s="196"/>
      <c r="C24" s="204"/>
      <c r="D24" s="1991"/>
      <c r="E24" s="1992"/>
      <c r="F24" s="127"/>
      <c r="G24" s="30"/>
      <c r="H24" s="1315"/>
      <c r="I24" s="126"/>
      <c r="J24" s="30"/>
      <c r="K24" s="121"/>
      <c r="L24" s="30"/>
      <c r="M24" s="121"/>
      <c r="N24" s="416"/>
      <c r="O24" s="205"/>
      <c r="P24" s="126"/>
      <c r="Q24" s="30"/>
      <c r="R24" s="217"/>
      <c r="S24" s="176"/>
      <c r="T24" s="185"/>
      <c r="U24" s="1381"/>
      <c r="V24" s="1382"/>
      <c r="W24" s="1388"/>
      <c r="X24" s="2488"/>
      <c r="Y24" s="2489"/>
      <c r="Z24" s="299"/>
      <c r="AI24" s="42">
        <f t="shared" si="19"/>
        <v>0</v>
      </c>
      <c r="AJ24" s="42">
        <f t="shared" si="20"/>
        <v>0</v>
      </c>
      <c r="AK24" s="42">
        <f t="shared" si="21"/>
        <v>0</v>
      </c>
      <c r="AL24" s="42">
        <f t="shared" si="22"/>
        <v>0</v>
      </c>
      <c r="AM24" s="42">
        <f t="shared" si="23"/>
        <v>0</v>
      </c>
      <c r="AN24" s="42">
        <f t="shared" si="24"/>
        <v>0</v>
      </c>
      <c r="AO24" s="42">
        <f t="shared" si="25"/>
        <v>0</v>
      </c>
      <c r="AP24" s="42">
        <f t="shared" si="26"/>
        <v>0</v>
      </c>
      <c r="AQ24" s="186">
        <f t="shared" si="0"/>
        <v>0</v>
      </c>
      <c r="AR24" s="42">
        <f t="shared" si="1"/>
        <v>0</v>
      </c>
      <c r="AT24" s="42">
        <f t="shared" si="2"/>
        <v>0</v>
      </c>
      <c r="AU24" s="42">
        <f t="shared" si="3"/>
        <v>0</v>
      </c>
      <c r="AV24" s="42">
        <f t="shared" si="4"/>
        <v>0</v>
      </c>
      <c r="AW24" s="42">
        <f t="shared" si="5"/>
        <v>0</v>
      </c>
      <c r="AX24" s="42">
        <f t="shared" si="6"/>
        <v>0</v>
      </c>
      <c r="AY24" s="42">
        <f t="shared" si="7"/>
        <v>0</v>
      </c>
      <c r="AZ24" s="42">
        <f t="shared" si="8"/>
        <v>0</v>
      </c>
      <c r="BA24" s="42">
        <f t="shared" si="27"/>
        <v>0</v>
      </c>
      <c r="BB24" s="42">
        <f t="shared" si="28"/>
        <v>0</v>
      </c>
      <c r="BC24" s="42">
        <f t="shared" si="29"/>
        <v>0</v>
      </c>
      <c r="BD24" s="42">
        <f t="shared" si="30"/>
        <v>0</v>
      </c>
      <c r="BE24" s="42">
        <f t="shared" si="31"/>
        <v>0</v>
      </c>
      <c r="BG24" s="335">
        <f>(AU24*Pricing!F$2+AV24*Pricing!G$2+AW24*Pricing!H$2+AX24*Pricing!I$2+AY24*Pricing!J$2+AZ24*Pricing!K$2)*IF(U$51="N",(1+W$51),1)</f>
        <v>0</v>
      </c>
      <c r="BH24" s="335">
        <f t="shared" si="9"/>
        <v>0</v>
      </c>
      <c r="BI24" s="335">
        <f t="shared" si="32"/>
        <v>0</v>
      </c>
      <c r="BJ24" s="335">
        <f t="shared" si="33"/>
        <v>0</v>
      </c>
      <c r="BK24" s="335">
        <f t="shared" si="10"/>
        <v>0</v>
      </c>
      <c r="BL24" s="335">
        <f t="shared" si="11"/>
        <v>0</v>
      </c>
      <c r="BM24" s="335">
        <f t="shared" si="34"/>
        <v>0</v>
      </c>
      <c r="BN24" s="335">
        <f t="shared" si="12"/>
        <v>0</v>
      </c>
      <c r="BO24" s="335">
        <f t="shared" si="13"/>
        <v>0</v>
      </c>
      <c r="BP24" s="335">
        <f t="shared" si="14"/>
        <v>0</v>
      </c>
      <c r="BQ24" s="335">
        <f t="shared" si="15"/>
        <v>0</v>
      </c>
      <c r="BR24" s="335">
        <f t="shared" si="16"/>
        <v>0</v>
      </c>
      <c r="BS24" s="335"/>
      <c r="BT24" s="335">
        <f t="shared" si="17"/>
        <v>0</v>
      </c>
      <c r="BU24" s="335">
        <f t="shared" si="18"/>
        <v>0</v>
      </c>
    </row>
    <row r="25" spans="2:73" ht="20.149999999999999" customHeight="1" x14ac:dyDescent="0.35">
      <c r="B25" s="2807" t="s">
        <v>393</v>
      </c>
      <c r="C25" s="2814"/>
      <c r="D25" s="1985"/>
      <c r="E25" s="1986"/>
      <c r="F25" s="214"/>
      <c r="G25" s="31"/>
      <c r="H25" s="777"/>
      <c r="I25" s="177"/>
      <c r="J25" s="31"/>
      <c r="K25" s="206"/>
      <c r="L25" s="31"/>
      <c r="M25" s="206"/>
      <c r="N25" s="1397"/>
      <c r="O25" s="207"/>
      <c r="P25" s="177"/>
      <c r="Q25" s="31"/>
      <c r="R25" s="206"/>
      <c r="S25" s="178"/>
      <c r="T25" s="208"/>
      <c r="U25" s="1380">
        <f>SUM(AI25:AQ26)</f>
        <v>0</v>
      </c>
      <c r="V25" s="906">
        <f>((((D25*F25/324)+(D26*F26/324))*(1+K$60))+AL25+AL26)</f>
        <v>0</v>
      </c>
      <c r="W25" s="1387">
        <f>IF(D25=0,0,X25/(D25+D26))</f>
        <v>0</v>
      </c>
      <c r="X25" s="2488">
        <f>SUM(BG25:BU26)*(1+M$52+Summary!P64)</f>
        <v>0</v>
      </c>
      <c r="Y25" s="2489"/>
      <c r="Z25" s="299"/>
      <c r="AI25" s="42">
        <f t="shared" si="19"/>
        <v>0</v>
      </c>
      <c r="AJ25" s="42">
        <f t="shared" si="20"/>
        <v>0</v>
      </c>
      <c r="AK25" s="42">
        <f t="shared" si="21"/>
        <v>0</v>
      </c>
      <c r="AL25" s="42">
        <f t="shared" si="22"/>
        <v>0</v>
      </c>
      <c r="AM25" s="42">
        <f t="shared" si="23"/>
        <v>0</v>
      </c>
      <c r="AN25" s="42">
        <f t="shared" si="24"/>
        <v>0</v>
      </c>
      <c r="AO25" s="42">
        <f t="shared" si="25"/>
        <v>0</v>
      </c>
      <c r="AP25" s="42">
        <f t="shared" si="26"/>
        <v>0</v>
      </c>
      <c r="AQ25" s="186">
        <f t="shared" si="0"/>
        <v>0</v>
      </c>
      <c r="AR25" s="42">
        <f t="shared" si="1"/>
        <v>0</v>
      </c>
      <c r="AT25" s="42">
        <f t="shared" si="2"/>
        <v>0</v>
      </c>
      <c r="AU25" s="42">
        <f t="shared" si="3"/>
        <v>0</v>
      </c>
      <c r="AV25" s="42">
        <f t="shared" si="4"/>
        <v>0</v>
      </c>
      <c r="AW25" s="42">
        <f t="shared" si="5"/>
        <v>0</v>
      </c>
      <c r="AX25" s="42">
        <f t="shared" si="6"/>
        <v>0</v>
      </c>
      <c r="AY25" s="42">
        <f t="shared" si="7"/>
        <v>0</v>
      </c>
      <c r="AZ25" s="42">
        <f t="shared" si="8"/>
        <v>0</v>
      </c>
      <c r="BA25" s="42">
        <f t="shared" si="27"/>
        <v>0</v>
      </c>
      <c r="BB25" s="42">
        <f t="shared" si="28"/>
        <v>0</v>
      </c>
      <c r="BC25" s="42">
        <f t="shared" si="29"/>
        <v>0</v>
      </c>
      <c r="BD25" s="42">
        <f t="shared" si="30"/>
        <v>0</v>
      </c>
      <c r="BE25" s="42">
        <f t="shared" si="31"/>
        <v>0</v>
      </c>
      <c r="BG25" s="335">
        <f>(AU25*Pricing!F$2+AV25*Pricing!G$2+AW25*Pricing!H$2+AX25*Pricing!I$2+AY25*Pricing!J$2+AZ25*Pricing!K$2)*IF(U$51="N",(1+W$51),1)</f>
        <v>0</v>
      </c>
      <c r="BH25" s="335">
        <f t="shared" si="9"/>
        <v>0</v>
      </c>
      <c r="BI25" s="335">
        <f t="shared" si="32"/>
        <v>0</v>
      </c>
      <c r="BJ25" s="335">
        <f t="shared" si="33"/>
        <v>0</v>
      </c>
      <c r="BK25" s="335">
        <f t="shared" si="10"/>
        <v>0</v>
      </c>
      <c r="BL25" s="335">
        <f t="shared" si="11"/>
        <v>0</v>
      </c>
      <c r="BM25" s="335">
        <f t="shared" si="34"/>
        <v>0</v>
      </c>
      <c r="BN25" s="335">
        <f t="shared" si="12"/>
        <v>0</v>
      </c>
      <c r="BO25" s="335">
        <f t="shared" si="13"/>
        <v>0</v>
      </c>
      <c r="BP25" s="335">
        <f t="shared" si="14"/>
        <v>0</v>
      </c>
      <c r="BQ25" s="335">
        <f t="shared" si="15"/>
        <v>0</v>
      </c>
      <c r="BR25" s="335">
        <f t="shared" si="16"/>
        <v>0</v>
      </c>
      <c r="BS25" s="335"/>
      <c r="BT25" s="335">
        <f t="shared" si="17"/>
        <v>0</v>
      </c>
      <c r="BU25" s="335">
        <f t="shared" si="18"/>
        <v>0</v>
      </c>
    </row>
    <row r="26" spans="2:73" ht="20.149999999999999" customHeight="1" x14ac:dyDescent="0.35">
      <c r="B26" s="209"/>
      <c r="C26" s="215"/>
      <c r="D26" s="1991"/>
      <c r="E26" s="1992"/>
      <c r="F26" s="97"/>
      <c r="G26" s="32"/>
      <c r="H26" s="779"/>
      <c r="I26" s="179"/>
      <c r="J26" s="32"/>
      <c r="K26" s="211"/>
      <c r="L26" s="32"/>
      <c r="M26" s="211"/>
      <c r="N26" s="416"/>
      <c r="O26" s="212"/>
      <c r="P26" s="179"/>
      <c r="Q26" s="32"/>
      <c r="R26" s="211"/>
      <c r="S26" s="180"/>
      <c r="T26" s="213"/>
      <c r="U26" s="1381"/>
      <c r="V26" s="1382"/>
      <c r="W26" s="1388"/>
      <c r="X26" s="2488"/>
      <c r="Y26" s="2489"/>
      <c r="Z26" s="299"/>
      <c r="AI26" s="42">
        <f t="shared" si="19"/>
        <v>0</v>
      </c>
      <c r="AJ26" s="42">
        <f t="shared" si="20"/>
        <v>0</v>
      </c>
      <c r="AK26" s="42">
        <f t="shared" si="21"/>
        <v>0</v>
      </c>
      <c r="AL26" s="42">
        <f t="shared" si="22"/>
        <v>0</v>
      </c>
      <c r="AM26" s="42">
        <f t="shared" si="23"/>
        <v>0</v>
      </c>
      <c r="AN26" s="42">
        <f t="shared" si="24"/>
        <v>0</v>
      </c>
      <c r="AO26" s="42">
        <f t="shared" si="25"/>
        <v>0</v>
      </c>
      <c r="AP26" s="42">
        <f t="shared" si="26"/>
        <v>0</v>
      </c>
      <c r="AQ26" s="186">
        <f t="shared" si="0"/>
        <v>0</v>
      </c>
      <c r="AR26" s="42">
        <f t="shared" si="1"/>
        <v>0</v>
      </c>
      <c r="AT26" s="42">
        <f t="shared" si="2"/>
        <v>0</v>
      </c>
      <c r="AU26" s="42">
        <f t="shared" si="3"/>
        <v>0</v>
      </c>
      <c r="AV26" s="42">
        <f t="shared" si="4"/>
        <v>0</v>
      </c>
      <c r="AW26" s="42">
        <f t="shared" si="5"/>
        <v>0</v>
      </c>
      <c r="AX26" s="42">
        <f t="shared" si="6"/>
        <v>0</v>
      </c>
      <c r="AY26" s="42">
        <f t="shared" si="7"/>
        <v>0</v>
      </c>
      <c r="AZ26" s="42">
        <f t="shared" si="8"/>
        <v>0</v>
      </c>
      <c r="BA26" s="42">
        <f t="shared" si="27"/>
        <v>0</v>
      </c>
      <c r="BB26" s="42">
        <f t="shared" si="28"/>
        <v>0</v>
      </c>
      <c r="BC26" s="42">
        <f t="shared" si="29"/>
        <v>0</v>
      </c>
      <c r="BD26" s="42">
        <f t="shared" si="30"/>
        <v>0</v>
      </c>
      <c r="BE26" s="42">
        <f t="shared" si="31"/>
        <v>0</v>
      </c>
      <c r="BG26" s="335">
        <f>(AU26*Pricing!F$2+AV26*Pricing!G$2+AW26*Pricing!H$2+AX26*Pricing!I$2+AY26*Pricing!J$2+AZ26*Pricing!K$2)*IF(U$51="N",(1+W$51),1)</f>
        <v>0</v>
      </c>
      <c r="BH26" s="335">
        <f t="shared" si="9"/>
        <v>0</v>
      </c>
      <c r="BI26" s="335">
        <f t="shared" si="32"/>
        <v>0</v>
      </c>
      <c r="BJ26" s="335">
        <f t="shared" si="33"/>
        <v>0</v>
      </c>
      <c r="BK26" s="335">
        <f t="shared" si="10"/>
        <v>0</v>
      </c>
      <c r="BL26" s="335">
        <f t="shared" si="11"/>
        <v>0</v>
      </c>
      <c r="BM26" s="335">
        <f t="shared" si="34"/>
        <v>0</v>
      </c>
      <c r="BN26" s="335">
        <f t="shared" si="12"/>
        <v>0</v>
      </c>
      <c r="BO26" s="335">
        <f t="shared" si="13"/>
        <v>0</v>
      </c>
      <c r="BP26" s="335">
        <f t="shared" si="14"/>
        <v>0</v>
      </c>
      <c r="BQ26" s="335">
        <f t="shared" si="15"/>
        <v>0</v>
      </c>
      <c r="BR26" s="335">
        <f t="shared" si="16"/>
        <v>0</v>
      </c>
      <c r="BS26" s="335"/>
      <c r="BT26" s="335">
        <f t="shared" si="17"/>
        <v>0</v>
      </c>
      <c r="BU26" s="335">
        <f t="shared" si="18"/>
        <v>0</v>
      </c>
    </row>
    <row r="27" spans="2:73" ht="20.149999999999999" customHeight="1" x14ac:dyDescent="0.35">
      <c r="B27" s="2807" t="s">
        <v>394</v>
      </c>
      <c r="C27" s="2814"/>
      <c r="D27" s="1985"/>
      <c r="E27" s="1986"/>
      <c r="F27" s="214"/>
      <c r="G27" s="31"/>
      <c r="H27" s="777"/>
      <c r="I27" s="177"/>
      <c r="J27" s="31"/>
      <c r="K27" s="206"/>
      <c r="L27" s="31"/>
      <c r="M27" s="206"/>
      <c r="N27" s="1397"/>
      <c r="O27" s="207"/>
      <c r="P27" s="177"/>
      <c r="Q27" s="31"/>
      <c r="R27" s="206"/>
      <c r="S27" s="178"/>
      <c r="T27" s="208"/>
      <c r="U27" s="1380">
        <f>SUM(AI27:AQ28)</f>
        <v>0</v>
      </c>
      <c r="V27" s="906">
        <f>((((D27*F27/324)+(D28*F28/324))*(1+K$60))+AL27+AL28)</f>
        <v>0</v>
      </c>
      <c r="W27" s="1387">
        <f>IF(D27=0,0,X27/(D27+D28))</f>
        <v>0</v>
      </c>
      <c r="X27" s="2488">
        <f>SUM(BG27:BU28)*(1+M$52+Summary!P64)</f>
        <v>0</v>
      </c>
      <c r="Y27" s="2489"/>
      <c r="Z27" s="299"/>
      <c r="AI27" s="42">
        <f t="shared" si="19"/>
        <v>0</v>
      </c>
      <c r="AJ27" s="42">
        <f t="shared" si="20"/>
        <v>0</v>
      </c>
      <c r="AK27" s="42">
        <f t="shared" si="21"/>
        <v>0</v>
      </c>
      <c r="AL27" s="42">
        <f t="shared" si="22"/>
        <v>0</v>
      </c>
      <c r="AM27" s="42">
        <f t="shared" si="23"/>
        <v>0</v>
      </c>
      <c r="AN27" s="42">
        <f t="shared" si="24"/>
        <v>0</v>
      </c>
      <c r="AO27" s="42">
        <f t="shared" si="25"/>
        <v>0</v>
      </c>
      <c r="AP27" s="42">
        <f t="shared" si="26"/>
        <v>0</v>
      </c>
      <c r="AQ27" s="186">
        <f t="shared" si="0"/>
        <v>0</v>
      </c>
      <c r="AR27" s="42">
        <f t="shared" si="1"/>
        <v>0</v>
      </c>
      <c r="AT27" s="42">
        <f t="shared" si="2"/>
        <v>0</v>
      </c>
      <c r="AU27" s="42">
        <f t="shared" si="3"/>
        <v>0</v>
      </c>
      <c r="AV27" s="42">
        <f t="shared" si="4"/>
        <v>0</v>
      </c>
      <c r="AW27" s="42">
        <f t="shared" si="5"/>
        <v>0</v>
      </c>
      <c r="AX27" s="42">
        <f t="shared" si="6"/>
        <v>0</v>
      </c>
      <c r="AY27" s="42">
        <f t="shared" si="7"/>
        <v>0</v>
      </c>
      <c r="AZ27" s="42">
        <f t="shared" si="8"/>
        <v>0</v>
      </c>
      <c r="BA27" s="42">
        <f t="shared" si="27"/>
        <v>0</v>
      </c>
      <c r="BB27" s="42">
        <f t="shared" si="28"/>
        <v>0</v>
      </c>
      <c r="BC27" s="42">
        <f t="shared" si="29"/>
        <v>0</v>
      </c>
      <c r="BD27" s="42">
        <f t="shared" si="30"/>
        <v>0</v>
      </c>
      <c r="BE27" s="42">
        <f t="shared" si="31"/>
        <v>0</v>
      </c>
      <c r="BG27" s="335">
        <f>(AU27*Pricing!F$2+AV27*Pricing!G$2+AW27*Pricing!H$2+AX27*Pricing!I$2+AY27*Pricing!J$2+AZ27*Pricing!K$2)*IF(U$51="N",(1+W$51),1)</f>
        <v>0</v>
      </c>
      <c r="BH27" s="335">
        <f t="shared" si="9"/>
        <v>0</v>
      </c>
      <c r="BI27" s="335">
        <f t="shared" si="32"/>
        <v>0</v>
      </c>
      <c r="BJ27" s="335">
        <f t="shared" si="33"/>
        <v>0</v>
      </c>
      <c r="BK27" s="335">
        <f t="shared" si="10"/>
        <v>0</v>
      </c>
      <c r="BL27" s="335">
        <f t="shared" si="11"/>
        <v>0</v>
      </c>
      <c r="BM27" s="335">
        <f t="shared" si="34"/>
        <v>0</v>
      </c>
      <c r="BN27" s="335">
        <f t="shared" si="12"/>
        <v>0</v>
      </c>
      <c r="BO27" s="335">
        <f t="shared" si="13"/>
        <v>0</v>
      </c>
      <c r="BP27" s="335">
        <f t="shared" si="14"/>
        <v>0</v>
      </c>
      <c r="BQ27" s="335">
        <f t="shared" si="15"/>
        <v>0</v>
      </c>
      <c r="BR27" s="335">
        <f t="shared" si="16"/>
        <v>0</v>
      </c>
      <c r="BS27" s="335"/>
      <c r="BT27" s="335">
        <f t="shared" si="17"/>
        <v>0</v>
      </c>
      <c r="BU27" s="335">
        <f t="shared" si="18"/>
        <v>0</v>
      </c>
    </row>
    <row r="28" spans="2:73" ht="20.149999999999999" customHeight="1" x14ac:dyDescent="0.35">
      <c r="B28" s="209"/>
      <c r="C28" s="215"/>
      <c r="D28" s="1991"/>
      <c r="E28" s="1992"/>
      <c r="F28" s="97"/>
      <c r="G28" s="32"/>
      <c r="H28" s="779"/>
      <c r="I28" s="179"/>
      <c r="J28" s="32"/>
      <c r="K28" s="211"/>
      <c r="L28" s="32"/>
      <c r="M28" s="211"/>
      <c r="N28" s="416"/>
      <c r="O28" s="212"/>
      <c r="P28" s="179"/>
      <c r="Q28" s="32"/>
      <c r="R28" s="211"/>
      <c r="S28" s="180"/>
      <c r="T28" s="213"/>
      <c r="U28" s="1381"/>
      <c r="V28" s="1382"/>
      <c r="W28" s="1388"/>
      <c r="X28" s="2488"/>
      <c r="Y28" s="2489"/>
      <c r="Z28" s="299"/>
      <c r="AI28" s="42">
        <f t="shared" si="19"/>
        <v>0</v>
      </c>
      <c r="AJ28" s="42">
        <f t="shared" si="20"/>
        <v>0</v>
      </c>
      <c r="AK28" s="42">
        <f t="shared" si="21"/>
        <v>0</v>
      </c>
      <c r="AL28" s="42">
        <f t="shared" si="22"/>
        <v>0</v>
      </c>
      <c r="AM28" s="42">
        <f t="shared" si="23"/>
        <v>0</v>
      </c>
      <c r="AN28" s="42">
        <f t="shared" si="24"/>
        <v>0</v>
      </c>
      <c r="AO28" s="42">
        <f t="shared" si="25"/>
        <v>0</v>
      </c>
      <c r="AP28" s="42">
        <f t="shared" si="26"/>
        <v>0</v>
      </c>
      <c r="AQ28" s="186">
        <f t="shared" si="0"/>
        <v>0</v>
      </c>
      <c r="AR28" s="42">
        <f t="shared" si="1"/>
        <v>0</v>
      </c>
      <c r="AT28" s="42">
        <f t="shared" si="2"/>
        <v>0</v>
      </c>
      <c r="AU28" s="42">
        <f t="shared" si="3"/>
        <v>0</v>
      </c>
      <c r="AV28" s="42">
        <f t="shared" si="4"/>
        <v>0</v>
      </c>
      <c r="AW28" s="42">
        <f t="shared" si="5"/>
        <v>0</v>
      </c>
      <c r="AX28" s="42">
        <f t="shared" si="6"/>
        <v>0</v>
      </c>
      <c r="AY28" s="42">
        <f t="shared" si="7"/>
        <v>0</v>
      </c>
      <c r="AZ28" s="42">
        <f t="shared" si="8"/>
        <v>0</v>
      </c>
      <c r="BA28" s="42">
        <f t="shared" si="27"/>
        <v>0</v>
      </c>
      <c r="BB28" s="42">
        <f t="shared" si="28"/>
        <v>0</v>
      </c>
      <c r="BC28" s="42">
        <f t="shared" si="29"/>
        <v>0</v>
      </c>
      <c r="BD28" s="42">
        <f t="shared" si="30"/>
        <v>0</v>
      </c>
      <c r="BE28" s="42">
        <f t="shared" si="31"/>
        <v>0</v>
      </c>
      <c r="BG28" s="335">
        <f>(AU28*Pricing!F$2+AV28*Pricing!G$2+AW28*Pricing!H$2+AX28*Pricing!I$2+AY28*Pricing!J$2+AZ28*Pricing!K$2)*IF(U$51="N",(1+W$51),1)</f>
        <v>0</v>
      </c>
      <c r="BH28" s="335">
        <f t="shared" si="9"/>
        <v>0</v>
      </c>
      <c r="BI28" s="335">
        <f t="shared" si="32"/>
        <v>0</v>
      </c>
      <c r="BJ28" s="335">
        <f t="shared" si="33"/>
        <v>0</v>
      </c>
      <c r="BK28" s="335">
        <f t="shared" si="10"/>
        <v>0</v>
      </c>
      <c r="BL28" s="335">
        <f t="shared" si="11"/>
        <v>0</v>
      </c>
      <c r="BM28" s="335">
        <f t="shared" si="34"/>
        <v>0</v>
      </c>
      <c r="BN28" s="335">
        <f t="shared" si="12"/>
        <v>0</v>
      </c>
      <c r="BO28" s="335">
        <f t="shared" si="13"/>
        <v>0</v>
      </c>
      <c r="BP28" s="335">
        <f t="shared" si="14"/>
        <v>0</v>
      </c>
      <c r="BQ28" s="335">
        <f t="shared" si="15"/>
        <v>0</v>
      </c>
      <c r="BR28" s="335">
        <f t="shared" si="16"/>
        <v>0</v>
      </c>
      <c r="BS28" s="335"/>
      <c r="BT28" s="335">
        <f t="shared" si="17"/>
        <v>0</v>
      </c>
      <c r="BU28" s="335">
        <f t="shared" si="18"/>
        <v>0</v>
      </c>
    </row>
    <row r="29" spans="2:73" ht="20.149999999999999" customHeight="1" x14ac:dyDescent="0.35">
      <c r="B29" s="2807" t="s">
        <v>395</v>
      </c>
      <c r="C29" s="2814"/>
      <c r="D29" s="1985"/>
      <c r="E29" s="1986"/>
      <c r="F29" s="214"/>
      <c r="G29" s="31"/>
      <c r="H29" s="777"/>
      <c r="I29" s="177"/>
      <c r="J29" s="31"/>
      <c r="K29" s="206"/>
      <c r="L29" s="31"/>
      <c r="M29" s="206"/>
      <c r="N29" s="1397"/>
      <c r="O29" s="207"/>
      <c r="P29" s="177"/>
      <c r="Q29" s="31"/>
      <c r="R29" s="206"/>
      <c r="S29" s="178"/>
      <c r="T29" s="208"/>
      <c r="U29" s="1380">
        <f>SUM(AI29:AQ30)</f>
        <v>0</v>
      </c>
      <c r="V29" s="906">
        <f>((((D29*F29/324)+(D30*F30/324))*(1+K$60))+AL29+AL30)</f>
        <v>0</v>
      </c>
      <c r="W29" s="1387">
        <f>IF(D29=0,0,X29/(D29+D30))</f>
        <v>0</v>
      </c>
      <c r="X29" s="2488">
        <f>SUM(BG29:BU30)*(1+M$52+Summary!P64)</f>
        <v>0</v>
      </c>
      <c r="Y29" s="2489"/>
      <c r="Z29" s="299"/>
      <c r="AI29" s="42">
        <f t="shared" si="19"/>
        <v>0</v>
      </c>
      <c r="AJ29" s="42">
        <f t="shared" si="20"/>
        <v>0</v>
      </c>
      <c r="AK29" s="42">
        <f t="shared" si="21"/>
        <v>0</v>
      </c>
      <c r="AL29" s="42">
        <f t="shared" si="22"/>
        <v>0</v>
      </c>
      <c r="AM29" s="42">
        <f t="shared" si="23"/>
        <v>0</v>
      </c>
      <c r="AN29" s="42">
        <f t="shared" si="24"/>
        <v>0</v>
      </c>
      <c r="AO29" s="42">
        <f t="shared" si="25"/>
        <v>0</v>
      </c>
      <c r="AP29" s="42">
        <f t="shared" si="26"/>
        <v>0</v>
      </c>
      <c r="AQ29" s="186">
        <f t="shared" si="0"/>
        <v>0</v>
      </c>
      <c r="AR29" s="42">
        <f t="shared" si="1"/>
        <v>0</v>
      </c>
      <c r="AT29" s="42">
        <f t="shared" si="2"/>
        <v>0</v>
      </c>
      <c r="AU29" s="42">
        <f t="shared" si="3"/>
        <v>0</v>
      </c>
      <c r="AV29" s="42">
        <f t="shared" si="4"/>
        <v>0</v>
      </c>
      <c r="AW29" s="42">
        <f t="shared" si="5"/>
        <v>0</v>
      </c>
      <c r="AX29" s="42">
        <f t="shared" si="6"/>
        <v>0</v>
      </c>
      <c r="AY29" s="42">
        <f t="shared" si="7"/>
        <v>0</v>
      </c>
      <c r="AZ29" s="42">
        <f t="shared" si="8"/>
        <v>0</v>
      </c>
      <c r="BA29" s="42">
        <f t="shared" si="27"/>
        <v>0</v>
      </c>
      <c r="BB29" s="42">
        <f t="shared" si="28"/>
        <v>0</v>
      </c>
      <c r="BC29" s="42">
        <f t="shared" si="29"/>
        <v>0</v>
      </c>
      <c r="BD29" s="42">
        <f t="shared" si="30"/>
        <v>0</v>
      </c>
      <c r="BE29" s="42">
        <f t="shared" si="31"/>
        <v>0</v>
      </c>
      <c r="BG29" s="335">
        <f>(AU29*Pricing!F$2+AV29*Pricing!G$2+AW29*Pricing!H$2+AX29*Pricing!I$2+AY29*Pricing!J$2+AZ29*Pricing!K$2)*IF(U$51="N",(1+W$51),1)</f>
        <v>0</v>
      </c>
      <c r="BH29" s="335">
        <f t="shared" si="9"/>
        <v>0</v>
      </c>
      <c r="BI29" s="335">
        <f t="shared" si="32"/>
        <v>0</v>
      </c>
      <c r="BJ29" s="335">
        <f t="shared" si="33"/>
        <v>0</v>
      </c>
      <c r="BK29" s="335">
        <f t="shared" si="10"/>
        <v>0</v>
      </c>
      <c r="BL29" s="335">
        <f t="shared" si="11"/>
        <v>0</v>
      </c>
      <c r="BM29" s="335">
        <f t="shared" si="34"/>
        <v>0</v>
      </c>
      <c r="BN29" s="335">
        <f t="shared" si="12"/>
        <v>0</v>
      </c>
      <c r="BO29" s="335">
        <f t="shared" si="13"/>
        <v>0</v>
      </c>
      <c r="BP29" s="335">
        <f t="shared" si="14"/>
        <v>0</v>
      </c>
      <c r="BQ29" s="335">
        <f t="shared" si="15"/>
        <v>0</v>
      </c>
      <c r="BR29" s="335">
        <f t="shared" si="16"/>
        <v>0</v>
      </c>
      <c r="BS29" s="335"/>
      <c r="BT29" s="335">
        <f t="shared" si="17"/>
        <v>0</v>
      </c>
      <c r="BU29" s="335">
        <f t="shared" si="18"/>
        <v>0</v>
      </c>
    </row>
    <row r="30" spans="2:73" ht="20.149999999999999" customHeight="1" x14ac:dyDescent="0.35">
      <c r="B30" s="209"/>
      <c r="C30" s="215"/>
      <c r="D30" s="1991"/>
      <c r="E30" s="1992"/>
      <c r="F30" s="97"/>
      <c r="G30" s="32"/>
      <c r="H30" s="779"/>
      <c r="I30" s="179"/>
      <c r="J30" s="32"/>
      <c r="K30" s="211"/>
      <c r="L30" s="32"/>
      <c r="M30" s="211"/>
      <c r="N30" s="416"/>
      <c r="O30" s="212"/>
      <c r="P30" s="179"/>
      <c r="Q30" s="32"/>
      <c r="R30" s="211"/>
      <c r="S30" s="180"/>
      <c r="T30" s="213"/>
      <c r="U30" s="1381"/>
      <c r="V30" s="1382"/>
      <c r="W30" s="1388"/>
      <c r="X30" s="2488"/>
      <c r="Y30" s="2489"/>
      <c r="Z30" s="299"/>
      <c r="AI30" s="42">
        <f t="shared" si="19"/>
        <v>0</v>
      </c>
      <c r="AJ30" s="42">
        <f t="shared" si="20"/>
        <v>0</v>
      </c>
      <c r="AK30" s="42">
        <f t="shared" si="21"/>
        <v>0</v>
      </c>
      <c r="AL30" s="42">
        <f t="shared" si="22"/>
        <v>0</v>
      </c>
      <c r="AM30" s="42">
        <f t="shared" si="23"/>
        <v>0</v>
      </c>
      <c r="AN30" s="42">
        <f t="shared" si="24"/>
        <v>0</v>
      </c>
      <c r="AO30" s="42">
        <f t="shared" si="25"/>
        <v>0</v>
      </c>
      <c r="AP30" s="42">
        <f t="shared" si="26"/>
        <v>0</v>
      </c>
      <c r="AQ30" s="186">
        <f t="shared" si="0"/>
        <v>0</v>
      </c>
      <c r="AR30" s="42">
        <f t="shared" si="1"/>
        <v>0</v>
      </c>
      <c r="AT30" s="42">
        <f>IF(Y3="y",D30,0)</f>
        <v>0</v>
      </c>
      <c r="AU30" s="42">
        <f t="shared" si="3"/>
        <v>0</v>
      </c>
      <c r="AV30" s="42">
        <f t="shared" si="4"/>
        <v>0</v>
      </c>
      <c r="AW30" s="42">
        <f t="shared" si="5"/>
        <v>0</v>
      </c>
      <c r="AX30" s="42">
        <f t="shared" si="6"/>
        <v>0</v>
      </c>
      <c r="AY30" s="42">
        <f t="shared" si="7"/>
        <v>0</v>
      </c>
      <c r="AZ30" s="42">
        <f t="shared" si="8"/>
        <v>0</v>
      </c>
      <c r="BA30" s="42">
        <f t="shared" si="27"/>
        <v>0</v>
      </c>
      <c r="BB30" s="42">
        <f t="shared" si="28"/>
        <v>0</v>
      </c>
      <c r="BC30" s="42">
        <f t="shared" si="29"/>
        <v>0</v>
      </c>
      <c r="BD30" s="42">
        <f t="shared" si="30"/>
        <v>0</v>
      </c>
      <c r="BE30" s="42">
        <f t="shared" si="31"/>
        <v>0</v>
      </c>
      <c r="BG30" s="335">
        <f>(AU30*Pricing!F$2+AV30*Pricing!G$2+AW30*Pricing!H$2+AX30*Pricing!I$2+AY30*Pricing!J$2+AZ30*Pricing!K$2)*IF(U$51="N",(1+W$51),1)</f>
        <v>0</v>
      </c>
      <c r="BH30" s="335">
        <f t="shared" si="9"/>
        <v>0</v>
      </c>
      <c r="BI30" s="335">
        <f t="shared" si="32"/>
        <v>0</v>
      </c>
      <c r="BJ30" s="335">
        <f t="shared" si="33"/>
        <v>0</v>
      </c>
      <c r="BK30" s="335">
        <f t="shared" si="10"/>
        <v>0</v>
      </c>
      <c r="BL30" s="335">
        <f t="shared" si="11"/>
        <v>0</v>
      </c>
      <c r="BM30" s="335">
        <f t="shared" si="34"/>
        <v>0</v>
      </c>
      <c r="BN30" s="335">
        <f t="shared" si="12"/>
        <v>0</v>
      </c>
      <c r="BO30" s="335">
        <f t="shared" si="13"/>
        <v>0</v>
      </c>
      <c r="BP30" s="335">
        <f t="shared" si="14"/>
        <v>0</v>
      </c>
      <c r="BQ30" s="335">
        <f t="shared" si="15"/>
        <v>0</v>
      </c>
      <c r="BR30" s="335">
        <f t="shared" si="16"/>
        <v>0</v>
      </c>
      <c r="BS30" s="335"/>
      <c r="BT30" s="335">
        <f t="shared" si="17"/>
        <v>0</v>
      </c>
      <c r="BU30" s="335">
        <f t="shared" si="18"/>
        <v>0</v>
      </c>
    </row>
    <row r="31" spans="2:73" ht="20.149999999999999" customHeight="1" x14ac:dyDescent="0.35">
      <c r="B31" s="2807" t="s">
        <v>396</v>
      </c>
      <c r="C31" s="2814"/>
      <c r="D31" s="1985"/>
      <c r="E31" s="1986"/>
      <c r="F31" s="214"/>
      <c r="G31" s="31"/>
      <c r="H31" s="777"/>
      <c r="I31" s="177"/>
      <c r="J31" s="31"/>
      <c r="K31" s="206"/>
      <c r="L31" s="31"/>
      <c r="M31" s="206"/>
      <c r="N31" s="1397"/>
      <c r="O31" s="207"/>
      <c r="P31" s="177"/>
      <c r="Q31" s="31"/>
      <c r="R31" s="206"/>
      <c r="S31" s="178"/>
      <c r="T31" s="208"/>
      <c r="U31" s="1380">
        <f>SUM(AI31:AQ32)</f>
        <v>0</v>
      </c>
      <c r="V31" s="906">
        <f>((((D31*F31/324)+(D32*F32/324))*(1+K$60))+AL31+AL32)</f>
        <v>0</v>
      </c>
      <c r="W31" s="1387">
        <f>IF(D31=0,0,X31/(D31+D32))</f>
        <v>0</v>
      </c>
      <c r="X31" s="2488">
        <f>SUM(BG31:BU32)*(1+M$52+Summary!P64)</f>
        <v>0</v>
      </c>
      <c r="Y31" s="2489"/>
      <c r="Z31" s="299"/>
      <c r="AI31" s="42">
        <f t="shared" si="19"/>
        <v>0</v>
      </c>
      <c r="AJ31" s="42">
        <f t="shared" si="20"/>
        <v>0</v>
      </c>
      <c r="AK31" s="42">
        <f t="shared" si="21"/>
        <v>0</v>
      </c>
      <c r="AL31" s="42">
        <f t="shared" ref="AL31:AL36" si="35">SUM(AI31:AK31)</f>
        <v>0</v>
      </c>
      <c r="AM31" s="42">
        <f t="shared" ref="AM31:AM36" si="36">ROUNDUP(IF(O31=1,P31*$P$44,0)+IF(O31=2,P31*$P$45,0)+IF(O31=3,P31*$P$46,0)+IF(O31=4,P31*$P$47,0)+IF(O31=5,P31*$P$48,0)+IF(O31=6,P31*$P$49,0),0)</f>
        <v>0</v>
      </c>
      <c r="AN31" s="42">
        <f t="shared" ref="AN31:AN36" si="37">ROUNDUP(IF(Q31=1,R31*$P$44,0)+IF(Q31=2,R31*$P$45,0)+IF(Q31=3,R31*$P$46,0)+IF(Q31=4,R31*$P$47,0)+IF(Q31=5,R31*$P$48,0)+IF(Q31=6,R31*$P$49,0),0)</f>
        <v>0</v>
      </c>
      <c r="AO31" s="42">
        <f t="shared" ref="AO31:AO36" si="38">ROUNDUP(IF(S31=1,T31*$P$44,0)+IF(S31=2,T31*$P$45,0)+IF(S31=3,T31*$P$46,0)+IF(S31=4,T31*$P$47,0)+IF(S31=5,T31*$P$48,0)+IF(S31=6,T31*$P$49,0),0)</f>
        <v>0</v>
      </c>
      <c r="AP31" s="42">
        <f t="shared" ref="AP31:AP36" si="39">SUM(AM31:AO31)</f>
        <v>0</v>
      </c>
      <c r="AQ31" s="186">
        <f t="shared" si="0"/>
        <v>0</v>
      </c>
      <c r="AR31" s="42">
        <f t="shared" si="1"/>
        <v>0</v>
      </c>
      <c r="AT31" s="42">
        <f>IF(N31="y",D31,0)</f>
        <v>0</v>
      </c>
      <c r="AU31" s="42">
        <f t="shared" si="3"/>
        <v>0</v>
      </c>
      <c r="AV31" s="42">
        <f t="shared" si="4"/>
        <v>0</v>
      </c>
      <c r="AW31" s="42">
        <f t="shared" si="5"/>
        <v>0</v>
      </c>
      <c r="AX31" s="42">
        <f t="shared" si="6"/>
        <v>0</v>
      </c>
      <c r="AY31" s="42">
        <f t="shared" si="7"/>
        <v>0</v>
      </c>
      <c r="AZ31" s="42">
        <f t="shared" si="8"/>
        <v>0</v>
      </c>
      <c r="BA31" s="42">
        <f t="shared" ref="BA31:BA36" si="40">SUM(AU31:AZ31)</f>
        <v>0</v>
      </c>
      <c r="BB31" s="42">
        <f t="shared" ref="BB31:BB36" si="41">IF(G31="N",0,D31)</f>
        <v>0</v>
      </c>
      <c r="BC31" s="42">
        <f t="shared" si="29"/>
        <v>0</v>
      </c>
      <c r="BD31" s="42">
        <f t="shared" si="30"/>
        <v>0</v>
      </c>
      <c r="BE31" s="42">
        <f t="shared" si="31"/>
        <v>0</v>
      </c>
      <c r="BG31" s="335">
        <f>(AU31*Pricing!F$2+AV31*Pricing!G$2+AW31*Pricing!H$2+AX31*Pricing!I$2+AY31*Pricing!J$2+AZ31*Pricing!K$2)*IF(U$51="N",(1+W$51),1)</f>
        <v>0</v>
      </c>
      <c r="BH31" s="335">
        <f t="shared" si="9"/>
        <v>0</v>
      </c>
      <c r="BI31" s="335">
        <f t="shared" si="32"/>
        <v>0</v>
      </c>
      <c r="BJ31" s="335">
        <f t="shared" si="33"/>
        <v>0</v>
      </c>
      <c r="BK31" s="335">
        <f t="shared" si="10"/>
        <v>0</v>
      </c>
      <c r="BL31" s="335">
        <f t="shared" si="11"/>
        <v>0</v>
      </c>
      <c r="BM31" s="335">
        <f t="shared" si="34"/>
        <v>0</v>
      </c>
      <c r="BN31" s="335">
        <f t="shared" si="12"/>
        <v>0</v>
      </c>
      <c r="BO31" s="335">
        <f t="shared" si="13"/>
        <v>0</v>
      </c>
      <c r="BP31" s="335">
        <f t="shared" si="14"/>
        <v>0</v>
      </c>
      <c r="BQ31" s="335">
        <f t="shared" si="15"/>
        <v>0</v>
      </c>
      <c r="BR31" s="335">
        <f t="shared" si="16"/>
        <v>0</v>
      </c>
      <c r="BS31" s="335"/>
      <c r="BT31" s="335">
        <f t="shared" si="17"/>
        <v>0</v>
      </c>
      <c r="BU31" s="335">
        <f t="shared" si="18"/>
        <v>0</v>
      </c>
    </row>
    <row r="32" spans="2:73" ht="20.149999999999999" customHeight="1" x14ac:dyDescent="0.35">
      <c r="B32" s="209"/>
      <c r="C32" s="215"/>
      <c r="D32" s="1991"/>
      <c r="E32" s="1992"/>
      <c r="F32" s="97"/>
      <c r="G32" s="32"/>
      <c r="H32" s="779"/>
      <c r="I32" s="179"/>
      <c r="J32" s="32"/>
      <c r="K32" s="211"/>
      <c r="L32" s="32"/>
      <c r="M32" s="211"/>
      <c r="N32" s="416"/>
      <c r="O32" s="212"/>
      <c r="P32" s="179"/>
      <c r="Q32" s="32"/>
      <c r="R32" s="211"/>
      <c r="S32" s="180"/>
      <c r="T32" s="213"/>
      <c r="U32" s="1381"/>
      <c r="V32" s="1382"/>
      <c r="W32" s="1388"/>
      <c r="X32" s="2488"/>
      <c r="Y32" s="2489"/>
      <c r="Z32" s="299"/>
      <c r="AI32" s="42">
        <f t="shared" si="19"/>
        <v>0</v>
      </c>
      <c r="AJ32" s="42">
        <f t="shared" si="20"/>
        <v>0</v>
      </c>
      <c r="AK32" s="42">
        <f t="shared" si="21"/>
        <v>0</v>
      </c>
      <c r="AL32" s="42">
        <f t="shared" si="35"/>
        <v>0</v>
      </c>
      <c r="AM32" s="42">
        <f t="shared" si="36"/>
        <v>0</v>
      </c>
      <c r="AN32" s="42">
        <f t="shared" si="37"/>
        <v>0</v>
      </c>
      <c r="AO32" s="42">
        <f t="shared" si="38"/>
        <v>0</v>
      </c>
      <c r="AP32" s="42">
        <f t="shared" si="39"/>
        <v>0</v>
      </c>
      <c r="AQ32" s="186">
        <f t="shared" si="0"/>
        <v>0</v>
      </c>
      <c r="AR32" s="42">
        <f t="shared" si="1"/>
        <v>0</v>
      </c>
      <c r="AT32" s="42">
        <f>IF(Y5="y",D32,0)</f>
        <v>0</v>
      </c>
      <c r="AU32" s="42">
        <f t="shared" si="3"/>
        <v>0</v>
      </c>
      <c r="AV32" s="42">
        <f t="shared" si="4"/>
        <v>0</v>
      </c>
      <c r="AW32" s="42">
        <f t="shared" si="5"/>
        <v>0</v>
      </c>
      <c r="AX32" s="42">
        <f t="shared" si="6"/>
        <v>0</v>
      </c>
      <c r="AY32" s="42">
        <f t="shared" si="7"/>
        <v>0</v>
      </c>
      <c r="AZ32" s="42">
        <f t="shared" si="8"/>
        <v>0</v>
      </c>
      <c r="BA32" s="42">
        <f t="shared" si="40"/>
        <v>0</v>
      </c>
      <c r="BB32" s="42">
        <f t="shared" si="41"/>
        <v>0</v>
      </c>
      <c r="BC32" s="42">
        <f t="shared" si="29"/>
        <v>0</v>
      </c>
      <c r="BD32" s="42">
        <f t="shared" si="30"/>
        <v>0</v>
      </c>
      <c r="BE32" s="42">
        <f t="shared" si="31"/>
        <v>0</v>
      </c>
      <c r="BG32" s="335">
        <f>(AU32*Pricing!F$2+AV32*Pricing!G$2+AW32*Pricing!H$2+AX32*Pricing!I$2+AY32*Pricing!J$2+AZ32*Pricing!K$2)*IF(U$51="N",(1+W$51),1)</f>
        <v>0</v>
      </c>
      <c r="BH32" s="335">
        <f t="shared" si="9"/>
        <v>0</v>
      </c>
      <c r="BI32" s="335">
        <f t="shared" si="32"/>
        <v>0</v>
      </c>
      <c r="BJ32" s="335">
        <f t="shared" si="33"/>
        <v>0</v>
      </c>
      <c r="BK32" s="335">
        <f t="shared" si="10"/>
        <v>0</v>
      </c>
      <c r="BL32" s="335">
        <f t="shared" si="11"/>
        <v>0</v>
      </c>
      <c r="BM32" s="335">
        <f t="shared" si="34"/>
        <v>0</v>
      </c>
      <c r="BN32" s="335">
        <f t="shared" si="12"/>
        <v>0</v>
      </c>
      <c r="BO32" s="335">
        <f t="shared" si="13"/>
        <v>0</v>
      </c>
      <c r="BP32" s="335">
        <f t="shared" si="14"/>
        <v>0</v>
      </c>
      <c r="BQ32" s="335">
        <f t="shared" si="15"/>
        <v>0</v>
      </c>
      <c r="BR32" s="335">
        <f t="shared" si="16"/>
        <v>0</v>
      </c>
      <c r="BS32" s="335"/>
      <c r="BT32" s="335">
        <f t="shared" si="17"/>
        <v>0</v>
      </c>
      <c r="BU32" s="335">
        <f t="shared" si="18"/>
        <v>0</v>
      </c>
    </row>
    <row r="33" spans="2:223" ht="20.149999999999999" customHeight="1" x14ac:dyDescent="0.35">
      <c r="B33" s="2807" t="s">
        <v>397</v>
      </c>
      <c r="C33" s="2814"/>
      <c r="D33" s="1985"/>
      <c r="E33" s="1986"/>
      <c r="F33" s="214"/>
      <c r="G33" s="31"/>
      <c r="H33" s="777"/>
      <c r="I33" s="177"/>
      <c r="J33" s="31"/>
      <c r="K33" s="206"/>
      <c r="L33" s="31"/>
      <c r="M33" s="206"/>
      <c r="N33" s="1397"/>
      <c r="O33" s="207"/>
      <c r="P33" s="177"/>
      <c r="Q33" s="31"/>
      <c r="R33" s="206"/>
      <c r="S33" s="178"/>
      <c r="T33" s="208"/>
      <c r="U33" s="1380">
        <f>SUM(AI33:AQ34)</f>
        <v>0</v>
      </c>
      <c r="V33" s="906">
        <f>((((D33*F33/324)+(D34*F34/324))*(1+K$60))+AL33+AL34)</f>
        <v>0</v>
      </c>
      <c r="W33" s="1387">
        <f>IF(D33=0,0,X33/(D33+D34))</f>
        <v>0</v>
      </c>
      <c r="X33" s="2488">
        <f>SUM(BG33:BU34)*(1+M$52+Summary!P64)</f>
        <v>0</v>
      </c>
      <c r="Y33" s="2489"/>
      <c r="Z33" s="299"/>
      <c r="AI33" s="42">
        <f t="shared" si="19"/>
        <v>0</v>
      </c>
      <c r="AJ33" s="42">
        <f t="shared" si="20"/>
        <v>0</v>
      </c>
      <c r="AK33" s="42">
        <f t="shared" si="21"/>
        <v>0</v>
      </c>
      <c r="AL33" s="42">
        <f t="shared" si="35"/>
        <v>0</v>
      </c>
      <c r="AM33" s="42">
        <f t="shared" si="36"/>
        <v>0</v>
      </c>
      <c r="AN33" s="42">
        <f t="shared" si="37"/>
        <v>0</v>
      </c>
      <c r="AO33" s="42">
        <f t="shared" si="38"/>
        <v>0</v>
      </c>
      <c r="AP33" s="42">
        <f t="shared" si="39"/>
        <v>0</v>
      </c>
      <c r="AQ33" s="186">
        <f t="shared" si="0"/>
        <v>0</v>
      </c>
      <c r="AR33" s="42">
        <f t="shared" si="1"/>
        <v>0</v>
      </c>
      <c r="AT33" s="42">
        <f>IF(N33="y",D33,0)</f>
        <v>0</v>
      </c>
      <c r="AU33" s="42">
        <f t="shared" si="3"/>
        <v>0</v>
      </c>
      <c r="AV33" s="42">
        <f t="shared" si="4"/>
        <v>0</v>
      </c>
      <c r="AW33" s="42">
        <f t="shared" si="5"/>
        <v>0</v>
      </c>
      <c r="AX33" s="42">
        <f t="shared" si="6"/>
        <v>0</v>
      </c>
      <c r="AY33" s="42">
        <f t="shared" si="7"/>
        <v>0</v>
      </c>
      <c r="AZ33" s="42">
        <f t="shared" si="8"/>
        <v>0</v>
      </c>
      <c r="BA33" s="42">
        <f t="shared" si="40"/>
        <v>0</v>
      </c>
      <c r="BB33" s="42">
        <f t="shared" si="41"/>
        <v>0</v>
      </c>
      <c r="BC33" s="42">
        <f t="shared" si="29"/>
        <v>0</v>
      </c>
      <c r="BD33" s="42">
        <f t="shared" si="30"/>
        <v>0</v>
      </c>
      <c r="BE33" s="42">
        <f t="shared" si="31"/>
        <v>0</v>
      </c>
      <c r="BG33" s="335">
        <f>(AU33*Pricing!F$2+AV33*Pricing!G$2+AW33*Pricing!H$2+AX33*Pricing!I$2+AY33*Pricing!J$2+AZ33*Pricing!K$2)*IF(U$51="N",(1+W$51),1)</f>
        <v>0</v>
      </c>
      <c r="BH33" s="335">
        <f t="shared" si="9"/>
        <v>0</v>
      </c>
      <c r="BI33" s="335">
        <f t="shared" si="32"/>
        <v>0</v>
      </c>
      <c r="BJ33" s="335">
        <f t="shared" si="33"/>
        <v>0</v>
      </c>
      <c r="BK33" s="335">
        <f t="shared" si="10"/>
        <v>0</v>
      </c>
      <c r="BL33" s="335">
        <f t="shared" si="11"/>
        <v>0</v>
      </c>
      <c r="BM33" s="335">
        <f t="shared" si="34"/>
        <v>0</v>
      </c>
      <c r="BN33" s="335">
        <f t="shared" si="12"/>
        <v>0</v>
      </c>
      <c r="BO33" s="335">
        <f t="shared" si="13"/>
        <v>0</v>
      </c>
      <c r="BP33" s="335">
        <f t="shared" si="14"/>
        <v>0</v>
      </c>
      <c r="BQ33" s="335">
        <f t="shared" si="15"/>
        <v>0</v>
      </c>
      <c r="BR33" s="335">
        <f t="shared" si="16"/>
        <v>0</v>
      </c>
      <c r="BS33" s="335"/>
      <c r="BT33" s="335">
        <f t="shared" si="17"/>
        <v>0</v>
      </c>
      <c r="BU33" s="335">
        <f t="shared" si="18"/>
        <v>0</v>
      </c>
    </row>
    <row r="34" spans="2:223" ht="20.149999999999999" customHeight="1" x14ac:dyDescent="0.35">
      <c r="B34" s="209"/>
      <c r="C34" s="215"/>
      <c r="D34" s="1991"/>
      <c r="E34" s="1992"/>
      <c r="F34" s="97"/>
      <c r="G34" s="32"/>
      <c r="H34" s="779"/>
      <c r="I34" s="179"/>
      <c r="J34" s="32"/>
      <c r="K34" s="211"/>
      <c r="L34" s="32"/>
      <c r="M34" s="211"/>
      <c r="N34" s="416"/>
      <c r="O34" s="212"/>
      <c r="P34" s="179"/>
      <c r="Q34" s="32"/>
      <c r="R34" s="211"/>
      <c r="S34" s="180"/>
      <c r="T34" s="213"/>
      <c r="U34" s="1381"/>
      <c r="V34" s="1382"/>
      <c r="W34" s="1388"/>
      <c r="X34" s="2488"/>
      <c r="Y34" s="2489"/>
      <c r="Z34" s="299"/>
      <c r="AI34" s="42">
        <f t="shared" si="19"/>
        <v>0</v>
      </c>
      <c r="AJ34" s="42">
        <f t="shared" si="20"/>
        <v>0</v>
      </c>
      <c r="AK34" s="42">
        <f t="shared" si="21"/>
        <v>0</v>
      </c>
      <c r="AL34" s="42">
        <f t="shared" si="35"/>
        <v>0</v>
      </c>
      <c r="AM34" s="42">
        <f t="shared" si="36"/>
        <v>0</v>
      </c>
      <c r="AN34" s="42">
        <f t="shared" si="37"/>
        <v>0</v>
      </c>
      <c r="AO34" s="42">
        <f t="shared" si="38"/>
        <v>0</v>
      </c>
      <c r="AP34" s="42">
        <f t="shared" si="39"/>
        <v>0</v>
      </c>
      <c r="AQ34" s="186">
        <f t="shared" si="0"/>
        <v>0</v>
      </c>
      <c r="AR34" s="42">
        <f t="shared" si="1"/>
        <v>0</v>
      </c>
      <c r="AT34" s="42">
        <f>IF(Y7="y",D34,0)</f>
        <v>0</v>
      </c>
      <c r="AU34" s="42">
        <f t="shared" si="3"/>
        <v>0</v>
      </c>
      <c r="AV34" s="42">
        <f t="shared" si="4"/>
        <v>0</v>
      </c>
      <c r="AW34" s="42">
        <f t="shared" si="5"/>
        <v>0</v>
      </c>
      <c r="AX34" s="42">
        <f t="shared" si="6"/>
        <v>0</v>
      </c>
      <c r="AY34" s="42">
        <f t="shared" si="7"/>
        <v>0</v>
      </c>
      <c r="AZ34" s="42">
        <f t="shared" si="8"/>
        <v>0</v>
      </c>
      <c r="BA34" s="42">
        <f t="shared" si="40"/>
        <v>0</v>
      </c>
      <c r="BB34" s="42">
        <f t="shared" si="41"/>
        <v>0</v>
      </c>
      <c r="BC34" s="42">
        <f t="shared" si="29"/>
        <v>0</v>
      </c>
      <c r="BD34" s="42">
        <f t="shared" si="30"/>
        <v>0</v>
      </c>
      <c r="BE34" s="42">
        <f t="shared" si="31"/>
        <v>0</v>
      </c>
      <c r="BG34" s="335">
        <f>(AU34*Pricing!F$2+AV34*Pricing!G$2+AW34*Pricing!H$2+AX34*Pricing!I$2+AY34*Pricing!J$2+AZ34*Pricing!K$2)*IF(U$51="N",(1+W$51),1)</f>
        <v>0</v>
      </c>
      <c r="BH34" s="335">
        <f t="shared" si="9"/>
        <v>0</v>
      </c>
      <c r="BI34" s="335">
        <f t="shared" si="32"/>
        <v>0</v>
      </c>
      <c r="BJ34" s="335">
        <f t="shared" si="33"/>
        <v>0</v>
      </c>
      <c r="BK34" s="335">
        <f t="shared" si="10"/>
        <v>0</v>
      </c>
      <c r="BL34" s="335">
        <f t="shared" si="11"/>
        <v>0</v>
      </c>
      <c r="BM34" s="335">
        <f t="shared" si="34"/>
        <v>0</v>
      </c>
      <c r="BN34" s="335">
        <f t="shared" si="12"/>
        <v>0</v>
      </c>
      <c r="BO34" s="335">
        <f t="shared" si="13"/>
        <v>0</v>
      </c>
      <c r="BP34" s="335">
        <f t="shared" si="14"/>
        <v>0</v>
      </c>
      <c r="BQ34" s="335">
        <f t="shared" si="15"/>
        <v>0</v>
      </c>
      <c r="BR34" s="335">
        <f t="shared" si="16"/>
        <v>0</v>
      </c>
      <c r="BS34" s="335"/>
      <c r="BT34" s="335">
        <f t="shared" si="17"/>
        <v>0</v>
      </c>
      <c r="BU34" s="335">
        <f t="shared" si="18"/>
        <v>0</v>
      </c>
    </row>
    <row r="35" spans="2:223" ht="20.149999999999999" customHeight="1" x14ac:dyDescent="0.35">
      <c r="B35" s="2807" t="s">
        <v>398</v>
      </c>
      <c r="C35" s="2814"/>
      <c r="D35" s="1985"/>
      <c r="E35" s="1986"/>
      <c r="F35" s="214"/>
      <c r="G35" s="31"/>
      <c r="H35" s="777"/>
      <c r="I35" s="177"/>
      <c r="J35" s="31"/>
      <c r="K35" s="206"/>
      <c r="L35" s="31"/>
      <c r="M35" s="206"/>
      <c r="N35" s="1397"/>
      <c r="O35" s="207"/>
      <c r="P35" s="177"/>
      <c r="Q35" s="31"/>
      <c r="R35" s="206"/>
      <c r="S35" s="178"/>
      <c r="T35" s="208"/>
      <c r="U35" s="1380">
        <f>SUM(AI35:AQ36)</f>
        <v>0</v>
      </c>
      <c r="V35" s="906">
        <f>((((D35*F35/324)+(D36*F36/324))*(1+K$60))+AL35+AL36)</f>
        <v>0</v>
      </c>
      <c r="W35" s="1387">
        <f>IF(D35=0,0,X35/(D35+D36))</f>
        <v>0</v>
      </c>
      <c r="X35" s="2488">
        <f>SUM(BG35:BU36)*(1+M$52+Summary!P64)</f>
        <v>0</v>
      </c>
      <c r="Y35" s="2489"/>
      <c r="Z35" s="299"/>
      <c r="AI35" s="42">
        <f t="shared" si="19"/>
        <v>0</v>
      </c>
      <c r="AJ35" s="42">
        <f t="shared" si="20"/>
        <v>0</v>
      </c>
      <c r="AK35" s="42">
        <f t="shared" si="21"/>
        <v>0</v>
      </c>
      <c r="AL35" s="42">
        <f t="shared" si="35"/>
        <v>0</v>
      </c>
      <c r="AM35" s="42">
        <f t="shared" si="36"/>
        <v>0</v>
      </c>
      <c r="AN35" s="42">
        <f t="shared" si="37"/>
        <v>0</v>
      </c>
      <c r="AO35" s="42">
        <f t="shared" si="38"/>
        <v>0</v>
      </c>
      <c r="AP35" s="42">
        <f t="shared" si="39"/>
        <v>0</v>
      </c>
      <c r="AQ35" s="186">
        <f t="shared" si="0"/>
        <v>0</v>
      </c>
      <c r="AR35" s="42">
        <f t="shared" si="1"/>
        <v>0</v>
      </c>
      <c r="AT35" s="42">
        <f>IF(N35="y",D35,0)</f>
        <v>0</v>
      </c>
      <c r="AU35" s="42">
        <f t="shared" si="3"/>
        <v>0</v>
      </c>
      <c r="AV35" s="42">
        <f t="shared" si="4"/>
        <v>0</v>
      </c>
      <c r="AW35" s="42">
        <f t="shared" si="5"/>
        <v>0</v>
      </c>
      <c r="AX35" s="42">
        <f t="shared" si="6"/>
        <v>0</v>
      </c>
      <c r="AY35" s="42">
        <f t="shared" si="7"/>
        <v>0</v>
      </c>
      <c r="AZ35" s="42">
        <f t="shared" si="8"/>
        <v>0</v>
      </c>
      <c r="BA35" s="42">
        <f t="shared" si="40"/>
        <v>0</v>
      </c>
      <c r="BB35" s="42">
        <f t="shared" si="41"/>
        <v>0</v>
      </c>
      <c r="BC35" s="42">
        <f t="shared" si="29"/>
        <v>0</v>
      </c>
      <c r="BD35" s="42">
        <f t="shared" si="30"/>
        <v>0</v>
      </c>
      <c r="BE35" s="42">
        <f t="shared" si="31"/>
        <v>0</v>
      </c>
      <c r="BG35" s="335">
        <f>(AU35*Pricing!F$2+AV35*Pricing!G$2+AW35*Pricing!H$2+AX35*Pricing!I$2+AY35*Pricing!J$2+AZ35*Pricing!K$2)*IF(U$51="N",(1+W$51),1)</f>
        <v>0</v>
      </c>
      <c r="BH35" s="335">
        <f t="shared" si="9"/>
        <v>0</v>
      </c>
      <c r="BI35" s="335">
        <f t="shared" si="32"/>
        <v>0</v>
      </c>
      <c r="BJ35" s="335">
        <f t="shared" si="33"/>
        <v>0</v>
      </c>
      <c r="BK35" s="335">
        <f t="shared" si="10"/>
        <v>0</v>
      </c>
      <c r="BL35" s="335">
        <f t="shared" si="11"/>
        <v>0</v>
      </c>
      <c r="BM35" s="335">
        <f t="shared" si="34"/>
        <v>0</v>
      </c>
      <c r="BN35" s="335">
        <f t="shared" si="12"/>
        <v>0</v>
      </c>
      <c r="BO35" s="335">
        <f t="shared" si="13"/>
        <v>0</v>
      </c>
      <c r="BP35" s="335">
        <f t="shared" si="14"/>
        <v>0</v>
      </c>
      <c r="BQ35" s="335">
        <f t="shared" si="15"/>
        <v>0</v>
      </c>
      <c r="BR35" s="335">
        <f t="shared" si="16"/>
        <v>0</v>
      </c>
      <c r="BS35" s="335"/>
      <c r="BT35" s="335">
        <f t="shared" si="17"/>
        <v>0</v>
      </c>
      <c r="BU35" s="335">
        <f t="shared" si="18"/>
        <v>0</v>
      </c>
    </row>
    <row r="36" spans="2:223" ht="20.149999999999999" customHeight="1" x14ac:dyDescent="0.35">
      <c r="B36" s="209"/>
      <c r="C36" s="215"/>
      <c r="D36" s="1991"/>
      <c r="E36" s="1992"/>
      <c r="F36" s="97"/>
      <c r="G36" s="32"/>
      <c r="H36" s="779"/>
      <c r="I36" s="179"/>
      <c r="J36" s="32"/>
      <c r="K36" s="211"/>
      <c r="L36" s="32"/>
      <c r="M36" s="211"/>
      <c r="N36" s="416"/>
      <c r="O36" s="212"/>
      <c r="P36" s="179"/>
      <c r="Q36" s="32"/>
      <c r="R36" s="211"/>
      <c r="S36" s="180"/>
      <c r="T36" s="213"/>
      <c r="U36" s="1381"/>
      <c r="V36" s="1382"/>
      <c r="W36" s="1388"/>
      <c r="X36" s="2488"/>
      <c r="Y36" s="2489"/>
      <c r="Z36" s="299"/>
      <c r="AI36" s="42">
        <f t="shared" si="19"/>
        <v>0</v>
      </c>
      <c r="AJ36" s="42">
        <f t="shared" si="20"/>
        <v>0</v>
      </c>
      <c r="AK36" s="42">
        <f t="shared" si="21"/>
        <v>0</v>
      </c>
      <c r="AL36" s="42">
        <f t="shared" si="35"/>
        <v>0</v>
      </c>
      <c r="AM36" s="42">
        <f t="shared" si="36"/>
        <v>0</v>
      </c>
      <c r="AN36" s="42">
        <f t="shared" si="37"/>
        <v>0</v>
      </c>
      <c r="AO36" s="42">
        <f t="shared" si="38"/>
        <v>0</v>
      </c>
      <c r="AP36" s="42">
        <f t="shared" si="39"/>
        <v>0</v>
      </c>
      <c r="AQ36" s="186">
        <f t="shared" si="0"/>
        <v>0</v>
      </c>
      <c r="AR36" s="42">
        <f t="shared" si="1"/>
        <v>0</v>
      </c>
      <c r="AT36" s="42">
        <f>IF(Y9="y",D36,0)</f>
        <v>0</v>
      </c>
      <c r="AU36" s="42">
        <f t="shared" si="3"/>
        <v>0</v>
      </c>
      <c r="AV36" s="42">
        <f t="shared" si="4"/>
        <v>0</v>
      </c>
      <c r="AW36" s="42">
        <f t="shared" si="5"/>
        <v>0</v>
      </c>
      <c r="AX36" s="42">
        <f t="shared" si="6"/>
        <v>0</v>
      </c>
      <c r="AY36" s="42">
        <f t="shared" si="7"/>
        <v>0</v>
      </c>
      <c r="AZ36" s="42">
        <f t="shared" si="8"/>
        <v>0</v>
      </c>
      <c r="BA36" s="42">
        <f t="shared" si="40"/>
        <v>0</v>
      </c>
      <c r="BB36" s="42">
        <f t="shared" si="41"/>
        <v>0</v>
      </c>
      <c r="BC36" s="42">
        <f t="shared" si="29"/>
        <v>0</v>
      </c>
      <c r="BD36" s="42">
        <f t="shared" si="30"/>
        <v>0</v>
      </c>
      <c r="BE36" s="42">
        <f t="shared" si="31"/>
        <v>0</v>
      </c>
      <c r="BG36" s="335">
        <f>(AU36*Pricing!F$2+AV36*Pricing!G$2+AW36*Pricing!H$2+AX36*Pricing!I$2+AY36*Pricing!J$2+AZ36*Pricing!K$2)*IF(U$51="N",(1+W$51),1)</f>
        <v>0</v>
      </c>
      <c r="BH36" s="335">
        <f t="shared" si="9"/>
        <v>0</v>
      </c>
      <c r="BI36" s="335">
        <f t="shared" si="32"/>
        <v>0</v>
      </c>
      <c r="BJ36" s="335">
        <f t="shared" si="33"/>
        <v>0</v>
      </c>
      <c r="BK36" s="335">
        <f t="shared" si="10"/>
        <v>0</v>
      </c>
      <c r="BL36" s="335">
        <f t="shared" si="11"/>
        <v>0</v>
      </c>
      <c r="BM36" s="335">
        <f t="shared" si="34"/>
        <v>0</v>
      </c>
      <c r="BN36" s="335">
        <f t="shared" si="12"/>
        <v>0</v>
      </c>
      <c r="BO36" s="335">
        <f t="shared" si="13"/>
        <v>0</v>
      </c>
      <c r="BP36" s="335">
        <f t="shared" si="14"/>
        <v>0</v>
      </c>
      <c r="BQ36" s="335">
        <f t="shared" si="15"/>
        <v>0</v>
      </c>
      <c r="BR36" s="335">
        <f t="shared" si="16"/>
        <v>0</v>
      </c>
      <c r="BS36" s="335"/>
      <c r="BT36" s="335">
        <f t="shared" si="17"/>
        <v>0</v>
      </c>
      <c r="BU36" s="335">
        <f t="shared" si="18"/>
        <v>0</v>
      </c>
    </row>
    <row r="37" spans="2:223" ht="20.149999999999999" customHeight="1" x14ac:dyDescent="0.35">
      <c r="B37" s="2807" t="s">
        <v>399</v>
      </c>
      <c r="C37" s="2814"/>
      <c r="D37" s="1985"/>
      <c r="E37" s="1986"/>
      <c r="F37" s="214"/>
      <c r="G37" s="31"/>
      <c r="H37" s="777"/>
      <c r="I37" s="177"/>
      <c r="J37" s="31"/>
      <c r="K37" s="206"/>
      <c r="L37" s="31"/>
      <c r="M37" s="206"/>
      <c r="N37" s="1397"/>
      <c r="O37" s="207"/>
      <c r="P37" s="177"/>
      <c r="Q37" s="31"/>
      <c r="R37" s="206"/>
      <c r="S37" s="178"/>
      <c r="T37" s="208"/>
      <c r="U37" s="1380">
        <f>SUM(AI37:AQ38)</f>
        <v>0</v>
      </c>
      <c r="V37" s="906">
        <f>((((D37*F37/324)+(D38*F38/324))*(1+K$60))+AL37+AL38)</f>
        <v>0</v>
      </c>
      <c r="W37" s="1387">
        <f>IF(D37=0,0,X37/(D37+D38))</f>
        <v>0</v>
      </c>
      <c r="X37" s="2488">
        <f>SUM(BG37:BU38)*(1+M$52+Summary!P64)</f>
        <v>0</v>
      </c>
      <c r="Y37" s="2489"/>
      <c r="Z37" s="299"/>
      <c r="AI37" s="42">
        <f t="shared" si="19"/>
        <v>0</v>
      </c>
      <c r="AJ37" s="42">
        <f t="shared" si="20"/>
        <v>0</v>
      </c>
      <c r="AK37" s="42">
        <f t="shared" si="21"/>
        <v>0</v>
      </c>
      <c r="AL37" s="42">
        <f t="shared" si="22"/>
        <v>0</v>
      </c>
      <c r="AM37" s="42">
        <f t="shared" si="23"/>
        <v>0</v>
      </c>
      <c r="AN37" s="42">
        <f t="shared" si="24"/>
        <v>0</v>
      </c>
      <c r="AO37" s="42">
        <f t="shared" si="25"/>
        <v>0</v>
      </c>
      <c r="AP37" s="42">
        <f t="shared" si="26"/>
        <v>0</v>
      </c>
      <c r="AQ37" s="186">
        <f t="shared" si="0"/>
        <v>0</v>
      </c>
      <c r="AR37" s="42">
        <f t="shared" si="1"/>
        <v>0</v>
      </c>
      <c r="AT37" s="42">
        <f>IF(N37="y",D37,0)</f>
        <v>0</v>
      </c>
      <c r="AU37" s="42">
        <f t="shared" si="3"/>
        <v>0</v>
      </c>
      <c r="AV37" s="42">
        <f t="shared" si="4"/>
        <v>0</v>
      </c>
      <c r="AW37" s="42">
        <f t="shared" si="5"/>
        <v>0</v>
      </c>
      <c r="AX37" s="42">
        <f t="shared" si="6"/>
        <v>0</v>
      </c>
      <c r="AY37" s="42">
        <f t="shared" si="7"/>
        <v>0</v>
      </c>
      <c r="AZ37" s="42">
        <f t="shared" si="8"/>
        <v>0</v>
      </c>
      <c r="BA37" s="42">
        <f t="shared" si="27"/>
        <v>0</v>
      </c>
      <c r="BB37" s="42">
        <f t="shared" si="28"/>
        <v>0</v>
      </c>
      <c r="BC37" s="42">
        <f t="shared" si="29"/>
        <v>0</v>
      </c>
      <c r="BD37" s="42">
        <f t="shared" si="30"/>
        <v>0</v>
      </c>
      <c r="BE37" s="42">
        <f t="shared" si="31"/>
        <v>0</v>
      </c>
      <c r="BG37" s="335">
        <f>(AU37*Pricing!F$2+AV37*Pricing!G$2+AW37*Pricing!H$2+AX37*Pricing!I$2+AY37*Pricing!J$2+AZ37*Pricing!K$2)*IF(U$51="N",(1+W$51),1)</f>
        <v>0</v>
      </c>
      <c r="BH37" s="335">
        <f t="shared" si="9"/>
        <v>0</v>
      </c>
      <c r="BI37" s="335">
        <f t="shared" si="32"/>
        <v>0</v>
      </c>
      <c r="BJ37" s="335">
        <f t="shared" si="33"/>
        <v>0</v>
      </c>
      <c r="BK37" s="335">
        <f t="shared" si="10"/>
        <v>0</v>
      </c>
      <c r="BL37" s="335">
        <f t="shared" si="11"/>
        <v>0</v>
      </c>
      <c r="BM37" s="335">
        <f t="shared" si="34"/>
        <v>0</v>
      </c>
      <c r="BN37" s="335">
        <f t="shared" si="12"/>
        <v>0</v>
      </c>
      <c r="BO37" s="335">
        <f t="shared" si="13"/>
        <v>0</v>
      </c>
      <c r="BP37" s="335">
        <f t="shared" si="14"/>
        <v>0</v>
      </c>
      <c r="BQ37" s="335">
        <f t="shared" si="15"/>
        <v>0</v>
      </c>
      <c r="BR37" s="335">
        <f t="shared" si="16"/>
        <v>0</v>
      </c>
      <c r="BS37" s="335"/>
      <c r="BT37" s="335">
        <f t="shared" si="17"/>
        <v>0</v>
      </c>
      <c r="BU37" s="335">
        <f t="shared" si="18"/>
        <v>0</v>
      </c>
    </row>
    <row r="38" spans="2:223" ht="20.149999999999999" customHeight="1" x14ac:dyDescent="0.35">
      <c r="B38" s="209"/>
      <c r="C38" s="215"/>
      <c r="D38" s="1991"/>
      <c r="E38" s="1992"/>
      <c r="F38" s="97"/>
      <c r="G38" s="32"/>
      <c r="H38" s="779"/>
      <c r="I38" s="179"/>
      <c r="J38" s="32"/>
      <c r="K38" s="211"/>
      <c r="L38" s="32"/>
      <c r="M38" s="211"/>
      <c r="N38" s="416"/>
      <c r="O38" s="212"/>
      <c r="P38" s="179"/>
      <c r="Q38" s="32"/>
      <c r="R38" s="211"/>
      <c r="S38" s="180"/>
      <c r="T38" s="213"/>
      <c r="U38" s="1381"/>
      <c r="V38" s="1382"/>
      <c r="W38" s="1388"/>
      <c r="X38" s="2488"/>
      <c r="Y38" s="2489"/>
      <c r="Z38" s="299"/>
      <c r="AI38" s="42">
        <f t="shared" si="19"/>
        <v>0</v>
      </c>
      <c r="AJ38" s="42">
        <f t="shared" si="20"/>
        <v>0</v>
      </c>
      <c r="AK38" s="42">
        <f t="shared" si="21"/>
        <v>0</v>
      </c>
      <c r="AL38" s="42">
        <f t="shared" si="22"/>
        <v>0</v>
      </c>
      <c r="AM38" s="42">
        <f t="shared" si="23"/>
        <v>0</v>
      </c>
      <c r="AN38" s="42">
        <f t="shared" si="24"/>
        <v>0</v>
      </c>
      <c r="AO38" s="42">
        <f t="shared" si="25"/>
        <v>0</v>
      </c>
      <c r="AP38" s="42">
        <f t="shared" si="26"/>
        <v>0</v>
      </c>
      <c r="AQ38" s="186">
        <f t="shared" si="0"/>
        <v>0</v>
      </c>
      <c r="AR38" s="42">
        <f t="shared" si="1"/>
        <v>0</v>
      </c>
      <c r="AT38" s="42">
        <f>IF(N38="y",D38,0)</f>
        <v>0</v>
      </c>
      <c r="AU38" s="42">
        <f t="shared" si="3"/>
        <v>0</v>
      </c>
      <c r="AV38" s="42">
        <f t="shared" si="4"/>
        <v>0</v>
      </c>
      <c r="AW38" s="42">
        <f t="shared" si="5"/>
        <v>0</v>
      </c>
      <c r="AX38" s="42">
        <f t="shared" si="6"/>
        <v>0</v>
      </c>
      <c r="AY38" s="42">
        <f t="shared" si="7"/>
        <v>0</v>
      </c>
      <c r="AZ38" s="42">
        <f t="shared" si="8"/>
        <v>0</v>
      </c>
      <c r="BA38" s="42">
        <f t="shared" si="27"/>
        <v>0</v>
      </c>
      <c r="BB38" s="42">
        <f t="shared" si="28"/>
        <v>0</v>
      </c>
      <c r="BC38" s="42">
        <f t="shared" si="29"/>
        <v>0</v>
      </c>
      <c r="BD38" s="42">
        <f t="shared" si="30"/>
        <v>0</v>
      </c>
      <c r="BE38" s="42">
        <f t="shared" si="31"/>
        <v>0</v>
      </c>
      <c r="BG38" s="335">
        <f>(AU38*Pricing!F$2+AV38*Pricing!G$2+AW38*Pricing!H$2+AX38*Pricing!I$2+AY38*Pricing!J$2+AZ38*Pricing!K$2)*IF(U$51="N",(1+W$51),1)</f>
        <v>0</v>
      </c>
      <c r="BH38" s="335">
        <f t="shared" si="9"/>
        <v>0</v>
      </c>
      <c r="BI38" s="335">
        <f t="shared" si="32"/>
        <v>0</v>
      </c>
      <c r="BJ38" s="335">
        <f t="shared" si="33"/>
        <v>0</v>
      </c>
      <c r="BK38" s="335">
        <f t="shared" si="10"/>
        <v>0</v>
      </c>
      <c r="BL38" s="335">
        <f t="shared" si="11"/>
        <v>0</v>
      </c>
      <c r="BM38" s="335">
        <f t="shared" si="34"/>
        <v>0</v>
      </c>
      <c r="BN38" s="335">
        <f t="shared" si="12"/>
        <v>0</v>
      </c>
      <c r="BO38" s="335">
        <f t="shared" si="13"/>
        <v>0</v>
      </c>
      <c r="BP38" s="335">
        <f t="shared" si="14"/>
        <v>0</v>
      </c>
      <c r="BQ38" s="335">
        <f t="shared" si="15"/>
        <v>0</v>
      </c>
      <c r="BR38" s="335">
        <f t="shared" si="16"/>
        <v>0</v>
      </c>
      <c r="BS38" s="335"/>
      <c r="BT38" s="335">
        <f t="shared" si="17"/>
        <v>0</v>
      </c>
      <c r="BU38" s="335">
        <f t="shared" si="18"/>
        <v>0</v>
      </c>
    </row>
    <row r="39" spans="2:223" ht="20.149999999999999" customHeight="1" x14ac:dyDescent="0.35">
      <c r="B39" s="1979">
        <f>SQRT(D11)</f>
        <v>0</v>
      </c>
      <c r="C39" s="1981"/>
      <c r="D39" s="2001"/>
      <c r="E39" s="2002"/>
      <c r="F39" s="127"/>
      <c r="G39" s="30"/>
      <c r="H39" s="777"/>
      <c r="I39" s="126"/>
      <c r="J39" s="30"/>
      <c r="K39" s="121"/>
      <c r="L39" s="30"/>
      <c r="M39" s="121"/>
      <c r="N39" s="1397"/>
      <c r="O39" s="205"/>
      <c r="P39" s="126"/>
      <c r="Q39" s="30"/>
      <c r="R39" s="121"/>
      <c r="S39" s="176"/>
      <c r="T39" s="185"/>
      <c r="U39" s="1380">
        <f>SUM(AI39:AQ40)</f>
        <v>0</v>
      </c>
      <c r="V39" s="906">
        <f>((((D39*F39/324)+(D40*F40/324))*(1+K$60))+AL39+AL40)</f>
        <v>0</v>
      </c>
      <c r="W39" s="1387">
        <f>IF(D39=0,0,X39/(D39+D40))</f>
        <v>0</v>
      </c>
      <c r="X39" s="2488">
        <f>SUM(BG39:BU40)*(1+M$52+Summary!P64)</f>
        <v>0</v>
      </c>
      <c r="Y39" s="2489"/>
      <c r="Z39" s="299"/>
      <c r="AI39" s="42">
        <f t="shared" si="19"/>
        <v>0</v>
      </c>
      <c r="AJ39" s="42">
        <f t="shared" si="20"/>
        <v>0</v>
      </c>
      <c r="AK39" s="42">
        <f t="shared" si="21"/>
        <v>0</v>
      </c>
      <c r="AL39" s="42">
        <f t="shared" si="22"/>
        <v>0</v>
      </c>
      <c r="AM39" s="42">
        <f t="shared" si="23"/>
        <v>0</v>
      </c>
      <c r="AN39" s="42">
        <f t="shared" si="24"/>
        <v>0</v>
      </c>
      <c r="AO39" s="42">
        <f t="shared" si="25"/>
        <v>0</v>
      </c>
      <c r="AP39" s="42">
        <f t="shared" si="26"/>
        <v>0</v>
      </c>
      <c r="AQ39" s="186">
        <f t="shared" si="0"/>
        <v>0</v>
      </c>
      <c r="AR39" s="42">
        <f t="shared" si="1"/>
        <v>0</v>
      </c>
      <c r="AT39" s="42">
        <f>IF(N39="y",D39,0)</f>
        <v>0</v>
      </c>
      <c r="AU39" s="42">
        <f t="shared" si="3"/>
        <v>0</v>
      </c>
      <c r="AV39" s="42">
        <f t="shared" si="4"/>
        <v>0</v>
      </c>
      <c r="AW39" s="42">
        <f t="shared" si="5"/>
        <v>0</v>
      </c>
      <c r="AX39" s="42">
        <f t="shared" si="6"/>
        <v>0</v>
      </c>
      <c r="AY39" s="42">
        <f t="shared" si="7"/>
        <v>0</v>
      </c>
      <c r="AZ39" s="42">
        <f t="shared" si="8"/>
        <v>0</v>
      </c>
      <c r="BA39" s="42">
        <f t="shared" si="27"/>
        <v>0</v>
      </c>
      <c r="BB39" s="42">
        <f t="shared" si="28"/>
        <v>0</v>
      </c>
      <c r="BC39" s="42">
        <f t="shared" si="29"/>
        <v>0</v>
      </c>
      <c r="BD39" s="42">
        <f t="shared" si="30"/>
        <v>0</v>
      </c>
      <c r="BE39" s="42">
        <f t="shared" si="31"/>
        <v>0</v>
      </c>
      <c r="BG39" s="335">
        <f>(AU39*Pricing!F$2+AV39*Pricing!G$2+AW39*Pricing!H$2+AX39*Pricing!I$2+AY39*Pricing!J$2+AZ39*Pricing!K$2)*IF(U$51="N",(1+W$51),1)</f>
        <v>0</v>
      </c>
      <c r="BH39" s="335">
        <f t="shared" si="9"/>
        <v>0</v>
      </c>
      <c r="BI39" s="335">
        <f t="shared" si="32"/>
        <v>0</v>
      </c>
      <c r="BJ39" s="335">
        <f t="shared" si="33"/>
        <v>0</v>
      </c>
      <c r="BK39" s="335">
        <f t="shared" si="10"/>
        <v>0</v>
      </c>
      <c r="BL39" s="335">
        <f t="shared" si="11"/>
        <v>0</v>
      </c>
      <c r="BM39" s="335">
        <f t="shared" si="34"/>
        <v>0</v>
      </c>
      <c r="BN39" s="335">
        <f t="shared" si="12"/>
        <v>0</v>
      </c>
      <c r="BO39" s="335">
        <f t="shared" si="13"/>
        <v>0</v>
      </c>
      <c r="BP39" s="335">
        <f t="shared" si="14"/>
        <v>0</v>
      </c>
      <c r="BQ39" s="335">
        <f t="shared" si="15"/>
        <v>0</v>
      </c>
      <c r="BR39" s="335">
        <f t="shared" si="16"/>
        <v>0</v>
      </c>
      <c r="BS39" s="335"/>
      <c r="BT39" s="335">
        <f t="shared" si="17"/>
        <v>0</v>
      </c>
      <c r="BU39" s="335">
        <f t="shared" si="18"/>
        <v>0</v>
      </c>
    </row>
    <row r="40" spans="2:223" ht="20.149999999999999" customHeight="1" thickBot="1" x14ac:dyDescent="0.4">
      <c r="B40" s="219">
        <f>B39*4</f>
        <v>0</v>
      </c>
      <c r="C40" s="220"/>
      <c r="D40" s="1993"/>
      <c r="E40" s="1994"/>
      <c r="F40" s="129"/>
      <c r="G40" s="33"/>
      <c r="H40" s="780"/>
      <c r="I40" s="181"/>
      <c r="J40" s="33"/>
      <c r="K40" s="128"/>
      <c r="L40" s="33"/>
      <c r="M40" s="128"/>
      <c r="N40" s="418"/>
      <c r="O40" s="221"/>
      <c r="P40" s="181"/>
      <c r="Q40" s="33"/>
      <c r="R40" s="128"/>
      <c r="S40" s="182"/>
      <c r="T40" s="222"/>
      <c r="U40" s="1383"/>
      <c r="V40" s="1383"/>
      <c r="W40" s="1389"/>
      <c r="X40" s="2474"/>
      <c r="Y40" s="2475"/>
      <c r="Z40" s="299"/>
      <c r="AI40" s="42">
        <f t="shared" si="19"/>
        <v>0</v>
      </c>
      <c r="AJ40" s="42">
        <f t="shared" si="20"/>
        <v>0</v>
      </c>
      <c r="AK40" s="42">
        <f t="shared" si="21"/>
        <v>0</v>
      </c>
      <c r="AL40" s="42">
        <f t="shared" si="22"/>
        <v>0</v>
      </c>
      <c r="AM40" s="42">
        <f t="shared" si="23"/>
        <v>0</v>
      </c>
      <c r="AN40" s="42">
        <f t="shared" si="24"/>
        <v>0</v>
      </c>
      <c r="AO40" s="42">
        <f t="shared" si="25"/>
        <v>0</v>
      </c>
      <c r="AP40" s="42">
        <f t="shared" si="26"/>
        <v>0</v>
      </c>
      <c r="AQ40" s="186">
        <f t="shared" si="0"/>
        <v>0</v>
      </c>
      <c r="AR40" s="42">
        <f t="shared" si="1"/>
        <v>0</v>
      </c>
      <c r="AT40" s="42">
        <f>IF(N40="y",D40,0)</f>
        <v>0</v>
      </c>
      <c r="AU40" s="42">
        <f t="shared" si="3"/>
        <v>0</v>
      </c>
      <c r="AV40" s="42">
        <f t="shared" si="4"/>
        <v>0</v>
      </c>
      <c r="AW40" s="42">
        <f t="shared" si="5"/>
        <v>0</v>
      </c>
      <c r="AX40" s="42">
        <f t="shared" si="6"/>
        <v>0</v>
      </c>
      <c r="AY40" s="42">
        <f t="shared" si="7"/>
        <v>0</v>
      </c>
      <c r="AZ40" s="42">
        <f t="shared" si="8"/>
        <v>0</v>
      </c>
      <c r="BA40" s="42">
        <f t="shared" si="27"/>
        <v>0</v>
      </c>
      <c r="BB40" s="42">
        <f t="shared" si="28"/>
        <v>0</v>
      </c>
      <c r="BC40" s="42">
        <f t="shared" si="29"/>
        <v>0</v>
      </c>
      <c r="BD40" s="42">
        <f t="shared" si="30"/>
        <v>0</v>
      </c>
      <c r="BE40" s="42">
        <f t="shared" si="31"/>
        <v>0</v>
      </c>
      <c r="BG40" s="335">
        <f>(AU40*Pricing!F$2+AV40*Pricing!G$2+AW40*Pricing!H$2+AX40*Pricing!I$2+AY40*Pricing!J$2+AZ40*Pricing!K$2)*IF(U$51="N",(1+W$51),1)</f>
        <v>0</v>
      </c>
      <c r="BH40" s="335">
        <f t="shared" si="9"/>
        <v>0</v>
      </c>
      <c r="BI40" s="335">
        <f t="shared" si="32"/>
        <v>0</v>
      </c>
      <c r="BJ40" s="335">
        <f t="shared" si="33"/>
        <v>0</v>
      </c>
      <c r="BK40" s="335">
        <f t="shared" si="10"/>
        <v>0</v>
      </c>
      <c r="BL40" s="335">
        <f t="shared" si="11"/>
        <v>0</v>
      </c>
      <c r="BM40" s="335">
        <f t="shared" si="34"/>
        <v>0</v>
      </c>
      <c r="BN40" s="335">
        <f t="shared" si="12"/>
        <v>0</v>
      </c>
      <c r="BO40" s="335">
        <f t="shared" si="13"/>
        <v>0</v>
      </c>
      <c r="BP40" s="335">
        <f t="shared" si="14"/>
        <v>0</v>
      </c>
      <c r="BQ40" s="335">
        <f t="shared" si="15"/>
        <v>0</v>
      </c>
      <c r="BR40" s="335">
        <f t="shared" si="16"/>
        <v>0</v>
      </c>
      <c r="BS40" s="335"/>
      <c r="BT40" s="335">
        <f t="shared" si="17"/>
        <v>0</v>
      </c>
      <c r="BU40" s="335">
        <f t="shared" si="18"/>
        <v>0</v>
      </c>
    </row>
    <row r="41" spans="2:223" ht="25.5" customHeight="1" thickBot="1" x14ac:dyDescent="0.4">
      <c r="D41" s="2865">
        <f>SUM(D11:E40)</f>
        <v>0</v>
      </c>
      <c r="E41" s="2866"/>
      <c r="F41" s="42" t="s">
        <v>98</v>
      </c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305"/>
      <c r="S41" s="298"/>
      <c r="T41" s="299"/>
      <c r="U41" s="183">
        <f>SUM(U11:U40)</f>
        <v>0</v>
      </c>
      <c r="V41" s="183">
        <f>SUM(V11:V40)</f>
        <v>0</v>
      </c>
      <c r="W41" s="183"/>
      <c r="X41" s="2485">
        <f>SUM(X11:Y40)</f>
        <v>0</v>
      </c>
      <c r="Y41" s="2015"/>
      <c r="Z41" s="299"/>
      <c r="AL41" s="42">
        <f>SUM(AL11:AL40)</f>
        <v>0</v>
      </c>
      <c r="AM41" s="42">
        <f>SUM(AM11:AM40)</f>
        <v>0</v>
      </c>
      <c r="AN41" s="42">
        <f>SUM(AN11:AN40)</f>
        <v>0</v>
      </c>
      <c r="AO41" s="42">
        <f>SUM(AO11:AO40)</f>
        <v>0</v>
      </c>
      <c r="AP41" s="42">
        <f>SUM(AP11:AP40)</f>
        <v>0</v>
      </c>
      <c r="AR41" s="42">
        <f>SUM(AR11:AR40)</f>
        <v>0</v>
      </c>
      <c r="AU41" s="42">
        <f>SUM(AU11:AU40)</f>
        <v>0</v>
      </c>
      <c r="AV41" s="42">
        <f t="shared" ref="AV41:BB41" si="42">SUM(AV11:AV40)</f>
        <v>0</v>
      </c>
      <c r="AW41" s="42">
        <f t="shared" si="42"/>
        <v>0</v>
      </c>
      <c r="AX41" s="42">
        <f t="shared" si="42"/>
        <v>0</v>
      </c>
      <c r="AY41" s="42">
        <f t="shared" si="42"/>
        <v>0</v>
      </c>
      <c r="AZ41" s="42">
        <f t="shared" si="42"/>
        <v>0</v>
      </c>
      <c r="BA41" s="42">
        <f t="shared" si="42"/>
        <v>0</v>
      </c>
      <c r="BB41" s="42">
        <f t="shared" si="42"/>
        <v>0</v>
      </c>
      <c r="BC41" s="42">
        <f>SUM(BC11:BC40)</f>
        <v>0</v>
      </c>
      <c r="BD41" s="42">
        <f>SUM(BD11:BD40)</f>
        <v>0</v>
      </c>
      <c r="BE41" s="42">
        <f>SUM(BE11:BE40)</f>
        <v>0</v>
      </c>
      <c r="BF41" s="42">
        <f>SUM(BG41:BU41)</f>
        <v>0</v>
      </c>
      <c r="BG41" s="539">
        <f t="shared" ref="BG41:BU41" si="43">SUM(BG11:BG40)</f>
        <v>0</v>
      </c>
      <c r="BH41" s="539">
        <f t="shared" si="43"/>
        <v>0</v>
      </c>
      <c r="BI41" s="539">
        <f t="shared" si="43"/>
        <v>0</v>
      </c>
      <c r="BJ41" s="539">
        <f t="shared" si="43"/>
        <v>0</v>
      </c>
      <c r="BK41" s="539">
        <f t="shared" si="43"/>
        <v>0</v>
      </c>
      <c r="BL41" s="539">
        <f t="shared" si="43"/>
        <v>0</v>
      </c>
      <c r="BM41" s="539">
        <f t="shared" si="43"/>
        <v>0</v>
      </c>
      <c r="BN41" s="539">
        <f t="shared" si="43"/>
        <v>0</v>
      </c>
      <c r="BO41" s="539">
        <f t="shared" si="43"/>
        <v>0</v>
      </c>
      <c r="BP41" s="539">
        <f t="shared" si="43"/>
        <v>0</v>
      </c>
      <c r="BQ41" s="539">
        <f t="shared" si="43"/>
        <v>0</v>
      </c>
      <c r="BR41" s="539">
        <f t="shared" si="43"/>
        <v>0</v>
      </c>
      <c r="BS41" s="539">
        <f t="shared" si="43"/>
        <v>0</v>
      </c>
      <c r="BT41" s="539">
        <f t="shared" si="43"/>
        <v>0</v>
      </c>
      <c r="BU41" s="539">
        <f t="shared" si="43"/>
        <v>0</v>
      </c>
    </row>
    <row r="42" spans="2:223" ht="29.25" customHeight="1" thickBot="1" x14ac:dyDescent="0.4">
      <c r="B42" s="1404"/>
      <c r="C42" s="796" t="s">
        <v>65</v>
      </c>
      <c r="D42" s="1256"/>
      <c r="E42" s="2863" t="s">
        <v>289</v>
      </c>
      <c r="F42" s="2864"/>
      <c r="G42" s="2863" t="s">
        <v>579</v>
      </c>
      <c r="H42" s="2864"/>
      <c r="I42" s="2863" t="s">
        <v>318</v>
      </c>
      <c r="J42" s="2864"/>
      <c r="K42" s="2863" t="s">
        <v>319</v>
      </c>
      <c r="L42" s="2864"/>
      <c r="M42" s="2863" t="s">
        <v>324</v>
      </c>
      <c r="N42" s="2306"/>
      <c r="O42" s="2307"/>
      <c r="P42" s="2510" t="s">
        <v>654</v>
      </c>
      <c r="Q42" s="1975"/>
      <c r="R42" s="2501" t="s">
        <v>655</v>
      </c>
      <c r="S42" s="2503"/>
      <c r="T42" s="1403" t="s">
        <v>848</v>
      </c>
      <c r="U42" s="1385" t="e">
        <f>I72/SUM(L60:M62)</f>
        <v>#DIV/0!</v>
      </c>
      <c r="V42" s="298"/>
      <c r="W42" s="298"/>
      <c r="X42" s="2589">
        <f>SUM(BG41:BU41)</f>
        <v>0</v>
      </c>
      <c r="Y42" s="2802"/>
      <c r="Z42" s="299"/>
      <c r="BG42" s="46">
        <f>SUM(O60:P62)</f>
        <v>0</v>
      </c>
      <c r="BH42" s="46">
        <f>SUM(O63)</f>
        <v>0</v>
      </c>
      <c r="BI42" s="46">
        <f>O66</f>
        <v>0</v>
      </c>
      <c r="BJ42" s="46">
        <f>SUM(O72:P77)</f>
        <v>0</v>
      </c>
      <c r="BK42" s="46">
        <f>O77</f>
        <v>0</v>
      </c>
      <c r="BL42" s="46">
        <f>O75</f>
        <v>0</v>
      </c>
      <c r="BM42" s="46">
        <f>O81+O80</f>
        <v>0</v>
      </c>
      <c r="BN42" s="46">
        <f>SUM(M85)</f>
        <v>0</v>
      </c>
      <c r="BO42" s="46">
        <f>SUM(O67:P69)+SUM(X60:X89)</f>
        <v>0</v>
      </c>
      <c r="BP42" s="46">
        <f>M90</f>
        <v>0</v>
      </c>
      <c r="BQ42" s="46">
        <f>SUM(O95:P99)</f>
        <v>0</v>
      </c>
      <c r="BR42" s="46">
        <f>SUM(X90:X101)</f>
        <v>0</v>
      </c>
    </row>
    <row r="43" spans="2:223" s="298" customFormat="1" ht="36.75" customHeight="1" thickBot="1" x14ac:dyDescent="0.4">
      <c r="B43" s="1405" t="s">
        <v>495</v>
      </c>
      <c r="C43" s="784" t="s">
        <v>62</v>
      </c>
      <c r="D43" s="771" t="s">
        <v>63</v>
      </c>
      <c r="E43" s="783" t="s">
        <v>320</v>
      </c>
      <c r="F43" s="771" t="s">
        <v>28</v>
      </c>
      <c r="G43" s="783" t="s">
        <v>320</v>
      </c>
      <c r="H43" s="771" t="s">
        <v>28</v>
      </c>
      <c r="I43" s="783" t="s">
        <v>320</v>
      </c>
      <c r="J43" s="771" t="s">
        <v>28</v>
      </c>
      <c r="K43" s="783" t="s">
        <v>28</v>
      </c>
      <c r="L43" s="1384" t="s">
        <v>29</v>
      </c>
      <c r="M43" s="783" t="s">
        <v>28</v>
      </c>
      <c r="N43" s="784" t="s">
        <v>29</v>
      </c>
      <c r="O43" s="785" t="s">
        <v>812</v>
      </c>
      <c r="P43" s="2768"/>
      <c r="Q43" s="1976"/>
      <c r="R43" s="2760"/>
      <c r="S43" s="2759"/>
      <c r="T43" s="1403" t="s">
        <v>849</v>
      </c>
      <c r="U43" s="1386" t="e">
        <f>L63/I72</f>
        <v>#DIV/0!</v>
      </c>
      <c r="V43" s="308" t="s">
        <v>808</v>
      </c>
      <c r="X43" s="303">
        <f>X42-U52</f>
        <v>0</v>
      </c>
      <c r="Y43" s="299"/>
      <c r="Z43" s="299"/>
      <c r="FL43" s="299"/>
      <c r="FM43" s="299"/>
      <c r="FN43" s="299"/>
      <c r="FO43" s="299"/>
      <c r="FP43" s="299"/>
      <c r="FQ43" s="299"/>
      <c r="FR43" s="299"/>
      <c r="FS43" s="299"/>
      <c r="FT43" s="299"/>
      <c r="FU43" s="299"/>
      <c r="FV43" s="299"/>
      <c r="FW43" s="299"/>
      <c r="FX43" s="299"/>
      <c r="FY43" s="299"/>
      <c r="FZ43" s="299"/>
      <c r="GA43" s="299"/>
      <c r="GB43" s="299"/>
      <c r="GC43" s="299"/>
      <c r="GD43" s="299"/>
      <c r="GE43" s="299"/>
      <c r="GF43" s="299"/>
      <c r="GG43" s="299"/>
      <c r="GH43" s="299"/>
      <c r="GI43" s="299"/>
      <c r="GJ43" s="299"/>
      <c r="GK43" s="299"/>
      <c r="GL43" s="299"/>
      <c r="GM43" s="299"/>
      <c r="GN43" s="299"/>
      <c r="GO43" s="299"/>
      <c r="GP43" s="299"/>
      <c r="GQ43" s="299"/>
      <c r="GR43" s="299"/>
      <c r="GS43" s="299"/>
      <c r="GT43" s="299"/>
      <c r="GU43" s="299"/>
      <c r="GV43" s="299"/>
      <c r="GW43" s="299"/>
      <c r="GX43" s="299"/>
      <c r="GY43" s="299"/>
      <c r="GZ43" s="299"/>
      <c r="HA43" s="299"/>
      <c r="HB43" s="299"/>
      <c r="HC43" s="299"/>
      <c r="HD43" s="299"/>
      <c r="HE43" s="299"/>
      <c r="HF43" s="299"/>
      <c r="HG43" s="299"/>
      <c r="HH43" s="299"/>
      <c r="HI43" s="299"/>
      <c r="HJ43" s="299"/>
      <c r="HK43" s="299"/>
      <c r="HL43" s="299"/>
      <c r="HM43" s="299"/>
      <c r="HN43" s="299"/>
      <c r="HO43" s="299"/>
    </row>
    <row r="44" spans="2:223" s="298" customFormat="1" ht="20.149999999999999" customHeight="1" thickTop="1" x14ac:dyDescent="0.35">
      <c r="B44" s="786">
        <v>1</v>
      </c>
      <c r="C44" s="223">
        <v>144</v>
      </c>
      <c r="D44" s="122">
        <v>5.5</v>
      </c>
      <c r="E44" s="176">
        <v>6</v>
      </c>
      <c r="F44" s="126">
        <v>6</v>
      </c>
      <c r="G44" s="125">
        <v>6</v>
      </c>
      <c r="H44" s="122">
        <v>6</v>
      </c>
      <c r="I44" s="176"/>
      <c r="J44" s="122"/>
      <c r="K44" s="176"/>
      <c r="L44" s="122"/>
      <c r="M44" s="125"/>
      <c r="N44" s="184"/>
      <c r="O44" s="185"/>
      <c r="P44" s="1856">
        <f t="shared" ref="P44:P49" si="44">IF(C44=0,0,(E44*F44/16*F44/16*10.680159)+((G44*H44/16*H44/16*10.680159)+(I44*2*J44/16*J44/16*10.680159)+IF(L44=0,0,((K44/16*K44/16)*3.145*0.2836*((((C44*2))+(D44*2))*12/L44))))+(M44/16*M44/16*10.680159*(12/IF(N44=0,1,N44))*O44))*(1+K$63)</f>
        <v>19.82504514375</v>
      </c>
      <c r="Q44" s="1857"/>
      <c r="R44" s="1869">
        <f t="shared" ref="R44:R49" si="45">(C44/12*D44/324)*(1+K$60)</f>
        <v>0.20370370370370369</v>
      </c>
      <c r="S44" s="1869"/>
      <c r="U44" s="186">
        <f t="shared" ref="U44:U49" si="46">300*R44</f>
        <v>61.111111111111107</v>
      </c>
      <c r="V44" s="541">
        <f t="shared" ref="V44:V49" si="47">D44/12</f>
        <v>0.45833333333333331</v>
      </c>
      <c r="Y44" s="299"/>
      <c r="Z44" s="299"/>
      <c r="FL44" s="299"/>
      <c r="FM44" s="299"/>
      <c r="FN44" s="299"/>
      <c r="FO44" s="299"/>
      <c r="FP44" s="299"/>
      <c r="FQ44" s="299"/>
      <c r="FR44" s="299"/>
      <c r="FS44" s="299"/>
      <c r="FT44" s="299"/>
      <c r="FU44" s="299"/>
      <c r="FV44" s="299"/>
      <c r="FW44" s="299"/>
      <c r="FX44" s="299"/>
      <c r="FY44" s="299"/>
      <c r="FZ44" s="299"/>
      <c r="GA44" s="299"/>
      <c r="GB44" s="299"/>
      <c r="GC44" s="299"/>
      <c r="GD44" s="299"/>
      <c r="GE44" s="299"/>
      <c r="GF44" s="299"/>
      <c r="GG44" s="299"/>
      <c r="GH44" s="299"/>
      <c r="GI44" s="299"/>
      <c r="GJ44" s="299"/>
      <c r="GK44" s="299"/>
      <c r="GL44" s="299"/>
      <c r="GM44" s="299"/>
      <c r="GN44" s="299"/>
      <c r="GO44" s="299"/>
      <c r="GP44" s="299"/>
      <c r="GQ44" s="299"/>
      <c r="GR44" s="299"/>
      <c r="GS44" s="299"/>
      <c r="GT44" s="299"/>
      <c r="GU44" s="299"/>
      <c r="GV44" s="299"/>
      <c r="GW44" s="299"/>
      <c r="GX44" s="299"/>
      <c r="GY44" s="299"/>
      <c r="GZ44" s="299"/>
      <c r="HA44" s="299"/>
      <c r="HB44" s="299"/>
      <c r="HC44" s="299"/>
      <c r="HD44" s="299"/>
      <c r="HE44" s="299"/>
      <c r="HF44" s="299"/>
      <c r="HG44" s="299"/>
      <c r="HH44" s="299"/>
      <c r="HI44" s="299"/>
      <c r="HJ44" s="299"/>
      <c r="HK44" s="299"/>
      <c r="HL44" s="299"/>
      <c r="HM44" s="299"/>
      <c r="HN44" s="299"/>
      <c r="HO44" s="299"/>
    </row>
    <row r="45" spans="2:223" s="298" customFormat="1" ht="20.149999999999999" customHeight="1" x14ac:dyDescent="0.35">
      <c r="B45" s="786">
        <v>2</v>
      </c>
      <c r="C45" s="125"/>
      <c r="D45" s="126"/>
      <c r="E45" s="176"/>
      <c r="F45" s="126"/>
      <c r="G45" s="125"/>
      <c r="H45" s="126"/>
      <c r="I45" s="176"/>
      <c r="J45" s="126"/>
      <c r="K45" s="176"/>
      <c r="L45" s="126"/>
      <c r="M45" s="125"/>
      <c r="N45" s="184"/>
      <c r="O45" s="185"/>
      <c r="P45" s="1856">
        <f t="shared" si="44"/>
        <v>0</v>
      </c>
      <c r="Q45" s="1857"/>
      <c r="R45" s="1868">
        <f t="shared" si="45"/>
        <v>0</v>
      </c>
      <c r="S45" s="1869"/>
      <c r="U45" s="186">
        <f t="shared" si="46"/>
        <v>0</v>
      </c>
      <c r="V45" s="541">
        <f t="shared" si="47"/>
        <v>0</v>
      </c>
      <c r="Y45" s="299"/>
      <c r="Z45" s="299"/>
      <c r="FL45" s="299"/>
      <c r="FM45" s="299"/>
      <c r="FN45" s="299"/>
      <c r="FO45" s="299"/>
      <c r="FP45" s="299"/>
      <c r="FQ45" s="299"/>
      <c r="FR45" s="299"/>
      <c r="FS45" s="299"/>
      <c r="FT45" s="299"/>
      <c r="FU45" s="299"/>
      <c r="FV45" s="299"/>
      <c r="FW45" s="299"/>
      <c r="FX45" s="299"/>
      <c r="FY45" s="299"/>
      <c r="FZ45" s="299"/>
      <c r="GA45" s="299"/>
      <c r="GB45" s="299"/>
      <c r="GC45" s="299"/>
      <c r="GD45" s="299"/>
      <c r="GE45" s="299"/>
      <c r="GF45" s="299"/>
      <c r="GG45" s="299"/>
      <c r="GH45" s="299"/>
      <c r="GI45" s="299"/>
      <c r="GJ45" s="299"/>
      <c r="GK45" s="299"/>
      <c r="GL45" s="299"/>
      <c r="GM45" s="299"/>
      <c r="GN45" s="299"/>
      <c r="GO45" s="299"/>
      <c r="GP45" s="299"/>
      <c r="GQ45" s="299"/>
      <c r="GR45" s="299"/>
      <c r="GS45" s="299"/>
      <c r="GT45" s="299"/>
      <c r="GU45" s="299"/>
      <c r="GV45" s="299"/>
      <c r="GW45" s="299"/>
      <c r="GX45" s="299"/>
      <c r="GY45" s="299"/>
      <c r="GZ45" s="299"/>
      <c r="HA45" s="299"/>
      <c r="HB45" s="299"/>
      <c r="HC45" s="299"/>
      <c r="HD45" s="299"/>
      <c r="HE45" s="299"/>
      <c r="HF45" s="299"/>
      <c r="HG45" s="299"/>
      <c r="HH45" s="299"/>
      <c r="HI45" s="299"/>
      <c r="HJ45" s="299"/>
      <c r="HK45" s="299"/>
      <c r="HL45" s="299"/>
      <c r="HM45" s="299"/>
      <c r="HN45" s="299"/>
      <c r="HO45" s="299"/>
    </row>
    <row r="46" spans="2:223" s="298" customFormat="1" ht="20.149999999999999" customHeight="1" x14ac:dyDescent="0.35">
      <c r="B46" s="786">
        <v>3</v>
      </c>
      <c r="C46" s="141"/>
      <c r="D46" s="140"/>
      <c r="E46" s="176"/>
      <c r="F46" s="126"/>
      <c r="G46" s="106"/>
      <c r="H46" s="140"/>
      <c r="I46" s="106"/>
      <c r="J46" s="140"/>
      <c r="K46" s="106"/>
      <c r="L46" s="140"/>
      <c r="M46" s="141"/>
      <c r="N46" s="106"/>
      <c r="O46" s="139"/>
      <c r="P46" s="1856">
        <f t="shared" si="44"/>
        <v>0</v>
      </c>
      <c r="Q46" s="1857"/>
      <c r="R46" s="1868">
        <f t="shared" si="45"/>
        <v>0</v>
      </c>
      <c r="S46" s="1869"/>
      <c r="U46" s="186">
        <f t="shared" si="46"/>
        <v>0</v>
      </c>
      <c r="V46" s="541">
        <f t="shared" si="47"/>
        <v>0</v>
      </c>
      <c r="Y46" s="299"/>
      <c r="Z46" s="299"/>
      <c r="FL46" s="299"/>
      <c r="FM46" s="299"/>
      <c r="FN46" s="299"/>
      <c r="FO46" s="299"/>
      <c r="FP46" s="299"/>
      <c r="FQ46" s="299"/>
      <c r="FR46" s="299"/>
      <c r="FS46" s="299"/>
      <c r="FT46" s="299"/>
      <c r="FU46" s="299"/>
      <c r="FV46" s="299"/>
      <c r="FW46" s="299"/>
      <c r="FX46" s="299"/>
      <c r="FY46" s="299"/>
      <c r="FZ46" s="299"/>
      <c r="GA46" s="299"/>
      <c r="GB46" s="299"/>
      <c r="GC46" s="299"/>
      <c r="GD46" s="299"/>
      <c r="GE46" s="299"/>
      <c r="GF46" s="299"/>
      <c r="GG46" s="299"/>
      <c r="GH46" s="299"/>
      <c r="GI46" s="299"/>
      <c r="GJ46" s="299"/>
      <c r="GK46" s="299"/>
      <c r="GL46" s="299"/>
      <c r="GM46" s="299"/>
      <c r="GN46" s="299"/>
      <c r="GO46" s="299"/>
      <c r="GP46" s="299"/>
      <c r="GQ46" s="299"/>
      <c r="GR46" s="299"/>
      <c r="GS46" s="299"/>
      <c r="GT46" s="299"/>
      <c r="GU46" s="299"/>
      <c r="GV46" s="299"/>
      <c r="GW46" s="299"/>
      <c r="GX46" s="299"/>
      <c r="GY46" s="299"/>
      <c r="GZ46" s="299"/>
      <c r="HA46" s="299"/>
      <c r="HB46" s="299"/>
      <c r="HC46" s="299"/>
      <c r="HD46" s="299"/>
      <c r="HE46" s="299"/>
      <c r="HF46" s="299"/>
      <c r="HG46" s="299"/>
      <c r="HH46" s="299"/>
      <c r="HI46" s="299"/>
      <c r="HJ46" s="299"/>
      <c r="HK46" s="299"/>
      <c r="HL46" s="299"/>
      <c r="HM46" s="299"/>
      <c r="HN46" s="299"/>
      <c r="HO46" s="299"/>
    </row>
    <row r="47" spans="2:223" s="298" customFormat="1" ht="20.149999999999999" customHeight="1" x14ac:dyDescent="0.35">
      <c r="B47" s="786">
        <v>4</v>
      </c>
      <c r="C47" s="141"/>
      <c r="D47" s="140"/>
      <c r="E47" s="176"/>
      <c r="F47" s="126"/>
      <c r="G47" s="106"/>
      <c r="H47" s="140"/>
      <c r="I47" s="106"/>
      <c r="J47" s="140"/>
      <c r="K47" s="106"/>
      <c r="L47" s="140"/>
      <c r="M47" s="141"/>
      <c r="N47" s="106"/>
      <c r="O47" s="139"/>
      <c r="P47" s="1856">
        <f t="shared" si="44"/>
        <v>0</v>
      </c>
      <c r="Q47" s="1857"/>
      <c r="R47" s="1868">
        <f t="shared" si="45"/>
        <v>0</v>
      </c>
      <c r="S47" s="1869"/>
      <c r="U47" s="186">
        <f t="shared" si="46"/>
        <v>0</v>
      </c>
      <c r="V47" s="541">
        <f t="shared" si="47"/>
        <v>0</v>
      </c>
      <c r="W47" s="303"/>
      <c r="Y47" s="299"/>
      <c r="Z47" s="299"/>
      <c r="FL47" s="299"/>
      <c r="FM47" s="299"/>
      <c r="FN47" s="299"/>
      <c r="FO47" s="299"/>
      <c r="FP47" s="299"/>
      <c r="FQ47" s="299"/>
      <c r="FR47" s="299"/>
      <c r="FS47" s="299"/>
      <c r="FT47" s="299"/>
      <c r="FU47" s="299"/>
      <c r="FV47" s="299"/>
      <c r="FW47" s="299"/>
      <c r="FX47" s="299"/>
      <c r="FY47" s="299"/>
      <c r="FZ47" s="299"/>
      <c r="GA47" s="299"/>
      <c r="GB47" s="299"/>
      <c r="GC47" s="299"/>
      <c r="GD47" s="299"/>
      <c r="GE47" s="299"/>
      <c r="GF47" s="299"/>
      <c r="GG47" s="299"/>
      <c r="GH47" s="299"/>
      <c r="GI47" s="299"/>
      <c r="GJ47" s="299"/>
      <c r="GK47" s="299"/>
      <c r="GL47" s="299"/>
      <c r="GM47" s="299"/>
      <c r="GN47" s="299"/>
      <c r="GO47" s="299"/>
      <c r="GP47" s="299"/>
      <c r="GQ47" s="299"/>
      <c r="GR47" s="299"/>
      <c r="GS47" s="299"/>
      <c r="GT47" s="299"/>
      <c r="GU47" s="299"/>
      <c r="GV47" s="299"/>
      <c r="GW47" s="299"/>
      <c r="GX47" s="299"/>
      <c r="GY47" s="299"/>
      <c r="GZ47" s="299"/>
      <c r="HA47" s="299"/>
      <c r="HB47" s="299"/>
      <c r="HC47" s="299"/>
      <c r="HD47" s="299"/>
      <c r="HE47" s="299"/>
      <c r="HF47" s="299"/>
      <c r="HG47" s="299"/>
      <c r="HH47" s="299"/>
      <c r="HI47" s="299"/>
      <c r="HJ47" s="299"/>
      <c r="HK47" s="299"/>
      <c r="HL47" s="299"/>
      <c r="HM47" s="299"/>
      <c r="HN47" s="299"/>
      <c r="HO47" s="299"/>
    </row>
    <row r="48" spans="2:223" s="298" customFormat="1" ht="20.149999999999999" customHeight="1" x14ac:dyDescent="0.35">
      <c r="B48" s="786">
        <v>5</v>
      </c>
      <c r="C48" s="141"/>
      <c r="D48" s="140"/>
      <c r="E48" s="176"/>
      <c r="F48" s="126"/>
      <c r="G48" s="106"/>
      <c r="H48" s="140"/>
      <c r="I48" s="106"/>
      <c r="J48" s="140"/>
      <c r="K48" s="106"/>
      <c r="L48" s="140"/>
      <c r="M48" s="141"/>
      <c r="N48" s="106"/>
      <c r="O48" s="139"/>
      <c r="P48" s="1856">
        <f t="shared" si="44"/>
        <v>0</v>
      </c>
      <c r="Q48" s="1857"/>
      <c r="R48" s="1868">
        <f t="shared" si="45"/>
        <v>0</v>
      </c>
      <c r="S48" s="1869"/>
      <c r="U48" s="186">
        <f t="shared" si="46"/>
        <v>0</v>
      </c>
      <c r="V48" s="541">
        <f t="shared" si="47"/>
        <v>0</v>
      </c>
      <c r="X48" s="304"/>
      <c r="Y48" s="299"/>
      <c r="Z48" s="299"/>
      <c r="FL48" s="299"/>
      <c r="FM48" s="299"/>
      <c r="FN48" s="299"/>
      <c r="FO48" s="299"/>
      <c r="FP48" s="299"/>
      <c r="FQ48" s="299"/>
      <c r="FR48" s="299"/>
      <c r="FS48" s="299"/>
      <c r="FT48" s="299"/>
      <c r="FU48" s="299"/>
      <c r="FV48" s="299"/>
      <c r="FW48" s="299"/>
      <c r="FX48" s="299"/>
      <c r="FY48" s="299"/>
      <c r="FZ48" s="299"/>
      <c r="GA48" s="299"/>
      <c r="GB48" s="299"/>
      <c r="GC48" s="299"/>
      <c r="GD48" s="299"/>
      <c r="GE48" s="299"/>
      <c r="GF48" s="299"/>
      <c r="GG48" s="299"/>
      <c r="GH48" s="299"/>
      <c r="GI48" s="299"/>
      <c r="GJ48" s="299"/>
      <c r="GK48" s="299"/>
      <c r="GL48" s="299"/>
      <c r="GM48" s="299"/>
      <c r="GN48" s="299"/>
      <c r="GO48" s="299"/>
      <c r="GP48" s="299"/>
      <c r="GQ48" s="299"/>
      <c r="GR48" s="299"/>
      <c r="GS48" s="299"/>
      <c r="GT48" s="299"/>
      <c r="GU48" s="299"/>
      <c r="GV48" s="299"/>
      <c r="GW48" s="299"/>
      <c r="GX48" s="299"/>
      <c r="GY48" s="299"/>
      <c r="GZ48" s="299"/>
      <c r="HA48" s="299"/>
      <c r="HB48" s="299"/>
      <c r="HC48" s="299"/>
      <c r="HD48" s="299"/>
      <c r="HE48" s="299"/>
      <c r="HF48" s="299"/>
      <c r="HG48" s="299"/>
      <c r="HH48" s="299"/>
      <c r="HI48" s="299"/>
      <c r="HJ48" s="299"/>
      <c r="HK48" s="299"/>
      <c r="HL48" s="299"/>
      <c r="HM48" s="299"/>
      <c r="HN48" s="299"/>
      <c r="HO48" s="299"/>
    </row>
    <row r="49" spans="2:223" s="298" customFormat="1" ht="20.149999999999999" customHeight="1" thickBot="1" x14ac:dyDescent="0.4">
      <c r="B49" s="786">
        <v>6</v>
      </c>
      <c r="C49" s="141"/>
      <c r="D49" s="140"/>
      <c r="E49" s="106"/>
      <c r="F49" s="140"/>
      <c r="G49" s="106"/>
      <c r="H49" s="140"/>
      <c r="I49" s="106"/>
      <c r="J49" s="140"/>
      <c r="K49" s="106"/>
      <c r="L49" s="140"/>
      <c r="M49" s="187"/>
      <c r="N49" s="188"/>
      <c r="O49" s="189"/>
      <c r="P49" s="1856">
        <f t="shared" si="44"/>
        <v>0</v>
      </c>
      <c r="Q49" s="1857"/>
      <c r="R49" s="2841">
        <f t="shared" si="45"/>
        <v>0</v>
      </c>
      <c r="S49" s="2842"/>
      <c r="U49" s="186">
        <f t="shared" si="46"/>
        <v>0</v>
      </c>
      <c r="V49">
        <f t="shared" si="47"/>
        <v>0</v>
      </c>
      <c r="W49"/>
      <c r="X49" s="261">
        <f>U52-V49</f>
        <v>0</v>
      </c>
      <c r="Y49" s="299"/>
      <c r="Z49" s="299"/>
      <c r="FL49" s="299"/>
      <c r="FM49" s="299"/>
      <c r="FN49" s="299"/>
      <c r="FO49" s="299"/>
      <c r="FP49" s="299"/>
      <c r="FQ49" s="299"/>
      <c r="FR49" s="299"/>
      <c r="FS49" s="299"/>
      <c r="FT49" s="299"/>
      <c r="FU49" s="299"/>
      <c r="FV49" s="299"/>
      <c r="FW49" s="299"/>
      <c r="FX49" s="299"/>
      <c r="FY49" s="299"/>
      <c r="FZ49" s="299"/>
      <c r="GA49" s="299"/>
      <c r="GB49" s="299"/>
      <c r="GC49" s="299"/>
      <c r="GD49" s="299"/>
      <c r="GE49" s="299"/>
      <c r="GF49" s="299"/>
      <c r="GG49" s="299"/>
      <c r="GH49" s="299"/>
      <c r="GI49" s="299"/>
      <c r="GJ49" s="299"/>
      <c r="GK49" s="299"/>
      <c r="GL49" s="299"/>
      <c r="GM49" s="299"/>
      <c r="GN49" s="299"/>
      <c r="GO49" s="299"/>
      <c r="GP49" s="299"/>
      <c r="GQ49" s="299"/>
      <c r="GR49" s="299"/>
      <c r="GS49" s="299"/>
      <c r="GT49" s="299"/>
      <c r="GU49" s="299"/>
      <c r="GV49" s="299"/>
      <c r="GW49" s="299"/>
      <c r="GX49" s="299"/>
      <c r="GY49" s="299"/>
      <c r="GZ49" s="299"/>
      <c r="HA49" s="299"/>
      <c r="HB49" s="299"/>
      <c r="HC49" s="299"/>
      <c r="HD49" s="299"/>
      <c r="HE49" s="299"/>
      <c r="HF49" s="299"/>
      <c r="HG49" s="299"/>
      <c r="HH49" s="299"/>
      <c r="HI49" s="299"/>
      <c r="HJ49" s="299"/>
      <c r="HK49" s="299"/>
      <c r="HL49" s="299"/>
      <c r="HM49" s="299"/>
      <c r="HN49" s="299"/>
      <c r="HO49" s="299"/>
    </row>
    <row r="50" spans="2:223" s="298" customFormat="1" ht="20.149999999999999" customHeight="1" thickBot="1" x14ac:dyDescent="0.4">
      <c r="B50" s="898"/>
      <c r="C50" s="899"/>
      <c r="D50" s="899"/>
      <c r="E50" s="899"/>
      <c r="F50" s="899"/>
      <c r="G50" s="899"/>
      <c r="H50" s="899"/>
      <c r="I50" s="899"/>
      <c r="J50" s="899"/>
      <c r="K50" s="899"/>
      <c r="L50" s="900"/>
      <c r="M50" s="899"/>
      <c r="N50" s="899"/>
      <c r="O50" s="899"/>
      <c r="P50" s="899"/>
      <c r="Q50" s="899"/>
      <c r="R50" s="899"/>
      <c r="S50" s="899"/>
      <c r="T50" s="899"/>
      <c r="U50" s="899"/>
      <c r="V50" s="899"/>
      <c r="W50" s="899"/>
      <c r="X50" s="1171"/>
      <c r="Y50" s="299"/>
      <c r="Z50" s="299"/>
      <c r="FL50" s="299"/>
      <c r="FM50" s="299"/>
      <c r="FN50" s="299"/>
      <c r="FO50" s="299"/>
      <c r="FP50" s="299"/>
      <c r="FQ50" s="299"/>
      <c r="FR50" s="299"/>
      <c r="FS50" s="299"/>
      <c r="FT50" s="299"/>
      <c r="FU50" s="299"/>
      <c r="FV50" s="299"/>
      <c r="FW50" s="299"/>
      <c r="FX50" s="299"/>
      <c r="FY50" s="299"/>
      <c r="FZ50" s="299"/>
      <c r="GA50" s="299"/>
      <c r="GB50" s="299"/>
      <c r="GC50" s="299"/>
      <c r="GD50" s="299"/>
      <c r="GE50" s="299"/>
      <c r="GF50" s="299"/>
      <c r="GG50" s="299"/>
      <c r="GH50" s="299"/>
      <c r="GI50" s="299"/>
      <c r="GJ50" s="299"/>
      <c r="GK50" s="299"/>
      <c r="GL50" s="299"/>
      <c r="GM50" s="299"/>
      <c r="GN50" s="299"/>
      <c r="GO50" s="299"/>
      <c r="GP50" s="299"/>
      <c r="GQ50" s="299"/>
      <c r="GR50" s="299"/>
      <c r="GS50" s="299"/>
      <c r="GT50" s="299"/>
      <c r="GU50" s="299"/>
      <c r="GV50" s="299"/>
      <c r="GW50" s="299"/>
      <c r="GX50" s="299"/>
      <c r="GY50" s="299"/>
      <c r="GZ50" s="299"/>
      <c r="HA50" s="299"/>
      <c r="HB50" s="299"/>
      <c r="HC50" s="299"/>
      <c r="HD50" s="299"/>
      <c r="HE50" s="299"/>
      <c r="HF50" s="299"/>
      <c r="HG50" s="299"/>
      <c r="HH50" s="299"/>
      <c r="HI50" s="299"/>
      <c r="HJ50" s="299"/>
      <c r="HK50" s="299"/>
      <c r="HL50" s="299"/>
      <c r="HM50" s="299"/>
      <c r="HN50" s="299"/>
      <c r="HO50" s="299"/>
    </row>
    <row r="51" spans="2:223" s="298" customFormat="1" ht="18" customHeight="1" x14ac:dyDescent="0.35">
      <c r="B51" s="1987" t="s">
        <v>185</v>
      </c>
      <c r="C51" s="2041"/>
      <c r="D51" s="1988"/>
      <c r="E51" s="1987" t="s">
        <v>140</v>
      </c>
      <c r="F51" s="1988"/>
      <c r="G51" s="1987" t="s">
        <v>178</v>
      </c>
      <c r="H51" s="2041"/>
      <c r="I51" s="1988"/>
      <c r="J51" s="1935" t="s">
        <v>184</v>
      </c>
      <c r="K51" s="1936"/>
      <c r="L51" s="1937"/>
      <c r="M51" s="2044" t="s">
        <v>179</v>
      </c>
      <c r="N51" s="2045"/>
      <c r="O51" s="132"/>
      <c r="P51" s="133"/>
      <c r="Q51" s="897"/>
      <c r="R51" s="43" t="s">
        <v>34</v>
      </c>
      <c r="S51" s="42"/>
      <c r="T51" s="42" t="s">
        <v>758</v>
      </c>
      <c r="U51" s="1098" t="str">
        <f>Summary!P65</f>
        <v>n</v>
      </c>
      <c r="V51" s="73" t="s">
        <v>298</v>
      </c>
      <c r="W51" s="1307">
        <f>Summary!R65</f>
        <v>8.2500000000000004E-2</v>
      </c>
      <c r="X51" s="1113"/>
      <c r="Y51" s="299"/>
      <c r="Z51" s="299"/>
      <c r="FL51" s="299"/>
      <c r="FM51" s="299"/>
      <c r="FN51" s="299"/>
      <c r="FO51" s="299"/>
      <c r="FP51" s="299"/>
      <c r="FQ51" s="299"/>
      <c r="FR51" s="299"/>
      <c r="FS51" s="299"/>
      <c r="FT51" s="299"/>
      <c r="FU51" s="299"/>
      <c r="FV51" s="299"/>
      <c r="FW51" s="299"/>
      <c r="FX51" s="299"/>
      <c r="FY51" s="299"/>
      <c r="FZ51" s="299"/>
      <c r="GA51" s="299"/>
      <c r="GB51" s="299"/>
      <c r="GC51" s="299"/>
      <c r="GD51" s="299"/>
      <c r="GE51" s="299"/>
      <c r="GF51" s="299"/>
      <c r="GG51" s="299"/>
      <c r="GH51" s="299"/>
      <c r="GI51" s="299"/>
      <c r="GJ51" s="299"/>
      <c r="GK51" s="299"/>
      <c r="GL51" s="299"/>
      <c r="GM51" s="299"/>
      <c r="GN51" s="299"/>
      <c r="GO51" s="299"/>
      <c r="GP51" s="299"/>
      <c r="GQ51" s="299"/>
      <c r="GR51" s="299"/>
      <c r="GS51" s="299"/>
      <c r="GT51" s="299"/>
      <c r="GU51" s="299"/>
      <c r="GV51" s="299"/>
      <c r="GW51" s="299"/>
      <c r="GX51" s="299"/>
      <c r="GY51" s="299"/>
      <c r="GZ51" s="299"/>
      <c r="HA51" s="299"/>
      <c r="HB51" s="299"/>
      <c r="HC51" s="299"/>
      <c r="HD51" s="299"/>
      <c r="HE51" s="299"/>
      <c r="HF51" s="299"/>
      <c r="HG51" s="299"/>
      <c r="HH51" s="299"/>
      <c r="HI51" s="299"/>
      <c r="HJ51" s="299"/>
      <c r="HK51" s="299"/>
      <c r="HL51" s="299"/>
      <c r="HM51" s="299"/>
      <c r="HN51" s="299"/>
      <c r="HO51" s="299"/>
    </row>
    <row r="52" spans="2:223" s="298" customFormat="1" ht="18" customHeight="1" thickBot="1" x14ac:dyDescent="0.4">
      <c r="B52" s="11" t="s">
        <v>180</v>
      </c>
      <c r="C52" s="1999">
        <f>IF(D41=0,0,E52/D41)</f>
        <v>0</v>
      </c>
      <c r="D52" s="2000"/>
      <c r="E52" s="2003">
        <f>U52*(1+M52+Summary!P64)</f>
        <v>0</v>
      </c>
      <c r="F52" s="2004"/>
      <c r="G52" s="15">
        <f>IF(H52=0,0,H52/E52)</f>
        <v>0</v>
      </c>
      <c r="H52" s="2042">
        <f>E52-U52</f>
        <v>0</v>
      </c>
      <c r="I52" s="2043"/>
      <c r="J52" s="2064">
        <f>IF(D41=0,0,U52/D41)</f>
        <v>0</v>
      </c>
      <c r="K52" s="2065"/>
      <c r="L52" s="2066"/>
      <c r="M52" s="1879">
        <v>0.23</v>
      </c>
      <c r="N52" s="1880"/>
      <c r="O52" s="1880"/>
      <c r="P52" s="1881"/>
      <c r="Q52" s="897"/>
      <c r="R52" s="86" t="s">
        <v>50</v>
      </c>
      <c r="S52" s="42"/>
      <c r="T52" s="42"/>
      <c r="U52" s="1932">
        <f>SUM(O60:P69)+SUM(O72:P81)+SUM(O84:P86)+SUM(O88:P93)+SUM(O95:P99)+X102+O100+O101+SUM(L72:M81)</f>
        <v>0</v>
      </c>
      <c r="V52" s="1932"/>
      <c r="W52" s="42"/>
      <c r="X52" s="1113"/>
      <c r="Y52"/>
      <c r="Z52" s="299"/>
      <c r="FL52" s="299"/>
      <c r="FM52" s="299"/>
      <c r="FN52" s="299"/>
      <c r="FO52" s="299"/>
      <c r="FP52" s="299"/>
      <c r="FQ52" s="299"/>
      <c r="FR52" s="299"/>
      <c r="FS52" s="299"/>
      <c r="FT52" s="299"/>
      <c r="FU52" s="299"/>
      <c r="FV52" s="299"/>
      <c r="FW52" s="299"/>
      <c r="FX52" s="299"/>
      <c r="FY52" s="299"/>
      <c r="FZ52" s="299"/>
      <c r="GA52" s="299"/>
      <c r="GB52" s="299"/>
      <c r="GC52" s="299"/>
      <c r="GD52" s="299"/>
      <c r="GE52" s="299"/>
      <c r="GF52" s="299"/>
      <c r="GG52" s="299"/>
      <c r="GH52" s="299"/>
      <c r="GI52" s="299"/>
      <c r="GJ52" s="299"/>
      <c r="GK52" s="299"/>
      <c r="GL52" s="299"/>
      <c r="GM52" s="299"/>
      <c r="GN52" s="299"/>
      <c r="GO52" s="299"/>
      <c r="GP52" s="299"/>
      <c r="GQ52" s="299"/>
      <c r="GR52" s="299"/>
      <c r="GS52" s="299"/>
      <c r="GT52" s="299"/>
      <c r="GU52" s="299"/>
      <c r="GV52" s="299"/>
      <c r="GW52" s="299"/>
      <c r="GX52" s="299"/>
      <c r="GY52" s="299"/>
      <c r="GZ52" s="299"/>
      <c r="HA52" s="299"/>
      <c r="HB52" s="299"/>
      <c r="HC52" s="299"/>
      <c r="HD52" s="299"/>
      <c r="HE52" s="299"/>
      <c r="HF52" s="299"/>
      <c r="HG52" s="299"/>
      <c r="HH52" s="299"/>
      <c r="HI52" s="299"/>
      <c r="HJ52" s="299"/>
      <c r="HK52" s="299"/>
      <c r="HL52" s="299"/>
      <c r="HM52" s="299"/>
      <c r="HN52" s="299"/>
      <c r="HO52" s="299"/>
    </row>
    <row r="53" spans="2:223" s="298" customFormat="1" ht="18" customHeight="1" thickBot="1" x14ac:dyDescent="0.4">
      <c r="B53" s="893"/>
      <c r="C53" s="891"/>
      <c r="D53" s="891"/>
      <c r="E53" s="891"/>
      <c r="F53" s="891"/>
      <c r="G53" s="891"/>
      <c r="H53" s="891"/>
      <c r="I53" s="891" t="s">
        <v>891</v>
      </c>
      <c r="J53" s="892"/>
      <c r="K53" s="2036">
        <v>65</v>
      </c>
      <c r="L53" s="2037"/>
      <c r="M53" s="893"/>
      <c r="N53" s="1899">
        <f>IF(K53&gt;0,(K53-E52)/(1+M52),0)</f>
        <v>52.845528455284551</v>
      </c>
      <c r="O53" s="1900"/>
      <c r="P53" s="891"/>
      <c r="Q53" s="1367"/>
      <c r="R53" s="1368"/>
      <c r="S53" s="891"/>
      <c r="T53" s="891"/>
      <c r="U53" s="2828">
        <f>AF122</f>
        <v>0</v>
      </c>
      <c r="V53" s="2828"/>
      <c r="W53" s="891"/>
      <c r="X53" s="892"/>
      <c r="Y53" s="299"/>
      <c r="Z53" s="299"/>
      <c r="FL53" s="299"/>
      <c r="FM53" s="299"/>
      <c r="FN53" s="299"/>
      <c r="FO53" s="299"/>
      <c r="FP53" s="299"/>
      <c r="FQ53" s="299"/>
      <c r="FR53" s="299"/>
      <c r="FS53" s="299"/>
      <c r="FT53" s="299"/>
      <c r="FU53" s="299"/>
      <c r="FV53" s="299"/>
      <c r="FW53" s="299"/>
      <c r="FX53" s="299"/>
      <c r="FY53" s="299"/>
      <c r="FZ53" s="299"/>
      <c r="GA53" s="299"/>
      <c r="GB53" s="299"/>
      <c r="GC53" s="299"/>
      <c r="GD53" s="299"/>
      <c r="GE53" s="299"/>
      <c r="GF53" s="299"/>
      <c r="GG53" s="299"/>
      <c r="GH53" s="299"/>
      <c r="GI53" s="299"/>
      <c r="GJ53" s="299"/>
      <c r="GK53" s="299"/>
      <c r="GL53" s="299"/>
      <c r="GM53" s="299"/>
      <c r="GN53" s="299"/>
      <c r="GO53" s="299"/>
      <c r="GP53" s="299"/>
      <c r="GQ53" s="299"/>
      <c r="GR53" s="299"/>
      <c r="GS53" s="299"/>
      <c r="GT53" s="299"/>
      <c r="GU53" s="299"/>
      <c r="GV53" s="299"/>
      <c r="GW53" s="299"/>
      <c r="GX53" s="299"/>
      <c r="GY53" s="299"/>
      <c r="GZ53" s="299"/>
      <c r="HA53" s="299"/>
      <c r="HB53" s="299"/>
      <c r="HC53" s="299"/>
      <c r="HD53" s="299"/>
      <c r="HE53" s="299"/>
      <c r="HF53" s="299"/>
      <c r="HG53" s="299"/>
      <c r="HH53" s="299"/>
      <c r="HI53" s="299"/>
      <c r="HJ53" s="299"/>
      <c r="HK53" s="299"/>
      <c r="HL53" s="299"/>
      <c r="HM53" s="299"/>
      <c r="HN53" s="299"/>
      <c r="HO53" s="299"/>
    </row>
    <row r="54" spans="2:223" s="298" customFormat="1" ht="18.75" customHeight="1" x14ac:dyDescent="0.35">
      <c r="C54" s="300"/>
      <c r="H54" s="300"/>
      <c r="I54" s="300"/>
      <c r="J54" s="301"/>
      <c r="K54" s="300"/>
      <c r="L54" s="300"/>
      <c r="M54" s="300"/>
      <c r="N54" s="302"/>
      <c r="O54" s="300"/>
      <c r="R54" s="298" t="s">
        <v>903</v>
      </c>
      <c r="S54" s="344">
        <f>O72+O74+O75+O76+O77+COLUMNS!O63+COLUMNS!O64+COLUMNS!O65+COLUMNS!O66+O67+O68+O69</f>
        <v>0</v>
      </c>
      <c r="T54" s="344" t="e">
        <f>S54/I72</f>
        <v>#DIV/0!</v>
      </c>
      <c r="V54" s="303">
        <f>U52-U53</f>
        <v>0</v>
      </c>
      <c r="Y54" s="299"/>
      <c r="Z54" s="299"/>
      <c r="FL54" s="299"/>
      <c r="FM54" s="299"/>
      <c r="FN54" s="299"/>
      <c r="FO54" s="299"/>
      <c r="FP54" s="299"/>
      <c r="FQ54" s="299"/>
      <c r="FR54" s="299"/>
      <c r="FS54" s="299"/>
      <c r="FT54" s="299"/>
      <c r="FU54" s="299"/>
      <c r="FV54" s="299"/>
      <c r="FW54" s="299"/>
      <c r="FX54" s="299"/>
      <c r="FY54" s="299"/>
      <c r="FZ54" s="299"/>
      <c r="GA54" s="299"/>
      <c r="GB54" s="299"/>
      <c r="GC54" s="299"/>
      <c r="GD54" s="299"/>
      <c r="GE54" s="299"/>
      <c r="GF54" s="299"/>
      <c r="GG54" s="299"/>
      <c r="GH54" s="299"/>
      <c r="GI54" s="299"/>
      <c r="GJ54" s="299"/>
      <c r="GK54" s="299"/>
      <c r="GL54" s="299"/>
      <c r="GM54" s="299"/>
      <c r="GN54" s="299"/>
      <c r="GO54" s="299"/>
      <c r="GP54" s="299"/>
      <c r="GQ54" s="299"/>
      <c r="GR54" s="299"/>
      <c r="GS54" s="299"/>
      <c r="GT54" s="299"/>
      <c r="GU54" s="299"/>
      <c r="GV54" s="299"/>
      <c r="GW54" s="299"/>
      <c r="GX54" s="299"/>
      <c r="GY54" s="299"/>
      <c r="GZ54" s="299"/>
      <c r="HA54" s="299"/>
      <c r="HB54" s="299"/>
      <c r="HC54" s="299"/>
      <c r="HD54" s="299"/>
      <c r="HE54" s="299"/>
      <c r="HF54" s="299"/>
      <c r="HG54" s="299"/>
      <c r="HH54" s="299"/>
      <c r="HI54" s="299"/>
      <c r="HJ54" s="299"/>
      <c r="HK54" s="299"/>
      <c r="HL54" s="299"/>
      <c r="HM54" s="299"/>
      <c r="HN54" s="299"/>
      <c r="HO54" s="299"/>
    </row>
    <row r="55" spans="2:223" s="298" customFormat="1" ht="22" customHeight="1" x14ac:dyDescent="0.35">
      <c r="B55" s="298" t="s">
        <v>632</v>
      </c>
      <c r="C55" s="911" t="s">
        <v>633</v>
      </c>
      <c r="D55" s="770"/>
      <c r="E55" s="770"/>
      <c r="F55" s="770"/>
      <c r="G55" s="770"/>
      <c r="H55" s="911"/>
      <c r="I55" s="911"/>
      <c r="J55" s="1406"/>
      <c r="K55" s="911"/>
      <c r="L55" s="911"/>
      <c r="M55" s="911"/>
      <c r="N55" s="912"/>
      <c r="O55" s="911"/>
      <c r="P55" s="770"/>
      <c r="Y55" s="299"/>
      <c r="Z55" s="299"/>
      <c r="FL55" s="299"/>
      <c r="FM55" s="299"/>
      <c r="FN55" s="299"/>
      <c r="FO55" s="299"/>
      <c r="FP55" s="299"/>
      <c r="FQ55" s="299"/>
      <c r="FR55" s="299"/>
      <c r="FS55" s="299"/>
      <c r="FT55" s="299"/>
      <c r="FU55" s="299"/>
      <c r="FV55" s="299"/>
      <c r="FW55" s="299"/>
      <c r="FX55" s="299"/>
      <c r="FY55" s="299"/>
      <c r="FZ55" s="299"/>
      <c r="GA55" s="299"/>
      <c r="GB55" s="299"/>
      <c r="GC55" s="299"/>
      <c r="GD55" s="299"/>
      <c r="GE55" s="299"/>
      <c r="GF55" s="299"/>
      <c r="GG55" s="299"/>
      <c r="GH55" s="299"/>
      <c r="GI55" s="299"/>
      <c r="GJ55" s="299"/>
      <c r="GK55" s="299"/>
      <c r="GL55" s="299"/>
      <c r="GM55" s="299"/>
      <c r="GN55" s="299"/>
      <c r="GO55" s="299"/>
      <c r="GP55" s="299"/>
      <c r="GQ55" s="299"/>
      <c r="GR55" s="299"/>
      <c r="GS55" s="299"/>
      <c r="GT55" s="299"/>
      <c r="GU55" s="299"/>
      <c r="GV55" s="299"/>
      <c r="GW55" s="299"/>
      <c r="GX55" s="299"/>
      <c r="GY55" s="299"/>
      <c r="GZ55" s="299"/>
      <c r="HA55" s="299"/>
      <c r="HB55" s="299"/>
      <c r="HC55" s="299"/>
      <c r="HD55" s="299"/>
      <c r="HE55" s="299"/>
      <c r="HF55" s="299"/>
      <c r="HG55" s="299"/>
      <c r="HH55" s="299"/>
      <c r="HI55" s="299"/>
      <c r="HJ55" s="299"/>
      <c r="HK55" s="299"/>
      <c r="HL55" s="299"/>
      <c r="HM55" s="299"/>
      <c r="HN55" s="299"/>
      <c r="HO55" s="299"/>
    </row>
    <row r="56" spans="2:223" s="298" customFormat="1" ht="18.75" customHeight="1" x14ac:dyDescent="0.35">
      <c r="C56" s="770"/>
      <c r="D56" s="770"/>
      <c r="E56" s="770"/>
      <c r="F56" s="770"/>
      <c r="G56" s="770"/>
      <c r="H56" s="911"/>
      <c r="I56" s="911"/>
      <c r="J56" s="1406"/>
      <c r="K56" s="911"/>
      <c r="L56" s="911"/>
      <c r="M56" s="911"/>
      <c r="N56" s="912"/>
      <c r="O56" s="911"/>
      <c r="P56" s="770"/>
      <c r="Y56" s="299"/>
      <c r="Z56" s="299"/>
      <c r="FL56" s="299"/>
      <c r="FM56" s="299"/>
      <c r="FN56" s="299"/>
      <c r="FO56" s="299"/>
      <c r="FP56" s="299"/>
      <c r="FQ56" s="299"/>
      <c r="FR56" s="299"/>
      <c r="FS56" s="299"/>
      <c r="FT56" s="299"/>
      <c r="FU56" s="299"/>
      <c r="FV56" s="299"/>
      <c r="FW56" s="299"/>
      <c r="FX56" s="299"/>
      <c r="FY56" s="299"/>
      <c r="FZ56" s="299"/>
      <c r="GA56" s="299"/>
      <c r="GB56" s="299"/>
      <c r="GC56" s="299"/>
      <c r="GD56" s="299"/>
      <c r="GE56" s="299"/>
      <c r="GF56" s="299"/>
      <c r="GG56" s="299"/>
      <c r="GH56" s="299"/>
      <c r="GI56" s="299"/>
      <c r="GJ56" s="299"/>
      <c r="GK56" s="299"/>
      <c r="GL56" s="299"/>
      <c r="GM56" s="299"/>
      <c r="GN56" s="299"/>
      <c r="GO56" s="299"/>
      <c r="GP56" s="299"/>
      <c r="GQ56" s="299"/>
      <c r="GR56" s="299"/>
      <c r="GS56" s="299"/>
      <c r="GT56" s="299"/>
      <c r="GU56" s="299"/>
      <c r="GV56" s="299"/>
      <c r="GW56" s="299"/>
      <c r="GX56" s="299"/>
      <c r="GY56" s="299"/>
      <c r="GZ56" s="299"/>
      <c r="HA56" s="299"/>
      <c r="HB56" s="299"/>
      <c r="HC56" s="299"/>
      <c r="HD56" s="299"/>
      <c r="HE56" s="299"/>
      <c r="HF56" s="299"/>
      <c r="HG56" s="299"/>
      <c r="HH56" s="299"/>
      <c r="HI56" s="299"/>
      <c r="HJ56" s="299"/>
      <c r="HK56" s="299"/>
      <c r="HL56" s="299"/>
      <c r="HM56" s="299"/>
      <c r="HN56" s="299"/>
      <c r="HO56" s="299"/>
    </row>
    <row r="57" spans="2:223" s="298" customFormat="1" ht="22" customHeight="1" x14ac:dyDescent="0.35">
      <c r="C57" s="770"/>
      <c r="D57" s="770"/>
      <c r="E57" s="770"/>
      <c r="F57" s="770"/>
      <c r="G57" s="770"/>
      <c r="H57" s="911"/>
      <c r="I57" s="911"/>
      <c r="J57" s="1406"/>
      <c r="K57" s="911"/>
      <c r="L57" s="911"/>
      <c r="M57" s="911"/>
      <c r="N57" s="912"/>
      <c r="O57" s="911"/>
      <c r="P57" s="770"/>
      <c r="Y57" s="299"/>
      <c r="Z57" s="299"/>
      <c r="FL57" s="299"/>
      <c r="FM57" s="299"/>
      <c r="FN57" s="299"/>
      <c r="FO57" s="299"/>
      <c r="FP57" s="299"/>
      <c r="FQ57" s="299"/>
      <c r="FR57" s="299"/>
      <c r="FS57" s="299"/>
      <c r="FT57" s="299"/>
      <c r="FU57" s="299"/>
      <c r="FV57" s="299"/>
      <c r="FW57" s="299"/>
      <c r="FX57" s="299"/>
      <c r="FY57" s="299"/>
      <c r="FZ57" s="299"/>
      <c r="GA57" s="299"/>
      <c r="GB57" s="299"/>
      <c r="GC57" s="299"/>
      <c r="GD57" s="299"/>
      <c r="GE57" s="299"/>
      <c r="GF57" s="299"/>
      <c r="GG57" s="299"/>
      <c r="GH57" s="299"/>
      <c r="GI57" s="299"/>
      <c r="GJ57" s="299"/>
      <c r="GK57" s="299"/>
      <c r="GL57" s="299"/>
      <c r="GM57" s="299"/>
      <c r="GN57" s="299"/>
      <c r="GO57" s="299"/>
      <c r="GP57" s="299"/>
      <c r="GQ57" s="299"/>
      <c r="GR57" s="299"/>
      <c r="GS57" s="299"/>
      <c r="GT57" s="299"/>
      <c r="GU57" s="299"/>
      <c r="GV57" s="299"/>
      <c r="GW57" s="299"/>
      <c r="GX57" s="299"/>
      <c r="GY57" s="299"/>
      <c r="GZ57" s="299"/>
      <c r="HA57" s="299"/>
      <c r="HB57" s="299"/>
      <c r="HC57" s="299"/>
      <c r="HD57" s="299"/>
      <c r="HE57" s="299"/>
      <c r="HF57" s="299"/>
      <c r="HG57" s="299"/>
      <c r="HH57" s="299"/>
      <c r="HI57" s="299"/>
      <c r="HJ57" s="299"/>
      <c r="HK57" s="299"/>
      <c r="HL57" s="299"/>
      <c r="HM57" s="299"/>
      <c r="HN57" s="299"/>
      <c r="HO57" s="299"/>
    </row>
    <row r="58" spans="2:223" ht="22" customHeight="1" thickBot="1" x14ac:dyDescent="0.4">
      <c r="B58" s="298"/>
      <c r="C58" s="770"/>
      <c r="D58" s="770"/>
      <c r="E58" s="770"/>
      <c r="F58" s="770"/>
      <c r="G58" s="770"/>
      <c r="H58" s="911"/>
      <c r="I58" s="770"/>
      <c r="J58" s="1406"/>
      <c r="K58" s="911"/>
      <c r="L58" s="911"/>
      <c r="M58" s="911"/>
      <c r="N58" s="912"/>
      <c r="O58" s="911"/>
      <c r="P58" s="770"/>
      <c r="Q58" s="298"/>
      <c r="R58" s="298"/>
      <c r="S58" s="298"/>
      <c r="T58" s="298"/>
      <c r="U58" s="298"/>
      <c r="V58" s="298"/>
      <c r="W58" s="298"/>
      <c r="X58" s="298"/>
      <c r="Y58" s="299"/>
      <c r="Z58" s="299"/>
      <c r="AA58" s="298"/>
      <c r="AB58" s="298"/>
      <c r="AC58" s="298"/>
      <c r="AD58" s="298"/>
      <c r="AE58" s="298"/>
      <c r="AF58" s="298"/>
    </row>
    <row r="59" spans="2:223" ht="45" customHeight="1" thickBot="1" x14ac:dyDescent="0.4">
      <c r="B59" s="862" t="s">
        <v>226</v>
      </c>
      <c r="C59" s="2305" t="s">
        <v>167</v>
      </c>
      <c r="D59" s="2306"/>
      <c r="E59" s="2306"/>
      <c r="F59" s="2306"/>
      <c r="G59" s="2306"/>
      <c r="H59" s="2306"/>
      <c r="I59" s="2306"/>
      <c r="J59" s="2306"/>
      <c r="K59" s="2306"/>
      <c r="L59" s="2306"/>
      <c r="M59" s="2306"/>
      <c r="N59" s="2306"/>
      <c r="O59" s="2306"/>
      <c r="P59" s="2307"/>
      <c r="Q59" s="862" t="s">
        <v>284</v>
      </c>
      <c r="R59" s="2656" t="s">
        <v>196</v>
      </c>
      <c r="S59" s="2657"/>
      <c r="T59" s="1082" t="s">
        <v>52</v>
      </c>
      <c r="U59" s="1256"/>
      <c r="V59" s="834" t="s">
        <v>7</v>
      </c>
      <c r="W59" s="1256"/>
      <c r="X59" s="1074"/>
      <c r="Y59" s="299"/>
      <c r="Z59" s="299"/>
      <c r="AA59" s="298"/>
      <c r="AB59" s="298"/>
      <c r="AC59" s="298"/>
      <c r="AD59" s="298"/>
      <c r="AE59" s="298"/>
      <c r="AF59" s="298"/>
    </row>
    <row r="60" spans="2:223" ht="22" customHeight="1" x14ac:dyDescent="0.35">
      <c r="B60" s="1407">
        <v>4</v>
      </c>
      <c r="C60" s="42" t="str">
        <f>IF(B60=1,Pricing!F$1,IF(B60=2,Pricing!G$1,IF(B60=3,Pricing!H$1,IF(B60=4,Pricing!I$1,IF(B60=5,Pricing!J$1,IF(B60=6,Pricing!K$1,0))))))</f>
        <v>4500 psi</v>
      </c>
      <c r="G60" s="764">
        <f>IF(B60=1,Pricing!F$2,IF(B60=2,Pricing!G$2,IF(B60=3,Pricing!H$2,IF(B60=4,Pricing!I$2,IF(B60=5,Pricing!J$2,IF(B60=6,Pricing!K$2,0))))))</f>
        <v>162</v>
      </c>
      <c r="H60" s="88" t="s">
        <v>168</v>
      </c>
      <c r="I60" s="2032" t="s">
        <v>323</v>
      </c>
      <c r="J60" s="2033"/>
      <c r="K60" s="2698">
        <v>0</v>
      </c>
      <c r="L60" s="2456">
        <f>IF(B60=1,AU$41,IF(B60=2,AV$41,IF(B60=3,AW$41,IF(B60=4,AX$41,IF(B60=5,AY$41,IF(B60=6,AZ$41))))))</f>
        <v>0</v>
      </c>
      <c r="M60" s="1874"/>
      <c r="N60" s="58" t="s">
        <v>102</v>
      </c>
      <c r="O60" s="2248">
        <f>L60*G60*(IF(U$51="N",1+W$51,1))</f>
        <v>0</v>
      </c>
      <c r="P60" s="2249"/>
      <c r="Q60" s="855">
        <v>2</v>
      </c>
      <c r="R60" s="193" t="s">
        <v>203</v>
      </c>
      <c r="S60" s="106"/>
      <c r="T60" s="194">
        <f>(I76+I77)*0.2</f>
        <v>0</v>
      </c>
      <c r="U60" s="106" t="s">
        <v>42</v>
      </c>
      <c r="V60" s="195">
        <f>Pricing!N3</f>
        <v>0.5625</v>
      </c>
      <c r="W60" s="401" t="s">
        <v>787</v>
      </c>
      <c r="X60" s="533">
        <f>IF(U$51="Y",T60*V60,T60*V60*(1+W$51))</f>
        <v>0</v>
      </c>
      <c r="Y60" s="299"/>
      <c r="Z60" s="299"/>
      <c r="AA60" s="298"/>
      <c r="AB60" s="298"/>
      <c r="AC60" s="298"/>
      <c r="AD60" s="298"/>
      <c r="AE60" s="298"/>
      <c r="AF60" s="298"/>
    </row>
    <row r="61" spans="2:223" ht="22" customHeight="1" x14ac:dyDescent="0.35">
      <c r="B61" s="745">
        <v>5</v>
      </c>
      <c r="C61" s="42" t="str">
        <f>IF(B61=1,Pricing!F$1,IF(B61=2,Pricing!G$1,IF(B61=3,Pricing!H$1,IF(B61=4,Pricing!I$1,IF(B61=5,Pricing!J$1,IF(B61=6,Pricing!K$1,0))))))</f>
        <v>5000 psi</v>
      </c>
      <c r="G61" s="762">
        <f>IF(B61=1,Pricing!F$2,IF(B61=2,Pricing!G$2,IF(B61=3,Pricing!H$2,IF(B61=4,Pricing!I$2,IF(B61=5,Pricing!J$2,IF(B61=6,Pricing!K$2,0))))))</f>
        <v>167</v>
      </c>
      <c r="H61" s="88" t="s">
        <v>168</v>
      </c>
      <c r="I61" s="2032"/>
      <c r="J61" s="2033"/>
      <c r="K61" s="2698"/>
      <c r="L61" s="2456">
        <f>IF(B61=1,AU$41,IF(B61=2,AV$41,IF(B61=3,AW$41,IF(B61=4,AX$41,IF(B61=5,AY$41,IF(B61=6,AZ$41))))))</f>
        <v>0</v>
      </c>
      <c r="M61" s="1874"/>
      <c r="N61" s="58" t="s">
        <v>102</v>
      </c>
      <c r="O61" s="2248">
        <f>L61*G61*(IF(U$51="N",1+W$51,1))</f>
        <v>0</v>
      </c>
      <c r="P61" s="2249"/>
      <c r="Q61" s="856">
        <v>2</v>
      </c>
      <c r="R61" s="193" t="s">
        <v>204</v>
      </c>
      <c r="S61" s="106"/>
      <c r="T61" s="194">
        <f>T60</f>
        <v>0</v>
      </c>
      <c r="U61" s="106" t="s">
        <v>42</v>
      </c>
      <c r="V61" s="195">
        <f>Pricing!N4</f>
        <v>0.65625</v>
      </c>
      <c r="W61" s="401" t="s">
        <v>787</v>
      </c>
      <c r="X61" s="118">
        <f>IF(U$51="Y",T61*V61,T61*V61*(1+W$51))</f>
        <v>0</v>
      </c>
      <c r="Y61" s="299"/>
      <c r="Z61" s="299"/>
    </row>
    <row r="62" spans="2:223" ht="22" customHeight="1" thickBot="1" x14ac:dyDescent="0.4">
      <c r="B62" s="746">
        <v>6</v>
      </c>
      <c r="C62" s="75" t="str">
        <f>IF(B62=1,Pricing!F$1,IF(B62=2,Pricing!G$1,IF(B62=3,Pricing!H$1,IF(B62=4,Pricing!I$1,IF(B62=5,Pricing!J$1,IF(B62=6,Pricing!K$1,0))))))</f>
        <v>3000 PSI Sidewalk and Hardscape</v>
      </c>
      <c r="D62" s="75"/>
      <c r="E62" s="75"/>
      <c r="F62" s="75"/>
      <c r="G62" s="763">
        <f>IF(B62=1,Pricing!F$2,IF(B62=2,Pricing!G$2,IF(B62=3,Pricing!H$2,IF(B62=4,Pricing!I$2,IF(B62=5,Pricing!J$2,IF(B62=6,Pricing!K$2,0))))))</f>
        <v>147</v>
      </c>
      <c r="H62" s="90" t="s">
        <v>168</v>
      </c>
      <c r="I62" s="2034"/>
      <c r="J62" s="2035"/>
      <c r="K62" s="2699"/>
      <c r="L62" s="2813">
        <f>IF(B62=1,AU$41,IF(B62=2,AV$41,IF(B62=3,AW$41,IF(B62=4,AX$41,IF(B62=5,AY$41,IF(B62=6,AZ$41))))))</f>
        <v>0</v>
      </c>
      <c r="M62" s="2441"/>
      <c r="N62" s="91" t="s">
        <v>102</v>
      </c>
      <c r="O62" s="2300">
        <f>L62*G62*(IF(U$51="N",1+W$51,1))</f>
        <v>0</v>
      </c>
      <c r="P62" s="2301"/>
      <c r="Q62" s="856">
        <v>2</v>
      </c>
      <c r="R62" s="193" t="s">
        <v>206</v>
      </c>
      <c r="S62" s="106"/>
      <c r="T62" s="194">
        <v>0</v>
      </c>
      <c r="U62" s="106" t="s">
        <v>42</v>
      </c>
      <c r="V62" s="195">
        <f>Pricing!N5</f>
        <v>1</v>
      </c>
      <c r="W62" s="401" t="s">
        <v>787</v>
      </c>
      <c r="X62" s="118">
        <f>IF(U$51="Y",T62*V62,T62*V62*(1+W$51))</f>
        <v>0</v>
      </c>
      <c r="Y62" s="299"/>
      <c r="Z62" s="299"/>
      <c r="AA62" s="298" t="s">
        <v>237</v>
      </c>
      <c r="AB62" s="298"/>
      <c r="AC62" s="298"/>
      <c r="AD62" s="298"/>
      <c r="AE62" s="298"/>
      <c r="AF62" s="298"/>
    </row>
    <row r="63" spans="2:223" ht="22" customHeight="1" thickTop="1" x14ac:dyDescent="0.35">
      <c r="B63" s="2266" t="s">
        <v>104</v>
      </c>
      <c r="C63" s="2267"/>
      <c r="D63" s="2267"/>
      <c r="E63" s="2267"/>
      <c r="F63" s="2812"/>
      <c r="G63" s="764">
        <f>Pricing!D22</f>
        <v>0.6</v>
      </c>
      <c r="H63" s="88" t="s">
        <v>88</v>
      </c>
      <c r="I63" s="2008" t="s">
        <v>202</v>
      </c>
      <c r="J63" s="2009"/>
      <c r="K63" s="1359">
        <v>0.1</v>
      </c>
      <c r="L63" s="2456">
        <f>SUM(U11:U40)</f>
        <v>0</v>
      </c>
      <c r="M63" s="1874"/>
      <c r="N63" s="42" t="s">
        <v>32</v>
      </c>
      <c r="O63" s="2248">
        <f>G63*L63*(IF(U51="N",1+W51,1))</f>
        <v>0</v>
      </c>
      <c r="P63" s="2249"/>
      <c r="Q63" s="856">
        <v>2</v>
      </c>
      <c r="R63" s="193" t="s">
        <v>205</v>
      </c>
      <c r="S63" s="106"/>
      <c r="T63" s="194">
        <f>(I77+I76)*0.2</f>
        <v>0</v>
      </c>
      <c r="U63" s="106" t="s">
        <v>42</v>
      </c>
      <c r="V63" s="195">
        <f>Pricing!N6</f>
        <v>1.25</v>
      </c>
      <c r="W63" s="401" t="s">
        <v>787</v>
      </c>
      <c r="X63" s="118">
        <f>IF(U$51="Y",T63*V63,T63*V63*(1+W$51))</f>
        <v>0</v>
      </c>
      <c r="Y63" s="299"/>
      <c r="Z63" s="299"/>
      <c r="AA63" s="298" t="s">
        <v>126</v>
      </c>
      <c r="AB63" s="298">
        <v>0</v>
      </c>
      <c r="AC63" s="298"/>
      <c r="AD63" s="298"/>
      <c r="AE63" s="298"/>
      <c r="AF63" s="298"/>
    </row>
    <row r="64" spans="2:223" ht="22" customHeight="1" x14ac:dyDescent="0.35">
      <c r="B64" s="1979" t="s">
        <v>86</v>
      </c>
      <c r="C64" s="1980"/>
      <c r="D64" s="1980"/>
      <c r="E64" s="1980"/>
      <c r="F64" s="1981"/>
      <c r="G64" s="762">
        <f>Pricing!D27</f>
        <v>0.4</v>
      </c>
      <c r="H64" s="88" t="s">
        <v>69</v>
      </c>
      <c r="I64" s="2008" t="s">
        <v>202</v>
      </c>
      <c r="J64" s="2009"/>
      <c r="K64" s="1209">
        <v>0.05</v>
      </c>
      <c r="L64" s="2456">
        <f>SUM(N11:N40)*(1+K64)</f>
        <v>0</v>
      </c>
      <c r="M64" s="1874"/>
      <c r="N64" s="42" t="s">
        <v>95</v>
      </c>
      <c r="O64" s="2248">
        <f>G64*L64*(IF(U51="N",1+W51,1))</f>
        <v>0</v>
      </c>
      <c r="P64" s="2249"/>
      <c r="Q64" s="856">
        <v>2</v>
      </c>
      <c r="R64" s="193" t="s">
        <v>375</v>
      </c>
      <c r="S64" s="106"/>
      <c r="T64" s="194">
        <f>ROUNDUP(SUM(I11:I40)*0.03/16,0)</f>
        <v>0</v>
      </c>
      <c r="U64" s="106" t="s">
        <v>791</v>
      </c>
      <c r="V64" s="195">
        <f>Pricing!N8</f>
        <v>19</v>
      </c>
      <c r="W64" s="401" t="s">
        <v>290</v>
      </c>
      <c r="X64" s="118">
        <f>V84*T84</f>
        <v>0</v>
      </c>
      <c r="Y64" s="299"/>
      <c r="Z64" s="299"/>
      <c r="AA64" s="298" t="s">
        <v>238</v>
      </c>
      <c r="AB64" s="298">
        <v>0</v>
      </c>
      <c r="AC64" s="298"/>
      <c r="AD64" s="298"/>
      <c r="AE64" s="298"/>
      <c r="AF64" s="298"/>
    </row>
    <row r="65" spans="2:32" ht="22" customHeight="1" x14ac:dyDescent="0.35">
      <c r="B65" s="1979" t="s">
        <v>66</v>
      </c>
      <c r="C65" s="1980"/>
      <c r="D65" s="1980"/>
      <c r="E65" s="1980"/>
      <c r="F65" s="1981"/>
      <c r="G65" s="1156">
        <v>0.85</v>
      </c>
      <c r="H65" s="88" t="s">
        <v>69</v>
      </c>
      <c r="I65" s="2008" t="s">
        <v>202</v>
      </c>
      <c r="J65" s="2009"/>
      <c r="K65" s="1208">
        <v>0.05</v>
      </c>
      <c r="L65" s="2811">
        <f>AH28</f>
        <v>0</v>
      </c>
      <c r="M65" s="2811"/>
      <c r="O65" s="2248">
        <f>L65*G65*(IF(U51="N",1+W51,1))</f>
        <v>0</v>
      </c>
      <c r="P65" s="2249"/>
      <c r="Q65" s="856">
        <v>2</v>
      </c>
      <c r="R65" s="193" t="s">
        <v>207</v>
      </c>
      <c r="S65" s="106"/>
      <c r="T65" s="194">
        <f>(I76+I77)/128</f>
        <v>0</v>
      </c>
      <c r="U65" s="106" t="s">
        <v>791</v>
      </c>
      <c r="V65" s="195">
        <f>Pricing!N7</f>
        <v>50</v>
      </c>
      <c r="W65" s="401" t="s">
        <v>290</v>
      </c>
      <c r="X65" s="118">
        <f t="shared" ref="X65:X71" si="48">IF(U$51="Y",T65*V65,T65*V65*(1+W$51))</f>
        <v>0</v>
      </c>
      <c r="Y65" s="299"/>
      <c r="Z65" s="299"/>
      <c r="AA65" s="298" t="s">
        <v>283</v>
      </c>
      <c r="AB65" s="298">
        <v>0</v>
      </c>
      <c r="AC65" s="298"/>
      <c r="AD65" s="298"/>
      <c r="AE65" s="298"/>
      <c r="AF65" s="298"/>
    </row>
    <row r="66" spans="2:32" ht="22" customHeight="1" x14ac:dyDescent="0.35">
      <c r="B66" s="2716" t="s">
        <v>676</v>
      </c>
      <c r="C66" s="2717"/>
      <c r="D66" s="2717"/>
      <c r="E66" s="2717"/>
      <c r="F66" s="2810"/>
      <c r="G66" s="762">
        <v>2</v>
      </c>
      <c r="H66" s="137" t="s">
        <v>69</v>
      </c>
      <c r="I66" s="52" t="s">
        <v>199</v>
      </c>
      <c r="J66" s="2836"/>
      <c r="K66" s="2836"/>
      <c r="L66" s="2837">
        <f>BB41</f>
        <v>0</v>
      </c>
      <c r="M66" s="2837"/>
      <c r="N66" s="52" t="s">
        <v>95</v>
      </c>
      <c r="O66" s="2829">
        <f>IF(J66=0,L66*G66,J66)*(IF(U51="N",1+W51,1))</f>
        <v>0</v>
      </c>
      <c r="P66" s="2830"/>
      <c r="Q66" s="856">
        <v>2</v>
      </c>
      <c r="R66" s="193" t="s">
        <v>225</v>
      </c>
      <c r="S66" s="106"/>
      <c r="T66" s="194">
        <f>ROUND(T63/25,0)*0.5</f>
        <v>0</v>
      </c>
      <c r="U66" s="106" t="s">
        <v>786</v>
      </c>
      <c r="V66" s="195">
        <f>Pricing!N14</f>
        <v>18</v>
      </c>
      <c r="W66" s="401" t="s">
        <v>291</v>
      </c>
      <c r="X66" s="118">
        <f t="shared" si="48"/>
        <v>0</v>
      </c>
      <c r="Y66" s="299"/>
      <c r="Z66" s="299"/>
      <c r="AA66" s="298" t="s">
        <v>239</v>
      </c>
      <c r="AB66" s="298" t="s">
        <v>240</v>
      </c>
      <c r="AC66" s="298"/>
      <c r="AD66" s="298"/>
      <c r="AE66" s="298"/>
      <c r="AF66" s="298" t="s">
        <v>92</v>
      </c>
    </row>
    <row r="67" spans="2:32" ht="22" customHeight="1" x14ac:dyDescent="0.35">
      <c r="B67" s="2807" t="s">
        <v>677</v>
      </c>
      <c r="C67" s="2676"/>
      <c r="D67" s="2676"/>
      <c r="E67" s="2676"/>
      <c r="F67" s="2814"/>
      <c r="G67" s="1359">
        <v>1</v>
      </c>
      <c r="H67" s="42" t="s">
        <v>656</v>
      </c>
      <c r="K67" s="1412">
        <v>1.35</v>
      </c>
      <c r="L67" s="1874">
        <f>D41*G67</f>
        <v>0</v>
      </c>
      <c r="M67" s="1874"/>
      <c r="N67" s="42" t="s">
        <v>95</v>
      </c>
      <c r="O67" s="2248">
        <f>L67*K67*(IF(U$51="N",(1+W$51),1))</f>
        <v>0</v>
      </c>
      <c r="P67" s="2249"/>
      <c r="Q67" s="856">
        <v>2</v>
      </c>
      <c r="R67" s="193" t="s">
        <v>0</v>
      </c>
      <c r="S67" s="106"/>
      <c r="T67" s="194">
        <f>ROUNDUP(SUM(I11:I40)*1.25/1500,0)</f>
        <v>0</v>
      </c>
      <c r="U67" s="106" t="s">
        <v>626</v>
      </c>
      <c r="V67" s="195">
        <f>Pricing!N15</f>
        <v>42</v>
      </c>
      <c r="W67" s="401" t="s">
        <v>292</v>
      </c>
      <c r="X67" s="118">
        <f t="shared" si="48"/>
        <v>0</v>
      </c>
      <c r="Y67" s="299"/>
      <c r="Z67" s="299"/>
      <c r="AA67" s="298"/>
      <c r="AB67" s="298"/>
      <c r="AC67" s="298"/>
      <c r="AD67" s="298"/>
      <c r="AE67" s="298"/>
      <c r="AF67" s="298"/>
    </row>
    <row r="68" spans="2:32" ht="22" customHeight="1" thickBot="1" x14ac:dyDescent="0.4">
      <c r="B68" s="1979" t="s">
        <v>494</v>
      </c>
      <c r="C68" s="1980"/>
      <c r="D68" s="1980"/>
      <c r="E68" s="1980"/>
      <c r="F68" s="1981"/>
      <c r="G68" s="767">
        <v>0.5</v>
      </c>
      <c r="H68" s="88" t="s">
        <v>69</v>
      </c>
      <c r="I68" s="42" t="s">
        <v>202</v>
      </c>
      <c r="K68" s="2834">
        <v>1.1000000000000001</v>
      </c>
      <c r="L68" s="2833">
        <f>D41</f>
        <v>0</v>
      </c>
      <c r="M68" s="2833"/>
      <c r="N68" s="42" t="s">
        <v>95</v>
      </c>
      <c r="O68" s="2248">
        <f>L68*G68*K$68*(IF(U$51="N",(1+W$51),1))</f>
        <v>0</v>
      </c>
      <c r="P68" s="2249"/>
      <c r="Q68" s="856">
        <v>2</v>
      </c>
      <c r="R68" s="193" t="s">
        <v>2</v>
      </c>
      <c r="S68" s="106"/>
      <c r="T68" s="194">
        <f>ROUNDUP(SUM(I11:I40)*1.25/3000,0)</f>
        <v>0</v>
      </c>
      <c r="U68" s="106" t="s">
        <v>626</v>
      </c>
      <c r="V68" s="195">
        <f>Pricing!N16</f>
        <v>42</v>
      </c>
      <c r="W68" s="401" t="s">
        <v>292</v>
      </c>
      <c r="X68" s="118">
        <f t="shared" si="48"/>
        <v>0</v>
      </c>
      <c r="Y68" s="299"/>
      <c r="Z68" s="299"/>
      <c r="AA68" s="42">
        <v>0</v>
      </c>
      <c r="AB68" s="42" t="s">
        <v>241</v>
      </c>
    </row>
    <row r="69" spans="2:32" ht="22" customHeight="1" thickBot="1" x14ac:dyDescent="0.4">
      <c r="B69" s="2069" t="s">
        <v>491</v>
      </c>
      <c r="C69" s="2070"/>
      <c r="D69" s="2070"/>
      <c r="E69" s="2070"/>
      <c r="F69" s="2071"/>
      <c r="G69" s="870">
        <v>1.25</v>
      </c>
      <c r="H69" s="49" t="s">
        <v>95</v>
      </c>
      <c r="I69" s="2006" t="s">
        <v>793</v>
      </c>
      <c r="J69" s="2006"/>
      <c r="K69" s="2835"/>
      <c r="L69" s="2833">
        <f>D41</f>
        <v>0</v>
      </c>
      <c r="M69" s="2833"/>
      <c r="N69" s="49" t="s">
        <v>95</v>
      </c>
      <c r="O69" s="2831">
        <f>L69*G69*K$68*(IF(U$51="N",(1+W$51),1))</f>
        <v>0</v>
      </c>
      <c r="P69" s="2832"/>
      <c r="Q69" s="856">
        <v>2</v>
      </c>
      <c r="R69" s="193" t="s">
        <v>1</v>
      </c>
      <c r="S69" s="106"/>
      <c r="T69" s="194">
        <f>T68</f>
        <v>0</v>
      </c>
      <c r="U69" s="106" t="s">
        <v>626</v>
      </c>
      <c r="V69" s="195">
        <f>Pricing!N15</f>
        <v>42</v>
      </c>
      <c r="W69" s="401" t="s">
        <v>292</v>
      </c>
      <c r="X69" s="118">
        <f t="shared" si="48"/>
        <v>0</v>
      </c>
      <c r="Y69" s="299"/>
      <c r="Z69" s="299"/>
      <c r="AA69" s="42">
        <v>1</v>
      </c>
      <c r="AB69" s="42" t="s">
        <v>242</v>
      </c>
    </row>
    <row r="70" spans="2:32" ht="22" customHeight="1" thickBot="1" x14ac:dyDescent="0.4">
      <c r="B70" s="313"/>
      <c r="C70" s="298"/>
      <c r="D70" s="298"/>
      <c r="E70" s="298"/>
      <c r="F70" s="298"/>
      <c r="G70" s="298"/>
      <c r="H70" s="1369"/>
      <c r="I70" s="308"/>
      <c r="J70" s="308"/>
      <c r="K70" s="1370"/>
      <c r="L70" s="1371"/>
      <c r="M70" s="1371"/>
      <c r="N70" s="298"/>
      <c r="O70" s="1372"/>
      <c r="P70" s="1373"/>
      <c r="Q70" s="856">
        <v>2</v>
      </c>
      <c r="R70" s="193" t="s">
        <v>210</v>
      </c>
      <c r="S70" s="106"/>
      <c r="T70" s="194">
        <v>0</v>
      </c>
      <c r="U70" s="106" t="s">
        <v>626</v>
      </c>
      <c r="V70" s="195">
        <f>Pricing!N33</f>
        <v>25.5</v>
      </c>
      <c r="W70" s="401" t="s">
        <v>292</v>
      </c>
      <c r="X70" s="118">
        <f t="shared" si="48"/>
        <v>0</v>
      </c>
      <c r="Y70" s="299"/>
      <c r="Z70" s="299"/>
      <c r="AA70" s="42">
        <v>2</v>
      </c>
      <c r="AB70" s="42" t="s">
        <v>243</v>
      </c>
      <c r="AF70" s="46">
        <f>SUM(X60:X88)+O67</f>
        <v>0</v>
      </c>
    </row>
    <row r="71" spans="2:32" ht="22" customHeight="1" thickBot="1" x14ac:dyDescent="0.4">
      <c r="B71" s="835" t="s">
        <v>221</v>
      </c>
      <c r="C71" s="834"/>
      <c r="D71" s="834" t="s">
        <v>299</v>
      </c>
      <c r="E71" s="834"/>
      <c r="F71" s="834"/>
      <c r="G71" s="834"/>
      <c r="H71" s="834"/>
      <c r="I71" s="834"/>
      <c r="J71" s="834"/>
      <c r="K71" s="834"/>
      <c r="L71" s="2306" t="s">
        <v>45</v>
      </c>
      <c r="M71" s="2306"/>
      <c r="N71" s="2306" t="s">
        <v>300</v>
      </c>
      <c r="O71" s="2306"/>
      <c r="P71" s="2307"/>
      <c r="Q71" s="856">
        <v>2</v>
      </c>
      <c r="R71" s="193" t="s">
        <v>236</v>
      </c>
      <c r="S71" s="106"/>
      <c r="T71" s="194">
        <f>BX55+AM55</f>
        <v>0</v>
      </c>
      <c r="U71" s="106" t="s">
        <v>42</v>
      </c>
      <c r="V71" s="195">
        <f>Pricing!N18</f>
        <v>0.78</v>
      </c>
      <c r="W71" s="401" t="s">
        <v>787</v>
      </c>
      <c r="X71" s="118">
        <f t="shared" si="48"/>
        <v>0</v>
      </c>
      <c r="Y71" s="299"/>
      <c r="Z71" s="299"/>
      <c r="AA71" s="42">
        <v>3</v>
      </c>
      <c r="AB71" s="42" t="s">
        <v>244</v>
      </c>
    </row>
    <row r="72" spans="2:32" ht="23.15" customHeight="1" x14ac:dyDescent="0.35">
      <c r="B72" s="193" t="s">
        <v>329</v>
      </c>
      <c r="C72" s="57"/>
      <c r="D72" s="97" t="s">
        <v>200</v>
      </c>
      <c r="E72" s="1844">
        <v>6</v>
      </c>
      <c r="F72" s="1845"/>
      <c r="G72" s="401" t="s">
        <v>191</v>
      </c>
      <c r="H72" s="2816">
        <f>IF(SUM(O72:P76)=0,0,SUM(O72:P76)/I72)</f>
        <v>0</v>
      </c>
      <c r="I72" s="2818">
        <f>D41</f>
        <v>0</v>
      </c>
      <c r="J72" s="2819"/>
      <c r="K72" s="42" t="s">
        <v>95</v>
      </c>
      <c r="L72" s="1886">
        <f>IF(D72="N",E72*I$72,0)</f>
        <v>0</v>
      </c>
      <c r="M72" s="1886"/>
      <c r="N72"/>
      <c r="O72" s="2261">
        <f>IF(D72="y",I$72*E72,0)</f>
        <v>0</v>
      </c>
      <c r="P72" s="2262"/>
      <c r="Q72" s="856">
        <v>2</v>
      </c>
      <c r="R72" s="193" t="s">
        <v>119</v>
      </c>
      <c r="S72" s="106"/>
      <c r="T72" s="194">
        <v>0</v>
      </c>
      <c r="U72" s="106" t="s">
        <v>42</v>
      </c>
      <c r="V72" s="195">
        <f>Pricing!N19</f>
        <v>0.16</v>
      </c>
      <c r="W72" s="401" t="s">
        <v>787</v>
      </c>
      <c r="X72" s="118">
        <f>IF(U$51="Y",T72*V72,T72*V72*(1+W$51))</f>
        <v>0</v>
      </c>
      <c r="Y72" s="299"/>
      <c r="Z72" s="299"/>
      <c r="AA72" s="42">
        <v>4</v>
      </c>
      <c r="AB72" s="42" t="s">
        <v>245</v>
      </c>
    </row>
    <row r="73" spans="2:32" ht="23.15" customHeight="1" x14ac:dyDescent="0.35">
      <c r="B73" s="196" t="s">
        <v>162</v>
      </c>
      <c r="C73" s="57"/>
      <c r="D73" s="98" t="s">
        <v>200</v>
      </c>
      <c r="E73" s="1844">
        <v>0.55000000000000004</v>
      </c>
      <c r="F73" s="1845"/>
      <c r="G73" s="401" t="s">
        <v>191</v>
      </c>
      <c r="H73" s="2816"/>
      <c r="I73" s="2818"/>
      <c r="J73" s="2819"/>
      <c r="K73" s="42" t="s">
        <v>95</v>
      </c>
      <c r="L73" s="1886">
        <f>IF(D73="N",E73*I$72,0)</f>
        <v>0</v>
      </c>
      <c r="M73" s="1886"/>
      <c r="N73"/>
      <c r="O73" s="2261">
        <f>IF(D73="y",I$72*E73,0)</f>
        <v>0</v>
      </c>
      <c r="P73" s="2262"/>
      <c r="Q73" s="856">
        <v>2</v>
      </c>
      <c r="R73" s="193" t="s">
        <v>363</v>
      </c>
      <c r="S73" s="106"/>
      <c r="T73" s="194">
        <v>0</v>
      </c>
      <c r="U73" s="106" t="s">
        <v>42</v>
      </c>
      <c r="V73" s="195">
        <f>Pricing!N11</f>
        <v>1.25</v>
      </c>
      <c r="W73" s="401" t="s">
        <v>787</v>
      </c>
      <c r="X73" s="118">
        <f>IF(U$51="Y",T73*V73,T73*V73*(1+W$51))</f>
        <v>0</v>
      </c>
      <c r="Y73" s="299"/>
      <c r="Z73" s="299"/>
      <c r="AA73" s="42">
        <v>5</v>
      </c>
      <c r="AB73" s="42" t="s">
        <v>246</v>
      </c>
      <c r="AF73" s="42">
        <f>O63+O64</f>
        <v>0</v>
      </c>
    </row>
    <row r="74" spans="2:32" ht="23.15" customHeight="1" x14ac:dyDescent="0.35">
      <c r="B74" s="196" t="s">
        <v>667</v>
      </c>
      <c r="C74" s="81"/>
      <c r="D74" s="214" t="s">
        <v>200</v>
      </c>
      <c r="E74" s="1844">
        <v>1.5</v>
      </c>
      <c r="F74" s="1845"/>
      <c r="G74" s="401" t="s">
        <v>191</v>
      </c>
      <c r="H74" s="2816"/>
      <c r="I74" s="2818"/>
      <c r="J74" s="2819"/>
      <c r="K74" s="42" t="s">
        <v>95</v>
      </c>
      <c r="L74" s="1886">
        <f>IF(D74="N",E74*I$72,0)</f>
        <v>0</v>
      </c>
      <c r="M74" s="1886"/>
      <c r="N74"/>
      <c r="O74" s="2261">
        <f>IF(D74="y",I$72*E74,0)</f>
        <v>0</v>
      </c>
      <c r="P74" s="2262"/>
      <c r="Q74" s="856">
        <v>2</v>
      </c>
      <c r="R74" s="193" t="s">
        <v>367</v>
      </c>
      <c r="S74" s="106"/>
      <c r="T74" s="194">
        <v>0</v>
      </c>
      <c r="U74" s="106" t="s">
        <v>42</v>
      </c>
      <c r="V74" s="195">
        <f>Pricing!N12</f>
        <v>0.9</v>
      </c>
      <c r="W74" s="401" t="s">
        <v>787</v>
      </c>
      <c r="X74" s="118">
        <f>V74*T74</f>
        <v>0</v>
      </c>
      <c r="Y74" s="299"/>
      <c r="Z74" s="299"/>
      <c r="AA74" s="42">
        <v>6</v>
      </c>
      <c r="AB74" s="42" t="s">
        <v>248</v>
      </c>
      <c r="AF74" s="42">
        <f>SUM(X90:X95)</f>
        <v>0</v>
      </c>
    </row>
    <row r="75" spans="2:32" ht="23.15" customHeight="1" x14ac:dyDescent="0.35">
      <c r="B75" s="387" t="s">
        <v>494</v>
      </c>
      <c r="C75" s="57"/>
      <c r="D75" s="214" t="s">
        <v>200</v>
      </c>
      <c r="E75" s="1844">
        <v>1</v>
      </c>
      <c r="F75" s="1845"/>
      <c r="G75" s="401" t="s">
        <v>69</v>
      </c>
      <c r="H75" s="2816"/>
      <c r="I75" s="2820"/>
      <c r="J75" s="2821"/>
      <c r="L75" s="1886">
        <f>IF(D75="N",E75*I$72,0)</f>
        <v>0</v>
      </c>
      <c r="M75" s="1886"/>
      <c r="N75"/>
      <c r="O75" s="2261">
        <f>IF(D75="y",I$72*E75,0)</f>
        <v>0</v>
      </c>
      <c r="P75" s="2262"/>
      <c r="Q75" s="856">
        <v>2</v>
      </c>
      <c r="R75" s="193" t="s">
        <v>368</v>
      </c>
      <c r="S75" s="106"/>
      <c r="T75" s="194">
        <v>0</v>
      </c>
      <c r="U75" s="106" t="s">
        <v>42</v>
      </c>
      <c r="V75" s="195">
        <f>Pricing!N9</f>
        <v>0.15</v>
      </c>
      <c r="W75" s="401" t="s">
        <v>787</v>
      </c>
      <c r="X75" s="118">
        <f>V75*T75</f>
        <v>0</v>
      </c>
      <c r="Y75" s="299"/>
      <c r="Z75" s="299"/>
      <c r="AA75" s="42">
        <v>7</v>
      </c>
      <c r="AB75" s="42" t="s">
        <v>247</v>
      </c>
      <c r="AF75" s="42">
        <f>O66</f>
        <v>0</v>
      </c>
    </row>
    <row r="76" spans="2:32" ht="23.15" customHeight="1" x14ac:dyDescent="0.35">
      <c r="B76" s="196" t="s">
        <v>804</v>
      </c>
      <c r="C76" s="57"/>
      <c r="D76" s="97" t="s">
        <v>200</v>
      </c>
      <c r="E76" s="1844">
        <v>5</v>
      </c>
      <c r="F76" s="1845"/>
      <c r="G76" s="401" t="s">
        <v>805</v>
      </c>
      <c r="H76" s="2816"/>
      <c r="I76" s="2824">
        <f>SUM(BC41:BE41)</f>
        <v>0</v>
      </c>
      <c r="J76" s="2825"/>
      <c r="K76" s="42" t="s">
        <v>556</v>
      </c>
      <c r="L76" s="1886">
        <f>IF(D76="N",E76*I76,0)</f>
        <v>0</v>
      </c>
      <c r="M76" s="1886"/>
      <c r="N76"/>
      <c r="O76" s="2261">
        <f>IF(D76="y",I$76*E76,0)</f>
        <v>0</v>
      </c>
      <c r="P76" s="2262"/>
      <c r="Q76" s="856">
        <v>2</v>
      </c>
      <c r="R76" s="193" t="s">
        <v>517</v>
      </c>
      <c r="S76" s="106"/>
      <c r="T76" s="194">
        <v>0</v>
      </c>
      <c r="U76" s="106" t="s">
        <v>498</v>
      </c>
      <c r="V76" s="195">
        <f>Pricing!N41</f>
        <v>100</v>
      </c>
      <c r="W76" s="401" t="s">
        <v>518</v>
      </c>
      <c r="X76" s="118">
        <f>T76*V76</f>
        <v>0</v>
      </c>
      <c r="Y76" s="299"/>
      <c r="Z76" s="299"/>
      <c r="AA76" s="42">
        <v>8</v>
      </c>
      <c r="AB76" s="42" t="s">
        <v>249</v>
      </c>
      <c r="AF76" s="42">
        <f>SUM(O60:P62)</f>
        <v>0</v>
      </c>
    </row>
    <row r="77" spans="2:32" ht="23.15" customHeight="1" x14ac:dyDescent="0.35">
      <c r="B77" s="210" t="s">
        <v>809</v>
      </c>
      <c r="C77" s="79"/>
      <c r="D77" s="98" t="s">
        <v>200</v>
      </c>
      <c r="E77" s="1843">
        <v>5</v>
      </c>
      <c r="F77" s="1843"/>
      <c r="G77" s="420" t="s">
        <v>42</v>
      </c>
      <c r="H77" s="2817"/>
      <c r="I77" s="2822">
        <f>SUM(I11:I40)</f>
        <v>0</v>
      </c>
      <c r="J77" s="2823"/>
      <c r="K77" s="168" t="s">
        <v>42</v>
      </c>
      <c r="L77" s="2118">
        <f>IF(D77="N",E77*I77,0)</f>
        <v>0</v>
      </c>
      <c r="M77" s="2118"/>
      <c r="N77" s="292"/>
      <c r="O77" s="2829">
        <f>IF(D77="y",I77*E77,0)</f>
        <v>0</v>
      </c>
      <c r="P77" s="2830"/>
      <c r="Q77" s="856"/>
      <c r="R77" s="193"/>
      <c r="S77" s="106"/>
      <c r="T77" s="194"/>
      <c r="U77" s="106"/>
      <c r="V77" s="195"/>
      <c r="W77" s="401"/>
      <c r="X77" s="118"/>
      <c r="Y77" s="299"/>
      <c r="Z77" s="299"/>
      <c r="AA77" s="42">
        <v>9</v>
      </c>
      <c r="AB77" s="42" t="s">
        <v>234</v>
      </c>
      <c r="AF77" s="42">
        <f>SUM(O65)</f>
        <v>0</v>
      </c>
    </row>
    <row r="78" spans="2:32" ht="23.15" customHeight="1" x14ac:dyDescent="0.35">
      <c r="B78" s="196" t="s">
        <v>666</v>
      </c>
      <c r="C78" s="57"/>
      <c r="D78" s="97" t="s">
        <v>200</v>
      </c>
      <c r="E78" s="1844">
        <v>0.3</v>
      </c>
      <c r="F78" s="1845"/>
      <c r="G78" s="401" t="s">
        <v>69</v>
      </c>
      <c r="H78" s="381"/>
      <c r="I78" s="2840">
        <f>I72</f>
        <v>0</v>
      </c>
      <c r="J78" s="2840"/>
      <c r="K78" s="556" t="s">
        <v>95</v>
      </c>
      <c r="L78" s="2861">
        <f>IF(D78="N",E78*I78,0)</f>
        <v>0</v>
      </c>
      <c r="M78" s="2861"/>
      <c r="N78" s="384"/>
      <c r="O78" s="2838">
        <f>IF(D78="y",I78*E78,0)</f>
        <v>0</v>
      </c>
      <c r="P78" s="2839"/>
      <c r="Q78" s="856"/>
      <c r="R78" s="193"/>
      <c r="S78" s="106"/>
      <c r="T78" s="194"/>
      <c r="U78" s="106"/>
      <c r="V78" s="195"/>
      <c r="W78" s="401"/>
      <c r="X78" s="118"/>
      <c r="Y78" s="299"/>
      <c r="Z78" s="299"/>
      <c r="AA78" s="42">
        <v>10</v>
      </c>
      <c r="AB78" s="42" t="s">
        <v>250</v>
      </c>
      <c r="AF78" s="42">
        <f>SUM(X96:X98)</f>
        <v>0</v>
      </c>
    </row>
    <row r="79" spans="2:32" ht="23.15" customHeight="1" x14ac:dyDescent="0.35">
      <c r="B79" s="196" t="s">
        <v>210</v>
      </c>
      <c r="C79" s="57"/>
      <c r="D79" s="97" t="s">
        <v>200</v>
      </c>
      <c r="E79" s="1844">
        <v>0.05</v>
      </c>
      <c r="F79" s="1845"/>
      <c r="G79" s="401" t="s">
        <v>95</v>
      </c>
      <c r="H79" s="381"/>
      <c r="I79" s="2867">
        <f>I72</f>
        <v>0</v>
      </c>
      <c r="J79" s="2867"/>
      <c r="K79" s="42" t="s">
        <v>95</v>
      </c>
      <c r="L79" s="1886">
        <f>IF(D79="N",E79*I79,0)</f>
        <v>0</v>
      </c>
      <c r="M79" s="1886"/>
      <c r="N79"/>
      <c r="O79" s="2261">
        <f>IF(D79="y",I79*E79,0)</f>
        <v>0</v>
      </c>
      <c r="P79" s="2262"/>
      <c r="Q79" s="856"/>
      <c r="R79" s="193"/>
      <c r="S79" s="106"/>
      <c r="T79" s="194"/>
      <c r="U79" s="106"/>
      <c r="V79" s="195"/>
      <c r="W79" s="401"/>
      <c r="X79" s="118"/>
      <c r="Y79" s="299"/>
      <c r="Z79" s="299"/>
    </row>
    <row r="80" spans="2:32" ht="23.15" customHeight="1" x14ac:dyDescent="0.35">
      <c r="B80" s="196" t="s">
        <v>650</v>
      </c>
      <c r="C80" s="69"/>
      <c r="D80" s="98" t="s">
        <v>200</v>
      </c>
      <c r="E80" s="1844">
        <v>0.6</v>
      </c>
      <c r="F80" s="1845"/>
      <c r="G80" s="401" t="s">
        <v>69</v>
      </c>
      <c r="H80"/>
      <c r="I80" s="2815">
        <f>D41*1.15</f>
        <v>0</v>
      </c>
      <c r="J80" s="2815"/>
      <c r="K80" s="540" t="s">
        <v>806</v>
      </c>
      <c r="L80" s="1886">
        <f>IF(D80="N",E80*I$72,0)</f>
        <v>0</v>
      </c>
      <c r="M80" s="1886"/>
      <c r="N80"/>
      <c r="O80" s="2261">
        <f>IF(D80="y",I$80*E80,0)</f>
        <v>0</v>
      </c>
      <c r="P80" s="2262"/>
      <c r="Q80" s="856"/>
      <c r="R80" s="193"/>
      <c r="S80" s="106"/>
      <c r="T80" s="194"/>
      <c r="U80" s="106"/>
      <c r="V80" s="195"/>
      <c r="W80" s="401"/>
      <c r="X80" s="118"/>
      <c r="Y80" s="299"/>
      <c r="Z80" s="299"/>
      <c r="AA80" s="42">
        <v>11</v>
      </c>
      <c r="AB80" s="42" t="s">
        <v>251</v>
      </c>
    </row>
    <row r="81" spans="2:32" ht="22" customHeight="1" x14ac:dyDescent="0.35">
      <c r="B81" s="196" t="s">
        <v>33</v>
      </c>
      <c r="C81" s="57"/>
      <c r="D81" s="98" t="s">
        <v>200</v>
      </c>
      <c r="E81" s="1844">
        <v>300</v>
      </c>
      <c r="F81" s="1845"/>
      <c r="G81" s="401" t="s">
        <v>89</v>
      </c>
      <c r="I81" s="2867">
        <f>SUM(U11:U40)/2000</f>
        <v>0</v>
      </c>
      <c r="J81" s="2867"/>
      <c r="K81" s="42" t="s">
        <v>183</v>
      </c>
      <c r="L81" s="2118">
        <f>IF(D81="N",E81*I81,0)</f>
        <v>0</v>
      </c>
      <c r="M81" s="2118"/>
      <c r="N81"/>
      <c r="O81" s="2829">
        <f>IF(D81="y",I81*E81,0)</f>
        <v>0</v>
      </c>
      <c r="P81" s="2830"/>
      <c r="Q81" s="856">
        <v>2</v>
      </c>
      <c r="R81" s="193"/>
      <c r="S81" s="106"/>
      <c r="T81" s="194"/>
      <c r="U81" s="106"/>
      <c r="V81" s="195"/>
      <c r="W81" s="106"/>
      <c r="X81" s="118"/>
      <c r="Y81" s="299"/>
      <c r="Z81" s="299"/>
      <c r="AA81" s="42">
        <v>12</v>
      </c>
      <c r="AB81" s="42" t="s">
        <v>252</v>
      </c>
    </row>
    <row r="82" spans="2:32" ht="23.15" customHeight="1" thickBot="1" x14ac:dyDescent="0.4">
      <c r="B82" s="1374" t="s">
        <v>223</v>
      </c>
      <c r="C82" s="1104"/>
      <c r="D82" s="1375"/>
      <c r="E82" s="2099">
        <f>IF(I72=0,0,(O82+L82)/I72)</f>
        <v>0</v>
      </c>
      <c r="F82" s="2633"/>
      <c r="G82" s="57"/>
      <c r="I82" s="2870" t="s">
        <v>50</v>
      </c>
      <c r="J82" s="2870"/>
      <c r="K82" s="2870"/>
      <c r="L82" s="2871">
        <f>SUM(L72:M81)</f>
        <v>0</v>
      </c>
      <c r="M82" s="2871"/>
      <c r="N82"/>
      <c r="O82" s="2838">
        <f>SUM(O72:P81)</f>
        <v>0</v>
      </c>
      <c r="P82" s="2839"/>
      <c r="Q82" s="856">
        <v>2</v>
      </c>
      <c r="R82" s="193" t="s">
        <v>796</v>
      </c>
      <c r="S82" s="106"/>
      <c r="T82" s="194">
        <v>0</v>
      </c>
      <c r="U82" s="106" t="s">
        <v>288</v>
      </c>
      <c r="V82" s="195">
        <v>15</v>
      </c>
      <c r="W82" s="106" t="s">
        <v>293</v>
      </c>
      <c r="X82" s="118">
        <f>T82*V82</f>
        <v>0</v>
      </c>
      <c r="Y82" s="299"/>
      <c r="Z82" s="299"/>
      <c r="AA82" s="42">
        <v>15</v>
      </c>
      <c r="AB82" s="42" t="s">
        <v>253</v>
      </c>
    </row>
    <row r="83" spans="2:32" ht="23.15" customHeight="1" thickBot="1" x14ac:dyDescent="0.4">
      <c r="B83" s="2305" t="s">
        <v>374</v>
      </c>
      <c r="C83" s="2306"/>
      <c r="D83" s="2306"/>
      <c r="E83" s="2306"/>
      <c r="F83" s="2306"/>
      <c r="G83" s="2306"/>
      <c r="H83" s="2306"/>
      <c r="I83" s="2306"/>
      <c r="J83" s="2306"/>
      <c r="K83" s="2306"/>
      <c r="L83" s="2306"/>
      <c r="M83" s="2306"/>
      <c r="N83" s="2306"/>
      <c r="O83" s="2306"/>
      <c r="P83" s="2307"/>
      <c r="Q83" s="856">
        <v>2</v>
      </c>
      <c r="R83" s="193"/>
      <c r="S83" s="106"/>
      <c r="T83" s="194"/>
      <c r="U83" s="106"/>
      <c r="V83" s="195"/>
      <c r="W83" s="106"/>
      <c r="X83" s="118"/>
      <c r="Y83" s="299"/>
      <c r="Z83" s="299"/>
      <c r="AA83" s="42">
        <v>16</v>
      </c>
      <c r="AB83" s="42" t="s">
        <v>845</v>
      </c>
    </row>
    <row r="84" spans="2:32" ht="23.15" customHeight="1" x14ac:dyDescent="0.35">
      <c r="B84" s="92" t="s">
        <v>173</v>
      </c>
      <c r="D84" s="194"/>
      <c r="E84" s="755">
        <v>0</v>
      </c>
      <c r="F84" s="42" t="s">
        <v>187</v>
      </c>
      <c r="G84" s="1413">
        <v>390</v>
      </c>
      <c r="H84" s="540" t="s">
        <v>68</v>
      </c>
      <c r="M84" s="2868">
        <f>IF(E52=0,0,(SUM(O84:P86))/E52)</f>
        <v>0</v>
      </c>
      <c r="N84" s="2869"/>
      <c r="O84" s="2261">
        <f>E84*G84</f>
        <v>0</v>
      </c>
      <c r="P84" s="2262"/>
      <c r="Q84" s="856">
        <v>2</v>
      </c>
      <c r="R84" s="193"/>
      <c r="S84" s="106"/>
      <c r="T84" s="194"/>
      <c r="U84" s="402"/>
      <c r="V84" s="195"/>
      <c r="W84" s="106"/>
      <c r="X84" s="118"/>
      <c r="Y84" s="299"/>
      <c r="Z84" s="299"/>
      <c r="AA84" s="42">
        <v>17</v>
      </c>
      <c r="AB84" s="42" t="s">
        <v>842</v>
      </c>
      <c r="AF84" s="46">
        <f>O68+O69</f>
        <v>0</v>
      </c>
    </row>
    <row r="85" spans="2:32" ht="23.15" customHeight="1" x14ac:dyDescent="0.35">
      <c r="B85" s="92" t="s">
        <v>158</v>
      </c>
      <c r="E85" s="753">
        <f>E84</f>
        <v>0</v>
      </c>
      <c r="F85" s="103" t="s">
        <v>187</v>
      </c>
      <c r="G85" s="808">
        <v>295</v>
      </c>
      <c r="H85" s="104" t="s">
        <v>68</v>
      </c>
      <c r="M85" s="2410">
        <f>SUM(O84:P86)</f>
        <v>0</v>
      </c>
      <c r="N85" s="2570"/>
      <c r="O85" s="2261">
        <f>E85*G85</f>
        <v>0</v>
      </c>
      <c r="P85" s="2262"/>
      <c r="Q85" s="856">
        <v>2</v>
      </c>
      <c r="R85" s="193"/>
      <c r="S85" s="106"/>
      <c r="T85" s="194"/>
      <c r="U85" s="106"/>
      <c r="V85" s="195"/>
      <c r="W85" s="106"/>
      <c r="X85" s="118"/>
      <c r="Y85" s="299"/>
      <c r="Z85" s="299"/>
      <c r="AA85" s="42">
        <v>18</v>
      </c>
      <c r="AB85" s="42" t="s">
        <v>843</v>
      </c>
    </row>
    <row r="86" spans="2:32" ht="23.15" customHeight="1" thickBot="1" x14ac:dyDescent="0.4">
      <c r="B86" s="92" t="s">
        <v>188</v>
      </c>
      <c r="E86" s="1408">
        <v>0</v>
      </c>
      <c r="F86" s="42" t="s">
        <v>187</v>
      </c>
      <c r="G86" s="1414">
        <v>100</v>
      </c>
      <c r="H86" s="88" t="s">
        <v>68</v>
      </c>
      <c r="O86" s="2261">
        <f>E86*G86</f>
        <v>0</v>
      </c>
      <c r="P86" s="2262"/>
      <c r="Q86" s="856">
        <v>2</v>
      </c>
      <c r="R86" s="193"/>
      <c r="S86" s="106"/>
      <c r="T86" s="194"/>
      <c r="U86" s="106"/>
      <c r="V86" s="195"/>
      <c r="W86" s="106"/>
      <c r="X86" s="118"/>
      <c r="Y86" s="299"/>
      <c r="Z86" s="299"/>
      <c r="AA86" s="42">
        <v>20</v>
      </c>
      <c r="AB86" s="42" t="s">
        <v>93</v>
      </c>
      <c r="AF86" s="42">
        <f>SUM(O84:P85)</f>
        <v>0</v>
      </c>
    </row>
    <row r="87" spans="2:32" ht="23.15" customHeight="1" thickBot="1" x14ac:dyDescent="0.4">
      <c r="B87" s="2305" t="s">
        <v>44</v>
      </c>
      <c r="C87" s="2306"/>
      <c r="D87" s="2306"/>
      <c r="E87" s="2306"/>
      <c r="F87" s="2306"/>
      <c r="G87" s="2306"/>
      <c r="H87" s="2306"/>
      <c r="I87" s="2306"/>
      <c r="J87" s="2306"/>
      <c r="K87" s="2306"/>
      <c r="L87" s="2306"/>
      <c r="M87" s="2306"/>
      <c r="N87" s="2306"/>
      <c r="O87" s="2306"/>
      <c r="P87" s="2307"/>
      <c r="Q87" s="856">
        <v>2</v>
      </c>
      <c r="R87" s="193"/>
      <c r="S87" s="106"/>
      <c r="T87" s="194"/>
      <c r="U87" s="106"/>
      <c r="V87" s="195"/>
      <c r="W87" s="401"/>
      <c r="X87" s="118"/>
      <c r="Y87" s="299"/>
      <c r="Z87" s="299"/>
      <c r="AA87" s="42">
        <v>21</v>
      </c>
      <c r="AB87" s="42" t="s">
        <v>254</v>
      </c>
      <c r="AF87" s="42">
        <f>O86</f>
        <v>0</v>
      </c>
    </row>
    <row r="88" spans="2:32" ht="23.15" customHeight="1" x14ac:dyDescent="0.35">
      <c r="B88" s="1979" t="s">
        <v>90</v>
      </c>
      <c r="C88" s="1980"/>
      <c r="D88" s="1981"/>
      <c r="E88" s="755">
        <f t="shared" ref="E88:E93" si="49">IF(E$84&gt;0,IF(E$84&lt;=3,E$84,7),0)+IF(E$84&gt;5,IF(E$84&lt;=10,7,0),0)+IF(E$84&gt;10,IF(E$84&lt;=15,14,0),0)+IF(E$84&gt;15,IF(E$84&lt;=20,23,0),0)+IF(E$84&gt;20,IF(E$84&lt;=40,53,0),0)+IF(E$84&gt;40,IF(E$84&lt;=60,83,0),0)+IF(E$84&gt;60,IF(E$84&lt;=80,113,0),0)+IF(E$84&gt;80,IF(E$84&lt;=100,143,0),0)</f>
        <v>0</v>
      </c>
      <c r="F88" s="106" t="s">
        <v>107</v>
      </c>
      <c r="G88" s="1413">
        <f>Pricing!D31</f>
        <v>385</v>
      </c>
      <c r="H88" s="401" t="s">
        <v>68</v>
      </c>
      <c r="O88" s="2261">
        <f>((IF(AND(E88&gt;0,E88&lt;4),E88*G88,0)+IF(AND(E88&gt;3,E88&lt;8),G88*3,0)+IF(AND(E88&gt;7,E88&lt;21),E88/7*G88*3,0)+IF(AND(E88&gt;20,E88&lt;30),G88*9,0)+IF(E88&gt;29,E88/30*G88*9,0)))*(1+$W$51+J$90)</f>
        <v>0</v>
      </c>
      <c r="P88" s="2262"/>
      <c r="Q88" s="856">
        <v>2</v>
      </c>
      <c r="R88" s="193"/>
      <c r="S88" s="106"/>
      <c r="T88" s="194"/>
      <c r="U88" s="106"/>
      <c r="V88" s="195"/>
      <c r="W88" s="106"/>
      <c r="X88" s="118"/>
      <c r="Y88" s="299"/>
      <c r="Z88" s="299"/>
      <c r="AA88" s="42">
        <v>22</v>
      </c>
      <c r="AB88" s="42" t="s">
        <v>255</v>
      </c>
      <c r="AF88" s="42">
        <f>SUM(L72:M81)</f>
        <v>0</v>
      </c>
    </row>
    <row r="89" spans="2:32" ht="23.15" customHeight="1" thickBot="1" x14ac:dyDescent="0.4">
      <c r="B89" s="1979" t="s">
        <v>811</v>
      </c>
      <c r="C89" s="1980"/>
      <c r="D89" s="1981"/>
      <c r="E89" s="753">
        <f t="shared" si="49"/>
        <v>0</v>
      </c>
      <c r="F89" s="106" t="s">
        <v>107</v>
      </c>
      <c r="G89" s="808">
        <f>Pricing!D33</f>
        <v>350</v>
      </c>
      <c r="H89" s="401" t="s">
        <v>68</v>
      </c>
      <c r="J89" s="2083" t="s">
        <v>469</v>
      </c>
      <c r="K89" s="2084"/>
      <c r="M89" s="2404">
        <f>IF(E52=0,0,(SUM(O88:P93))/E52)</f>
        <v>0</v>
      </c>
      <c r="N89" s="2405"/>
      <c r="O89" s="2261">
        <f>((IF(AND(E89&gt;0,E89&lt;4),E89*G89,0)+IF(AND(E89&gt;3,E89&lt;8),G89*3,0)+IF(AND(E89&gt;7,E89&lt;21),E89/7*G89*3,0)+IF(AND(E89&gt;20,E89&lt;30),G89*9,0)+IF(E89&gt;29,E89/30*G89*9,0)))*(1+$W$51+J$90)</f>
        <v>0</v>
      </c>
      <c r="P89" s="2262"/>
      <c r="Q89" s="856">
        <v>2</v>
      </c>
      <c r="R89" s="851" t="s">
        <v>892</v>
      </c>
      <c r="S89" s="852"/>
      <c r="T89" s="851"/>
      <c r="U89" s="853"/>
      <c r="V89" s="1882"/>
      <c r="W89" s="2702"/>
      <c r="X89" s="850">
        <f>V89</f>
        <v>0</v>
      </c>
      <c r="Y89" s="299"/>
      <c r="Z89" s="299"/>
      <c r="AA89" s="42">
        <v>23</v>
      </c>
      <c r="AB89" s="42" t="s">
        <v>256</v>
      </c>
      <c r="AF89" s="42">
        <f>O100</f>
        <v>0</v>
      </c>
    </row>
    <row r="90" spans="2:32" ht="23.15" customHeight="1" thickTop="1" x14ac:dyDescent="0.35">
      <c r="B90" s="1979" t="s">
        <v>490</v>
      </c>
      <c r="C90" s="1980"/>
      <c r="D90" s="1981"/>
      <c r="E90" s="753">
        <v>0</v>
      </c>
      <c r="F90" s="106" t="s">
        <v>107</v>
      </c>
      <c r="G90" s="808">
        <v>1500</v>
      </c>
      <c r="H90" s="401" t="s">
        <v>68</v>
      </c>
      <c r="J90" s="2565">
        <v>0.5</v>
      </c>
      <c r="K90" s="2566"/>
      <c r="M90" s="2410">
        <f>SUM(O88:P93)</f>
        <v>0</v>
      </c>
      <c r="N90" s="2411"/>
      <c r="O90" s="2826">
        <f>((IF(AND(E90&gt;0,E90&lt;4),E90*G90,0)+IF(AND(E90&gt;3,E90&lt;8),G90*3,0)+IF(AND(E90&gt;7,E90&lt;21),E90/7*G90*3,0)+IF(AND(E90&gt;20,E90&lt;30),G90*9,0)+IF(E90&gt;29,E90/30*G90*9,0)))*(1+$W$51+J$90)</f>
        <v>0</v>
      </c>
      <c r="P90" s="2262"/>
      <c r="Q90" s="856">
        <v>6</v>
      </c>
      <c r="R90" s="193" t="s">
        <v>287</v>
      </c>
      <c r="S90" s="106"/>
      <c r="T90" s="194">
        <f>ROUNDUP(D41/15000,0)</f>
        <v>0</v>
      </c>
      <c r="U90" s="106" t="s">
        <v>288</v>
      </c>
      <c r="V90" s="195">
        <f>Pricing!N30</f>
        <v>27</v>
      </c>
      <c r="W90" s="401" t="s">
        <v>293</v>
      </c>
      <c r="X90" s="111">
        <f>T90*V90</f>
        <v>0</v>
      </c>
      <c r="Y90" s="299"/>
      <c r="Z90" s="299"/>
      <c r="AA90" s="42">
        <v>24</v>
      </c>
      <c r="AB90" s="42" t="s">
        <v>257</v>
      </c>
    </row>
    <row r="91" spans="2:32" ht="23.15" customHeight="1" x14ac:dyDescent="0.35">
      <c r="B91" s="1979" t="s">
        <v>160</v>
      </c>
      <c r="C91" s="1980"/>
      <c r="D91" s="1981"/>
      <c r="E91" s="753">
        <f t="shared" si="49"/>
        <v>0</v>
      </c>
      <c r="F91" s="106" t="s">
        <v>107</v>
      </c>
      <c r="G91" s="808">
        <f>Pricing!D37</f>
        <v>65</v>
      </c>
      <c r="H91" s="401" t="s">
        <v>68</v>
      </c>
      <c r="J91" s="2567"/>
      <c r="K91" s="2568"/>
      <c r="O91" s="2261">
        <f>((IF(AND(E91&gt;0,E91&lt;4),E91*G91,0)+IF(AND(E91&gt;3,E91&lt;8),G91*3,0)+IF(AND(E91&gt;7,E91&lt;21),E91/7*G91*3,0)+IF(AND(E91&gt;20,E91&lt;30),G91*9,0)+IF(E91&gt;29,E91/30*G91*9,0)))*(1+$W$51+J$90)</f>
        <v>0</v>
      </c>
      <c r="P91" s="2262"/>
      <c r="Q91" s="856">
        <v>6</v>
      </c>
      <c r="R91" s="193" t="s">
        <v>361</v>
      </c>
      <c r="S91" s="106"/>
      <c r="T91" s="194">
        <v>0</v>
      </c>
      <c r="U91" s="106" t="s">
        <v>781</v>
      </c>
      <c r="V91" s="195">
        <f>0+Pricing!N34</f>
        <v>4</v>
      </c>
      <c r="W91" s="106" t="s">
        <v>294</v>
      </c>
      <c r="X91" s="118">
        <f>V91*T91</f>
        <v>0</v>
      </c>
      <c r="Y91" s="299"/>
      <c r="Z91" s="299"/>
      <c r="AA91" s="42">
        <v>25</v>
      </c>
      <c r="AB91" s="42" t="s">
        <v>258</v>
      </c>
    </row>
    <row r="92" spans="2:32" ht="23.15" customHeight="1" x14ac:dyDescent="0.35">
      <c r="B92" s="1979" t="s">
        <v>175</v>
      </c>
      <c r="C92" s="1980"/>
      <c r="D92" s="1981"/>
      <c r="E92" s="753">
        <f t="shared" si="49"/>
        <v>0</v>
      </c>
      <c r="F92" s="106" t="s">
        <v>107</v>
      </c>
      <c r="G92" s="808">
        <f>Pricing!D39</f>
        <v>420</v>
      </c>
      <c r="H92" s="401" t="s">
        <v>68</v>
      </c>
      <c r="O92" s="2261">
        <f>((IF(AND(E92&gt;0,E92&lt;4),E92*G92,0)+IF(AND(E92&gt;3,E92&lt;8),G92*3,0)+IF(AND(E92&gt;7,E92&lt;21),E92/7*G92*3,0)+IF(AND(E92&gt;20,E92&lt;30),G92*9,0)+IF(E92&gt;29,E92/30*G92*9,0)))*(1+$W$51+J$90)</f>
        <v>0</v>
      </c>
      <c r="P92" s="2262"/>
      <c r="Q92" s="856">
        <v>6</v>
      </c>
      <c r="R92" s="193" t="s">
        <v>285</v>
      </c>
      <c r="S92" s="106"/>
      <c r="T92" s="194">
        <f>L63+(L64*0.75)</f>
        <v>0</v>
      </c>
      <c r="U92" s="106" t="s">
        <v>32</v>
      </c>
      <c r="V92" s="195">
        <v>0.02</v>
      </c>
      <c r="W92" s="401" t="s">
        <v>88</v>
      </c>
      <c r="X92" s="118">
        <f>V92*T92</f>
        <v>0</v>
      </c>
      <c r="Y92" s="299"/>
      <c r="Z92" s="299"/>
      <c r="AA92" s="42">
        <v>30</v>
      </c>
      <c r="AB92" s="42" t="s">
        <v>259</v>
      </c>
      <c r="AF92" s="42">
        <f>O97</f>
        <v>0</v>
      </c>
    </row>
    <row r="93" spans="2:32" ht="23.15" customHeight="1" thickBot="1" x14ac:dyDescent="0.4">
      <c r="B93" s="1979" t="s">
        <v>108</v>
      </c>
      <c r="C93" s="1980"/>
      <c r="D93" s="1981"/>
      <c r="E93" s="1409">
        <f t="shared" si="49"/>
        <v>0</v>
      </c>
      <c r="F93" s="106" t="s">
        <v>573</v>
      </c>
      <c r="G93" s="1414">
        <v>35</v>
      </c>
      <c r="H93" s="401" t="s">
        <v>68</v>
      </c>
      <c r="M93" s="46"/>
      <c r="O93" s="2261">
        <f>((IF(AND(E93&gt;0,E93&lt;4),E93*G93,0)+IF(AND(E93&gt;3,E93&lt;8),G93*3,0)+IF(AND(E93&gt;7,E93&lt;21),E93/7*G93*3,0)+IF(AND(E93&gt;20,E93&lt;30),G93*9,0)+IF(E93&gt;29,E93/30*G93*9,0)))</f>
        <v>0</v>
      </c>
      <c r="P93" s="2262"/>
      <c r="Q93" s="856">
        <v>6</v>
      </c>
      <c r="R93" s="193" t="s">
        <v>659</v>
      </c>
      <c r="S93" s="106"/>
      <c r="T93" s="194">
        <v>0</v>
      </c>
      <c r="U93" s="106" t="s">
        <v>215</v>
      </c>
      <c r="V93" s="195">
        <v>0.21</v>
      </c>
      <c r="W93" s="106" t="s">
        <v>797</v>
      </c>
      <c r="X93" s="118">
        <f>V93*T93</f>
        <v>0</v>
      </c>
      <c r="Y93" s="299"/>
      <c r="Z93" s="299"/>
      <c r="AA93" s="42">
        <v>31</v>
      </c>
      <c r="AB93" s="42" t="s">
        <v>744</v>
      </c>
    </row>
    <row r="94" spans="2:32" ht="23.15" customHeight="1" thickBot="1" x14ac:dyDescent="0.4">
      <c r="B94" s="2305" t="s">
        <v>174</v>
      </c>
      <c r="C94" s="2306"/>
      <c r="D94" s="2306"/>
      <c r="E94" s="2306"/>
      <c r="F94" s="2306"/>
      <c r="G94" s="2306"/>
      <c r="H94" s="2306"/>
      <c r="I94" s="2306"/>
      <c r="J94" s="2306"/>
      <c r="K94" s="2306"/>
      <c r="L94" s="2306"/>
      <c r="M94" s="2306"/>
      <c r="N94" s="2306"/>
      <c r="O94" s="2306"/>
      <c r="P94" s="2307"/>
      <c r="Q94" s="856">
        <v>6</v>
      </c>
      <c r="R94" s="193"/>
      <c r="S94" s="106"/>
      <c r="T94" s="194"/>
      <c r="U94" s="106"/>
      <c r="V94" s="195"/>
      <c r="W94" s="106"/>
      <c r="X94" s="118"/>
      <c r="Y94" s="299"/>
      <c r="Z94" s="299"/>
      <c r="AA94" s="42">
        <v>32</v>
      </c>
      <c r="AB94" s="42" t="s">
        <v>260</v>
      </c>
    </row>
    <row r="95" spans="2:32" ht="23.15" customHeight="1" thickBot="1" x14ac:dyDescent="0.4">
      <c r="B95" s="1979" t="s">
        <v>189</v>
      </c>
      <c r="C95" s="1980"/>
      <c r="D95" s="1981"/>
      <c r="E95" s="859">
        <v>0.55000000000000004</v>
      </c>
      <c r="F95" s="1376" t="s">
        <v>118</v>
      </c>
      <c r="G95" s="2089"/>
      <c r="H95" s="2090"/>
      <c r="I95" s="42" t="s">
        <v>95</v>
      </c>
      <c r="O95" s="2316">
        <f>E95*G95</f>
        <v>0</v>
      </c>
      <c r="P95" s="2317"/>
      <c r="Q95" s="856">
        <v>6</v>
      </c>
      <c r="R95" s="198"/>
      <c r="S95" s="199"/>
      <c r="T95" s="200"/>
      <c r="U95" s="199"/>
      <c r="V95" s="201"/>
      <c r="W95" s="199"/>
      <c r="X95" s="119"/>
      <c r="Y95" s="299"/>
      <c r="Z95" s="299"/>
      <c r="AA95" s="42">
        <v>33</v>
      </c>
      <c r="AB95" s="42" t="s">
        <v>261</v>
      </c>
    </row>
    <row r="96" spans="2:32" ht="23.15" customHeight="1" thickTop="1" x14ac:dyDescent="0.35">
      <c r="B96" s="1979" t="s">
        <v>176</v>
      </c>
      <c r="C96" s="1980"/>
      <c r="D96" s="1981"/>
      <c r="E96" s="757"/>
      <c r="F96" s="401" t="s">
        <v>118</v>
      </c>
      <c r="G96" s="2089">
        <f>D41*2/L96</f>
        <v>0</v>
      </c>
      <c r="H96" s="2090"/>
      <c r="I96" s="88" t="s">
        <v>42</v>
      </c>
      <c r="J96" s="2092" t="s">
        <v>382</v>
      </c>
      <c r="K96" s="2093"/>
      <c r="L96" s="2827">
        <v>25</v>
      </c>
      <c r="O96" s="2316">
        <f>E96*G96</f>
        <v>0</v>
      </c>
      <c r="P96" s="2317"/>
      <c r="Q96" s="856">
        <v>10</v>
      </c>
      <c r="R96" s="193"/>
      <c r="S96" s="106"/>
      <c r="T96" s="106"/>
      <c r="U96" s="106"/>
      <c r="V96" s="195"/>
      <c r="W96" s="106"/>
      <c r="X96" s="111"/>
      <c r="Y96" s="299"/>
      <c r="Z96" s="299"/>
      <c r="AA96" s="42">
        <v>34</v>
      </c>
      <c r="AB96" s="42" t="s">
        <v>262</v>
      </c>
      <c r="AF96" s="46">
        <f>O96+O95+O99+O101</f>
        <v>0</v>
      </c>
    </row>
    <row r="97" spans="2:32" ht="23.15" customHeight="1" x14ac:dyDescent="0.35">
      <c r="B97" s="1979" t="s">
        <v>442</v>
      </c>
      <c r="C97" s="1980"/>
      <c r="D97" s="1981"/>
      <c r="E97" s="1410">
        <f>Pricing!D41</f>
        <v>16</v>
      </c>
      <c r="F97" s="424" t="s">
        <v>443</v>
      </c>
      <c r="G97" s="2089">
        <f>SUM(V11:V40)</f>
        <v>0</v>
      </c>
      <c r="H97" s="2090"/>
      <c r="I97" s="42" t="s">
        <v>444</v>
      </c>
      <c r="J97" s="2092"/>
      <c r="K97" s="2093"/>
      <c r="L97" s="2827"/>
      <c r="O97" s="2316">
        <f>E97*G97</f>
        <v>0</v>
      </c>
      <c r="P97" s="2317"/>
      <c r="Q97" s="856">
        <v>10</v>
      </c>
      <c r="R97" s="193" t="s">
        <v>211</v>
      </c>
      <c r="S97" s="106"/>
      <c r="T97" s="194">
        <f>ROUNDUP(I72/300/55,0)</f>
        <v>0</v>
      </c>
      <c r="U97" s="106" t="s">
        <v>792</v>
      </c>
      <c r="V97" s="195">
        <f>Pricing!N42</f>
        <v>540</v>
      </c>
      <c r="W97" s="401" t="s">
        <v>295</v>
      </c>
      <c r="X97" s="118">
        <f>V97*T97</f>
        <v>0</v>
      </c>
      <c r="Y97" s="299"/>
      <c r="Z97" s="299"/>
      <c r="AA97" s="42">
        <v>35</v>
      </c>
      <c r="AB97" s="42" t="s">
        <v>263</v>
      </c>
    </row>
    <row r="98" spans="2:32" ht="23.15" customHeight="1" thickBot="1" x14ac:dyDescent="0.4">
      <c r="B98" s="1979" t="s">
        <v>814</v>
      </c>
      <c r="C98" s="1980"/>
      <c r="D98" s="1981"/>
      <c r="E98" s="1411">
        <v>200</v>
      </c>
      <c r="F98" s="425" t="s">
        <v>124</v>
      </c>
      <c r="G98" s="2089"/>
      <c r="H98" s="2090"/>
      <c r="I98" s="42" t="s">
        <v>815</v>
      </c>
      <c r="O98" s="2316">
        <f>E98*G98</f>
        <v>0</v>
      </c>
      <c r="P98" s="2317"/>
      <c r="Q98" s="856">
        <v>10</v>
      </c>
      <c r="R98" s="198" t="s">
        <v>212</v>
      </c>
      <c r="S98" s="199"/>
      <c r="T98" s="200">
        <v>0</v>
      </c>
      <c r="U98" s="199" t="s">
        <v>792</v>
      </c>
      <c r="V98" s="201">
        <f>Pricing!N43</f>
        <v>542</v>
      </c>
      <c r="W98" s="426" t="s">
        <v>295</v>
      </c>
      <c r="X98" s="119">
        <f>V98*T98</f>
        <v>0</v>
      </c>
      <c r="Y98" s="299"/>
      <c r="Z98" s="299"/>
      <c r="AA98" s="42">
        <v>36</v>
      </c>
      <c r="AB98" s="42" t="s">
        <v>745</v>
      </c>
    </row>
    <row r="99" spans="2:32" ht="23.15" customHeight="1" thickTop="1" x14ac:dyDescent="0.35">
      <c r="B99" s="1979" t="s">
        <v>652</v>
      </c>
      <c r="C99" s="1980"/>
      <c r="D99" s="1981"/>
      <c r="E99" s="759">
        <v>1.4</v>
      </c>
      <c r="F99" s="401" t="s">
        <v>191</v>
      </c>
      <c r="G99" s="2101"/>
      <c r="H99" s="2102"/>
      <c r="I99" s="42" t="s">
        <v>95</v>
      </c>
      <c r="N99" s="46"/>
      <c r="O99" s="2316">
        <f>IF(E99=0,0,E99*G99)</f>
        <v>0</v>
      </c>
      <c r="P99" s="2317"/>
      <c r="Q99" s="856"/>
      <c r="R99" s="193"/>
      <c r="S99" s="106"/>
      <c r="T99" s="106"/>
      <c r="V99" s="106"/>
      <c r="X99" s="111"/>
      <c r="Y99" s="299"/>
      <c r="Z99" s="299"/>
      <c r="AA99" s="42">
        <v>39</v>
      </c>
      <c r="AB99" s="42" t="s">
        <v>264</v>
      </c>
    </row>
    <row r="100" spans="2:32" ht="23.15" customHeight="1" x14ac:dyDescent="0.35">
      <c r="B100" s="1979" t="s">
        <v>186</v>
      </c>
      <c r="C100" s="1980"/>
      <c r="D100" s="1981"/>
      <c r="E100" s="760"/>
      <c r="F100" s="425" t="s">
        <v>97</v>
      </c>
      <c r="G100" s="2325">
        <v>250</v>
      </c>
      <c r="H100" s="2326"/>
      <c r="I100" s="88" t="s">
        <v>68</v>
      </c>
      <c r="O100" s="2316">
        <f>E100*G100</f>
        <v>0</v>
      </c>
      <c r="P100" s="2317"/>
      <c r="Q100" s="856"/>
      <c r="R100" s="2096" t="s">
        <v>216</v>
      </c>
      <c r="S100" s="2097"/>
      <c r="T100" s="806">
        <v>18</v>
      </c>
      <c r="U100" s="42" t="s">
        <v>217</v>
      </c>
      <c r="V100" s="106"/>
      <c r="X100" s="534"/>
      <c r="Y100" s="299"/>
      <c r="Z100" s="299"/>
      <c r="AA100" s="42">
        <v>40</v>
      </c>
      <c r="AB100" s="42" t="s">
        <v>222</v>
      </c>
      <c r="AF100" s="46"/>
    </row>
    <row r="101" spans="2:32" ht="23.15" customHeight="1" thickBot="1" x14ac:dyDescent="0.4">
      <c r="B101" s="2069" t="s">
        <v>810</v>
      </c>
      <c r="C101" s="2070"/>
      <c r="D101" s="2071"/>
      <c r="E101" s="754"/>
      <c r="F101" s="188"/>
      <c r="G101" s="2323"/>
      <c r="H101" s="2324"/>
      <c r="I101" s="49" t="s">
        <v>177</v>
      </c>
      <c r="J101" s="49"/>
      <c r="K101" s="49"/>
      <c r="L101" s="49"/>
      <c r="M101" s="49"/>
      <c r="N101" s="49"/>
      <c r="O101" s="2319">
        <f>E101*G101</f>
        <v>0</v>
      </c>
      <c r="P101" s="2320"/>
      <c r="Q101" s="857"/>
      <c r="R101" s="203" t="s">
        <v>214</v>
      </c>
      <c r="S101" s="188"/>
      <c r="T101" s="188">
        <f>ROUNDUP((T71+T73+T74)*12/T100,0)</f>
        <v>0</v>
      </c>
      <c r="U101" s="49" t="s">
        <v>215</v>
      </c>
      <c r="V101" s="2098">
        <f>Pricing!D29</f>
        <v>1.75</v>
      </c>
      <c r="W101" s="2098"/>
      <c r="X101" s="22">
        <f>V101*T101</f>
        <v>0</v>
      </c>
      <c r="Y101" s="299"/>
      <c r="Z101" s="299"/>
      <c r="AA101" s="42">
        <v>41</v>
      </c>
      <c r="AB101" s="42" t="s">
        <v>265</v>
      </c>
    </row>
    <row r="102" spans="2:32" ht="23.15" customHeight="1" thickBot="1" x14ac:dyDescent="0.4"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R102" s="106"/>
      <c r="S102" s="106"/>
      <c r="T102" s="106"/>
      <c r="V102" s="538"/>
      <c r="W102" s="538"/>
      <c r="X102" s="539">
        <f>SUM(X60:X101)</f>
        <v>0</v>
      </c>
      <c r="Y102" s="299"/>
      <c r="Z102" s="299"/>
      <c r="AA102" s="42">
        <v>42</v>
      </c>
      <c r="AB102" s="42" t="s">
        <v>266</v>
      </c>
    </row>
    <row r="103" spans="2:32" ht="16" thickBot="1" x14ac:dyDescent="0.4">
      <c r="B103" s="898"/>
      <c r="C103" s="899"/>
      <c r="D103" s="899"/>
      <c r="E103" s="899"/>
      <c r="F103" s="899"/>
      <c r="G103" s="899"/>
      <c r="H103" s="899"/>
      <c r="I103" s="899"/>
      <c r="J103" s="899"/>
      <c r="K103" s="899"/>
      <c r="L103" s="900"/>
      <c r="M103" s="899"/>
      <c r="N103" s="899"/>
      <c r="O103" s="899"/>
      <c r="P103" s="899"/>
      <c r="Q103" s="899"/>
      <c r="R103" s="899"/>
      <c r="S103" s="899"/>
      <c r="T103" s="899"/>
      <c r="U103" s="899"/>
      <c r="V103" s="899"/>
      <c r="W103" s="899"/>
      <c r="X103" s="1115"/>
      <c r="Y103" s="299"/>
      <c r="Z103" s="299"/>
      <c r="AA103" s="42">
        <v>44</v>
      </c>
      <c r="AB103" s="42" t="s">
        <v>267</v>
      </c>
    </row>
    <row r="104" spans="2:32" ht="28.5" customHeight="1" x14ac:dyDescent="0.35">
      <c r="B104" s="1987" t="s">
        <v>185</v>
      </c>
      <c r="C104" s="2041"/>
      <c r="D104" s="1988"/>
      <c r="E104" s="1987" t="s">
        <v>140</v>
      </c>
      <c r="F104" s="1988"/>
      <c r="G104" s="1987" t="s">
        <v>178</v>
      </c>
      <c r="H104" s="2041"/>
      <c r="I104" s="1988"/>
      <c r="J104" s="61" t="s">
        <v>184</v>
      </c>
      <c r="K104" s="62"/>
      <c r="L104" s="60"/>
      <c r="M104" s="2044" t="s">
        <v>179</v>
      </c>
      <c r="N104" s="2045"/>
      <c r="O104" s="132"/>
      <c r="P104" s="133"/>
      <c r="Q104" s="897"/>
      <c r="R104" s="43" t="s">
        <v>34</v>
      </c>
      <c r="T104" s="42" t="s">
        <v>758</v>
      </c>
      <c r="U104" s="728" t="str">
        <f>U51</f>
        <v>n</v>
      </c>
      <c r="V104" s="73" t="s">
        <v>298</v>
      </c>
      <c r="W104" s="729">
        <f>W51</f>
        <v>8.2500000000000004E-2</v>
      </c>
      <c r="X104" s="1113"/>
      <c r="Y104" s="299"/>
      <c r="Z104" s="299"/>
      <c r="AA104" s="42">
        <v>45</v>
      </c>
      <c r="AB104" s="42" t="s">
        <v>268</v>
      </c>
    </row>
    <row r="105" spans="2:32" customFormat="1" ht="20.149999999999999" customHeight="1" thickBot="1" x14ac:dyDescent="0.4">
      <c r="B105" s="11" t="s">
        <v>180</v>
      </c>
      <c r="C105" s="1999">
        <f>C52</f>
        <v>0</v>
      </c>
      <c r="D105" s="2000"/>
      <c r="E105" s="2003">
        <f>E52</f>
        <v>0</v>
      </c>
      <c r="F105" s="2004"/>
      <c r="G105" s="15">
        <f>G52</f>
        <v>0</v>
      </c>
      <c r="H105" s="2042">
        <f>H52</f>
        <v>0</v>
      </c>
      <c r="I105" s="2043"/>
      <c r="J105" s="2064">
        <f>J52</f>
        <v>0</v>
      </c>
      <c r="K105" s="2065"/>
      <c r="L105" s="2066"/>
      <c r="M105" s="725">
        <f>M52</f>
        <v>0.23</v>
      </c>
      <c r="N105" s="726"/>
      <c r="O105" s="726"/>
      <c r="P105" s="727"/>
      <c r="Q105" s="902"/>
      <c r="R105" s="86" t="s">
        <v>50</v>
      </c>
      <c r="S105" s="42"/>
      <c r="T105" s="42"/>
      <c r="U105" s="1932">
        <f>U52</f>
        <v>0</v>
      </c>
      <c r="V105" s="1932"/>
      <c r="W105" s="42"/>
      <c r="X105" s="1113"/>
      <c r="AA105" s="42">
        <v>46</v>
      </c>
      <c r="AB105" s="42" t="s">
        <v>269</v>
      </c>
      <c r="AC105" s="42"/>
      <c r="AD105" s="42"/>
      <c r="AE105" s="42"/>
      <c r="AF105" s="42"/>
    </row>
    <row r="106" spans="2:32" customFormat="1" ht="20.149999999999999" customHeight="1" thickBot="1" x14ac:dyDescent="0.4">
      <c r="B106" s="889"/>
      <c r="C106" s="890"/>
      <c r="D106" s="890"/>
      <c r="E106" s="890"/>
      <c r="F106" s="890"/>
      <c r="G106" s="890"/>
      <c r="H106" s="890"/>
      <c r="I106" s="890"/>
      <c r="J106" s="890"/>
      <c r="K106" s="890"/>
      <c r="L106" s="890"/>
      <c r="M106" s="890"/>
      <c r="N106" s="890"/>
      <c r="O106" s="890"/>
      <c r="P106" s="890"/>
      <c r="Q106" s="890"/>
      <c r="R106" s="890"/>
      <c r="S106" s="890"/>
      <c r="T106" s="890"/>
      <c r="U106" s="890"/>
      <c r="V106" s="890"/>
      <c r="W106" s="890"/>
      <c r="X106" s="896"/>
      <c r="AA106" s="42">
        <v>47</v>
      </c>
      <c r="AB106" s="42" t="s">
        <v>270</v>
      </c>
      <c r="AC106" s="42"/>
      <c r="AD106" s="42"/>
      <c r="AE106" s="42"/>
      <c r="AF106" s="42"/>
    </row>
    <row r="107" spans="2:32" customFormat="1" ht="20.149999999999999" hidden="1" customHeight="1" x14ac:dyDescent="0.35">
      <c r="AA107" s="42">
        <v>48</v>
      </c>
      <c r="AB107" s="42" t="s">
        <v>271</v>
      </c>
      <c r="AC107" s="42"/>
      <c r="AD107" s="42"/>
      <c r="AE107" s="42"/>
      <c r="AF107" s="42"/>
    </row>
    <row r="108" spans="2:32" customFormat="1" ht="20.149999999999999" hidden="1" customHeight="1" x14ac:dyDescent="0.25">
      <c r="AA108">
        <v>49</v>
      </c>
      <c r="AB108" t="s">
        <v>272</v>
      </c>
    </row>
    <row r="109" spans="2:32" customFormat="1" ht="20.149999999999999" hidden="1" customHeight="1" x14ac:dyDescent="0.25">
      <c r="AA109">
        <v>50</v>
      </c>
      <c r="AB109" t="s">
        <v>711</v>
      </c>
    </row>
    <row r="110" spans="2:32" customFormat="1" ht="20.149999999999999" hidden="1" customHeight="1" x14ac:dyDescent="0.25">
      <c r="AA110">
        <v>51</v>
      </c>
      <c r="AB110" t="s">
        <v>712</v>
      </c>
      <c r="AF110">
        <f>SUM(O72:P81)-O80-O81</f>
        <v>0</v>
      </c>
    </row>
    <row r="111" spans="2:32" customFormat="1" ht="20.149999999999999" hidden="1" customHeight="1" x14ac:dyDescent="0.25">
      <c r="AA111">
        <v>52</v>
      </c>
      <c r="AB111" t="s">
        <v>273</v>
      </c>
    </row>
    <row r="112" spans="2:32" customFormat="1" ht="20.149999999999999" hidden="1" customHeight="1" x14ac:dyDescent="0.25">
      <c r="AA112">
        <v>53</v>
      </c>
      <c r="AB112" t="s">
        <v>274</v>
      </c>
    </row>
    <row r="113" spans="2:32" customFormat="1" ht="20.149999999999999" hidden="1" customHeight="1" x14ac:dyDescent="0.25">
      <c r="AA113">
        <v>54</v>
      </c>
      <c r="AB113" t="s">
        <v>275</v>
      </c>
    </row>
    <row r="114" spans="2:32" ht="20.149999999999999" hidden="1" customHeight="1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AA114">
        <v>55</v>
      </c>
      <c r="AB114" t="s">
        <v>276</v>
      </c>
      <c r="AC114"/>
      <c r="AD114"/>
      <c r="AE114"/>
      <c r="AF114"/>
    </row>
    <row r="115" spans="2:32" ht="20.149999999999999" hidden="1" customHeight="1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AA115">
        <v>56</v>
      </c>
      <c r="AB115" t="s">
        <v>277</v>
      </c>
      <c r="AC115"/>
      <c r="AD115"/>
      <c r="AE115"/>
      <c r="AF115"/>
    </row>
    <row r="116" spans="2:32" ht="20.149999999999999" hidden="1" customHeight="1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AA116">
        <v>57</v>
      </c>
      <c r="AB116" t="s">
        <v>278</v>
      </c>
      <c r="AC116"/>
      <c r="AD116"/>
      <c r="AE116"/>
      <c r="AF116"/>
    </row>
    <row r="117" spans="2:32" ht="20.149999999999999" hidden="1" customHeight="1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AA117">
        <v>58</v>
      </c>
      <c r="AB117" t="s">
        <v>279</v>
      </c>
      <c r="AC117"/>
      <c r="AD117"/>
      <c r="AE117"/>
      <c r="AF117"/>
    </row>
    <row r="118" spans="2:32" ht="20.149999999999999" hidden="1" customHeight="1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AA118">
        <v>59</v>
      </c>
      <c r="AB118" t="s">
        <v>280</v>
      </c>
      <c r="AC118"/>
      <c r="AD118"/>
      <c r="AE118"/>
      <c r="AF118">
        <f>O81+O80</f>
        <v>0</v>
      </c>
    </row>
    <row r="119" spans="2:32" ht="20.149999999999999" hidden="1" customHeight="1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AA119">
        <v>60</v>
      </c>
      <c r="AB119" t="s">
        <v>281</v>
      </c>
      <c r="AC119"/>
      <c r="AD119"/>
      <c r="AE119"/>
      <c r="AF119">
        <f>SUM(O88:P93)-O93</f>
        <v>0</v>
      </c>
    </row>
    <row r="120" spans="2:32" ht="20.149999999999999" hidden="1" customHeight="1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AA120">
        <v>65</v>
      </c>
      <c r="AB120" t="s">
        <v>282</v>
      </c>
      <c r="AC120"/>
      <c r="AD120"/>
      <c r="AE120"/>
      <c r="AF120">
        <f>O93</f>
        <v>0</v>
      </c>
    </row>
    <row r="121" spans="2:32" ht="20.149999999999999" hidden="1" customHeight="1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AA121">
        <v>99</v>
      </c>
      <c r="AB121" t="s">
        <v>894</v>
      </c>
      <c r="AC121"/>
      <c r="AD121"/>
      <c r="AE121"/>
      <c r="AF121" s="261">
        <f>X89</f>
        <v>0</v>
      </c>
    </row>
    <row r="122" spans="2:32" ht="20.149999999999999" hidden="1" customHeight="1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AA122"/>
      <c r="AB122"/>
      <c r="AC122"/>
      <c r="AD122"/>
      <c r="AE122"/>
      <c r="AF122">
        <f>SUM(AF68:AF121)</f>
        <v>0</v>
      </c>
    </row>
    <row r="123" spans="2:32" ht="20.149999999999999" hidden="1" customHeight="1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AA123"/>
      <c r="AB123"/>
      <c r="AC123"/>
      <c r="AD123"/>
      <c r="AE123"/>
      <c r="AF123"/>
    </row>
    <row r="124" spans="2:32" ht="20.149999999999999" hidden="1" customHeight="1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2:32" ht="20.149999999999999" hidden="1" customHeight="1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2:32" ht="20.149999999999999" hidden="1" customHeight="1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2:32" ht="20.149999999999999" hidden="1" customHeight="1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2:32" ht="20.149999999999999" hidden="1" customHeight="1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ht="15" hidden="1" customHeight="1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2:24" ht="15" hidden="1" customHeight="1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2:24" ht="15" hidden="1" customHeight="1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2:24" ht="15" customHeight="1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ht="15" customHeight="1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2:24" ht="15" customHeight="1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2:24" ht="15" customHeight="1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2:24" ht="15" customHeight="1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2:24" ht="15" customHeight="1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</row>
    <row r="138" spans="2:24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2:24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2:24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2:24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2:24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2:24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2:24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2:23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2:23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2:23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2:23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2:23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2:23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2:23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2:23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2:23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2:23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2:23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2:23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2:23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2:23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2:23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2:23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2:23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2:23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2:23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2:23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2:23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2:23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2:23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2:23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2:23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2:23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2:23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2:23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2:23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2:23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 spans="2:23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2:23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2:23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 spans="2:23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 spans="2:23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2:23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2:23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2:23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2:23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2:23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2:23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</row>
    <row r="186" spans="2:23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</row>
    <row r="187" spans="2:23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 spans="2:23" x14ac:dyDescent="0.3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2:23" x14ac:dyDescent="0.3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 spans="2:23" x14ac:dyDescent="0.3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2:23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</row>
    <row r="192" spans="2:23" x14ac:dyDescent="0.3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2:23" x14ac:dyDescent="0.3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2:23" x14ac:dyDescent="0.3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2:23" x14ac:dyDescent="0.3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  <row r="196" spans="2:23" x14ac:dyDescent="0.3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2:23" x14ac:dyDescent="0.3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</row>
    <row r="198" spans="2:23" x14ac:dyDescent="0.3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2:23" x14ac:dyDescent="0.3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2:23" x14ac:dyDescent="0.3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2:23" x14ac:dyDescent="0.3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</row>
    <row r="202" spans="2:23" x14ac:dyDescent="0.3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2:23" x14ac:dyDescent="0.3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 spans="2:23" x14ac:dyDescent="0.3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2:23" x14ac:dyDescent="0.3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</row>
    <row r="206" spans="2:23" x14ac:dyDescent="0.3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 spans="2:23" x14ac:dyDescent="0.3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 spans="2:23" x14ac:dyDescent="0.3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 spans="2:23" x14ac:dyDescent="0.3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</row>
    <row r="210" spans="2:23" x14ac:dyDescent="0.3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2:23" x14ac:dyDescent="0.3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2:23" x14ac:dyDescent="0.3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2:23" x14ac:dyDescent="0.3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2:23" x14ac:dyDescent="0.3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2:23" x14ac:dyDescent="0.3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2:23" x14ac:dyDescent="0.3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2:23" x14ac:dyDescent="0.3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</row>
    <row r="218" spans="2:23" x14ac:dyDescent="0.3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</row>
    <row r="219" spans="2:23" x14ac:dyDescent="0.3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</row>
    <row r="220" spans="2:23" x14ac:dyDescent="0.3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</row>
    <row r="221" spans="2:23" x14ac:dyDescent="0.3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 spans="2:23" x14ac:dyDescent="0.3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 spans="2:23" x14ac:dyDescent="0.3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</row>
    <row r="224" spans="2:23" x14ac:dyDescent="0.3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</row>
    <row r="225" spans="2:23" x14ac:dyDescent="0.3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</row>
    <row r="226" spans="2:23" x14ac:dyDescent="0.3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</row>
    <row r="227" spans="2:23" x14ac:dyDescent="0.3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 spans="2:23" x14ac:dyDescent="0.3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 spans="2:23" x14ac:dyDescent="0.3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 spans="2:23" x14ac:dyDescent="0.3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 spans="2:23" x14ac:dyDescent="0.3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</row>
    <row r="232" spans="2:23" x14ac:dyDescent="0.3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 spans="2:23" x14ac:dyDescent="0.3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</row>
    <row r="234" spans="2:23" x14ac:dyDescent="0.3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 spans="2:23" x14ac:dyDescent="0.3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2:23" x14ac:dyDescent="0.3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2:23" x14ac:dyDescent="0.3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 spans="2:23" x14ac:dyDescent="0.3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 spans="2:23" x14ac:dyDescent="0.3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 spans="2:23" x14ac:dyDescent="0.3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 spans="2:23" x14ac:dyDescent="0.3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</row>
    <row r="242" spans="2:23" x14ac:dyDescent="0.3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 spans="2:23" x14ac:dyDescent="0.3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 spans="2:23" x14ac:dyDescent="0.3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 spans="2:23" x14ac:dyDescent="0.3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2:23" x14ac:dyDescent="0.3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2:23" x14ac:dyDescent="0.3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2:23" x14ac:dyDescent="0.3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2:23" x14ac:dyDescent="0.3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2:23" x14ac:dyDescent="0.3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2:23" x14ac:dyDescent="0.3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2:23" x14ac:dyDescent="0.3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2:23" x14ac:dyDescent="0.3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2:23" x14ac:dyDescent="0.3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2:23" x14ac:dyDescent="0.3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2:23" x14ac:dyDescent="0.3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2:23" x14ac:dyDescent="0.3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2:23" x14ac:dyDescent="0.3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 spans="2:23" x14ac:dyDescent="0.3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2:23" x14ac:dyDescent="0.3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 spans="2:23" x14ac:dyDescent="0.3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2:23" x14ac:dyDescent="0.3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2:23" x14ac:dyDescent="0.3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2:23" x14ac:dyDescent="0.3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2:23" x14ac:dyDescent="0.3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</row>
    <row r="266" spans="2:23" x14ac:dyDescent="0.3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2:23" x14ac:dyDescent="0.3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2:23" x14ac:dyDescent="0.3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2:23" x14ac:dyDescent="0.3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2:23" x14ac:dyDescent="0.3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2:23" x14ac:dyDescent="0.3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</row>
    <row r="272" spans="2:23" x14ac:dyDescent="0.3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2:23" x14ac:dyDescent="0.3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</row>
    <row r="274" spans="2:23" x14ac:dyDescent="0.3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2:23" x14ac:dyDescent="0.3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 spans="2:23" x14ac:dyDescent="0.3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2:23" x14ac:dyDescent="0.3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2:23" x14ac:dyDescent="0.3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2:23" x14ac:dyDescent="0.3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</sheetData>
  <mergeCells count="290">
    <mergeCell ref="V89:W89"/>
    <mergeCell ref="E79:F79"/>
    <mergeCell ref="I79:J79"/>
    <mergeCell ref="L79:M79"/>
    <mergeCell ref="O79:P79"/>
    <mergeCell ref="B83:P83"/>
    <mergeCell ref="E82:F82"/>
    <mergeCell ref="O80:P80"/>
    <mergeCell ref="O84:P84"/>
    <mergeCell ref="M84:N84"/>
    <mergeCell ref="E81:F81"/>
    <mergeCell ref="I81:J81"/>
    <mergeCell ref="L81:M81"/>
    <mergeCell ref="I82:K82"/>
    <mergeCell ref="L82:M82"/>
    <mergeCell ref="O81:P81"/>
    <mergeCell ref="O86:P86"/>
    <mergeCell ref="O88:P88"/>
    <mergeCell ref="O89:P89"/>
    <mergeCell ref="M89:N89"/>
    <mergeCell ref="B87:P87"/>
    <mergeCell ref="B88:D88"/>
    <mergeCell ref="B89:D89"/>
    <mergeCell ref="J89:K89"/>
    <mergeCell ref="L76:M76"/>
    <mergeCell ref="L78:M78"/>
    <mergeCell ref="B27:C27"/>
    <mergeCell ref="D18:E18"/>
    <mergeCell ref="B21:C21"/>
    <mergeCell ref="D20:E20"/>
    <mergeCell ref="D21:E21"/>
    <mergeCell ref="B19:C19"/>
    <mergeCell ref="D19:E19"/>
    <mergeCell ref="D27:E27"/>
    <mergeCell ref="I42:J42"/>
    <mergeCell ref="M42:O42"/>
    <mergeCell ref="G42:H42"/>
    <mergeCell ref="K42:L42"/>
    <mergeCell ref="B35:C35"/>
    <mergeCell ref="B37:C37"/>
    <mergeCell ref="B39:C39"/>
    <mergeCell ref="E42:F42"/>
    <mergeCell ref="C52:D52"/>
    <mergeCell ref="E52:F52"/>
    <mergeCell ref="D41:E41"/>
    <mergeCell ref="D39:E39"/>
    <mergeCell ref="D35:E35"/>
    <mergeCell ref="D40:E40"/>
    <mergeCell ref="U2:V2"/>
    <mergeCell ref="W2:X2"/>
    <mergeCell ref="O3:P3"/>
    <mergeCell ref="Q3:R3"/>
    <mergeCell ref="C105:D105"/>
    <mergeCell ref="B104:D104"/>
    <mergeCell ref="B101:D101"/>
    <mergeCell ref="B100:D100"/>
    <mergeCell ref="B29:C29"/>
    <mergeCell ref="B33:C33"/>
    <mergeCell ref="B31:C31"/>
    <mergeCell ref="D31:E31"/>
    <mergeCell ref="X23:Y23"/>
    <mergeCell ref="X22:Y22"/>
    <mergeCell ref="B25:C25"/>
    <mergeCell ref="X25:Y25"/>
    <mergeCell ref="D24:E24"/>
    <mergeCell ref="D25:E25"/>
    <mergeCell ref="X24:Y24"/>
    <mergeCell ref="B23:C23"/>
    <mergeCell ref="B17:C17"/>
    <mergeCell ref="V9:V10"/>
    <mergeCell ref="D11:E11"/>
    <mergeCell ref="D14:E14"/>
    <mergeCell ref="J4:N4"/>
    <mergeCell ref="O4:P4"/>
    <mergeCell ref="Q4:R4"/>
    <mergeCell ref="J5:N5"/>
    <mergeCell ref="O5:P5"/>
    <mergeCell ref="Q5:R5"/>
    <mergeCell ref="J6:N6"/>
    <mergeCell ref="B9:C10"/>
    <mergeCell ref="O6:P6"/>
    <mergeCell ref="Q6:R6"/>
    <mergeCell ref="D7:E7"/>
    <mergeCell ref="J7:N7"/>
    <mergeCell ref="O7:P7"/>
    <mergeCell ref="Q7:R7"/>
    <mergeCell ref="G8:I8"/>
    <mergeCell ref="J8:N8"/>
    <mergeCell ref="H9:H10"/>
    <mergeCell ref="N9:N10"/>
    <mergeCell ref="F9:F10"/>
    <mergeCell ref="G9:G10"/>
    <mergeCell ref="L9:M9"/>
    <mergeCell ref="X11:Y11"/>
    <mergeCell ref="U9:U10"/>
    <mergeCell ref="I9:I10"/>
    <mergeCell ref="J9:K9"/>
    <mergeCell ref="O9:T9"/>
    <mergeCell ref="W9:W10"/>
    <mergeCell ref="X9:Y10"/>
    <mergeCell ref="D37:E37"/>
    <mergeCell ref="D36:E36"/>
    <mergeCell ref="D38:E38"/>
    <mergeCell ref="D34:E34"/>
    <mergeCell ref="D33:E33"/>
    <mergeCell ref="R48:S48"/>
    <mergeCell ref="P42:Q43"/>
    <mergeCell ref="R42:S43"/>
    <mergeCell ref="X12:Y12"/>
    <mergeCell ref="X20:Y20"/>
    <mergeCell ref="D16:E16"/>
    <mergeCell ref="D13:E13"/>
    <mergeCell ref="D17:E17"/>
    <mergeCell ref="X13:Y13"/>
    <mergeCell ref="X14:Y14"/>
    <mergeCell ref="X15:Y15"/>
    <mergeCell ref="X16:Y16"/>
    <mergeCell ref="X17:Y17"/>
    <mergeCell ref="X19:Y19"/>
    <mergeCell ref="X18:Y18"/>
    <mergeCell ref="X32:Y32"/>
    <mergeCell ref="X21:Y21"/>
    <mergeCell ref="X28:Y28"/>
    <mergeCell ref="X31:Y31"/>
    <mergeCell ref="X30:Y30"/>
    <mergeCell ref="X29:Y29"/>
    <mergeCell ref="R49:S49"/>
    <mergeCell ref="P48:Q48"/>
    <mergeCell ref="P49:Q49"/>
    <mergeCell ref="R44:S44"/>
    <mergeCell ref="R46:S46"/>
    <mergeCell ref="J51:L51"/>
    <mergeCell ref="M51:N51"/>
    <mergeCell ref="P46:Q46"/>
    <mergeCell ref="P44:Q44"/>
    <mergeCell ref="P45:Q45"/>
    <mergeCell ref="R45:S45"/>
    <mergeCell ref="B51:D51"/>
    <mergeCell ref="E51:F51"/>
    <mergeCell ref="O85:P85"/>
    <mergeCell ref="M85:N85"/>
    <mergeCell ref="O67:P67"/>
    <mergeCell ref="L68:M68"/>
    <mergeCell ref="O68:P68"/>
    <mergeCell ref="L71:M71"/>
    <mergeCell ref="N71:P71"/>
    <mergeCell ref="O78:P78"/>
    <mergeCell ref="O77:P77"/>
    <mergeCell ref="L80:M80"/>
    <mergeCell ref="E74:F74"/>
    <mergeCell ref="L77:M77"/>
    <mergeCell ref="O74:P74"/>
    <mergeCell ref="O76:P76"/>
    <mergeCell ref="O75:P75"/>
    <mergeCell ref="L75:M75"/>
    <mergeCell ref="E75:F75"/>
    <mergeCell ref="E72:F72"/>
    <mergeCell ref="E73:F73"/>
    <mergeCell ref="O82:P82"/>
    <mergeCell ref="E78:F78"/>
    <mergeCell ref="I78:J78"/>
    <mergeCell ref="U53:V53"/>
    <mergeCell ref="O66:P66"/>
    <mergeCell ref="O63:P63"/>
    <mergeCell ref="O64:P64"/>
    <mergeCell ref="L73:M73"/>
    <mergeCell ref="G51:I51"/>
    <mergeCell ref="I63:J63"/>
    <mergeCell ref="L63:M63"/>
    <mergeCell ref="I64:J64"/>
    <mergeCell ref="L64:M64"/>
    <mergeCell ref="R59:S59"/>
    <mergeCell ref="O73:P73"/>
    <mergeCell ref="O69:P69"/>
    <mergeCell ref="L72:M72"/>
    <mergeCell ref="L69:M69"/>
    <mergeCell ref="K68:K69"/>
    <mergeCell ref="O72:P72"/>
    <mergeCell ref="J66:K66"/>
    <mergeCell ref="L67:M67"/>
    <mergeCell ref="L66:M66"/>
    <mergeCell ref="H52:I52"/>
    <mergeCell ref="J52:L52"/>
    <mergeCell ref="U52:V52"/>
    <mergeCell ref="O91:P91"/>
    <mergeCell ref="B92:D92"/>
    <mergeCell ref="O92:P92"/>
    <mergeCell ref="J90:K91"/>
    <mergeCell ref="B90:D90"/>
    <mergeCell ref="O90:P90"/>
    <mergeCell ref="M90:N90"/>
    <mergeCell ref="B91:D91"/>
    <mergeCell ref="L96:L97"/>
    <mergeCell ref="O93:P93"/>
    <mergeCell ref="G95:H95"/>
    <mergeCell ref="O95:P95"/>
    <mergeCell ref="O96:P96"/>
    <mergeCell ref="B94:P94"/>
    <mergeCell ref="B93:D93"/>
    <mergeCell ref="B96:D96"/>
    <mergeCell ref="B95:D95"/>
    <mergeCell ref="U105:V105"/>
    <mergeCell ref="E105:F105"/>
    <mergeCell ref="H105:I105"/>
    <mergeCell ref="J105:L105"/>
    <mergeCell ref="O97:P97"/>
    <mergeCell ref="B99:D99"/>
    <mergeCell ref="M104:N104"/>
    <mergeCell ref="V101:W101"/>
    <mergeCell ref="G101:H101"/>
    <mergeCell ref="R100:S100"/>
    <mergeCell ref="G98:H98"/>
    <mergeCell ref="O101:P101"/>
    <mergeCell ref="E104:F104"/>
    <mergeCell ref="G104:I104"/>
    <mergeCell ref="G97:H97"/>
    <mergeCell ref="O98:P98"/>
    <mergeCell ref="G99:H99"/>
    <mergeCell ref="O99:P99"/>
    <mergeCell ref="G100:H100"/>
    <mergeCell ref="O100:P100"/>
    <mergeCell ref="J96:K97"/>
    <mergeCell ref="B68:F68"/>
    <mergeCell ref="B98:D98"/>
    <mergeCell ref="B97:D97"/>
    <mergeCell ref="I80:J80"/>
    <mergeCell ref="H72:H77"/>
    <mergeCell ref="I72:J75"/>
    <mergeCell ref="G96:H96"/>
    <mergeCell ref="E80:F80"/>
    <mergeCell ref="I69:J69"/>
    <mergeCell ref="E77:F77"/>
    <mergeCell ref="I77:J77"/>
    <mergeCell ref="E76:F76"/>
    <mergeCell ref="I76:J76"/>
    <mergeCell ref="B66:F66"/>
    <mergeCell ref="L74:M74"/>
    <mergeCell ref="B69:F69"/>
    <mergeCell ref="B65:F65"/>
    <mergeCell ref="R47:S47"/>
    <mergeCell ref="P47:Q47"/>
    <mergeCell ref="I65:J65"/>
    <mergeCell ref="L65:M65"/>
    <mergeCell ref="O65:P65"/>
    <mergeCell ref="B63:F63"/>
    <mergeCell ref="B64:F64"/>
    <mergeCell ref="K53:L53"/>
    <mergeCell ref="N53:O53"/>
    <mergeCell ref="C59:P59"/>
    <mergeCell ref="I60:J62"/>
    <mergeCell ref="K60:K62"/>
    <mergeCell ref="L60:M60"/>
    <mergeCell ref="M52:P52"/>
    <mergeCell ref="O61:P61"/>
    <mergeCell ref="L62:M62"/>
    <mergeCell ref="O62:P62"/>
    <mergeCell ref="O60:P60"/>
    <mergeCell ref="L61:M61"/>
    <mergeCell ref="B67:F67"/>
    <mergeCell ref="X41:Y41"/>
    <mergeCell ref="X39:Y39"/>
    <mergeCell ref="X34:Y34"/>
    <mergeCell ref="X35:Y35"/>
    <mergeCell ref="X36:Y36"/>
    <mergeCell ref="X26:Y26"/>
    <mergeCell ref="X27:Y27"/>
    <mergeCell ref="X42:Y42"/>
    <mergeCell ref="X33:Y33"/>
    <mergeCell ref="X40:Y40"/>
    <mergeCell ref="X38:Y38"/>
    <mergeCell ref="X37:Y37"/>
    <mergeCell ref="B3:E3"/>
    <mergeCell ref="B4:E4"/>
    <mergeCell ref="B5:E5"/>
    <mergeCell ref="D6:E6"/>
    <mergeCell ref="D12:E12"/>
    <mergeCell ref="B12:C12"/>
    <mergeCell ref="D15:E15"/>
    <mergeCell ref="D9:E10"/>
    <mergeCell ref="D32:E32"/>
    <mergeCell ref="D22:E22"/>
    <mergeCell ref="D23:E23"/>
    <mergeCell ref="D26:E26"/>
    <mergeCell ref="B13:C13"/>
    <mergeCell ref="B15:C15"/>
    <mergeCell ref="B11:C11"/>
    <mergeCell ref="D28:E28"/>
    <mergeCell ref="D29:E29"/>
    <mergeCell ref="D30:E30"/>
    <mergeCell ref="D8:E8"/>
  </mergeCells>
  <printOptions gridLines="1"/>
  <pageMargins left="0.49" right="0.3" top="0.54" bottom="0.42" header="0.32" footer="0.42"/>
  <pageSetup paperSize="5" scale="44" fitToHeight="2" orientation="landscape" horizontalDpi="4294967293" verticalDpi="192" r:id="rId1"/>
  <headerFooter alignWithMargins="0">
    <oddHeader>&amp;L &amp;16          &amp;A&amp;C&amp;20&amp;F&amp;R&amp;16&amp;D</oddHeader>
  </headerFooter>
  <rowBreaks count="1" manualBreakCount="1">
    <brk id="5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8"/>
  <dimension ref="A1:XFC117"/>
  <sheetViews>
    <sheetView zoomScaleNormal="100" workbookViewId="0">
      <selection activeCell="F66" sqref="F66"/>
    </sheetView>
  </sheetViews>
  <sheetFormatPr defaultColWidth="0" defaultRowHeight="15.5" x14ac:dyDescent="0.35"/>
  <cols>
    <col min="1" max="1" width="9.453125" style="42" customWidth="1"/>
    <col min="2" max="2" width="11.1796875" style="42" customWidth="1"/>
    <col min="3" max="3" width="7" style="42" customWidth="1"/>
    <col min="4" max="4" width="7.54296875" style="42" customWidth="1"/>
    <col min="5" max="5" width="7.81640625" style="42" customWidth="1"/>
    <col min="6" max="6" width="12.7265625" style="42" customWidth="1"/>
    <col min="7" max="7" width="10.36328125" style="42" customWidth="1"/>
    <col min="8" max="11" width="9.26953125" style="42" customWidth="1"/>
    <col min="12" max="12" width="11.7265625" style="42" customWidth="1"/>
    <col min="13" max="16" width="9.26953125" style="42" customWidth="1"/>
    <col min="17" max="17" width="10.7265625" style="7" customWidth="1"/>
    <col min="18" max="18" width="11.7265625" style="7" customWidth="1"/>
    <col min="19" max="19" width="10.81640625" style="42" customWidth="1"/>
    <col min="20" max="20" width="9.26953125" style="42" customWidth="1"/>
    <col min="21" max="21" width="16.7265625" style="42" customWidth="1"/>
    <col min="22" max="22" width="8.26953125" style="42" customWidth="1"/>
    <col min="23" max="23" width="16" style="42" customWidth="1"/>
    <col min="24" max="24" width="8.7265625" customWidth="1"/>
    <col min="25" max="29" width="9.1796875" hidden="1"/>
    <col min="30" max="30" width="10" hidden="1"/>
    <col min="31" max="31" width="9.1796875" hidden="1"/>
    <col min="32" max="32" width="10.453125" hidden="1"/>
    <col min="33" max="34" width="9.1796875" hidden="1"/>
    <col min="35" max="35" width="10.1796875" hidden="1"/>
    <col min="36" max="45" width="9.1796875" hidden="1"/>
    <col min="46" max="46" width="22" hidden="1"/>
    <col min="47" max="47" width="15.1796875" hidden="1"/>
    <col min="48" max="48" width="13.1796875" hidden="1"/>
    <col min="49" max="50" width="10.26953125" hidden="1"/>
    <col min="51" max="51" width="12" hidden="1"/>
    <col min="52" max="52" width="12.81640625" hidden="1"/>
    <col min="53" max="53" width="12" hidden="1"/>
    <col min="54" max="54" width="12.7265625" hidden="1"/>
    <col min="55" max="56" width="13.26953125" hidden="1"/>
    <col min="57" max="57" width="18.453125" hidden="1"/>
    <col min="58" max="58" width="11.54296875" hidden="1"/>
    <col min="59" max="59" width="18.453125" hidden="1"/>
    <col min="60" max="60" width="13.7265625" hidden="1"/>
    <col min="61" max="254" width="9.1796875" hidden="1"/>
    <col min="255" max="255" width="1.7265625" hidden="1"/>
    <col min="256" max="16383" width="3.81640625" style="42" hidden="1"/>
    <col min="16384" max="16384" width="8.54296875" style="42" hidden="1"/>
  </cols>
  <sheetData>
    <row r="1" spans="1:60" ht="16" thickBot="1" x14ac:dyDescent="0.4">
      <c r="A1" s="1363" t="s">
        <v>303</v>
      </c>
      <c r="B1" s="891"/>
      <c r="C1" s="891"/>
      <c r="D1" s="891"/>
      <c r="E1" s="892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2792" t="s">
        <v>305</v>
      </c>
      <c r="U1" s="2615"/>
      <c r="V1" s="2970">
        <v>37456</v>
      </c>
      <c r="W1" s="2971"/>
      <c r="X1" s="299"/>
    </row>
    <row r="2" spans="1:60" ht="16" thickBot="1" x14ac:dyDescent="0.4">
      <c r="A2" s="2950">
        <f>Summary!C2</f>
        <v>0</v>
      </c>
      <c r="B2" s="2951"/>
      <c r="C2" s="2951"/>
      <c r="D2" s="2951"/>
      <c r="E2" s="2952"/>
      <c r="F2" s="298"/>
      <c r="G2" s="1194" t="s">
        <v>131</v>
      </c>
      <c r="H2" s="1418"/>
      <c r="I2" s="893"/>
      <c r="J2" s="1196" t="s">
        <v>96</v>
      </c>
      <c r="K2" s="891"/>
      <c r="L2" s="891"/>
      <c r="M2" s="891"/>
      <c r="N2" s="2661" t="s">
        <v>125</v>
      </c>
      <c r="O2" s="2661"/>
      <c r="P2" s="2661" t="s">
        <v>306</v>
      </c>
      <c r="Q2" s="2662"/>
      <c r="R2" s="298"/>
      <c r="S2" s="298"/>
      <c r="T2" s="1183" t="s">
        <v>304</v>
      </c>
      <c r="U2" s="1180"/>
      <c r="V2" s="1184" t="str">
        <f>Information!C8</f>
        <v>Chad McKinney</v>
      </c>
      <c r="W2" s="1185"/>
      <c r="X2" s="299"/>
    </row>
    <row r="3" spans="1:60" ht="20.149999999999999" customHeight="1" x14ac:dyDescent="0.35">
      <c r="A3" s="2953">
        <f>Summary!C3</f>
        <v>0</v>
      </c>
      <c r="B3" s="2954"/>
      <c r="C3" s="2954"/>
      <c r="D3" s="2954"/>
      <c r="E3" s="2955"/>
      <c r="F3" s="298"/>
      <c r="G3" s="1195" t="s">
        <v>132</v>
      </c>
      <c r="H3" s="1419"/>
      <c r="I3" s="2956">
        <f>Summary!K3</f>
        <v>0</v>
      </c>
      <c r="J3" s="2664"/>
      <c r="K3" s="2664"/>
      <c r="L3" s="2664"/>
      <c r="M3" s="2665"/>
      <c r="N3" s="2666">
        <f>Summary!O3</f>
        <v>0</v>
      </c>
      <c r="O3" s="2667"/>
      <c r="P3" s="2974">
        <f>Summary!P3</f>
        <v>0</v>
      </c>
      <c r="Q3" s="2844"/>
      <c r="R3" s="298"/>
      <c r="S3" s="298"/>
      <c r="T3" s="1186"/>
      <c r="U3" s="1187"/>
      <c r="V3" s="1187"/>
      <c r="W3" s="1188"/>
      <c r="X3" s="299"/>
    </row>
    <row r="4" spans="1:60" ht="20.149999999999999" customHeight="1" thickBot="1" x14ac:dyDescent="0.4">
      <c r="A4" s="2967">
        <f>Summary!C4</f>
        <v>0</v>
      </c>
      <c r="B4" s="2968"/>
      <c r="C4" s="2968"/>
      <c r="D4" s="2968"/>
      <c r="E4" s="2969"/>
      <c r="F4" s="298"/>
      <c r="G4" s="938"/>
      <c r="H4" s="1365" t="s">
        <v>133</v>
      </c>
      <c r="I4" s="2972">
        <f>Summary!K4</f>
        <v>0</v>
      </c>
      <c r="J4" s="2689"/>
      <c r="K4" s="2689"/>
      <c r="L4" s="2689"/>
      <c r="M4" s="2690"/>
      <c r="N4" s="2691">
        <f>Summary!O4</f>
        <v>0</v>
      </c>
      <c r="O4" s="2692"/>
      <c r="P4" s="2973">
        <f>Summary!P4</f>
        <v>0</v>
      </c>
      <c r="Q4" s="2846"/>
      <c r="R4" s="298"/>
      <c r="S4" s="298"/>
      <c r="T4" s="1186" t="str">
        <f>Information!H5</f>
        <v>Approved by Chad:</v>
      </c>
      <c r="U4" s="1187"/>
      <c r="V4" s="1189"/>
      <c r="W4" s="1190"/>
      <c r="X4" s="299"/>
    </row>
    <row r="5" spans="1:60" ht="20.149999999999999" customHeight="1" x14ac:dyDescent="0.35">
      <c r="A5" s="255" t="s">
        <v>115</v>
      </c>
      <c r="C5" s="57" t="s">
        <v>125</v>
      </c>
      <c r="E5" s="298"/>
      <c r="F5" s="298"/>
      <c r="G5" s="938"/>
      <c r="H5" s="1365" t="s">
        <v>134</v>
      </c>
      <c r="I5" s="2972">
        <f>Summary!K5</f>
        <v>0</v>
      </c>
      <c r="J5" s="2689"/>
      <c r="K5" s="2689"/>
      <c r="L5" s="2689"/>
      <c r="M5" s="2690"/>
      <c r="N5" s="2691">
        <f>Summary!O5</f>
        <v>0</v>
      </c>
      <c r="O5" s="2692"/>
      <c r="P5" s="2973">
        <f>Summary!P5</f>
        <v>0</v>
      </c>
      <c r="Q5" s="2846"/>
      <c r="R5" s="298"/>
      <c r="S5" s="298"/>
      <c r="T5" s="1186"/>
      <c r="U5" s="1187"/>
      <c r="V5" s="1187"/>
      <c r="W5" s="1188"/>
      <c r="X5" s="299"/>
    </row>
    <row r="6" spans="1:60" ht="20.149999999999999" customHeight="1" thickBot="1" x14ac:dyDescent="0.4">
      <c r="A6" s="1252">
        <v>0</v>
      </c>
      <c r="C6" s="2963">
        <v>0</v>
      </c>
      <c r="D6" s="2963"/>
      <c r="E6" s="298"/>
      <c r="F6" s="298"/>
      <c r="G6" s="889"/>
      <c r="H6" s="1366" t="s">
        <v>135</v>
      </c>
      <c r="I6" s="2976">
        <f>Summary!K6</f>
        <v>0</v>
      </c>
      <c r="J6" s="2671"/>
      <c r="K6" s="2671"/>
      <c r="L6" s="2671"/>
      <c r="M6" s="2672"/>
      <c r="N6" s="2673">
        <f>Summary!O6</f>
        <v>0</v>
      </c>
      <c r="O6" s="2674"/>
      <c r="P6" s="2975">
        <f>Summary!P6</f>
        <v>0</v>
      </c>
      <c r="Q6" s="2853"/>
      <c r="R6" s="298"/>
      <c r="S6" s="298"/>
      <c r="T6" s="1191" t="str">
        <f>Information!H6</f>
        <v>Approved by Edward:</v>
      </c>
      <c r="U6" s="1181"/>
      <c r="V6" s="1181"/>
      <c r="W6" s="1182"/>
      <c r="X6" s="299"/>
    </row>
    <row r="7" spans="1:60" ht="20.149999999999999" customHeight="1" thickBot="1" x14ac:dyDescent="0.4">
      <c r="A7" s="1253">
        <v>0</v>
      </c>
      <c r="C7" s="2957">
        <v>0</v>
      </c>
      <c r="D7" s="2958"/>
      <c r="E7" s="298"/>
      <c r="F7" s="1963" t="s">
        <v>308</v>
      </c>
      <c r="G7" s="1963"/>
      <c r="H7" s="1963"/>
      <c r="I7" s="2208" t="str">
        <f>Pricing!A2</f>
        <v>Martin Marrieta</v>
      </c>
      <c r="J7" s="2208"/>
      <c r="K7" s="2208"/>
      <c r="L7" s="2208"/>
      <c r="M7" s="2208"/>
      <c r="N7" s="298"/>
      <c r="O7" s="298"/>
      <c r="P7" s="298"/>
      <c r="Q7" s="298"/>
      <c r="R7" s="298"/>
      <c r="S7" s="298"/>
      <c r="T7" s="298"/>
      <c r="U7" s="298"/>
      <c r="V7" s="298"/>
      <c r="W7" s="310"/>
      <c r="X7" s="299"/>
    </row>
    <row r="8" spans="1:60" ht="39" customHeight="1" x14ac:dyDescent="0.35">
      <c r="A8" s="2510" t="s">
        <v>47</v>
      </c>
      <c r="B8" s="1975"/>
      <c r="C8" s="2513" t="s">
        <v>346</v>
      </c>
      <c r="D8" s="2514"/>
      <c r="E8" s="2501" t="s">
        <v>364</v>
      </c>
      <c r="F8" s="2508" t="s">
        <v>357</v>
      </c>
      <c r="G8" s="2959" t="s">
        <v>493</v>
      </c>
      <c r="H8" s="1975" t="s">
        <v>35</v>
      </c>
      <c r="I8" s="1866" t="s">
        <v>407</v>
      </c>
      <c r="J8" s="1866" t="s">
        <v>389</v>
      </c>
      <c r="K8" s="2508" t="s">
        <v>356</v>
      </c>
      <c r="L8" s="1933" t="s">
        <v>403</v>
      </c>
      <c r="M8" s="1934"/>
      <c r="N8" s="1933" t="s">
        <v>404</v>
      </c>
      <c r="O8" s="1934"/>
      <c r="P8" s="1975" t="s">
        <v>725</v>
      </c>
      <c r="Q8" s="2501" t="s">
        <v>352</v>
      </c>
      <c r="R8" s="2501" t="s">
        <v>351</v>
      </c>
      <c r="S8" s="2501" t="s">
        <v>349</v>
      </c>
      <c r="T8" s="2501" t="s">
        <v>106</v>
      </c>
      <c r="U8" s="2501" t="s">
        <v>410</v>
      </c>
      <c r="V8" s="2501" t="s">
        <v>350</v>
      </c>
      <c r="W8" s="2503"/>
      <c r="X8" s="299"/>
      <c r="AY8">
        <f>SUM(AX28:BA28)</f>
        <v>0</v>
      </c>
    </row>
    <row r="9" spans="1:60" ht="20.149999999999999" customHeight="1" thickBot="1" x14ac:dyDescent="0.4">
      <c r="A9" s="2640"/>
      <c r="B9" s="2961"/>
      <c r="C9" s="2964"/>
      <c r="D9" s="2965"/>
      <c r="E9" s="2638"/>
      <c r="F9" s="2966"/>
      <c r="G9" s="2960"/>
      <c r="H9" s="2961"/>
      <c r="I9" s="2962"/>
      <c r="J9" s="2962"/>
      <c r="K9" s="2966"/>
      <c r="L9" s="1054" t="s">
        <v>28</v>
      </c>
      <c r="M9" s="1055" t="s">
        <v>29</v>
      </c>
      <c r="N9" s="1054" t="s">
        <v>28</v>
      </c>
      <c r="O9" s="1055" t="s">
        <v>29</v>
      </c>
      <c r="P9" s="2961"/>
      <c r="Q9" s="2638"/>
      <c r="R9" s="2638"/>
      <c r="S9" s="2638"/>
      <c r="T9" s="2638"/>
      <c r="U9" s="2638"/>
      <c r="V9" s="2638"/>
      <c r="W9" s="2639"/>
      <c r="X9" s="299"/>
      <c r="AE9" t="s">
        <v>405</v>
      </c>
      <c r="AF9" t="s">
        <v>408</v>
      </c>
      <c r="AK9" t="s">
        <v>386</v>
      </c>
      <c r="AL9" t="s">
        <v>227</v>
      </c>
      <c r="AM9" t="s">
        <v>228</v>
      </c>
      <c r="AN9" t="s">
        <v>229</v>
      </c>
      <c r="AO9" t="s">
        <v>230</v>
      </c>
      <c r="AP9" t="s">
        <v>231</v>
      </c>
      <c r="AQ9" t="s">
        <v>232</v>
      </c>
      <c r="AR9" t="s">
        <v>114</v>
      </c>
      <c r="AS9" t="s">
        <v>358</v>
      </c>
      <c r="AV9" t="s">
        <v>106</v>
      </c>
      <c r="AW9" t="s">
        <v>82</v>
      </c>
      <c r="AX9" t="s">
        <v>353</v>
      </c>
      <c r="AY9" t="s">
        <v>355</v>
      </c>
      <c r="AZ9" t="s">
        <v>405</v>
      </c>
      <c r="BA9" t="s">
        <v>33</v>
      </c>
      <c r="BB9" t="s">
        <v>360</v>
      </c>
      <c r="BC9" t="s">
        <v>67</v>
      </c>
      <c r="BD9" t="s">
        <v>148</v>
      </c>
      <c r="BE9" t="s">
        <v>370</v>
      </c>
      <c r="BF9" t="s">
        <v>80</v>
      </c>
      <c r="BG9" t="s">
        <v>406</v>
      </c>
      <c r="BH9" t="s">
        <v>409</v>
      </c>
    </row>
    <row r="10" spans="1:60" ht="22" customHeight="1" thickTop="1" x14ac:dyDescent="0.35">
      <c r="A10" s="1979"/>
      <c r="B10" s="1981"/>
      <c r="C10" s="2979"/>
      <c r="D10" s="2002"/>
      <c r="E10" s="121"/>
      <c r="F10" s="1449"/>
      <c r="G10" s="126"/>
      <c r="H10" s="30"/>
      <c r="I10" s="1379"/>
      <c r="J10" s="126">
        <v>0</v>
      </c>
      <c r="K10" s="123"/>
      <c r="L10" s="29"/>
      <c r="M10" s="124"/>
      <c r="N10" s="29"/>
      <c r="O10" s="124"/>
      <c r="P10" s="121"/>
      <c r="Q10" s="1443">
        <f t="shared" ref="Q10:Q26" si="0">C10*K10/324*(1+J$45)</f>
        <v>0</v>
      </c>
      <c r="R10" s="1444">
        <v>0</v>
      </c>
      <c r="S10" s="1380">
        <f t="shared" ref="S10:S26" si="1">IF(O10=0,0,(O10/12+O10/12)/(O10/12*O10/12)*C10*((N10/16*N10/16)*10.6870154))*(1+J$41)+IF(M10=0,0,(M10/12+M10/12)/(M10/12*M10/12)*C10*((L10/16*L10/16)*10.6870154))*(1+J$41)</f>
        <v>0</v>
      </c>
      <c r="T10" s="906">
        <f>(C10*E10/324+J10*1.25/27)*(1+J$38)</f>
        <v>0</v>
      </c>
      <c r="U10" s="1440">
        <f t="shared" ref="U10:U26" si="2">IF(C10=0,0,V10/C10)</f>
        <v>0</v>
      </c>
      <c r="V10" s="2488">
        <f>SUM(AV10:BH10)*(1+L$31+Summary!P$64)</f>
        <v>0</v>
      </c>
      <c r="W10" s="2489"/>
      <c r="X10" s="299"/>
      <c r="AE10" s="290">
        <f>G10</f>
        <v>0</v>
      </c>
      <c r="AF10">
        <f t="shared" ref="AF10:AF26" si="3">IF(I10="Y",C10,0)*(1+J$43)</f>
        <v>0</v>
      </c>
      <c r="AK10">
        <f t="shared" ref="AK10:AK26" si="4">IF(X10="y",C10,0)</f>
        <v>0</v>
      </c>
      <c r="AL10">
        <f>IF($H10=1,$T10,0)</f>
        <v>0</v>
      </c>
      <c r="AM10">
        <f t="shared" ref="AM10:AM26" si="5">IF($H10=2,$T10,0)</f>
        <v>0</v>
      </c>
      <c r="AN10">
        <f t="shared" ref="AN10:AN26" si="6">IF($H10=3,$T10,0)</f>
        <v>0</v>
      </c>
      <c r="AO10">
        <f t="shared" ref="AO10:AO26" si="7">IF($H10=4,$T10,0)</f>
        <v>0</v>
      </c>
      <c r="AP10">
        <f t="shared" ref="AP10:AP26" si="8">IF($H10=5,$T10,0)</f>
        <v>0</v>
      </c>
      <c r="AQ10">
        <f t="shared" ref="AQ10:AQ26" si="9">IF($H10=6,$T10,0)</f>
        <v>0</v>
      </c>
      <c r="AR10">
        <f>SUM(AL10:AQ10)</f>
        <v>0</v>
      </c>
      <c r="AS10">
        <f t="shared" ref="AS10:AS26" si="10">IF(F10="Y",0,C10)</f>
        <v>0</v>
      </c>
      <c r="AV10">
        <f>(AL10*Pricing!F$2+AM10*Pricing!G$2+AN10*Pricing!H$2+AO10*Pricing!I$2+AP10*Pricing!J$2+AQ10*Pricing!K$2)*IF(T$30="N",(1+V$30),1)</f>
        <v>0</v>
      </c>
      <c r="AW10">
        <f t="shared" ref="AW10:AW26" si="11">S10*F$41*IF(T$30="n",1+V$30,1)</f>
        <v>0</v>
      </c>
      <c r="AX10">
        <f t="shared" ref="AX10:AX26" si="12">C10*SUM(D$50:E$53)</f>
        <v>0</v>
      </c>
      <c r="AY10">
        <f t="shared" ref="AY10:AY26" si="13">J10*D$55</f>
        <v>0</v>
      </c>
      <c r="AZ10">
        <f t="shared" ref="AZ10:AZ26" si="14">AE10*D$51</f>
        <v>0</v>
      </c>
      <c r="BA10">
        <f t="shared" ref="BA10:BA26" si="15">S10/2000*D$54</f>
        <v>0</v>
      </c>
      <c r="BB10">
        <f t="shared" ref="BB10:BB26" si="16">IF(C10=0,0,SUM(N$58:O$60)/C$27*C10)</f>
        <v>0</v>
      </c>
      <c r="BC10">
        <f t="shared" ref="BC10:BC26" si="17">IF(C10=0,0,SUM(W$38:W$75)/C$27*C10)+IF(H$50=0,0,N$47/H$50*C10)</f>
        <v>0</v>
      </c>
      <c r="BD10">
        <f t="shared" ref="BD10:BD26" si="18">IF(C10=0,0,SUM(N$62:O$67)/C$27*C10)</f>
        <v>0</v>
      </c>
      <c r="BE10" s="514">
        <f>IF(C10=0,0,SUM(N$69:N$75)/C$27)*C10</f>
        <v>0</v>
      </c>
      <c r="BF10">
        <f>Q10*F$45*IF(T$30="N",1+V$30,1)</f>
        <v>0</v>
      </c>
      <c r="BG10">
        <f t="shared" ref="BG10:BG26" si="19">AS10*D$73</f>
        <v>0</v>
      </c>
      <c r="BH10">
        <f t="shared" ref="BH10:BH26" si="20">AF10*F$43*IF(T$30="n",(1+V$30),1)</f>
        <v>0</v>
      </c>
    </row>
    <row r="11" spans="1:60" ht="22" customHeight="1" x14ac:dyDescent="0.35">
      <c r="A11" s="2556"/>
      <c r="B11" s="1981"/>
      <c r="C11" s="2979"/>
      <c r="D11" s="2002"/>
      <c r="E11" s="121"/>
      <c r="F11" s="1315"/>
      <c r="G11" s="126"/>
      <c r="H11" s="30"/>
      <c r="I11" s="777"/>
      <c r="J11" s="126">
        <v>0</v>
      </c>
      <c r="K11" s="127"/>
      <c r="L11" s="30"/>
      <c r="M11" s="121"/>
      <c r="N11" s="30"/>
      <c r="O11" s="121"/>
      <c r="P11" s="121"/>
      <c r="Q11" s="1443">
        <f t="shared" si="0"/>
        <v>0</v>
      </c>
      <c r="R11" s="1444">
        <v>0</v>
      </c>
      <c r="S11" s="1380">
        <f t="shared" si="1"/>
        <v>0</v>
      </c>
      <c r="T11" s="906">
        <f t="shared" ref="T11:T26" si="21">(C11*E11/324+J11*1.25/27)*(1+J$38)</f>
        <v>0</v>
      </c>
      <c r="U11" s="1441">
        <f t="shared" si="2"/>
        <v>0</v>
      </c>
      <c r="V11" s="2488">
        <f>SUM(AV11:BH11)*(1+L$31+Summary!P$64)</f>
        <v>0</v>
      </c>
      <c r="W11" s="2489"/>
      <c r="X11" s="299"/>
      <c r="AE11">
        <f t="shared" ref="AE11:AE26" si="22">G11</f>
        <v>0</v>
      </c>
      <c r="AF11">
        <f t="shared" si="3"/>
        <v>0</v>
      </c>
      <c r="AK11">
        <f t="shared" si="4"/>
        <v>0</v>
      </c>
      <c r="AL11">
        <f t="shared" ref="AL11:AL26" si="23">IF($H11=1,$T11,0)</f>
        <v>0</v>
      </c>
      <c r="AM11">
        <f t="shared" si="5"/>
        <v>0</v>
      </c>
      <c r="AN11">
        <f t="shared" si="6"/>
        <v>0</v>
      </c>
      <c r="AO11">
        <f t="shared" si="7"/>
        <v>0</v>
      </c>
      <c r="AP11">
        <f t="shared" si="8"/>
        <v>0</v>
      </c>
      <c r="AQ11">
        <f t="shared" si="9"/>
        <v>0</v>
      </c>
      <c r="AR11">
        <f t="shared" ref="AR11:AR26" si="24">SUM(AL11:AQ11)</f>
        <v>0</v>
      </c>
      <c r="AS11">
        <f t="shared" si="10"/>
        <v>0</v>
      </c>
      <c r="AV11">
        <f>(AL11*Pricing!F$2+AM11*Pricing!G$2+AN11*Pricing!H$2+AO11*Pricing!I$2+AP11*Pricing!J$2+AQ11*Pricing!K$2)*IF(T$30="N",(1+V$30),1)</f>
        <v>0</v>
      </c>
      <c r="AW11">
        <f t="shared" si="11"/>
        <v>0</v>
      </c>
      <c r="AX11">
        <f t="shared" si="12"/>
        <v>0</v>
      </c>
      <c r="AY11">
        <f t="shared" si="13"/>
        <v>0</v>
      </c>
      <c r="AZ11">
        <f t="shared" si="14"/>
        <v>0</v>
      </c>
      <c r="BA11">
        <f t="shared" si="15"/>
        <v>0</v>
      </c>
      <c r="BB11">
        <f t="shared" si="16"/>
        <v>0</v>
      </c>
      <c r="BC11">
        <f t="shared" si="17"/>
        <v>0</v>
      </c>
      <c r="BD11">
        <f t="shared" si="18"/>
        <v>0</v>
      </c>
      <c r="BE11" s="514">
        <f t="shared" ref="BE11:BE26" si="25">IF(C11=0,0,SUM(N$69:N$75)/C$27)*C11</f>
        <v>0</v>
      </c>
      <c r="BF11">
        <f>Q11*F$45*IF(T$30="N",1+V$30,1)</f>
        <v>0</v>
      </c>
      <c r="BG11">
        <f t="shared" si="19"/>
        <v>0</v>
      </c>
      <c r="BH11">
        <f t="shared" si="20"/>
        <v>0</v>
      </c>
    </row>
    <row r="12" spans="1:60" ht="22" customHeight="1" x14ac:dyDescent="0.35">
      <c r="A12" s="1979"/>
      <c r="B12" s="1981"/>
      <c r="C12" s="2806"/>
      <c r="D12" s="2980"/>
      <c r="E12" s="121"/>
      <c r="F12" s="1315"/>
      <c r="G12" s="126"/>
      <c r="H12" s="30"/>
      <c r="I12" s="777"/>
      <c r="J12" s="126">
        <v>0</v>
      </c>
      <c r="K12" s="127"/>
      <c r="L12" s="30"/>
      <c r="M12" s="121"/>
      <c r="N12" s="30"/>
      <c r="O12" s="121"/>
      <c r="P12" s="121"/>
      <c r="Q12" s="1443">
        <f t="shared" si="0"/>
        <v>0</v>
      </c>
      <c r="R12" s="1444">
        <v>0</v>
      </c>
      <c r="S12" s="1380">
        <f t="shared" si="1"/>
        <v>0</v>
      </c>
      <c r="T12" s="906">
        <f t="shared" si="21"/>
        <v>0</v>
      </c>
      <c r="U12" s="1441">
        <f t="shared" si="2"/>
        <v>0</v>
      </c>
      <c r="V12" s="2488">
        <f>SUM(AV12:BH12)*(1+L$31+Summary!P$64)</f>
        <v>0</v>
      </c>
      <c r="W12" s="2489"/>
      <c r="X12" s="299"/>
      <c r="AE12">
        <f t="shared" si="22"/>
        <v>0</v>
      </c>
      <c r="AF12">
        <f t="shared" si="3"/>
        <v>0</v>
      </c>
      <c r="AK12">
        <f t="shared" si="4"/>
        <v>0</v>
      </c>
      <c r="AL12">
        <f t="shared" si="23"/>
        <v>0</v>
      </c>
      <c r="AM12">
        <f t="shared" si="5"/>
        <v>0</v>
      </c>
      <c r="AN12">
        <f t="shared" si="6"/>
        <v>0</v>
      </c>
      <c r="AO12">
        <f t="shared" si="7"/>
        <v>0</v>
      </c>
      <c r="AP12">
        <f t="shared" si="8"/>
        <v>0</v>
      </c>
      <c r="AQ12">
        <f t="shared" si="9"/>
        <v>0</v>
      </c>
      <c r="AR12">
        <f t="shared" si="24"/>
        <v>0</v>
      </c>
      <c r="AS12">
        <f t="shared" si="10"/>
        <v>0</v>
      </c>
      <c r="AV12">
        <f>(AL12*Pricing!F$2+AM12*Pricing!G$2+AN12*Pricing!H$2+AO12*Pricing!I$2+AP12*Pricing!J$2+AQ12*Pricing!K$2)*IF(T$30="N",(1+V$30),1)</f>
        <v>0</v>
      </c>
      <c r="AW12">
        <f t="shared" si="11"/>
        <v>0</v>
      </c>
      <c r="AX12">
        <f t="shared" si="12"/>
        <v>0</v>
      </c>
      <c r="AY12">
        <f t="shared" si="13"/>
        <v>0</v>
      </c>
      <c r="AZ12">
        <f t="shared" si="14"/>
        <v>0</v>
      </c>
      <c r="BA12">
        <f t="shared" si="15"/>
        <v>0</v>
      </c>
      <c r="BB12">
        <f t="shared" si="16"/>
        <v>0</v>
      </c>
      <c r="BC12">
        <f t="shared" si="17"/>
        <v>0</v>
      </c>
      <c r="BD12">
        <f t="shared" si="18"/>
        <v>0</v>
      </c>
      <c r="BE12" s="514">
        <f t="shared" si="25"/>
        <v>0</v>
      </c>
      <c r="BF12">
        <f>Q12*F$45*IF(T$30="N",1+V$30,1)</f>
        <v>0</v>
      </c>
      <c r="BG12">
        <f t="shared" si="19"/>
        <v>0</v>
      </c>
      <c r="BH12">
        <f t="shared" si="20"/>
        <v>0</v>
      </c>
    </row>
    <row r="13" spans="1:60" ht="22" customHeight="1" x14ac:dyDescent="0.35">
      <c r="A13" s="1979"/>
      <c r="B13" s="1981"/>
      <c r="C13" s="2001"/>
      <c r="D13" s="2002"/>
      <c r="E13" s="121"/>
      <c r="F13" s="1315"/>
      <c r="G13" s="126"/>
      <c r="H13" s="30"/>
      <c r="I13" s="777"/>
      <c r="J13" s="126">
        <v>0</v>
      </c>
      <c r="K13" s="127"/>
      <c r="L13" s="30"/>
      <c r="M13" s="121"/>
      <c r="N13" s="30"/>
      <c r="O13" s="121"/>
      <c r="P13" s="121"/>
      <c r="Q13" s="1443">
        <f t="shared" si="0"/>
        <v>0</v>
      </c>
      <c r="R13" s="1444">
        <v>0</v>
      </c>
      <c r="S13" s="1380">
        <f t="shared" si="1"/>
        <v>0</v>
      </c>
      <c r="T13" s="906">
        <f t="shared" si="21"/>
        <v>0</v>
      </c>
      <c r="U13" s="1441">
        <f t="shared" si="2"/>
        <v>0</v>
      </c>
      <c r="V13" s="2488">
        <f>SUM(AV13:BH13)*(1+L$31+Summary!P$64)</f>
        <v>0</v>
      </c>
      <c r="W13" s="2489"/>
      <c r="X13" s="299"/>
      <c r="AE13">
        <f t="shared" si="22"/>
        <v>0</v>
      </c>
      <c r="AF13">
        <f t="shared" si="3"/>
        <v>0</v>
      </c>
      <c r="AK13">
        <f t="shared" si="4"/>
        <v>0</v>
      </c>
      <c r="AL13">
        <f t="shared" si="23"/>
        <v>0</v>
      </c>
      <c r="AM13">
        <f t="shared" si="5"/>
        <v>0</v>
      </c>
      <c r="AN13">
        <f t="shared" si="6"/>
        <v>0</v>
      </c>
      <c r="AO13">
        <f t="shared" si="7"/>
        <v>0</v>
      </c>
      <c r="AP13">
        <f t="shared" si="8"/>
        <v>0</v>
      </c>
      <c r="AQ13">
        <f t="shared" si="9"/>
        <v>0</v>
      </c>
      <c r="AR13">
        <f t="shared" si="24"/>
        <v>0</v>
      </c>
      <c r="AS13">
        <f t="shared" si="10"/>
        <v>0</v>
      </c>
      <c r="AV13">
        <f>(AL13*Pricing!F$2+AM13*Pricing!G$2+AN13*Pricing!H$2+AO13*Pricing!I$2+AP13*Pricing!J$2+AQ13*Pricing!K$2)*IF(T$30="N",(1+V$30),1)</f>
        <v>0</v>
      </c>
      <c r="AW13">
        <f t="shared" si="11"/>
        <v>0</v>
      </c>
      <c r="AX13">
        <f t="shared" si="12"/>
        <v>0</v>
      </c>
      <c r="AY13">
        <f t="shared" si="13"/>
        <v>0</v>
      </c>
      <c r="AZ13">
        <f t="shared" si="14"/>
        <v>0</v>
      </c>
      <c r="BA13">
        <f t="shared" si="15"/>
        <v>0</v>
      </c>
      <c r="BB13">
        <f t="shared" si="16"/>
        <v>0</v>
      </c>
      <c r="BC13">
        <f t="shared" si="17"/>
        <v>0</v>
      </c>
      <c r="BD13">
        <f t="shared" si="18"/>
        <v>0</v>
      </c>
      <c r="BE13" s="514">
        <f t="shared" si="25"/>
        <v>0</v>
      </c>
      <c r="BF13">
        <f t="shared" ref="BF13:BF26" si="26">Q13*F$45*IF(T$30="N",1+V$30,1)</f>
        <v>0</v>
      </c>
      <c r="BG13">
        <f t="shared" si="19"/>
        <v>0</v>
      </c>
      <c r="BH13">
        <f t="shared" si="20"/>
        <v>0</v>
      </c>
    </row>
    <row r="14" spans="1:60" ht="22" customHeight="1" x14ac:dyDescent="0.35">
      <c r="A14" s="1979"/>
      <c r="B14" s="1981"/>
      <c r="C14" s="2001"/>
      <c r="D14" s="2002"/>
      <c r="E14" s="121"/>
      <c r="F14" s="1315"/>
      <c r="G14" s="126"/>
      <c r="H14" s="30"/>
      <c r="I14" s="777"/>
      <c r="J14" s="126">
        <v>0</v>
      </c>
      <c r="K14" s="127"/>
      <c r="L14" s="30"/>
      <c r="M14" s="121"/>
      <c r="N14" s="30"/>
      <c r="O14" s="121"/>
      <c r="P14" s="121"/>
      <c r="Q14" s="1443">
        <f t="shared" si="0"/>
        <v>0</v>
      </c>
      <c r="R14" s="1444">
        <v>0</v>
      </c>
      <c r="S14" s="1380">
        <f t="shared" si="1"/>
        <v>0</v>
      </c>
      <c r="T14" s="906">
        <f t="shared" si="21"/>
        <v>0</v>
      </c>
      <c r="U14" s="1441">
        <f t="shared" si="2"/>
        <v>0</v>
      </c>
      <c r="V14" s="2488">
        <f>SUM(AV14:BH14)*(1+L$31+Summary!P$64)</f>
        <v>0</v>
      </c>
      <c r="W14" s="2489"/>
      <c r="X14" s="299"/>
      <c r="AE14">
        <f t="shared" si="22"/>
        <v>0</v>
      </c>
      <c r="AF14">
        <f t="shared" si="3"/>
        <v>0</v>
      </c>
      <c r="AK14">
        <f t="shared" si="4"/>
        <v>0</v>
      </c>
      <c r="AL14">
        <f t="shared" si="23"/>
        <v>0</v>
      </c>
      <c r="AM14">
        <f t="shared" si="5"/>
        <v>0</v>
      </c>
      <c r="AN14">
        <f t="shared" si="6"/>
        <v>0</v>
      </c>
      <c r="AO14">
        <f t="shared" si="7"/>
        <v>0</v>
      </c>
      <c r="AP14">
        <f t="shared" si="8"/>
        <v>0</v>
      </c>
      <c r="AQ14">
        <f t="shared" si="9"/>
        <v>0</v>
      </c>
      <c r="AR14">
        <f t="shared" si="24"/>
        <v>0</v>
      </c>
      <c r="AS14">
        <f t="shared" si="10"/>
        <v>0</v>
      </c>
      <c r="AV14">
        <f>(AL14*Pricing!F$2+AM14*Pricing!G$2+AN14*Pricing!H$2+AO14*Pricing!I$2+AP14*Pricing!J$2+AQ14*Pricing!K$2)*IF(T$30="N",(1+V$30),1)</f>
        <v>0</v>
      </c>
      <c r="AW14">
        <f t="shared" si="11"/>
        <v>0</v>
      </c>
      <c r="AX14">
        <f t="shared" si="12"/>
        <v>0</v>
      </c>
      <c r="AY14">
        <f t="shared" si="13"/>
        <v>0</v>
      </c>
      <c r="AZ14">
        <f t="shared" si="14"/>
        <v>0</v>
      </c>
      <c r="BA14">
        <f t="shared" si="15"/>
        <v>0</v>
      </c>
      <c r="BB14">
        <f t="shared" si="16"/>
        <v>0</v>
      </c>
      <c r="BC14">
        <f t="shared" si="17"/>
        <v>0</v>
      </c>
      <c r="BD14">
        <f t="shared" si="18"/>
        <v>0</v>
      </c>
      <c r="BE14" s="514">
        <f t="shared" si="25"/>
        <v>0</v>
      </c>
      <c r="BF14">
        <f t="shared" si="26"/>
        <v>0</v>
      </c>
      <c r="BG14">
        <f t="shared" si="19"/>
        <v>0</v>
      </c>
      <c r="BH14">
        <f t="shared" si="20"/>
        <v>0</v>
      </c>
    </row>
    <row r="15" spans="1:60" ht="22" customHeight="1" x14ac:dyDescent="0.35">
      <c r="A15" s="1979" t="s">
        <v>391</v>
      </c>
      <c r="B15" s="1981"/>
      <c r="C15" s="2001">
        <v>0</v>
      </c>
      <c r="D15" s="2002"/>
      <c r="E15" s="121"/>
      <c r="F15" s="1315"/>
      <c r="G15" s="126"/>
      <c r="H15" s="30"/>
      <c r="I15" s="777"/>
      <c r="J15" s="126">
        <v>0</v>
      </c>
      <c r="K15" s="127"/>
      <c r="L15" s="30"/>
      <c r="M15" s="121"/>
      <c r="N15" s="30"/>
      <c r="O15" s="121"/>
      <c r="P15" s="121"/>
      <c r="Q15" s="1443">
        <f t="shared" si="0"/>
        <v>0</v>
      </c>
      <c r="R15" s="1444">
        <v>0</v>
      </c>
      <c r="S15" s="1380">
        <f t="shared" si="1"/>
        <v>0</v>
      </c>
      <c r="T15" s="906">
        <f t="shared" si="21"/>
        <v>0</v>
      </c>
      <c r="U15" s="1441">
        <f t="shared" si="2"/>
        <v>0</v>
      </c>
      <c r="V15" s="2488">
        <f>SUM(AV15:BH15)*(1+L$31+Summary!P$64)</f>
        <v>0</v>
      </c>
      <c r="W15" s="2489"/>
      <c r="X15" s="299"/>
      <c r="AE15">
        <f t="shared" si="22"/>
        <v>0</v>
      </c>
      <c r="AF15">
        <f t="shared" si="3"/>
        <v>0</v>
      </c>
      <c r="AK15">
        <f t="shared" si="4"/>
        <v>0</v>
      </c>
      <c r="AL15">
        <f t="shared" si="23"/>
        <v>0</v>
      </c>
      <c r="AM15">
        <f t="shared" si="5"/>
        <v>0</v>
      </c>
      <c r="AN15">
        <f t="shared" si="6"/>
        <v>0</v>
      </c>
      <c r="AO15">
        <f t="shared" si="7"/>
        <v>0</v>
      </c>
      <c r="AP15">
        <f t="shared" si="8"/>
        <v>0</v>
      </c>
      <c r="AQ15">
        <f t="shared" si="9"/>
        <v>0</v>
      </c>
      <c r="AR15">
        <f t="shared" si="24"/>
        <v>0</v>
      </c>
      <c r="AS15">
        <f t="shared" si="10"/>
        <v>0</v>
      </c>
      <c r="AV15">
        <f>(AL15*Pricing!F$2+AM15*Pricing!G$2+AN15*Pricing!H$2+AO15*Pricing!I$2+AP15*Pricing!J$2+AQ15*Pricing!K$2)*IF(T$30="N",(1+V$30),1)</f>
        <v>0</v>
      </c>
      <c r="AW15">
        <f t="shared" si="11"/>
        <v>0</v>
      </c>
      <c r="AX15">
        <f t="shared" si="12"/>
        <v>0</v>
      </c>
      <c r="AY15">
        <f t="shared" si="13"/>
        <v>0</v>
      </c>
      <c r="AZ15">
        <f t="shared" si="14"/>
        <v>0</v>
      </c>
      <c r="BA15">
        <f t="shared" si="15"/>
        <v>0</v>
      </c>
      <c r="BB15">
        <f t="shared" si="16"/>
        <v>0</v>
      </c>
      <c r="BC15">
        <f t="shared" si="17"/>
        <v>0</v>
      </c>
      <c r="BD15">
        <f t="shared" si="18"/>
        <v>0</v>
      </c>
      <c r="BE15" s="514">
        <f t="shared" si="25"/>
        <v>0</v>
      </c>
      <c r="BF15">
        <f t="shared" si="26"/>
        <v>0</v>
      </c>
      <c r="BG15">
        <f t="shared" si="19"/>
        <v>0</v>
      </c>
      <c r="BH15">
        <f t="shared" si="20"/>
        <v>0</v>
      </c>
    </row>
    <row r="16" spans="1:60" ht="22" customHeight="1" x14ac:dyDescent="0.35">
      <c r="A16" s="1979" t="s">
        <v>392</v>
      </c>
      <c r="B16" s="1981"/>
      <c r="C16" s="2001">
        <v>0</v>
      </c>
      <c r="D16" s="2002"/>
      <c r="E16" s="121"/>
      <c r="F16" s="1315"/>
      <c r="G16" s="126"/>
      <c r="H16" s="30"/>
      <c r="I16" s="777"/>
      <c r="J16" s="126">
        <v>0</v>
      </c>
      <c r="K16" s="127"/>
      <c r="L16" s="30"/>
      <c r="M16" s="121"/>
      <c r="N16" s="30"/>
      <c r="O16" s="121"/>
      <c r="P16" s="121"/>
      <c r="Q16" s="1443">
        <f t="shared" si="0"/>
        <v>0</v>
      </c>
      <c r="R16" s="1444">
        <v>0</v>
      </c>
      <c r="S16" s="1380">
        <f t="shared" si="1"/>
        <v>0</v>
      </c>
      <c r="T16" s="906">
        <f t="shared" si="21"/>
        <v>0</v>
      </c>
      <c r="U16" s="1441">
        <f t="shared" si="2"/>
        <v>0</v>
      </c>
      <c r="V16" s="2488">
        <f>SUM(AV16:BH16)*(1+L$31+Summary!P$64)</f>
        <v>0</v>
      </c>
      <c r="W16" s="2489"/>
      <c r="X16" s="299"/>
      <c r="AE16">
        <f t="shared" si="22"/>
        <v>0</v>
      </c>
      <c r="AF16">
        <f t="shared" si="3"/>
        <v>0</v>
      </c>
      <c r="AK16">
        <f t="shared" si="4"/>
        <v>0</v>
      </c>
      <c r="AL16">
        <f t="shared" si="23"/>
        <v>0</v>
      </c>
      <c r="AM16">
        <f t="shared" si="5"/>
        <v>0</v>
      </c>
      <c r="AN16">
        <f t="shared" si="6"/>
        <v>0</v>
      </c>
      <c r="AO16">
        <f t="shared" si="7"/>
        <v>0</v>
      </c>
      <c r="AP16">
        <f t="shared" si="8"/>
        <v>0</v>
      </c>
      <c r="AQ16">
        <f t="shared" si="9"/>
        <v>0</v>
      </c>
      <c r="AR16">
        <f t="shared" si="24"/>
        <v>0</v>
      </c>
      <c r="AS16">
        <f t="shared" si="10"/>
        <v>0</v>
      </c>
      <c r="AV16">
        <f>(AL16*Pricing!F$2+AM16*Pricing!G$2+AN16*Pricing!H$2+AO16*Pricing!I$2+AP16*Pricing!J$2+AQ16*Pricing!K$2)*IF(T$30="N",(1+V$30),1)</f>
        <v>0</v>
      </c>
      <c r="AW16">
        <f t="shared" si="11"/>
        <v>0</v>
      </c>
      <c r="AX16">
        <f t="shared" si="12"/>
        <v>0</v>
      </c>
      <c r="AY16">
        <f t="shared" si="13"/>
        <v>0</v>
      </c>
      <c r="AZ16">
        <f t="shared" si="14"/>
        <v>0</v>
      </c>
      <c r="BA16">
        <f t="shared" si="15"/>
        <v>0</v>
      </c>
      <c r="BB16">
        <f t="shared" si="16"/>
        <v>0</v>
      </c>
      <c r="BC16">
        <f t="shared" si="17"/>
        <v>0</v>
      </c>
      <c r="BD16">
        <f t="shared" si="18"/>
        <v>0</v>
      </c>
      <c r="BE16" s="514">
        <f t="shared" si="25"/>
        <v>0</v>
      </c>
      <c r="BF16">
        <f t="shared" si="26"/>
        <v>0</v>
      </c>
      <c r="BG16">
        <f t="shared" si="19"/>
        <v>0</v>
      </c>
      <c r="BH16">
        <f t="shared" si="20"/>
        <v>0</v>
      </c>
    </row>
    <row r="17" spans="1:60" ht="22" customHeight="1" x14ac:dyDescent="0.35">
      <c r="A17" s="1979" t="s">
        <v>393</v>
      </c>
      <c r="B17" s="1981"/>
      <c r="C17" s="2001">
        <v>0</v>
      </c>
      <c r="D17" s="2002"/>
      <c r="E17" s="121"/>
      <c r="F17" s="1315"/>
      <c r="G17" s="126"/>
      <c r="H17" s="30"/>
      <c r="I17" s="777"/>
      <c r="J17" s="126">
        <v>0</v>
      </c>
      <c r="K17" s="127"/>
      <c r="L17" s="30"/>
      <c r="M17" s="121"/>
      <c r="N17" s="30"/>
      <c r="O17" s="121"/>
      <c r="P17" s="121"/>
      <c r="Q17" s="1443">
        <f t="shared" si="0"/>
        <v>0</v>
      </c>
      <c r="R17" s="1444">
        <v>0</v>
      </c>
      <c r="S17" s="1380">
        <f t="shared" si="1"/>
        <v>0</v>
      </c>
      <c r="T17" s="906">
        <f t="shared" si="21"/>
        <v>0</v>
      </c>
      <c r="U17" s="1441">
        <f t="shared" si="2"/>
        <v>0</v>
      </c>
      <c r="V17" s="2488">
        <f>SUM(AV17:BH17)*(1+L$31+Summary!P$64)</f>
        <v>0</v>
      </c>
      <c r="W17" s="2489"/>
      <c r="X17" s="299"/>
      <c r="AE17">
        <f t="shared" si="22"/>
        <v>0</v>
      </c>
      <c r="AF17">
        <f t="shared" si="3"/>
        <v>0</v>
      </c>
      <c r="AK17">
        <f t="shared" si="4"/>
        <v>0</v>
      </c>
      <c r="AL17">
        <f t="shared" si="23"/>
        <v>0</v>
      </c>
      <c r="AM17">
        <f t="shared" si="5"/>
        <v>0</v>
      </c>
      <c r="AN17">
        <f t="shared" si="6"/>
        <v>0</v>
      </c>
      <c r="AO17">
        <f t="shared" si="7"/>
        <v>0</v>
      </c>
      <c r="AP17">
        <f t="shared" si="8"/>
        <v>0</v>
      </c>
      <c r="AQ17">
        <f t="shared" si="9"/>
        <v>0</v>
      </c>
      <c r="AR17">
        <f t="shared" si="24"/>
        <v>0</v>
      </c>
      <c r="AS17">
        <f t="shared" si="10"/>
        <v>0</v>
      </c>
      <c r="AV17">
        <f>(AL17*Pricing!F$2+AM17*Pricing!G$2+AN17*Pricing!H$2+AO17*Pricing!I$2+AP17*Pricing!J$2+AQ17*Pricing!K$2)*IF(T$30="N",(1+V$30),1)</f>
        <v>0</v>
      </c>
      <c r="AW17">
        <f t="shared" si="11"/>
        <v>0</v>
      </c>
      <c r="AX17">
        <f t="shared" si="12"/>
        <v>0</v>
      </c>
      <c r="AY17">
        <f t="shared" si="13"/>
        <v>0</v>
      </c>
      <c r="AZ17">
        <f t="shared" si="14"/>
        <v>0</v>
      </c>
      <c r="BA17">
        <f t="shared" si="15"/>
        <v>0</v>
      </c>
      <c r="BB17">
        <f t="shared" si="16"/>
        <v>0</v>
      </c>
      <c r="BC17">
        <f t="shared" si="17"/>
        <v>0</v>
      </c>
      <c r="BD17">
        <f t="shared" si="18"/>
        <v>0</v>
      </c>
      <c r="BE17" s="514">
        <f t="shared" si="25"/>
        <v>0</v>
      </c>
      <c r="BF17">
        <f t="shared" si="26"/>
        <v>0</v>
      </c>
      <c r="BG17">
        <f t="shared" si="19"/>
        <v>0</v>
      </c>
      <c r="BH17">
        <f t="shared" si="20"/>
        <v>0</v>
      </c>
    </row>
    <row r="18" spans="1:60" ht="22" customHeight="1" x14ac:dyDescent="0.35">
      <c r="A18" s="1979" t="s">
        <v>394</v>
      </c>
      <c r="B18" s="1981"/>
      <c r="C18" s="2001">
        <v>0</v>
      </c>
      <c r="D18" s="2002"/>
      <c r="E18" s="121"/>
      <c r="F18" s="1315"/>
      <c r="G18" s="126"/>
      <c r="H18" s="30"/>
      <c r="I18" s="777"/>
      <c r="J18" s="126">
        <v>0</v>
      </c>
      <c r="K18" s="127"/>
      <c r="L18" s="30"/>
      <c r="M18" s="121"/>
      <c r="N18" s="30"/>
      <c r="O18" s="121"/>
      <c r="P18" s="121"/>
      <c r="Q18" s="1443">
        <f t="shared" si="0"/>
        <v>0</v>
      </c>
      <c r="R18" s="1444">
        <v>0</v>
      </c>
      <c r="S18" s="1380">
        <f t="shared" si="1"/>
        <v>0</v>
      </c>
      <c r="T18" s="906">
        <f t="shared" si="21"/>
        <v>0</v>
      </c>
      <c r="U18" s="1441">
        <f t="shared" si="2"/>
        <v>0</v>
      </c>
      <c r="V18" s="2488">
        <f>SUM(AV18:BH18)*(1+L$31+Summary!P$64)</f>
        <v>0</v>
      </c>
      <c r="W18" s="2489"/>
      <c r="X18" s="299"/>
      <c r="AE18">
        <f t="shared" si="22"/>
        <v>0</v>
      </c>
      <c r="AF18">
        <f t="shared" si="3"/>
        <v>0</v>
      </c>
      <c r="AK18">
        <f t="shared" si="4"/>
        <v>0</v>
      </c>
      <c r="AL18">
        <f t="shared" si="23"/>
        <v>0</v>
      </c>
      <c r="AM18">
        <f t="shared" si="5"/>
        <v>0</v>
      </c>
      <c r="AN18">
        <f t="shared" si="6"/>
        <v>0</v>
      </c>
      <c r="AO18">
        <f t="shared" si="7"/>
        <v>0</v>
      </c>
      <c r="AP18">
        <f t="shared" si="8"/>
        <v>0</v>
      </c>
      <c r="AQ18">
        <f t="shared" si="9"/>
        <v>0</v>
      </c>
      <c r="AR18">
        <f t="shared" si="24"/>
        <v>0</v>
      </c>
      <c r="AS18">
        <f t="shared" si="10"/>
        <v>0</v>
      </c>
      <c r="AV18">
        <f>(AL18*Pricing!F$2+AM18*Pricing!G$2+AN18*Pricing!H$2+AO18*Pricing!I$2+AP18*Pricing!J$2+AQ18*Pricing!K$2)*IF(T$30="N",(1+V$30),1)</f>
        <v>0</v>
      </c>
      <c r="AW18">
        <f t="shared" si="11"/>
        <v>0</v>
      </c>
      <c r="AX18">
        <f t="shared" si="12"/>
        <v>0</v>
      </c>
      <c r="AY18">
        <f t="shared" si="13"/>
        <v>0</v>
      </c>
      <c r="AZ18">
        <f t="shared" si="14"/>
        <v>0</v>
      </c>
      <c r="BA18">
        <f t="shared" si="15"/>
        <v>0</v>
      </c>
      <c r="BB18">
        <f t="shared" si="16"/>
        <v>0</v>
      </c>
      <c r="BC18">
        <f t="shared" si="17"/>
        <v>0</v>
      </c>
      <c r="BD18">
        <f t="shared" si="18"/>
        <v>0</v>
      </c>
      <c r="BE18" s="514">
        <f t="shared" si="25"/>
        <v>0</v>
      </c>
      <c r="BF18">
        <f t="shared" si="26"/>
        <v>0</v>
      </c>
      <c r="BG18">
        <f t="shared" si="19"/>
        <v>0</v>
      </c>
      <c r="BH18">
        <f t="shared" si="20"/>
        <v>0</v>
      </c>
    </row>
    <row r="19" spans="1:60" ht="22" customHeight="1" x14ac:dyDescent="0.35">
      <c r="A19" s="1979" t="s">
        <v>395</v>
      </c>
      <c r="B19" s="1981"/>
      <c r="C19" s="2001">
        <v>0</v>
      </c>
      <c r="D19" s="2002"/>
      <c r="E19" s="121"/>
      <c r="F19" s="1315"/>
      <c r="G19" s="126"/>
      <c r="H19" s="30"/>
      <c r="I19" s="777"/>
      <c r="J19" s="126">
        <v>0</v>
      </c>
      <c r="K19" s="127"/>
      <c r="L19" s="30"/>
      <c r="M19" s="121"/>
      <c r="N19" s="30"/>
      <c r="O19" s="121"/>
      <c r="P19" s="121"/>
      <c r="Q19" s="1443">
        <f t="shared" si="0"/>
        <v>0</v>
      </c>
      <c r="R19" s="1444">
        <v>0</v>
      </c>
      <c r="S19" s="1380">
        <f t="shared" si="1"/>
        <v>0</v>
      </c>
      <c r="T19" s="906">
        <f t="shared" si="21"/>
        <v>0</v>
      </c>
      <c r="U19" s="1441">
        <f t="shared" si="2"/>
        <v>0</v>
      </c>
      <c r="V19" s="2488">
        <f>SUM(AV19:BH19)*(1+L$31+Summary!P$64)</f>
        <v>0</v>
      </c>
      <c r="W19" s="2489"/>
      <c r="X19" s="299"/>
      <c r="AE19">
        <f t="shared" si="22"/>
        <v>0</v>
      </c>
      <c r="AF19">
        <f t="shared" si="3"/>
        <v>0</v>
      </c>
      <c r="AK19">
        <f t="shared" si="4"/>
        <v>0</v>
      </c>
      <c r="AL19">
        <f t="shared" si="23"/>
        <v>0</v>
      </c>
      <c r="AM19">
        <f t="shared" si="5"/>
        <v>0</v>
      </c>
      <c r="AN19">
        <f t="shared" si="6"/>
        <v>0</v>
      </c>
      <c r="AO19">
        <f t="shared" si="7"/>
        <v>0</v>
      </c>
      <c r="AP19">
        <f t="shared" si="8"/>
        <v>0</v>
      </c>
      <c r="AQ19">
        <f t="shared" si="9"/>
        <v>0</v>
      </c>
      <c r="AR19">
        <f t="shared" si="24"/>
        <v>0</v>
      </c>
      <c r="AS19">
        <f t="shared" si="10"/>
        <v>0</v>
      </c>
      <c r="AV19">
        <f>(AL19*Pricing!F$2+AM19*Pricing!G$2+AN19*Pricing!H$2+AO19*Pricing!I$2+AP19*Pricing!J$2+AQ19*Pricing!K$2)*IF(T$30="N",(1+V$30),1)</f>
        <v>0</v>
      </c>
      <c r="AW19">
        <f t="shared" si="11"/>
        <v>0</v>
      </c>
      <c r="AX19">
        <f t="shared" si="12"/>
        <v>0</v>
      </c>
      <c r="AY19">
        <f t="shared" si="13"/>
        <v>0</v>
      </c>
      <c r="AZ19">
        <f t="shared" si="14"/>
        <v>0</v>
      </c>
      <c r="BA19">
        <f t="shared" si="15"/>
        <v>0</v>
      </c>
      <c r="BB19">
        <f t="shared" si="16"/>
        <v>0</v>
      </c>
      <c r="BC19">
        <f t="shared" si="17"/>
        <v>0</v>
      </c>
      <c r="BD19">
        <f t="shared" si="18"/>
        <v>0</v>
      </c>
      <c r="BE19" s="514">
        <f t="shared" si="25"/>
        <v>0</v>
      </c>
      <c r="BF19">
        <f t="shared" si="26"/>
        <v>0</v>
      </c>
      <c r="BG19">
        <f t="shared" si="19"/>
        <v>0</v>
      </c>
      <c r="BH19">
        <f t="shared" si="20"/>
        <v>0</v>
      </c>
    </row>
    <row r="20" spans="1:60" ht="22" customHeight="1" x14ac:dyDescent="0.35">
      <c r="A20" s="1979" t="s">
        <v>396</v>
      </c>
      <c r="B20" s="1981"/>
      <c r="C20" s="2001">
        <v>0</v>
      </c>
      <c r="D20" s="2002"/>
      <c r="E20" s="121"/>
      <c r="F20" s="1315"/>
      <c r="G20" s="126"/>
      <c r="H20" s="30"/>
      <c r="I20" s="777"/>
      <c r="J20" s="126">
        <v>0</v>
      </c>
      <c r="K20" s="127"/>
      <c r="L20" s="30"/>
      <c r="M20" s="121"/>
      <c r="N20" s="30"/>
      <c r="O20" s="121"/>
      <c r="P20" s="121"/>
      <c r="Q20" s="1443">
        <f t="shared" si="0"/>
        <v>0</v>
      </c>
      <c r="R20" s="1444">
        <v>0</v>
      </c>
      <c r="S20" s="1380">
        <f t="shared" si="1"/>
        <v>0</v>
      </c>
      <c r="T20" s="906">
        <f t="shared" si="21"/>
        <v>0</v>
      </c>
      <c r="U20" s="1441">
        <f t="shared" si="2"/>
        <v>0</v>
      </c>
      <c r="V20" s="2488">
        <f>SUM(AV20:BH20)*(1+L$31+Summary!P$64)</f>
        <v>0</v>
      </c>
      <c r="W20" s="2489"/>
      <c r="X20" s="299"/>
      <c r="AE20">
        <f t="shared" si="22"/>
        <v>0</v>
      </c>
      <c r="AF20">
        <f t="shared" si="3"/>
        <v>0</v>
      </c>
      <c r="AK20">
        <f t="shared" si="4"/>
        <v>0</v>
      </c>
      <c r="AL20">
        <f t="shared" si="23"/>
        <v>0</v>
      </c>
      <c r="AM20">
        <f t="shared" si="5"/>
        <v>0</v>
      </c>
      <c r="AN20">
        <f t="shared" si="6"/>
        <v>0</v>
      </c>
      <c r="AO20">
        <f t="shared" si="7"/>
        <v>0</v>
      </c>
      <c r="AP20">
        <f t="shared" si="8"/>
        <v>0</v>
      </c>
      <c r="AQ20">
        <f t="shared" si="9"/>
        <v>0</v>
      </c>
      <c r="AR20">
        <f t="shared" si="24"/>
        <v>0</v>
      </c>
      <c r="AS20">
        <f t="shared" si="10"/>
        <v>0</v>
      </c>
      <c r="AV20">
        <f>(AL20*Pricing!F$2+AM20*Pricing!G$2+AN20*Pricing!H$2+AO20*Pricing!I$2+AP20*Pricing!J$2+AQ20*Pricing!K$2)*IF(T$30="N",(1+V$30),1)</f>
        <v>0</v>
      </c>
      <c r="AW20">
        <f t="shared" si="11"/>
        <v>0</v>
      </c>
      <c r="AX20">
        <f t="shared" si="12"/>
        <v>0</v>
      </c>
      <c r="AY20">
        <f t="shared" si="13"/>
        <v>0</v>
      </c>
      <c r="AZ20">
        <f t="shared" si="14"/>
        <v>0</v>
      </c>
      <c r="BA20">
        <f t="shared" si="15"/>
        <v>0</v>
      </c>
      <c r="BB20">
        <f t="shared" si="16"/>
        <v>0</v>
      </c>
      <c r="BC20">
        <f t="shared" si="17"/>
        <v>0</v>
      </c>
      <c r="BD20">
        <f t="shared" si="18"/>
        <v>0</v>
      </c>
      <c r="BE20" s="514">
        <f t="shared" si="25"/>
        <v>0</v>
      </c>
      <c r="BF20">
        <f t="shared" si="26"/>
        <v>0</v>
      </c>
      <c r="BG20">
        <f t="shared" si="19"/>
        <v>0</v>
      </c>
      <c r="BH20">
        <f t="shared" si="20"/>
        <v>0</v>
      </c>
    </row>
    <row r="21" spans="1:60" ht="22" customHeight="1" x14ac:dyDescent="0.35">
      <c r="A21" s="1979" t="s">
        <v>397</v>
      </c>
      <c r="B21" s="1981"/>
      <c r="C21" s="2001">
        <v>0</v>
      </c>
      <c r="D21" s="2002"/>
      <c r="E21" s="121"/>
      <c r="F21" s="1315"/>
      <c r="G21" s="126"/>
      <c r="H21" s="30"/>
      <c r="I21" s="777"/>
      <c r="J21" s="126">
        <v>0</v>
      </c>
      <c r="K21" s="127"/>
      <c r="L21" s="30"/>
      <c r="M21" s="121"/>
      <c r="N21" s="30"/>
      <c r="O21" s="121"/>
      <c r="P21" s="121"/>
      <c r="Q21" s="1443">
        <f t="shared" si="0"/>
        <v>0</v>
      </c>
      <c r="R21" s="1444">
        <v>0</v>
      </c>
      <c r="S21" s="1380">
        <f t="shared" si="1"/>
        <v>0</v>
      </c>
      <c r="T21" s="906">
        <f t="shared" si="21"/>
        <v>0</v>
      </c>
      <c r="U21" s="1441">
        <f t="shared" si="2"/>
        <v>0</v>
      </c>
      <c r="V21" s="2488">
        <f>SUM(AV21:BH21)*(1+L$31+Summary!P$64)</f>
        <v>0</v>
      </c>
      <c r="W21" s="2489"/>
      <c r="X21" s="299"/>
      <c r="AE21">
        <f t="shared" si="22"/>
        <v>0</v>
      </c>
      <c r="AF21">
        <f t="shared" si="3"/>
        <v>0</v>
      </c>
      <c r="AK21">
        <f t="shared" si="4"/>
        <v>0</v>
      </c>
      <c r="AL21">
        <f t="shared" si="23"/>
        <v>0</v>
      </c>
      <c r="AM21">
        <f t="shared" si="5"/>
        <v>0</v>
      </c>
      <c r="AN21">
        <f t="shared" si="6"/>
        <v>0</v>
      </c>
      <c r="AO21">
        <f t="shared" si="7"/>
        <v>0</v>
      </c>
      <c r="AP21">
        <f t="shared" si="8"/>
        <v>0</v>
      </c>
      <c r="AQ21">
        <f t="shared" si="9"/>
        <v>0</v>
      </c>
      <c r="AR21">
        <f t="shared" si="24"/>
        <v>0</v>
      </c>
      <c r="AS21">
        <f t="shared" si="10"/>
        <v>0</v>
      </c>
      <c r="AV21">
        <f>(AL21*Pricing!F$2+AM21*Pricing!G$2+AN21*Pricing!H$2+AO21*Pricing!I$2+AP21*Pricing!J$2+AQ21*Pricing!K$2)*IF(T$30="N",(1+V$30),1)</f>
        <v>0</v>
      </c>
      <c r="AW21">
        <f t="shared" si="11"/>
        <v>0</v>
      </c>
      <c r="AX21">
        <f t="shared" si="12"/>
        <v>0</v>
      </c>
      <c r="AY21">
        <f t="shared" si="13"/>
        <v>0</v>
      </c>
      <c r="AZ21">
        <f t="shared" si="14"/>
        <v>0</v>
      </c>
      <c r="BA21">
        <f t="shared" si="15"/>
        <v>0</v>
      </c>
      <c r="BB21">
        <f t="shared" si="16"/>
        <v>0</v>
      </c>
      <c r="BC21">
        <f t="shared" si="17"/>
        <v>0</v>
      </c>
      <c r="BD21">
        <f t="shared" si="18"/>
        <v>0</v>
      </c>
      <c r="BE21" s="514">
        <f t="shared" si="25"/>
        <v>0</v>
      </c>
      <c r="BF21">
        <f t="shared" si="26"/>
        <v>0</v>
      </c>
      <c r="BG21">
        <f t="shared" si="19"/>
        <v>0</v>
      </c>
      <c r="BH21">
        <f t="shared" si="20"/>
        <v>0</v>
      </c>
    </row>
    <row r="22" spans="1:60" ht="22" customHeight="1" x14ac:dyDescent="0.35">
      <c r="A22" s="1979" t="s">
        <v>398</v>
      </c>
      <c r="B22" s="1981"/>
      <c r="C22" s="2001">
        <v>0</v>
      </c>
      <c r="D22" s="2002"/>
      <c r="E22" s="121"/>
      <c r="F22" s="1315"/>
      <c r="G22" s="126"/>
      <c r="H22" s="30"/>
      <c r="I22" s="777"/>
      <c r="J22" s="126">
        <v>0</v>
      </c>
      <c r="K22" s="127"/>
      <c r="L22" s="30"/>
      <c r="M22" s="121"/>
      <c r="N22" s="30"/>
      <c r="O22" s="121"/>
      <c r="P22" s="121"/>
      <c r="Q22" s="1443">
        <f t="shared" si="0"/>
        <v>0</v>
      </c>
      <c r="R22" s="1444">
        <v>0</v>
      </c>
      <c r="S22" s="1380">
        <f t="shared" si="1"/>
        <v>0</v>
      </c>
      <c r="T22" s="906">
        <f t="shared" si="21"/>
        <v>0</v>
      </c>
      <c r="U22" s="1441">
        <f t="shared" si="2"/>
        <v>0</v>
      </c>
      <c r="V22" s="2488">
        <f>SUM(AV22:BH22)*(1+L$31+Summary!P$64)</f>
        <v>0</v>
      </c>
      <c r="W22" s="2489"/>
      <c r="X22" s="299"/>
      <c r="AE22">
        <f t="shared" si="22"/>
        <v>0</v>
      </c>
      <c r="AF22">
        <f t="shared" si="3"/>
        <v>0</v>
      </c>
      <c r="AK22">
        <f t="shared" si="4"/>
        <v>0</v>
      </c>
      <c r="AL22">
        <f t="shared" si="23"/>
        <v>0</v>
      </c>
      <c r="AM22">
        <f t="shared" si="5"/>
        <v>0</v>
      </c>
      <c r="AN22">
        <f t="shared" si="6"/>
        <v>0</v>
      </c>
      <c r="AO22">
        <f t="shared" si="7"/>
        <v>0</v>
      </c>
      <c r="AP22">
        <f t="shared" si="8"/>
        <v>0</v>
      </c>
      <c r="AQ22">
        <f t="shared" si="9"/>
        <v>0</v>
      </c>
      <c r="AR22">
        <f t="shared" si="24"/>
        <v>0</v>
      </c>
      <c r="AS22">
        <f t="shared" si="10"/>
        <v>0</v>
      </c>
      <c r="AV22">
        <f>(AL22*Pricing!F$2+AM22*Pricing!G$2+AN22*Pricing!H$2+AO22*Pricing!I$2+AP22*Pricing!J$2+AQ22*Pricing!K$2)*IF(T$30="N",(1+V$30),1)</f>
        <v>0</v>
      </c>
      <c r="AW22">
        <f t="shared" si="11"/>
        <v>0</v>
      </c>
      <c r="AX22">
        <f t="shared" si="12"/>
        <v>0</v>
      </c>
      <c r="AY22">
        <f t="shared" si="13"/>
        <v>0</v>
      </c>
      <c r="AZ22">
        <f t="shared" si="14"/>
        <v>0</v>
      </c>
      <c r="BA22">
        <f t="shared" si="15"/>
        <v>0</v>
      </c>
      <c r="BB22">
        <f t="shared" si="16"/>
        <v>0</v>
      </c>
      <c r="BC22">
        <f t="shared" si="17"/>
        <v>0</v>
      </c>
      <c r="BD22">
        <f t="shared" si="18"/>
        <v>0</v>
      </c>
      <c r="BE22" s="514">
        <f t="shared" si="25"/>
        <v>0</v>
      </c>
      <c r="BF22">
        <f t="shared" si="26"/>
        <v>0</v>
      </c>
      <c r="BG22">
        <f t="shared" si="19"/>
        <v>0</v>
      </c>
      <c r="BH22">
        <f t="shared" si="20"/>
        <v>0</v>
      </c>
    </row>
    <row r="23" spans="1:60" ht="22" customHeight="1" x14ac:dyDescent="0.35">
      <c r="A23" s="1979" t="s">
        <v>399</v>
      </c>
      <c r="B23" s="1981"/>
      <c r="C23" s="2001">
        <v>0</v>
      </c>
      <c r="D23" s="2002"/>
      <c r="E23" s="121"/>
      <c r="F23" s="1315"/>
      <c r="G23" s="126"/>
      <c r="H23" s="30"/>
      <c r="I23" s="777"/>
      <c r="J23" s="126">
        <v>0</v>
      </c>
      <c r="K23" s="127"/>
      <c r="L23" s="30"/>
      <c r="M23" s="121"/>
      <c r="N23" s="30"/>
      <c r="O23" s="121"/>
      <c r="P23" s="121"/>
      <c r="Q23" s="1443">
        <f t="shared" si="0"/>
        <v>0</v>
      </c>
      <c r="R23" s="1444">
        <v>0</v>
      </c>
      <c r="S23" s="1380">
        <f t="shared" si="1"/>
        <v>0</v>
      </c>
      <c r="T23" s="906">
        <f t="shared" si="21"/>
        <v>0</v>
      </c>
      <c r="U23" s="1441">
        <f t="shared" si="2"/>
        <v>0</v>
      </c>
      <c r="V23" s="2488">
        <f>SUM(AV23:BH23)*(1+L$31+Summary!P$64)</f>
        <v>0</v>
      </c>
      <c r="W23" s="2489"/>
      <c r="X23" s="299"/>
      <c r="AE23">
        <f t="shared" si="22"/>
        <v>0</v>
      </c>
      <c r="AF23">
        <f t="shared" si="3"/>
        <v>0</v>
      </c>
      <c r="AK23">
        <f t="shared" si="4"/>
        <v>0</v>
      </c>
      <c r="AL23">
        <f t="shared" si="23"/>
        <v>0</v>
      </c>
      <c r="AM23">
        <f t="shared" si="5"/>
        <v>0</v>
      </c>
      <c r="AN23">
        <f t="shared" si="6"/>
        <v>0</v>
      </c>
      <c r="AO23">
        <f t="shared" si="7"/>
        <v>0</v>
      </c>
      <c r="AP23">
        <f t="shared" si="8"/>
        <v>0</v>
      </c>
      <c r="AQ23">
        <f t="shared" si="9"/>
        <v>0</v>
      </c>
      <c r="AR23">
        <f t="shared" si="24"/>
        <v>0</v>
      </c>
      <c r="AS23">
        <f t="shared" si="10"/>
        <v>0</v>
      </c>
      <c r="AV23">
        <f>(AL23*Pricing!F$2+AM23*Pricing!G$2+AN23*Pricing!H$2+AO23*Pricing!I$2+AP23*Pricing!J$2+AQ23*Pricing!K$2)*IF(T$30="N",(1+V$30),1)</f>
        <v>0</v>
      </c>
      <c r="AW23">
        <f t="shared" si="11"/>
        <v>0</v>
      </c>
      <c r="AX23">
        <f t="shared" si="12"/>
        <v>0</v>
      </c>
      <c r="AY23">
        <f t="shared" si="13"/>
        <v>0</v>
      </c>
      <c r="AZ23">
        <f t="shared" si="14"/>
        <v>0</v>
      </c>
      <c r="BA23">
        <f t="shared" si="15"/>
        <v>0</v>
      </c>
      <c r="BB23">
        <f t="shared" si="16"/>
        <v>0</v>
      </c>
      <c r="BC23">
        <f t="shared" si="17"/>
        <v>0</v>
      </c>
      <c r="BD23">
        <f t="shared" si="18"/>
        <v>0</v>
      </c>
      <c r="BE23" s="514">
        <f t="shared" si="25"/>
        <v>0</v>
      </c>
      <c r="BF23">
        <f t="shared" si="26"/>
        <v>0</v>
      </c>
      <c r="BG23">
        <f t="shared" si="19"/>
        <v>0</v>
      </c>
      <c r="BH23">
        <f t="shared" si="20"/>
        <v>0</v>
      </c>
    </row>
    <row r="24" spans="1:60" ht="22" customHeight="1" x14ac:dyDescent="0.35">
      <c r="A24" s="1979" t="s">
        <v>400</v>
      </c>
      <c r="B24" s="1981"/>
      <c r="C24" s="2001">
        <v>0</v>
      </c>
      <c r="D24" s="2002"/>
      <c r="E24" s="121"/>
      <c r="F24" s="1315"/>
      <c r="G24" s="126"/>
      <c r="H24" s="30"/>
      <c r="I24" s="777"/>
      <c r="J24" s="126">
        <v>0</v>
      </c>
      <c r="K24" s="127"/>
      <c r="L24" s="30"/>
      <c r="M24" s="121"/>
      <c r="N24" s="30"/>
      <c r="O24" s="121"/>
      <c r="P24" s="121"/>
      <c r="Q24" s="1443">
        <f t="shared" si="0"/>
        <v>0</v>
      </c>
      <c r="R24" s="1444">
        <v>0</v>
      </c>
      <c r="S24" s="1380">
        <f t="shared" si="1"/>
        <v>0</v>
      </c>
      <c r="T24" s="906">
        <f t="shared" si="21"/>
        <v>0</v>
      </c>
      <c r="U24" s="1441">
        <f t="shared" si="2"/>
        <v>0</v>
      </c>
      <c r="V24" s="2488">
        <f>SUM(AV24:BH24)*(1+L$31+Summary!P$64)</f>
        <v>0</v>
      </c>
      <c r="W24" s="2489"/>
      <c r="X24" s="299"/>
      <c r="AE24">
        <f t="shared" si="22"/>
        <v>0</v>
      </c>
      <c r="AF24">
        <f t="shared" si="3"/>
        <v>0</v>
      </c>
      <c r="AK24">
        <f t="shared" si="4"/>
        <v>0</v>
      </c>
      <c r="AL24">
        <f t="shared" si="23"/>
        <v>0</v>
      </c>
      <c r="AM24">
        <f t="shared" si="5"/>
        <v>0</v>
      </c>
      <c r="AN24">
        <f t="shared" si="6"/>
        <v>0</v>
      </c>
      <c r="AO24">
        <f t="shared" si="7"/>
        <v>0</v>
      </c>
      <c r="AP24">
        <f t="shared" si="8"/>
        <v>0</v>
      </c>
      <c r="AQ24">
        <f t="shared" si="9"/>
        <v>0</v>
      </c>
      <c r="AR24">
        <f t="shared" si="24"/>
        <v>0</v>
      </c>
      <c r="AS24">
        <f t="shared" si="10"/>
        <v>0</v>
      </c>
      <c r="AV24">
        <f>(AL24*Pricing!F$2+AM24*Pricing!G$2+AN24*Pricing!H$2+AO24*Pricing!I$2+AP24*Pricing!J$2+AQ24*Pricing!K$2)*IF(T$30="N",(1+V$30),1)</f>
        <v>0</v>
      </c>
      <c r="AW24">
        <f t="shared" si="11"/>
        <v>0</v>
      </c>
      <c r="AX24">
        <f t="shared" si="12"/>
        <v>0</v>
      </c>
      <c r="AY24">
        <f t="shared" si="13"/>
        <v>0</v>
      </c>
      <c r="AZ24">
        <f t="shared" si="14"/>
        <v>0</v>
      </c>
      <c r="BA24">
        <f t="shared" si="15"/>
        <v>0</v>
      </c>
      <c r="BB24">
        <f t="shared" si="16"/>
        <v>0</v>
      </c>
      <c r="BC24">
        <f t="shared" si="17"/>
        <v>0</v>
      </c>
      <c r="BD24">
        <f t="shared" si="18"/>
        <v>0</v>
      </c>
      <c r="BE24" s="514">
        <f t="shared" si="25"/>
        <v>0</v>
      </c>
      <c r="BF24">
        <f t="shared" si="26"/>
        <v>0</v>
      </c>
      <c r="BG24">
        <f t="shared" si="19"/>
        <v>0</v>
      </c>
      <c r="BH24">
        <f t="shared" si="20"/>
        <v>0</v>
      </c>
    </row>
    <row r="25" spans="1:60" ht="22" customHeight="1" x14ac:dyDescent="0.35">
      <c r="A25" s="2556">
        <f>A26*5</f>
        <v>0</v>
      </c>
      <c r="B25" s="1981"/>
      <c r="C25" s="2001">
        <v>0</v>
      </c>
      <c r="D25" s="2002"/>
      <c r="E25" s="121"/>
      <c r="F25" s="1315"/>
      <c r="G25" s="126"/>
      <c r="H25" s="30"/>
      <c r="I25" s="777"/>
      <c r="J25" s="126">
        <v>0</v>
      </c>
      <c r="K25" s="127"/>
      <c r="L25" s="30"/>
      <c r="M25" s="121"/>
      <c r="N25" s="30"/>
      <c r="O25" s="121"/>
      <c r="P25" s="121"/>
      <c r="Q25" s="1443">
        <f t="shared" si="0"/>
        <v>0</v>
      </c>
      <c r="R25" s="1444">
        <v>0</v>
      </c>
      <c r="S25" s="1380">
        <f t="shared" si="1"/>
        <v>0</v>
      </c>
      <c r="T25" s="906">
        <f t="shared" si="21"/>
        <v>0</v>
      </c>
      <c r="U25" s="1441">
        <f t="shared" si="2"/>
        <v>0</v>
      </c>
      <c r="V25" s="2488">
        <f>SUM(AV25:BH25)*(1+L$31+Summary!P$64)</f>
        <v>0</v>
      </c>
      <c r="W25" s="2489"/>
      <c r="X25" s="299"/>
      <c r="AE25">
        <f t="shared" si="22"/>
        <v>0</v>
      </c>
      <c r="AF25">
        <f t="shared" si="3"/>
        <v>0</v>
      </c>
      <c r="AK25">
        <f t="shared" si="4"/>
        <v>0</v>
      </c>
      <c r="AL25">
        <f t="shared" si="23"/>
        <v>0</v>
      </c>
      <c r="AM25">
        <f t="shared" si="5"/>
        <v>0</v>
      </c>
      <c r="AN25">
        <f t="shared" si="6"/>
        <v>0</v>
      </c>
      <c r="AO25">
        <f t="shared" si="7"/>
        <v>0</v>
      </c>
      <c r="AP25">
        <f t="shared" si="8"/>
        <v>0</v>
      </c>
      <c r="AQ25">
        <f t="shared" si="9"/>
        <v>0</v>
      </c>
      <c r="AR25">
        <f t="shared" si="24"/>
        <v>0</v>
      </c>
      <c r="AS25">
        <f t="shared" si="10"/>
        <v>0</v>
      </c>
      <c r="AV25">
        <f>(AL25*Pricing!F$2+AM25*Pricing!G$2+AN25*Pricing!H$2+AO25*Pricing!I$2+AP25*Pricing!J$2+AQ25*Pricing!K$2)*IF(T$30="N",(1+V$30),1)</f>
        <v>0</v>
      </c>
      <c r="AW25">
        <f t="shared" si="11"/>
        <v>0</v>
      </c>
      <c r="AX25">
        <f t="shared" si="12"/>
        <v>0</v>
      </c>
      <c r="AY25">
        <f t="shared" si="13"/>
        <v>0</v>
      </c>
      <c r="AZ25">
        <f t="shared" si="14"/>
        <v>0</v>
      </c>
      <c r="BA25">
        <f t="shared" si="15"/>
        <v>0</v>
      </c>
      <c r="BB25">
        <f t="shared" si="16"/>
        <v>0</v>
      </c>
      <c r="BC25">
        <f t="shared" si="17"/>
        <v>0</v>
      </c>
      <c r="BD25">
        <f t="shared" si="18"/>
        <v>0</v>
      </c>
      <c r="BE25" s="514">
        <f t="shared" si="25"/>
        <v>0</v>
      </c>
      <c r="BF25">
        <f t="shared" si="26"/>
        <v>0</v>
      </c>
      <c r="BG25">
        <f t="shared" si="19"/>
        <v>0</v>
      </c>
      <c r="BH25">
        <f t="shared" si="20"/>
        <v>0</v>
      </c>
    </row>
    <row r="26" spans="1:60" ht="22" customHeight="1" thickBot="1" x14ac:dyDescent="0.4">
      <c r="A26" s="2949">
        <f>C27/50000</f>
        <v>0</v>
      </c>
      <c r="B26" s="2071"/>
      <c r="C26" s="1993">
        <v>0</v>
      </c>
      <c r="D26" s="1994"/>
      <c r="E26" s="128"/>
      <c r="F26" s="780"/>
      <c r="G26" s="128"/>
      <c r="H26" s="33"/>
      <c r="I26" s="778"/>
      <c r="J26" s="181">
        <v>0</v>
      </c>
      <c r="K26" s="129"/>
      <c r="L26" s="33"/>
      <c r="M26" s="128"/>
      <c r="N26" s="33"/>
      <c r="O26" s="128"/>
      <c r="P26" s="129"/>
      <c r="Q26" s="1445">
        <f t="shared" si="0"/>
        <v>0</v>
      </c>
      <c r="R26" s="1446">
        <v>0</v>
      </c>
      <c r="S26" s="1447">
        <f t="shared" si="1"/>
        <v>0</v>
      </c>
      <c r="T26" s="1383">
        <f t="shared" si="21"/>
        <v>0</v>
      </c>
      <c r="U26" s="1442">
        <f t="shared" si="2"/>
        <v>0</v>
      </c>
      <c r="V26" s="2474">
        <f>SUM(AV26:BH26)*(1+L$31+Summary!P$64)</f>
        <v>0</v>
      </c>
      <c r="W26" s="2475"/>
      <c r="X26" s="299"/>
      <c r="AE26">
        <f t="shared" si="22"/>
        <v>0</v>
      </c>
      <c r="AF26">
        <f t="shared" si="3"/>
        <v>0</v>
      </c>
      <c r="AK26">
        <f t="shared" si="4"/>
        <v>0</v>
      </c>
      <c r="AL26">
        <f t="shared" si="23"/>
        <v>0</v>
      </c>
      <c r="AM26">
        <f t="shared" si="5"/>
        <v>0</v>
      </c>
      <c r="AN26">
        <f t="shared" si="6"/>
        <v>0</v>
      </c>
      <c r="AO26">
        <f t="shared" si="7"/>
        <v>0</v>
      </c>
      <c r="AP26">
        <f t="shared" si="8"/>
        <v>0</v>
      </c>
      <c r="AQ26">
        <f t="shared" si="9"/>
        <v>0</v>
      </c>
      <c r="AR26">
        <f t="shared" si="24"/>
        <v>0</v>
      </c>
      <c r="AS26">
        <f t="shared" si="10"/>
        <v>0</v>
      </c>
      <c r="AV26">
        <f>(AL26*Pricing!F$2+AM26*Pricing!G$2+AN26*Pricing!H$2+AO26*Pricing!I$2+AP26*Pricing!J$2+AQ26*Pricing!K$2)*IF(T$30="N",(1+V$30),1)</f>
        <v>0</v>
      </c>
      <c r="AW26">
        <f t="shared" si="11"/>
        <v>0</v>
      </c>
      <c r="AX26">
        <f t="shared" si="12"/>
        <v>0</v>
      </c>
      <c r="AY26">
        <f t="shared" si="13"/>
        <v>0</v>
      </c>
      <c r="AZ26">
        <f t="shared" si="14"/>
        <v>0</v>
      </c>
      <c r="BA26">
        <f t="shared" si="15"/>
        <v>0</v>
      </c>
      <c r="BB26">
        <f t="shared" si="16"/>
        <v>0</v>
      </c>
      <c r="BC26">
        <f t="shared" si="17"/>
        <v>0</v>
      </c>
      <c r="BD26">
        <f t="shared" si="18"/>
        <v>0</v>
      </c>
      <c r="BE26" s="514">
        <f t="shared" si="25"/>
        <v>0</v>
      </c>
      <c r="BF26">
        <f t="shared" si="26"/>
        <v>0</v>
      </c>
      <c r="BG26">
        <f t="shared" si="19"/>
        <v>0</v>
      </c>
      <c r="BH26">
        <f t="shared" si="20"/>
        <v>0</v>
      </c>
    </row>
    <row r="27" spans="1:60" ht="22" customHeight="1" x14ac:dyDescent="0.35">
      <c r="A27" s="313"/>
      <c r="B27" s="298"/>
      <c r="C27" s="2940">
        <f>SUM(C10:D26)</f>
        <v>0</v>
      </c>
      <c r="D27" s="2941"/>
      <c r="E27" s="42" t="s">
        <v>98</v>
      </c>
      <c r="G27" s="298"/>
      <c r="H27" s="298"/>
      <c r="I27" s="298"/>
      <c r="J27" s="298"/>
      <c r="K27" s="298"/>
      <c r="L27" s="308"/>
      <c r="M27" s="308"/>
      <c r="N27" s="308"/>
      <c r="O27" s="308"/>
      <c r="P27" s="298"/>
      <c r="Q27" s="298"/>
      <c r="R27" s="298"/>
      <c r="S27" s="298"/>
      <c r="T27" s="298"/>
      <c r="U27" s="298"/>
      <c r="V27" s="298"/>
      <c r="W27" s="310"/>
      <c r="X27" s="299"/>
      <c r="AE27" s="290">
        <f>SUM(AE10:AE26)</f>
        <v>0</v>
      </c>
      <c r="AF27">
        <f>SUM(AF10:AF26)</f>
        <v>0</v>
      </c>
      <c r="AI27">
        <f>SUM(AK10:AK26)</f>
        <v>0</v>
      </c>
      <c r="AJ27">
        <f>SUM(AL10:AL26)</f>
        <v>0</v>
      </c>
      <c r="AK27">
        <f t="shared" ref="AK27:AQ27" si="27">SUM(AM10:AM26)</f>
        <v>0</v>
      </c>
      <c r="AL27">
        <f t="shared" si="27"/>
        <v>0</v>
      </c>
      <c r="AM27">
        <f t="shared" si="27"/>
        <v>0</v>
      </c>
      <c r="AN27">
        <f t="shared" si="27"/>
        <v>0</v>
      </c>
      <c r="AO27">
        <f t="shared" si="27"/>
        <v>0</v>
      </c>
      <c r="AP27">
        <f t="shared" si="27"/>
        <v>0</v>
      </c>
      <c r="AQ27">
        <f t="shared" si="27"/>
        <v>0</v>
      </c>
      <c r="AR27">
        <f>ROUNDUP(SUM(AT10:AT26),0)</f>
        <v>0</v>
      </c>
      <c r="AS27">
        <f>ROUNDUP(SUM(AU10:AU26),0)</f>
        <v>0</v>
      </c>
    </row>
    <row r="28" spans="1:60" ht="22" customHeight="1" thickBot="1" x14ac:dyDescent="0.4">
      <c r="A28" s="313"/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308"/>
      <c r="M28" s="308"/>
      <c r="N28" s="308"/>
      <c r="O28" s="308"/>
      <c r="P28" s="298"/>
      <c r="Q28" s="298"/>
      <c r="R28" s="298"/>
      <c r="S28" s="298"/>
      <c r="T28" s="2485">
        <f>SUM(AT28:BH28)</f>
        <v>0</v>
      </c>
      <c r="U28" s="2015"/>
      <c r="V28" s="298"/>
      <c r="W28" s="310"/>
      <c r="X28" s="299"/>
      <c r="AV28">
        <f t="shared" ref="AV28:BH28" si="28">SUM(AV10:AV27)</f>
        <v>0</v>
      </c>
      <c r="AW28">
        <f t="shared" si="28"/>
        <v>0</v>
      </c>
      <c r="AX28">
        <f t="shared" si="28"/>
        <v>0</v>
      </c>
      <c r="AY28">
        <f t="shared" si="28"/>
        <v>0</v>
      </c>
      <c r="AZ28">
        <f t="shared" si="28"/>
        <v>0</v>
      </c>
      <c r="BA28">
        <f t="shared" si="28"/>
        <v>0</v>
      </c>
      <c r="BB28">
        <f t="shared" si="28"/>
        <v>0</v>
      </c>
      <c r="BC28">
        <f t="shared" si="28"/>
        <v>0</v>
      </c>
      <c r="BD28">
        <f t="shared" si="28"/>
        <v>0</v>
      </c>
      <c r="BE28">
        <f t="shared" si="28"/>
        <v>0</v>
      </c>
      <c r="BF28">
        <f t="shared" si="28"/>
        <v>0</v>
      </c>
      <c r="BG28">
        <f t="shared" si="28"/>
        <v>0</v>
      </c>
      <c r="BH28">
        <f t="shared" si="28"/>
        <v>0</v>
      </c>
    </row>
    <row r="29" spans="1:60" ht="18" customHeight="1" thickBot="1" x14ac:dyDescent="0.4">
      <c r="A29" s="1427"/>
      <c r="B29" s="1428"/>
      <c r="C29" s="1428"/>
      <c r="D29" s="2469">
        <f>SUM(V10:W26)</f>
        <v>0</v>
      </c>
      <c r="E29" s="2470"/>
      <c r="F29" s="1428"/>
      <c r="G29" s="2469">
        <f>D31-D29</f>
        <v>0</v>
      </c>
      <c r="H29" s="2470"/>
      <c r="I29" s="1428"/>
      <c r="J29" s="1428"/>
      <c r="K29" s="1075"/>
      <c r="L29" s="1428"/>
      <c r="M29" s="1428"/>
      <c r="N29" s="1428"/>
      <c r="O29" s="1428"/>
      <c r="P29" s="899"/>
      <c r="Q29" s="1428"/>
      <c r="R29" s="1428"/>
      <c r="S29" s="1428"/>
      <c r="T29" s="1428"/>
      <c r="U29" s="1428"/>
      <c r="V29" s="1428"/>
      <c r="W29" s="1115"/>
      <c r="X29" s="299"/>
    </row>
    <row r="30" spans="1:60" ht="18" customHeight="1" x14ac:dyDescent="0.35">
      <c r="A30" s="2942" t="s">
        <v>185</v>
      </c>
      <c r="B30" s="2943"/>
      <c r="C30" s="2944"/>
      <c r="D30" s="2942" t="s">
        <v>140</v>
      </c>
      <c r="E30" s="2944"/>
      <c r="F30" s="2942" t="s">
        <v>178</v>
      </c>
      <c r="G30" s="2943"/>
      <c r="H30" s="2944"/>
      <c r="I30" s="2945" t="s">
        <v>184</v>
      </c>
      <c r="J30" s="2946"/>
      <c r="K30" s="2947"/>
      <c r="L30" s="2948" t="s">
        <v>179</v>
      </c>
      <c r="M30" s="2697"/>
      <c r="N30" s="1105"/>
      <c r="O30" s="1105"/>
      <c r="P30" s="1419"/>
      <c r="Q30" s="43" t="s">
        <v>34</v>
      </c>
      <c r="R30" s="42"/>
      <c r="S30" s="42" t="s">
        <v>220</v>
      </c>
      <c r="T30" s="1450" t="str">
        <f>Summary!P65</f>
        <v>n</v>
      </c>
      <c r="U30" s="73" t="s">
        <v>298</v>
      </c>
      <c r="V30" s="1451">
        <f>Summary!R65</f>
        <v>8.2500000000000004E-2</v>
      </c>
      <c r="W30" s="1419"/>
      <c r="X30" s="299"/>
    </row>
    <row r="31" spans="1:60" ht="18" customHeight="1" thickBot="1" x14ac:dyDescent="0.4">
      <c r="A31" s="1420" t="s">
        <v>180</v>
      </c>
      <c r="B31" s="2894">
        <f>IF(C27=0,0,D31/C27)</f>
        <v>0</v>
      </c>
      <c r="C31" s="2895"/>
      <c r="D31" s="2896">
        <f>T31*(1+L31+Summary!P64)</f>
        <v>0</v>
      </c>
      <c r="E31" s="2897"/>
      <c r="F31" s="1421">
        <f>IF(G31=0,0,G31/D31)</f>
        <v>0</v>
      </c>
      <c r="G31" s="2775">
        <f>D31-T31</f>
        <v>0</v>
      </c>
      <c r="H31" s="2898"/>
      <c r="I31" s="2899">
        <f>IF(C27=0,0,T31/C27)</f>
        <v>0</v>
      </c>
      <c r="J31" s="2900"/>
      <c r="K31" s="2901"/>
      <c r="L31" s="2977">
        <f>Summary!P63</f>
        <v>0.18</v>
      </c>
      <c r="M31" s="2978"/>
      <c r="N31" s="2978"/>
      <c r="O31" s="2978"/>
      <c r="P31" s="1419"/>
      <c r="Q31" s="86" t="s">
        <v>50</v>
      </c>
      <c r="R31" s="42"/>
      <c r="T31" s="1932">
        <f>SUM(N38:O47)+SUM(N50:O55)+SUM(N58:O60)+SUM(N62:O67)+SUM(N69:O73)+W76+N74+N75+SUM(K50:L55)</f>
        <v>0</v>
      </c>
      <c r="U31" s="1932"/>
      <c r="W31" s="1419"/>
      <c r="X31" s="299"/>
    </row>
    <row r="32" spans="1:60" ht="18" customHeight="1" thickBot="1" x14ac:dyDescent="0.4">
      <c r="A32" s="893"/>
      <c r="B32" s="891"/>
      <c r="C32" s="891"/>
      <c r="D32" s="891"/>
      <c r="E32" s="891"/>
      <c r="F32" s="891"/>
      <c r="G32" s="891"/>
      <c r="H32" s="891" t="s">
        <v>891</v>
      </c>
      <c r="I32" s="892"/>
      <c r="J32" s="2036"/>
      <c r="K32" s="2037"/>
      <c r="L32" s="893"/>
      <c r="M32" s="1899">
        <f>IF(J32&gt;0,(J32-D31)/(1+L31),0)</f>
        <v>0</v>
      </c>
      <c r="N32" s="1900"/>
      <c r="O32" s="891"/>
      <c r="P32" s="894"/>
      <c r="Q32" s="1368"/>
      <c r="R32" s="891"/>
      <c r="S32" s="891"/>
      <c r="T32" s="2828">
        <f>AD117</f>
        <v>0</v>
      </c>
      <c r="U32" s="2828"/>
      <c r="V32" s="891"/>
      <c r="W32" s="896"/>
    </row>
    <row r="33" spans="1:24" ht="20.25" customHeight="1" x14ac:dyDescent="0.35">
      <c r="A33" s="7" t="s">
        <v>632</v>
      </c>
      <c r="B33" s="989"/>
      <c r="C33" s="989"/>
      <c r="D33" s="989"/>
      <c r="E33" s="989"/>
      <c r="F33" s="989"/>
      <c r="G33" s="989"/>
      <c r="H33" s="989"/>
      <c r="I33" s="989"/>
      <c r="J33" s="989"/>
      <c r="K33" s="989"/>
      <c r="L33" s="989"/>
      <c r="M33" s="989"/>
      <c r="N33" s="989"/>
      <c r="O33" s="989"/>
      <c r="P33" s="326"/>
      <c r="Q33" s="326"/>
      <c r="R33" s="326"/>
      <c r="S33" s="298"/>
      <c r="T33" s="298"/>
      <c r="U33" s="298"/>
      <c r="V33" s="298"/>
      <c r="W33" s="298"/>
    </row>
    <row r="34" spans="1:24" ht="19" customHeight="1" x14ac:dyDescent="0.35">
      <c r="A34" s="298"/>
      <c r="B34" s="1452"/>
      <c r="C34" s="1453"/>
      <c r="D34" s="739"/>
      <c r="E34" s="739"/>
      <c r="F34" s="739"/>
      <c r="G34" s="739"/>
      <c r="H34" s="989"/>
      <c r="I34" s="989"/>
      <c r="J34" s="989"/>
      <c r="K34" s="989"/>
      <c r="L34" s="739"/>
      <c r="M34" s="739"/>
      <c r="N34" s="989"/>
      <c r="O34" s="989"/>
      <c r="P34" s="326"/>
      <c r="Q34" s="326"/>
      <c r="R34" s="326"/>
      <c r="S34" s="298"/>
      <c r="T34" s="298"/>
      <c r="U34" s="298"/>
      <c r="V34" s="298"/>
      <c r="W34" s="298"/>
    </row>
    <row r="35" spans="1:24" ht="19" customHeight="1" x14ac:dyDescent="0.35">
      <c r="A35" s="298"/>
      <c r="B35" s="1454"/>
      <c r="C35" s="739"/>
      <c r="D35" s="739"/>
      <c r="E35" s="739"/>
      <c r="F35" s="739"/>
      <c r="G35" s="1454"/>
      <c r="H35" s="1454"/>
      <c r="I35" s="989"/>
      <c r="J35" s="989"/>
      <c r="K35" s="989"/>
      <c r="L35" s="989"/>
      <c r="M35" s="1455"/>
      <c r="N35" s="1454"/>
      <c r="O35" s="739"/>
      <c r="P35" s="326"/>
      <c r="Q35" s="326"/>
      <c r="R35" s="326"/>
      <c r="S35" s="298"/>
      <c r="T35" s="298"/>
      <c r="U35" s="298"/>
      <c r="V35" s="298"/>
      <c r="W35" s="298"/>
    </row>
    <row r="36" spans="1:24" ht="19" customHeight="1" thickBot="1" x14ac:dyDescent="0.4">
      <c r="A36" s="298"/>
      <c r="B36" s="1454"/>
      <c r="C36" s="739"/>
      <c r="D36" s="739"/>
      <c r="E36" s="739"/>
      <c r="F36" s="739"/>
      <c r="G36" s="1454"/>
      <c r="H36" s="1454"/>
      <c r="I36" s="1456"/>
      <c r="J36" s="1454"/>
      <c r="K36" s="1454"/>
      <c r="L36" s="1454"/>
      <c r="M36" s="1455"/>
      <c r="N36" s="1454"/>
      <c r="O36" s="739"/>
      <c r="P36" s="298"/>
      <c r="Q36" s="298"/>
      <c r="R36" s="298"/>
      <c r="S36" s="298"/>
      <c r="T36" s="298"/>
      <c r="U36" s="298"/>
      <c r="V36" s="298"/>
      <c r="W36" s="298"/>
      <c r="X36" s="299"/>
    </row>
    <row r="37" spans="1:24" ht="32.25" customHeight="1" thickBot="1" x14ac:dyDescent="0.4">
      <c r="A37" s="862" t="s">
        <v>226</v>
      </c>
      <c r="B37" s="2295" t="s">
        <v>167</v>
      </c>
      <c r="C37" s="2295"/>
      <c r="D37" s="2295"/>
      <c r="E37" s="2295"/>
      <c r="F37" s="2295"/>
      <c r="G37" s="2295"/>
      <c r="H37" s="2295"/>
      <c r="I37" s="2295"/>
      <c r="J37" s="2295"/>
      <c r="K37" s="2295"/>
      <c r="L37" s="2295"/>
      <c r="M37" s="2295"/>
      <c r="N37" s="2295"/>
      <c r="O37" s="2296"/>
      <c r="P37" s="862" t="s">
        <v>284</v>
      </c>
      <c r="Q37" s="2656" t="s">
        <v>196</v>
      </c>
      <c r="R37" s="2657"/>
      <c r="S37" s="1082" t="s">
        <v>52</v>
      </c>
      <c r="T37" s="1256"/>
      <c r="U37" s="834" t="s">
        <v>7</v>
      </c>
      <c r="V37" s="1256"/>
      <c r="W37" s="1074"/>
      <c r="X37" s="299"/>
    </row>
    <row r="38" spans="1:24" ht="19" customHeight="1" x14ac:dyDescent="0.35">
      <c r="A38" s="12">
        <v>1</v>
      </c>
      <c r="B38" s="42" t="str">
        <f>IF(A38=1,Pricing!F$1,IF(A38=2,Pricing!G$1,IF(A38=3,Pricing!H$1,IF(A38=4,Pricing!I$1,IF(A38=5,Pricing!J$1,IF(A38=6,Pricing!K$1,0))))))</f>
        <v>3000 PSI W/ ASH PIERS, SOG</v>
      </c>
      <c r="F38" s="1457">
        <f>IF(A38=1,Pricing!F$2,IF(A38=2,Pricing!G$2,IF(A38=3,Pricing!H$2,IF(A38=4,Pricing!I$2,IF(A38=5,Pricing!J$2,IF(A38=6,Pricing!K$2,0))))))</f>
        <v>147</v>
      </c>
      <c r="G38" s="88" t="s">
        <v>168</v>
      </c>
      <c r="H38" s="2032" t="s">
        <v>323</v>
      </c>
      <c r="I38" s="2033"/>
      <c r="J38" s="2698">
        <v>0.1</v>
      </c>
      <c r="K38" s="1908">
        <f>IF(A38=1,AJ$27,IF(A38=2,AK$27,IF(A38=3,AL$27,IF(A38=4,AM$27,IF(A38=5,AN$27,IF(A38=6,AO$27))))))</f>
        <v>0</v>
      </c>
      <c r="L38" s="1909"/>
      <c r="M38" s="58" t="s">
        <v>102</v>
      </c>
      <c r="N38" s="2248">
        <f>K38*F38*(IF(T$30="N",1+V$30,1))</f>
        <v>0</v>
      </c>
      <c r="O38" s="2249"/>
      <c r="P38" s="797">
        <v>2</v>
      </c>
      <c r="Q38" s="193" t="s">
        <v>203</v>
      </c>
      <c r="R38" s="106"/>
      <c r="S38" s="194"/>
      <c r="T38" s="387" t="s">
        <v>197</v>
      </c>
      <c r="U38" s="195">
        <f>Pricing!N3</f>
        <v>0.5625</v>
      </c>
      <c r="V38" s="401" t="s">
        <v>99</v>
      </c>
      <c r="W38" s="118">
        <f>IF(T$30="Y",S38*U38,S38*U38*(1+V$30))</f>
        <v>0</v>
      </c>
      <c r="X38" s="299"/>
    </row>
    <row r="39" spans="1:24" ht="19" customHeight="1" x14ac:dyDescent="0.35">
      <c r="A39" s="13">
        <v>2</v>
      </c>
      <c r="B39" s="42" t="str">
        <f>IF(A39=1,Pricing!F$1,IF(A39=2,Pricing!G$1,IF(A39=3,Pricing!H$1,IF(A39=4,Pricing!I$1,IF(A39=5,Pricing!J$1,IF(A39=6,Pricing!K$1,0))))))</f>
        <v>3500 Psi</v>
      </c>
      <c r="F39" s="1458">
        <f>IF(A39=1,Pricing!F$2,IF(A39=2,Pricing!G$2,IF(A39=3,Pricing!H$2,IF(A39=4,Pricing!I$2,IF(A39=5,Pricing!J$2,IF(A39=6,Pricing!K$2,0))))))</f>
        <v>152</v>
      </c>
      <c r="G39" s="88" t="s">
        <v>168</v>
      </c>
      <c r="H39" s="2032"/>
      <c r="I39" s="2033"/>
      <c r="J39" s="2698"/>
      <c r="K39" s="1908">
        <f>IF(A39=1,AJ$27,IF(A39=2,AK$27,IF(A39=3,AL$27,IF(A39=4,AM$27,IF(A39=5,AN$27,IF(A39=6,AO$27))))))</f>
        <v>0</v>
      </c>
      <c r="L39" s="1909"/>
      <c r="M39" s="58" t="s">
        <v>102</v>
      </c>
      <c r="N39" s="2248">
        <f>K39*F39*(IF(T$30="N",1+V$30,1))</f>
        <v>0</v>
      </c>
      <c r="O39" s="2249"/>
      <c r="P39" s="797">
        <v>2</v>
      </c>
      <c r="Q39" s="193" t="s">
        <v>204</v>
      </c>
      <c r="R39" s="106"/>
      <c r="S39" s="194"/>
      <c r="T39" s="387" t="s">
        <v>197</v>
      </c>
      <c r="U39" s="195">
        <f>Pricing!N4</f>
        <v>0.65625</v>
      </c>
      <c r="V39" s="401" t="s">
        <v>99</v>
      </c>
      <c r="W39" s="118">
        <f>IF(T$30="Y",S39*U39,S39*U39*(1+V$30))</f>
        <v>0</v>
      </c>
      <c r="X39" s="299"/>
    </row>
    <row r="40" spans="1:24" ht="19" customHeight="1" thickBot="1" x14ac:dyDescent="0.4">
      <c r="A40" s="14">
        <v>3</v>
      </c>
      <c r="B40" s="75" t="str">
        <f>IF(A40=1,Pricing!F$1,IF(A40=2,Pricing!G$1,IF(A40=3,Pricing!H$1,IF(A40=4,Pricing!I$1,IF(A40=5,Pricing!J$1,IF(A40=6,Pricing!K$1,0))))))</f>
        <v>4000 psi</v>
      </c>
      <c r="C40" s="75"/>
      <c r="D40" s="75"/>
      <c r="E40" s="75"/>
      <c r="F40" s="1459">
        <f>IF(A40=1,Pricing!F$2,IF(A40=2,Pricing!G$2,IF(A40=3,Pricing!H$2,IF(A40=4,Pricing!I$2,IF(A40=5,Pricing!J$2,IF(A40=6,Pricing!K$2,0))))))</f>
        <v>157</v>
      </c>
      <c r="G40" s="90" t="s">
        <v>168</v>
      </c>
      <c r="H40" s="2034"/>
      <c r="I40" s="2035"/>
      <c r="J40" s="2699"/>
      <c r="K40" s="1908">
        <f>IF(A40=1,AJ$27,IF(A40=2,AK$27,IF(A40=3,AL$27,IF(A40=4,AM$27,IF(A40=5,AN$27,IF(A40=6,AO$27))))))</f>
        <v>0</v>
      </c>
      <c r="L40" s="1909"/>
      <c r="M40" s="91" t="s">
        <v>102</v>
      </c>
      <c r="N40" s="2248">
        <f>K40*F40*(IF(T$30="N",1+V$30,1))</f>
        <v>0</v>
      </c>
      <c r="O40" s="2249"/>
      <c r="P40" s="797">
        <v>2</v>
      </c>
      <c r="Q40" s="193" t="s">
        <v>206</v>
      </c>
      <c r="R40" s="106"/>
      <c r="S40" s="194">
        <f>BM42+AJ33</f>
        <v>0</v>
      </c>
      <c r="T40" s="387" t="s">
        <v>197</v>
      </c>
      <c r="U40" s="195">
        <f>Pricing!N5</f>
        <v>1</v>
      </c>
      <c r="V40" s="401" t="s">
        <v>99</v>
      </c>
      <c r="W40" s="118">
        <f>IF(T$30="Y",S40*U40,S40*U40*(1+V$30))</f>
        <v>0</v>
      </c>
      <c r="X40" s="299"/>
    </row>
    <row r="41" spans="1:24" ht="19" customHeight="1" thickTop="1" x14ac:dyDescent="0.35">
      <c r="A41" s="94"/>
      <c r="B41" s="58" t="s">
        <v>104</v>
      </c>
      <c r="F41" s="1140">
        <f>Pricing!D23</f>
        <v>0.55000000000000004</v>
      </c>
      <c r="G41" s="88" t="s">
        <v>88</v>
      </c>
      <c r="H41" s="2246" t="s">
        <v>202</v>
      </c>
      <c r="I41" s="2247"/>
      <c r="J41" s="1208">
        <v>0</v>
      </c>
      <c r="K41" s="2062">
        <f>SUM(S10:S26)</f>
        <v>0</v>
      </c>
      <c r="L41" s="2063"/>
      <c r="M41" s="42" t="s">
        <v>32</v>
      </c>
      <c r="N41" s="2366">
        <f>F41*K41*(IF(T30="N",1+V30,1))</f>
        <v>0</v>
      </c>
      <c r="O41" s="2367"/>
      <c r="P41" s="797">
        <v>2</v>
      </c>
      <c r="Q41" s="193" t="s">
        <v>205</v>
      </c>
      <c r="R41" s="106"/>
      <c r="S41" s="194">
        <f>SUM(G10:G26)*1</f>
        <v>0</v>
      </c>
      <c r="T41" s="387" t="s">
        <v>197</v>
      </c>
      <c r="U41" s="195">
        <f>Pricing!N6</f>
        <v>1.25</v>
      </c>
      <c r="V41" s="401" t="s">
        <v>99</v>
      </c>
      <c r="W41" s="118">
        <f>IF(T$30="Y",S41*U41,S41*U41*(1+V$30))</f>
        <v>0</v>
      </c>
      <c r="X41" s="299"/>
    </row>
    <row r="42" spans="1:24" ht="19" customHeight="1" x14ac:dyDescent="0.35">
      <c r="A42" s="94"/>
      <c r="B42" s="58" t="s">
        <v>86</v>
      </c>
      <c r="F42" s="1140">
        <f>Pricing!D27</f>
        <v>0.4</v>
      </c>
      <c r="G42" s="88" t="s">
        <v>69</v>
      </c>
      <c r="H42" s="2008" t="s">
        <v>202</v>
      </c>
      <c r="I42" s="2009"/>
      <c r="J42" s="1209">
        <v>0.05</v>
      </c>
      <c r="K42" s="1908">
        <f>IF(P10="Y",C10,0)+IF(P11="Y",C11,0)+IF(P12="Y",C12,0)+IF(P13="Y",C13,0)+IF(P14="Y",C14,0)+IF(P15="Y",C15,0)+IF(P16="Y",C16,0)+IF(P17="Y",C17,0)+IF(P18="Y",C18,0)+IF(P19="Y",C19,0)+IF(P20="Y",C20,0)+IF(P21="Y",C21,0)+IF(P22="Y",C22,0)+IF(P23="Y",C23,0)+IF(P24="Y",C24,0)+IF(P25="Y",C25,0)+IF(P26="Y",C26,0)</f>
        <v>0</v>
      </c>
      <c r="L42" s="1909"/>
      <c r="M42" s="42" t="s">
        <v>95</v>
      </c>
      <c r="N42" s="2248">
        <f>K42*F42*(IF(T30="N",1+V30,1))*(J42+1)</f>
        <v>0</v>
      </c>
      <c r="O42" s="2249"/>
      <c r="P42" s="797">
        <v>2</v>
      </c>
      <c r="Q42" s="193" t="s">
        <v>375</v>
      </c>
      <c r="R42" s="106"/>
      <c r="S42" s="106">
        <f>ROUNDUP(SUM(G10:G26)*0.1/16,0)</f>
        <v>0</v>
      </c>
      <c r="T42" s="106" t="s">
        <v>376</v>
      </c>
      <c r="U42" s="195">
        <f>Pricing!N8</f>
        <v>19</v>
      </c>
      <c r="V42" s="401" t="s">
        <v>294</v>
      </c>
      <c r="W42" s="118">
        <f>U42*S42</f>
        <v>0</v>
      </c>
      <c r="X42" s="299"/>
    </row>
    <row r="43" spans="1:24" ht="19" customHeight="1" x14ac:dyDescent="0.35">
      <c r="A43" s="94"/>
      <c r="B43" s="42" t="s">
        <v>731</v>
      </c>
      <c r="F43" s="739">
        <v>0</v>
      </c>
      <c r="G43" s="88" t="s">
        <v>69</v>
      </c>
      <c r="H43" s="2008" t="s">
        <v>202</v>
      </c>
      <c r="I43" s="2009"/>
      <c r="J43" s="1208">
        <v>0.05</v>
      </c>
      <c r="K43" s="2021">
        <f>AF27</f>
        <v>0</v>
      </c>
      <c r="L43" s="2015"/>
      <c r="N43" s="2248">
        <f>K43*F43*(IF(T30="N",1+V30,1))</f>
        <v>0</v>
      </c>
      <c r="O43" s="2249"/>
      <c r="P43" s="797">
        <v>2</v>
      </c>
      <c r="Q43" s="193" t="s">
        <v>207</v>
      </c>
      <c r="R43" s="106"/>
      <c r="S43" s="194">
        <f>BX26*0.35</f>
        <v>0</v>
      </c>
      <c r="T43" s="106" t="s">
        <v>209</v>
      </c>
      <c r="U43" s="195">
        <f>Pricing!N5</f>
        <v>1</v>
      </c>
      <c r="V43" s="401" t="s">
        <v>290</v>
      </c>
      <c r="W43" s="118">
        <f t="shared" ref="W43:W49" si="29">IF(T$30="Y",S43*U43,S43*U43*(1+V$30))</f>
        <v>0</v>
      </c>
      <c r="X43" s="299"/>
    </row>
    <row r="44" spans="1:24" ht="19" customHeight="1" thickBot="1" x14ac:dyDescent="0.4">
      <c r="A44" s="94"/>
      <c r="B44" s="75" t="s">
        <v>302</v>
      </c>
      <c r="C44" s="75"/>
      <c r="D44" s="75"/>
      <c r="E44" s="75"/>
      <c r="F44" s="1141">
        <v>0.35</v>
      </c>
      <c r="G44" s="90" t="s">
        <v>69</v>
      </c>
      <c r="H44" s="75" t="s">
        <v>199</v>
      </c>
      <c r="I44" s="2723">
        <v>0</v>
      </c>
      <c r="J44" s="2723"/>
      <c r="K44" s="2321"/>
      <c r="L44" s="2322"/>
      <c r="M44" s="75" t="s">
        <v>95</v>
      </c>
      <c r="N44" s="2373">
        <f>IF(I44=0,K44*F44,I44)</f>
        <v>0</v>
      </c>
      <c r="O44" s="2374"/>
      <c r="P44" s="797">
        <v>2</v>
      </c>
      <c r="Q44" s="193" t="s">
        <v>225</v>
      </c>
      <c r="R44" s="106"/>
      <c r="S44" s="194">
        <f>ROUND(S39/25,0)</f>
        <v>0</v>
      </c>
      <c r="T44" s="106" t="s">
        <v>224</v>
      </c>
      <c r="U44" s="195">
        <f>Pricing!N14</f>
        <v>18</v>
      </c>
      <c r="V44" s="401" t="s">
        <v>291</v>
      </c>
      <c r="W44" s="118">
        <f t="shared" si="29"/>
        <v>0</v>
      </c>
      <c r="X44" s="299"/>
    </row>
    <row r="45" spans="1:24" ht="19" customHeight="1" thickTop="1" x14ac:dyDescent="0.35">
      <c r="A45" s="94"/>
      <c r="B45" s="58" t="s">
        <v>103</v>
      </c>
      <c r="F45" s="1142">
        <f>Pricing!D18</f>
        <v>25</v>
      </c>
      <c r="G45" s="88" t="s">
        <v>169</v>
      </c>
      <c r="H45" s="2444" t="s">
        <v>202</v>
      </c>
      <c r="I45" s="2445"/>
      <c r="J45" s="2659">
        <v>0.05</v>
      </c>
      <c r="K45" s="1909">
        <f>SUM(Q10:Q26)</f>
        <v>0</v>
      </c>
      <c r="L45" s="1909"/>
      <c r="M45" s="42" t="s">
        <v>102</v>
      </c>
      <c r="N45" s="2366">
        <f>K45*F45*(IF(T30="N",(1+V30),1))</f>
        <v>0</v>
      </c>
      <c r="O45" s="2367"/>
      <c r="P45" s="797">
        <v>2</v>
      </c>
      <c r="Q45" s="193" t="s">
        <v>0</v>
      </c>
      <c r="R45" s="106"/>
      <c r="S45" s="197">
        <f>ROUNDUP(SUM(S38:S41)*1.25/1500,0)</f>
        <v>0</v>
      </c>
      <c r="T45" s="106" t="s">
        <v>6</v>
      </c>
      <c r="U45" s="195">
        <f>Pricing!N7</f>
        <v>50</v>
      </c>
      <c r="V45" s="401" t="s">
        <v>292</v>
      </c>
      <c r="W45" s="118">
        <f t="shared" si="29"/>
        <v>0</v>
      </c>
      <c r="X45" s="299"/>
    </row>
    <row r="46" spans="1:24" ht="19" customHeight="1" thickBot="1" x14ac:dyDescent="0.4">
      <c r="A46" s="94"/>
      <c r="B46" s="91" t="s">
        <v>362</v>
      </c>
      <c r="C46" s="75"/>
      <c r="D46" s="95"/>
      <c r="E46" s="75"/>
      <c r="F46" s="1143">
        <v>20</v>
      </c>
      <c r="G46" s="90" t="s">
        <v>124</v>
      </c>
      <c r="H46" s="2446"/>
      <c r="I46" s="2447"/>
      <c r="J46" s="2660"/>
      <c r="K46" s="2061">
        <v>0</v>
      </c>
      <c r="L46" s="2061"/>
      <c r="M46" s="75" t="s">
        <v>102</v>
      </c>
      <c r="N46" s="2300">
        <f>K46*F46*(IF(T30="N",(1+V30),1))</f>
        <v>0</v>
      </c>
      <c r="O46" s="2301"/>
      <c r="P46" s="797">
        <v>2</v>
      </c>
      <c r="Q46" s="193" t="s">
        <v>2</v>
      </c>
      <c r="R46" s="106"/>
      <c r="S46" s="194">
        <f>ROUNDUP(SUM(S38:S41)*1.25/3000,0)</f>
        <v>0</v>
      </c>
      <c r="T46" s="106" t="s">
        <v>6</v>
      </c>
      <c r="U46" s="195">
        <f>Pricing!N14</f>
        <v>18</v>
      </c>
      <c r="V46" s="401" t="s">
        <v>292</v>
      </c>
      <c r="W46" s="118">
        <f t="shared" si="29"/>
        <v>0</v>
      </c>
      <c r="X46" s="299"/>
    </row>
    <row r="47" spans="1:24" ht="19" customHeight="1" thickTop="1" thickBot="1" x14ac:dyDescent="0.4">
      <c r="A47" s="175"/>
      <c r="B47" s="49" t="s">
        <v>70</v>
      </c>
      <c r="C47" s="49"/>
      <c r="D47" s="49"/>
      <c r="E47" s="49"/>
      <c r="F47" s="1205">
        <v>0.65</v>
      </c>
      <c r="G47" s="96" t="s">
        <v>193</v>
      </c>
      <c r="H47" s="2360" t="s">
        <v>195</v>
      </c>
      <c r="I47" s="2361"/>
      <c r="J47" s="1212">
        <v>0</v>
      </c>
      <c r="K47" s="2938">
        <v>500</v>
      </c>
      <c r="L47" s="2939"/>
      <c r="M47" s="49" t="s">
        <v>42</v>
      </c>
      <c r="N47" s="2351">
        <f>F47*J47*K47</f>
        <v>0</v>
      </c>
      <c r="O47" s="2352"/>
      <c r="P47" s="797">
        <v>2</v>
      </c>
      <c r="Q47" s="193" t="s">
        <v>1</v>
      </c>
      <c r="R47" s="106"/>
      <c r="S47" s="194">
        <f>S46</f>
        <v>0</v>
      </c>
      <c r="T47" s="106" t="s">
        <v>6</v>
      </c>
      <c r="U47" s="195">
        <f>Pricing!N15</f>
        <v>42</v>
      </c>
      <c r="V47" s="401" t="s">
        <v>292</v>
      </c>
      <c r="W47" s="118">
        <f t="shared" si="29"/>
        <v>0</v>
      </c>
      <c r="X47" s="299"/>
    </row>
    <row r="48" spans="1:24" ht="19" customHeight="1" thickBot="1" x14ac:dyDescent="0.4">
      <c r="A48" s="313"/>
      <c r="B48" s="298"/>
      <c r="C48" s="298"/>
      <c r="D48" s="298"/>
      <c r="E48" s="298"/>
      <c r="F48" s="298"/>
      <c r="G48" s="1369"/>
      <c r="H48" s="308"/>
      <c r="I48" s="308"/>
      <c r="J48" s="1370"/>
      <c r="K48" s="1371"/>
      <c r="L48" s="1371"/>
      <c r="M48" s="298"/>
      <c r="N48" s="1372"/>
      <c r="O48" s="1373"/>
      <c r="P48" s="797">
        <v>2</v>
      </c>
      <c r="Q48" s="193" t="s">
        <v>210</v>
      </c>
      <c r="R48" s="106"/>
      <c r="S48" s="194"/>
      <c r="T48" s="106" t="s">
        <v>6</v>
      </c>
      <c r="U48" s="195">
        <f>Pricing!N16</f>
        <v>42</v>
      </c>
      <c r="V48" s="401" t="s">
        <v>292</v>
      </c>
      <c r="W48" s="118">
        <f t="shared" si="29"/>
        <v>0</v>
      </c>
      <c r="X48" s="299"/>
    </row>
    <row r="49" spans="1:30" ht="19" customHeight="1" thickBot="1" x14ac:dyDescent="0.4">
      <c r="A49" s="835" t="s">
        <v>221</v>
      </c>
      <c r="B49" s="834"/>
      <c r="C49" s="834" t="s">
        <v>299</v>
      </c>
      <c r="D49" s="834"/>
      <c r="E49" s="834"/>
      <c r="F49" s="834"/>
      <c r="G49" s="1072"/>
      <c r="H49" s="1072"/>
      <c r="I49" s="1072"/>
      <c r="J49" s="834"/>
      <c r="K49" s="2306" t="s">
        <v>45</v>
      </c>
      <c r="L49" s="2306"/>
      <c r="M49" s="2306" t="s">
        <v>300</v>
      </c>
      <c r="N49" s="2306"/>
      <c r="O49" s="2307"/>
      <c r="P49" s="797">
        <v>2</v>
      </c>
      <c r="Q49" s="193" t="s">
        <v>236</v>
      </c>
      <c r="R49" s="106"/>
      <c r="S49" s="194">
        <f>BL48+AI48</f>
        <v>0</v>
      </c>
      <c r="T49" s="106" t="s">
        <v>197</v>
      </c>
      <c r="U49" s="195">
        <f>Pricing!N17</f>
        <v>42</v>
      </c>
      <c r="V49" s="401" t="s">
        <v>99</v>
      </c>
      <c r="W49" s="118">
        <f t="shared" si="29"/>
        <v>0</v>
      </c>
      <c r="X49" s="299"/>
    </row>
    <row r="50" spans="1:30" ht="19" customHeight="1" x14ac:dyDescent="0.35">
      <c r="A50" s="43" t="s">
        <v>329</v>
      </c>
      <c r="B50" s="57"/>
      <c r="C50" s="97" t="s">
        <v>200</v>
      </c>
      <c r="D50" s="1844">
        <v>0.25</v>
      </c>
      <c r="E50" s="1845"/>
      <c r="F50" s="88" t="s">
        <v>191</v>
      </c>
      <c r="G50" s="2937">
        <f>SUM(D50:E53)</f>
        <v>1.05</v>
      </c>
      <c r="H50" s="2932">
        <f>C27</f>
        <v>0</v>
      </c>
      <c r="I50" s="2933"/>
      <c r="J50" s="42" t="s">
        <v>95</v>
      </c>
      <c r="K50" s="2231">
        <f t="shared" ref="K50:K55" si="30">IF(C50="N",D50*H50,0)</f>
        <v>0</v>
      </c>
      <c r="L50" s="2231"/>
      <c r="M50"/>
      <c r="N50" s="2730">
        <f>IF(C50="y",H$50*D50,0)</f>
        <v>0</v>
      </c>
      <c r="O50" s="2731"/>
      <c r="P50" s="797">
        <v>2</v>
      </c>
      <c r="Q50" s="193" t="s">
        <v>119</v>
      </c>
      <c r="R50" s="106"/>
      <c r="S50" s="194"/>
      <c r="T50" s="106" t="s">
        <v>197</v>
      </c>
      <c r="U50" s="195">
        <f>Pricing!N33</f>
        <v>25.5</v>
      </c>
      <c r="V50" s="401" t="s">
        <v>99</v>
      </c>
      <c r="W50" s="118">
        <f>IF(T$30="Y",S50*U50,S50*U50*(1+V$30))</f>
        <v>0</v>
      </c>
      <c r="X50" s="299"/>
    </row>
    <row r="51" spans="1:30" ht="19" customHeight="1" x14ac:dyDescent="0.35">
      <c r="A51" s="92" t="s">
        <v>445</v>
      </c>
      <c r="B51" s="69"/>
      <c r="C51" s="173" t="s">
        <v>200</v>
      </c>
      <c r="D51" s="1844">
        <v>0.25</v>
      </c>
      <c r="E51" s="1845"/>
      <c r="F51" s="88" t="s">
        <v>118</v>
      </c>
      <c r="G51" s="2816"/>
      <c r="H51" s="2934"/>
      <c r="I51" s="2819"/>
      <c r="J51" s="69" t="s">
        <v>95</v>
      </c>
      <c r="K51" s="2231">
        <f>IF(C51="N",D51*H51,0)</f>
        <v>0</v>
      </c>
      <c r="L51" s="2231"/>
      <c r="M51"/>
      <c r="N51" s="2730">
        <f>IF(C51="y",H$50*D51,0)</f>
        <v>0</v>
      </c>
      <c r="O51" s="2731"/>
      <c r="P51" s="797">
        <v>2</v>
      </c>
      <c r="Q51" s="193" t="s">
        <v>363</v>
      </c>
      <c r="R51" s="106"/>
      <c r="S51" s="194"/>
      <c r="T51" s="106" t="s">
        <v>42</v>
      </c>
      <c r="U51" s="195">
        <f>Pricing!N11</f>
        <v>1.25</v>
      </c>
      <c r="V51" s="401" t="s">
        <v>292</v>
      </c>
      <c r="W51" s="118">
        <f>IF(T$30="Y",S51*U51,S51*U51*(1+V$30))</f>
        <v>0</v>
      </c>
      <c r="X51" s="299"/>
    </row>
    <row r="52" spans="1:30" ht="19" customHeight="1" x14ac:dyDescent="0.35">
      <c r="A52" s="92" t="s">
        <v>162</v>
      </c>
      <c r="B52" s="57"/>
      <c r="C52" s="98" t="s">
        <v>200</v>
      </c>
      <c r="D52" s="1844">
        <v>0.5</v>
      </c>
      <c r="E52" s="1845"/>
      <c r="F52" s="88" t="s">
        <v>191</v>
      </c>
      <c r="G52" s="2816"/>
      <c r="H52" s="2934"/>
      <c r="I52" s="2819"/>
      <c r="J52" s="42" t="s">
        <v>95</v>
      </c>
      <c r="K52" s="2231">
        <f t="shared" si="30"/>
        <v>0</v>
      </c>
      <c r="L52" s="2231"/>
      <c r="M52"/>
      <c r="N52" s="2730">
        <f>IF(C52="y",H$50*D52,0)</f>
        <v>0</v>
      </c>
      <c r="O52" s="2731"/>
      <c r="P52" s="797">
        <v>2</v>
      </c>
      <c r="Q52" s="193" t="s">
        <v>367</v>
      </c>
      <c r="R52" s="106"/>
      <c r="S52" s="194"/>
      <c r="T52" s="106" t="s">
        <v>42</v>
      </c>
      <c r="U52" s="195">
        <f>Pricing!N12</f>
        <v>0.9</v>
      </c>
      <c r="V52" s="106"/>
      <c r="W52" s="118">
        <f>U52*S52</f>
        <v>0</v>
      </c>
      <c r="X52" s="299"/>
    </row>
    <row r="53" spans="1:30" ht="19" customHeight="1" x14ac:dyDescent="0.35">
      <c r="A53" s="92" t="s">
        <v>84</v>
      </c>
      <c r="B53" s="57"/>
      <c r="C53" s="98" t="s">
        <v>200</v>
      </c>
      <c r="D53" s="1844">
        <v>0.05</v>
      </c>
      <c r="E53" s="1845"/>
      <c r="F53" s="88" t="s">
        <v>191</v>
      </c>
      <c r="G53" s="2817"/>
      <c r="H53" s="2935"/>
      <c r="I53" s="2936"/>
      <c r="J53" s="7" t="s">
        <v>95</v>
      </c>
      <c r="K53" s="2231">
        <f t="shared" si="30"/>
        <v>0</v>
      </c>
      <c r="L53" s="2231"/>
      <c r="M53"/>
      <c r="N53" s="2730">
        <f>IF(C53="y",H$50*D53,0)</f>
        <v>0</v>
      </c>
      <c r="O53" s="2731"/>
      <c r="P53" s="1437">
        <v>2</v>
      </c>
      <c r="Q53" s="405" t="s">
        <v>368</v>
      </c>
      <c r="R53" s="149"/>
      <c r="S53" s="406"/>
      <c r="T53" s="149" t="s">
        <v>42</v>
      </c>
      <c r="U53" s="68">
        <f>Pricing!N9</f>
        <v>0.15</v>
      </c>
      <c r="V53" s="149"/>
      <c r="W53" s="224">
        <f>U53*S53</f>
        <v>0</v>
      </c>
      <c r="X53" s="299"/>
    </row>
    <row r="54" spans="1:30" ht="19" customHeight="1" x14ac:dyDescent="0.35">
      <c r="A54" s="64" t="s">
        <v>33</v>
      </c>
      <c r="B54" s="35"/>
      <c r="C54" s="16" t="s">
        <v>200</v>
      </c>
      <c r="D54" s="2930">
        <v>300</v>
      </c>
      <c r="E54" s="2931"/>
      <c r="F54" s="17" t="s">
        <v>89</v>
      </c>
      <c r="G54" s="7"/>
      <c r="H54" s="1909">
        <f>SUM(S10:S26)/2000</f>
        <v>0</v>
      </c>
      <c r="I54" s="1909"/>
      <c r="J54" s="7" t="s">
        <v>183</v>
      </c>
      <c r="K54" s="2231">
        <f t="shared" si="30"/>
        <v>0</v>
      </c>
      <c r="L54" s="2231"/>
      <c r="M54"/>
      <c r="N54" s="2730">
        <f>IF(C54="y",H54*D54,0)</f>
        <v>0</v>
      </c>
      <c r="O54" s="2731"/>
      <c r="P54" s="1437">
        <v>2</v>
      </c>
      <c r="Q54" s="405" t="s">
        <v>747</v>
      </c>
      <c r="R54" s="149"/>
      <c r="S54" s="406">
        <f>C27/1600</f>
        <v>0</v>
      </c>
      <c r="T54" s="149" t="s">
        <v>498</v>
      </c>
      <c r="U54" s="68">
        <v>250</v>
      </c>
      <c r="V54" s="149"/>
      <c r="W54" s="224">
        <f t="shared" ref="W54:W62" si="31">S54*U54</f>
        <v>0</v>
      </c>
      <c r="X54" s="299"/>
    </row>
    <row r="55" spans="1:30" ht="19" customHeight="1" x14ac:dyDescent="0.35">
      <c r="A55" s="55" t="s">
        <v>354</v>
      </c>
      <c r="B55" s="138"/>
      <c r="C55" s="16" t="s">
        <v>200</v>
      </c>
      <c r="D55" s="2926">
        <v>2</v>
      </c>
      <c r="E55" s="2927"/>
      <c r="F55" s="225" t="s">
        <v>42</v>
      </c>
      <c r="G55" s="24"/>
      <c r="H55" s="2928">
        <f>SUM(J10:J26)</f>
        <v>0</v>
      </c>
      <c r="I55" s="2928"/>
      <c r="J55" s="24" t="s">
        <v>42</v>
      </c>
      <c r="K55" s="2258">
        <f t="shared" si="30"/>
        <v>0</v>
      </c>
      <c r="L55" s="2258"/>
      <c r="M55"/>
      <c r="N55" s="2737">
        <f>IF(C55="y",H55*D55,0)</f>
        <v>0</v>
      </c>
      <c r="O55" s="2738"/>
      <c r="P55" s="1437">
        <v>2</v>
      </c>
      <c r="Q55" s="405"/>
      <c r="R55" s="149"/>
      <c r="S55" s="406"/>
      <c r="T55" s="149"/>
      <c r="U55" s="68">
        <v>0</v>
      </c>
      <c r="V55" s="149"/>
      <c r="W55" s="224">
        <f t="shared" si="31"/>
        <v>0</v>
      </c>
      <c r="X55" s="299"/>
    </row>
    <row r="56" spans="1:30" ht="19" customHeight="1" thickBot="1" x14ac:dyDescent="0.4">
      <c r="A56" s="1374" t="s">
        <v>223</v>
      </c>
      <c r="B56" s="1104"/>
      <c r="C56" s="1375"/>
      <c r="D56" s="1844">
        <f>IF(H50=0,0,(N56+K56)/H50)</f>
        <v>0</v>
      </c>
      <c r="E56" s="1845"/>
      <c r="F56" s="57"/>
      <c r="H56" s="2870" t="s">
        <v>50</v>
      </c>
      <c r="I56" s="2870"/>
      <c r="J56" s="2870"/>
      <c r="K56" s="2929">
        <f>SUM(K50:L55)</f>
        <v>0</v>
      </c>
      <c r="L56" s="2929"/>
      <c r="M56"/>
      <c r="N56" s="2730">
        <f>SUM(N50:O55)</f>
        <v>0</v>
      </c>
      <c r="O56" s="2731"/>
      <c r="P56" s="1437">
        <v>2</v>
      </c>
      <c r="Q56" s="405"/>
      <c r="R56" s="149"/>
      <c r="S56" s="406">
        <f>BL53+BT53</f>
        <v>0</v>
      </c>
      <c r="T56" s="149"/>
      <c r="U56" s="68">
        <f>BO53</f>
        <v>0</v>
      </c>
      <c r="V56" s="149"/>
      <c r="W56" s="224">
        <f t="shared" si="31"/>
        <v>0</v>
      </c>
      <c r="X56" s="299"/>
    </row>
    <row r="57" spans="1:30" ht="19" customHeight="1" thickBot="1" x14ac:dyDescent="0.4">
      <c r="A57" s="2305" t="s">
        <v>374</v>
      </c>
      <c r="B57" s="2306"/>
      <c r="C57" s="2306"/>
      <c r="D57" s="2306"/>
      <c r="E57" s="2306"/>
      <c r="F57" s="2306"/>
      <c r="G57" s="2306"/>
      <c r="H57" s="2306"/>
      <c r="I57" s="2306"/>
      <c r="J57" s="2306"/>
      <c r="K57" s="2306"/>
      <c r="L57" s="1917"/>
      <c r="M57" s="1917"/>
      <c r="N57" s="2306"/>
      <c r="O57" s="2307"/>
      <c r="P57" s="1437">
        <v>2</v>
      </c>
      <c r="Q57" s="405"/>
      <c r="R57" s="149"/>
      <c r="S57" s="406">
        <f>BL55+BT55</f>
        <v>0</v>
      </c>
      <c r="T57" s="149"/>
      <c r="U57" s="68">
        <f>BO55</f>
        <v>0</v>
      </c>
      <c r="V57" s="149"/>
      <c r="W57" s="224">
        <f t="shared" si="31"/>
        <v>0</v>
      </c>
      <c r="X57" s="299"/>
    </row>
    <row r="58" spans="1:30" ht="19" customHeight="1" x14ac:dyDescent="0.35">
      <c r="A58" s="64" t="s">
        <v>173</v>
      </c>
      <c r="B58" s="7"/>
      <c r="C58" s="406"/>
      <c r="D58" s="1460">
        <v>0</v>
      </c>
      <c r="E58" s="7" t="s">
        <v>187</v>
      </c>
      <c r="F58" s="1470">
        <v>390</v>
      </c>
      <c r="G58" s="1439" t="s">
        <v>68</v>
      </c>
      <c r="H58" s="7"/>
      <c r="I58" s="7"/>
      <c r="J58" s="7"/>
      <c r="K58" s="7"/>
      <c r="L58" s="2922">
        <f>IF(D31=0,0,(SUM(N58:O60))/D31)</f>
        <v>0</v>
      </c>
      <c r="M58" s="2923"/>
      <c r="N58" s="2261">
        <f>D58*F58</f>
        <v>0</v>
      </c>
      <c r="O58" s="2262"/>
      <c r="P58" s="1437">
        <v>2</v>
      </c>
      <c r="Q58" s="405"/>
      <c r="R58" s="149"/>
      <c r="S58" s="406">
        <f>BL56+BT56</f>
        <v>0</v>
      </c>
      <c r="T58" s="407"/>
      <c r="U58" s="68">
        <f>BO56</f>
        <v>0</v>
      </c>
      <c r="V58" s="149"/>
      <c r="W58" s="224">
        <f t="shared" si="31"/>
        <v>0</v>
      </c>
      <c r="X58" s="299"/>
      <c r="Y58" t="s">
        <v>237</v>
      </c>
    </row>
    <row r="59" spans="1:30" ht="19" customHeight="1" x14ac:dyDescent="0.35">
      <c r="A59" s="64" t="s">
        <v>158</v>
      </c>
      <c r="B59" s="7"/>
      <c r="C59" s="7"/>
      <c r="D59" s="1461">
        <v>0</v>
      </c>
      <c r="E59" s="146" t="s">
        <v>187</v>
      </c>
      <c r="F59" s="1471">
        <v>295</v>
      </c>
      <c r="G59" s="147" t="s">
        <v>68</v>
      </c>
      <c r="H59" s="7"/>
      <c r="I59" s="7"/>
      <c r="J59" s="7"/>
      <c r="K59" s="7"/>
      <c r="L59" s="2920">
        <f>SUM(N58:O60)</f>
        <v>0</v>
      </c>
      <c r="M59" s="2921"/>
      <c r="N59" s="2261">
        <f>D59*F59</f>
        <v>0</v>
      </c>
      <c r="O59" s="2262"/>
      <c r="P59" s="1437">
        <v>2</v>
      </c>
      <c r="Q59" s="405"/>
      <c r="R59" s="149"/>
      <c r="S59" s="406"/>
      <c r="T59" s="149"/>
      <c r="U59" s="68"/>
      <c r="V59" s="149"/>
      <c r="W59" s="224">
        <f t="shared" si="31"/>
        <v>0</v>
      </c>
      <c r="X59" s="299"/>
      <c r="Y59" t="s">
        <v>126</v>
      </c>
      <c r="Z59">
        <v>0</v>
      </c>
    </row>
    <row r="60" spans="1:30" ht="19" customHeight="1" thickBot="1" x14ac:dyDescent="0.4">
      <c r="A60" s="64" t="s">
        <v>188</v>
      </c>
      <c r="B60" s="7"/>
      <c r="C60" s="7"/>
      <c r="D60" s="1462">
        <f>D58</f>
        <v>0</v>
      </c>
      <c r="E60" s="7" t="s">
        <v>187</v>
      </c>
      <c r="F60" s="1472">
        <v>100</v>
      </c>
      <c r="G60" s="17" t="s">
        <v>68</v>
      </c>
      <c r="H60" s="7"/>
      <c r="I60" s="7"/>
      <c r="J60" s="7"/>
      <c r="K60" s="7"/>
      <c r="L60" s="7"/>
      <c r="M60" s="7"/>
      <c r="N60" s="2261">
        <f>D60*F60</f>
        <v>0</v>
      </c>
      <c r="O60" s="2262"/>
      <c r="P60" s="1437">
        <v>2</v>
      </c>
      <c r="Q60" s="405"/>
      <c r="R60" s="149"/>
      <c r="S60" s="406"/>
      <c r="T60" s="149"/>
      <c r="U60" s="68"/>
      <c r="V60" s="149"/>
      <c r="W60" s="224">
        <f t="shared" si="31"/>
        <v>0</v>
      </c>
      <c r="X60" s="299"/>
      <c r="Y60" t="s">
        <v>238</v>
      </c>
      <c r="Z60">
        <v>0</v>
      </c>
    </row>
    <row r="61" spans="1:30" ht="19" customHeight="1" thickBot="1" x14ac:dyDescent="0.4">
      <c r="A61" s="2305" t="s">
        <v>44</v>
      </c>
      <c r="B61" s="2306"/>
      <c r="C61" s="2306"/>
      <c r="D61" s="2306"/>
      <c r="E61" s="2306"/>
      <c r="F61" s="2306"/>
      <c r="G61" s="2306"/>
      <c r="H61" s="2306"/>
      <c r="I61" s="2306"/>
      <c r="J61" s="2306"/>
      <c r="K61" s="2306"/>
      <c r="L61" s="2306"/>
      <c r="M61" s="2306"/>
      <c r="N61" s="2306"/>
      <c r="O61" s="2307"/>
      <c r="P61" s="1437">
        <v>2</v>
      </c>
      <c r="Q61" s="405"/>
      <c r="R61" s="149"/>
      <c r="S61" s="406"/>
      <c r="T61" s="149"/>
      <c r="U61" s="68"/>
      <c r="V61" s="408"/>
      <c r="W61" s="224">
        <f t="shared" si="31"/>
        <v>0</v>
      </c>
      <c r="X61" s="299"/>
      <c r="Y61" t="s">
        <v>283</v>
      </c>
      <c r="Z61">
        <v>0</v>
      </c>
    </row>
    <row r="62" spans="1:30" ht="19" customHeight="1" x14ac:dyDescent="0.35">
      <c r="A62" s="2875" t="s">
        <v>90</v>
      </c>
      <c r="B62" s="2876"/>
      <c r="C62" s="2906"/>
      <c r="D62" s="1460">
        <v>0</v>
      </c>
      <c r="E62" s="7" t="s">
        <v>107</v>
      </c>
      <c r="F62" s="1470">
        <f>Pricing!D31</f>
        <v>385</v>
      </c>
      <c r="G62" s="17" t="s">
        <v>68</v>
      </c>
      <c r="H62" s="7"/>
      <c r="I62" s="7"/>
      <c r="J62" s="7"/>
      <c r="K62" s="7"/>
      <c r="L62" s="7"/>
      <c r="M62" s="7"/>
      <c r="N62" s="2261">
        <f>(IF(AND(D62&gt;0,D62&lt;4),D62*F62,0)+IF(AND(D62&gt;3,D62&lt;8),F62*3,0)+IF(AND(D62&gt;7,D62&lt;21),D62/7*F62*3,0)+IF(AND(D62&gt;20,D62&lt;30),F62*9,0)+IF(D62&gt;29,D62/30*F62*9,0))*(1+V$30+I$64)</f>
        <v>0</v>
      </c>
      <c r="O62" s="2262"/>
      <c r="P62" s="1437">
        <v>2</v>
      </c>
      <c r="Q62" s="405"/>
      <c r="R62" s="149"/>
      <c r="S62" s="406">
        <f>BL55+BT55</f>
        <v>0</v>
      </c>
      <c r="T62" s="149"/>
      <c r="U62" s="68">
        <f>BO55</f>
        <v>0</v>
      </c>
      <c r="V62" s="149"/>
      <c r="W62" s="224">
        <f t="shared" si="31"/>
        <v>0</v>
      </c>
      <c r="X62" s="299"/>
      <c r="Y62" t="s">
        <v>239</v>
      </c>
      <c r="Z62" t="s">
        <v>240</v>
      </c>
      <c r="AD62" t="s">
        <v>92</v>
      </c>
    </row>
    <row r="63" spans="1:30" ht="19" customHeight="1" thickBot="1" x14ac:dyDescent="0.4">
      <c r="A63" s="2875" t="s">
        <v>91</v>
      </c>
      <c r="B63" s="2876"/>
      <c r="C63" s="2906"/>
      <c r="D63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3" s="7" t="s">
        <v>107</v>
      </c>
      <c r="F63" s="1470">
        <f>Pricing!D33</f>
        <v>350</v>
      </c>
      <c r="G63" s="17" t="s">
        <v>68</v>
      </c>
      <c r="H63" s="7"/>
      <c r="I63" s="2924" t="s">
        <v>469</v>
      </c>
      <c r="J63" s="2925"/>
      <c r="K63" s="7"/>
      <c r="L63" s="2922">
        <f>IF(D31=0,0,(SUM(N62:O67))/D31)</f>
        <v>0</v>
      </c>
      <c r="M63" s="2923"/>
      <c r="N63" s="2261">
        <f>(IF(AND(D63&gt;0,D63&lt;4),D63*F63,0)+IF(AND(D63&gt;3,D63&lt;8),F63*3,0)+IF(AND(D63&gt;7,D63&lt;21),D63/7*F63*3,0)+IF(AND(D63&gt;20,D63&lt;30),F63*9,0)+IF(D63&gt;29,D63/30*F63*9,0))*(1+V$30+I$64)</f>
        <v>0</v>
      </c>
      <c r="O63" s="2262"/>
      <c r="P63" s="1437">
        <v>2</v>
      </c>
      <c r="Q63" s="851" t="s">
        <v>892</v>
      </c>
      <c r="R63" s="852"/>
      <c r="S63" s="851"/>
      <c r="T63" s="853"/>
      <c r="U63" s="1882"/>
      <c r="V63" s="2702"/>
      <c r="W63" s="850">
        <f>U63</f>
        <v>0</v>
      </c>
      <c r="X63" s="299"/>
    </row>
    <row r="64" spans="1:30" ht="19" customHeight="1" thickTop="1" x14ac:dyDescent="0.35">
      <c r="A64" s="2875" t="s">
        <v>16</v>
      </c>
      <c r="B64" s="2876"/>
      <c r="C64" s="2906"/>
      <c r="D64" s="1460"/>
      <c r="E64" s="149" t="s">
        <v>107</v>
      </c>
      <c r="F64" s="1471">
        <f>Pricing!D34</f>
        <v>300</v>
      </c>
      <c r="G64" s="17" t="s">
        <v>68</v>
      </c>
      <c r="H64" s="7"/>
      <c r="I64" s="2916">
        <v>0.5</v>
      </c>
      <c r="J64" s="2917"/>
      <c r="K64" s="7"/>
      <c r="L64" s="2920">
        <f>SUM(N62:O67)</f>
        <v>0</v>
      </c>
      <c r="M64" s="2921"/>
      <c r="N64" s="2261">
        <f>(IF(AND(D64&gt;0,D64&lt;4),D64*F64,0)+IF(AND(D64&gt;3,D64&lt;8),F64*3,0)+IF(AND(D64&gt;7,D64&lt;21),D64/7*F64*3,0)+IF(AND(D64&gt;20,D64&lt;30),F64*9,0)+IF(D64&gt;29,D64/30*F64*9,0))*(1+V$30+I$64)</f>
        <v>0</v>
      </c>
      <c r="O64" s="2262"/>
      <c r="P64" s="1437">
        <v>6</v>
      </c>
      <c r="Q64" s="405" t="s">
        <v>287</v>
      </c>
      <c r="R64" s="149"/>
      <c r="S64" s="412">
        <f>ROUNDUP(C27/15000,0)</f>
        <v>0</v>
      </c>
      <c r="T64" s="149" t="s">
        <v>288</v>
      </c>
      <c r="U64" s="68">
        <f>Pricing!N37</f>
        <v>35</v>
      </c>
      <c r="V64" s="408" t="s">
        <v>293</v>
      </c>
      <c r="W64" s="38">
        <f>S64*U64</f>
        <v>0</v>
      </c>
      <c r="X64" s="299"/>
      <c r="Y64">
        <v>0</v>
      </c>
      <c r="Z64" t="s">
        <v>241</v>
      </c>
    </row>
    <row r="65" spans="1:30" ht="19" customHeight="1" x14ac:dyDescent="0.35">
      <c r="A65" s="2875" t="s">
        <v>160</v>
      </c>
      <c r="B65" s="2876"/>
      <c r="C65" s="2906"/>
      <c r="D65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5" s="7" t="s">
        <v>107</v>
      </c>
      <c r="F65" s="1471">
        <f>Pricing!D37</f>
        <v>65</v>
      </c>
      <c r="G65" s="17" t="s">
        <v>68</v>
      </c>
      <c r="H65" s="7"/>
      <c r="I65" s="2918"/>
      <c r="J65" s="2919"/>
      <c r="K65" s="7"/>
      <c r="L65" s="7"/>
      <c r="M65" s="7"/>
      <c r="N65" s="2261">
        <f>(IF(AND(D65&gt;0,D65&lt;4),D65*F65,0)+IF(AND(D65&gt;3,D65&lt;8),F65*3,0)+IF(AND(D65&gt;7,D65&lt;21),D65/7*F65*3,0)+IF(AND(D65&gt;20,D65&lt;30),F65*9,0)+IF(D65&gt;29,D65/30*F65*9,0))*(1+V$30+I$64)</f>
        <v>0</v>
      </c>
      <c r="O65" s="2262"/>
      <c r="P65" s="1437">
        <v>6</v>
      </c>
      <c r="Q65" s="405" t="s">
        <v>361</v>
      </c>
      <c r="R65" s="149"/>
      <c r="S65" s="412">
        <f>ROUNDUP(K41/14000,0)</f>
        <v>0</v>
      </c>
      <c r="T65" s="149" t="s">
        <v>498</v>
      </c>
      <c r="U65" s="68">
        <f>Pricing!N34</f>
        <v>4</v>
      </c>
      <c r="V65" s="408" t="s">
        <v>294</v>
      </c>
      <c r="W65" s="224">
        <f t="shared" ref="W65:W72" si="32">U65*S65</f>
        <v>0</v>
      </c>
      <c r="X65" s="299"/>
      <c r="Y65">
        <v>1</v>
      </c>
      <c r="Z65" t="s">
        <v>242</v>
      </c>
    </row>
    <row r="66" spans="1:30" ht="19" customHeight="1" x14ac:dyDescent="0.35">
      <c r="A66" s="2875" t="s">
        <v>108</v>
      </c>
      <c r="B66" s="2876"/>
      <c r="C66" s="2906"/>
      <c r="D66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6" s="7" t="s">
        <v>107</v>
      </c>
      <c r="F66" s="1471">
        <v>35</v>
      </c>
      <c r="G66" s="17" t="s">
        <v>68</v>
      </c>
      <c r="H66" s="7"/>
      <c r="I66" s="7"/>
      <c r="J66" s="7"/>
      <c r="K66" s="7"/>
      <c r="L66" s="7"/>
      <c r="M66" s="7"/>
      <c r="N66" s="2261">
        <f>(IF(AND(D66&gt;0,D66&lt;4),D66*F66,0)+IF(AND(D66&gt;3,D66&lt;8),F66*3,0)+IF(AND(D66&gt;7,D66&lt;21),D66/7*F66*3,0)+IF(AND(D66&gt;20,D66&lt;30),F66*9,0)+IF(D66&gt;29,D66/30*F66*9,0))</f>
        <v>0</v>
      </c>
      <c r="O66" s="2262"/>
      <c r="P66" s="1437">
        <v>6</v>
      </c>
      <c r="Q66" s="405" t="s">
        <v>285</v>
      </c>
      <c r="R66" s="149"/>
      <c r="S66" s="413">
        <f>K41</f>
        <v>0</v>
      </c>
      <c r="T66" s="149" t="s">
        <v>32</v>
      </c>
      <c r="U66" s="68">
        <v>0.02</v>
      </c>
      <c r="V66" s="408" t="s">
        <v>88</v>
      </c>
      <c r="W66" s="224">
        <f>U66*S66</f>
        <v>0</v>
      </c>
      <c r="X66" s="299"/>
      <c r="Y66">
        <v>2</v>
      </c>
      <c r="Z66" t="s">
        <v>243</v>
      </c>
      <c r="AD66" s="261">
        <f>SUM(W38:W62)+N47</f>
        <v>0</v>
      </c>
    </row>
    <row r="67" spans="1:30" ht="19" customHeight="1" thickBot="1" x14ac:dyDescent="0.4">
      <c r="A67" s="2875" t="s">
        <v>383</v>
      </c>
      <c r="B67" s="2876"/>
      <c r="C67" s="2906"/>
      <c r="D67" s="1462">
        <v>0</v>
      </c>
      <c r="E67" s="7" t="s">
        <v>387</v>
      </c>
      <c r="F67" s="1472">
        <v>1200</v>
      </c>
      <c r="G67" s="17" t="s">
        <v>388</v>
      </c>
      <c r="H67" s="7"/>
      <c r="I67" s="7"/>
      <c r="J67" s="7"/>
      <c r="K67" s="7"/>
      <c r="L67" s="252"/>
      <c r="M67" s="7"/>
      <c r="N67" s="2261">
        <f>D67*F67</f>
        <v>0</v>
      </c>
      <c r="O67" s="2262"/>
      <c r="P67" s="1437">
        <v>6</v>
      </c>
      <c r="Q67" s="405"/>
      <c r="R67" s="149"/>
      <c r="S67" s="149"/>
      <c r="T67" s="149" t="s">
        <v>288</v>
      </c>
      <c r="U67" s="68">
        <v>0</v>
      </c>
      <c r="V67" s="149"/>
      <c r="W67" s="224">
        <f>U67*S67</f>
        <v>0</v>
      </c>
      <c r="X67" s="299"/>
      <c r="Y67">
        <v>3</v>
      </c>
      <c r="Z67" t="s">
        <v>244</v>
      </c>
      <c r="AD67">
        <f>N45</f>
        <v>0</v>
      </c>
    </row>
    <row r="68" spans="1:30" ht="19" customHeight="1" thickBot="1" x14ac:dyDescent="0.4">
      <c r="A68" s="2305" t="s">
        <v>174</v>
      </c>
      <c r="B68" s="2306"/>
      <c r="C68" s="2306"/>
      <c r="D68" s="2306"/>
      <c r="E68" s="2306"/>
      <c r="F68" s="2306"/>
      <c r="G68" s="2306"/>
      <c r="H68" s="2306"/>
      <c r="I68" s="2306"/>
      <c r="J68" s="2306"/>
      <c r="K68" s="2306"/>
      <c r="L68" s="2306"/>
      <c r="M68" s="2306"/>
      <c r="N68" s="2306"/>
      <c r="O68" s="2307"/>
      <c r="P68" s="1437">
        <v>6</v>
      </c>
      <c r="Q68" s="405"/>
      <c r="R68" s="149"/>
      <c r="S68" s="149"/>
      <c r="T68" s="149"/>
      <c r="U68" s="68">
        <v>0</v>
      </c>
      <c r="V68" s="149"/>
      <c r="W68" s="224">
        <f>U68*S68</f>
        <v>0</v>
      </c>
      <c r="X68" s="299"/>
      <c r="Y68">
        <v>4</v>
      </c>
      <c r="Z68" t="s">
        <v>245</v>
      </c>
      <c r="AD68">
        <f>N46</f>
        <v>0</v>
      </c>
    </row>
    <row r="69" spans="1:30" ht="19" customHeight="1" thickBot="1" x14ac:dyDescent="0.4">
      <c r="A69" s="2875" t="s">
        <v>189</v>
      </c>
      <c r="B69" s="2876"/>
      <c r="C69" s="2906"/>
      <c r="D69" s="1463">
        <v>0.55000000000000004</v>
      </c>
      <c r="E69" s="1438" t="s">
        <v>118</v>
      </c>
      <c r="F69" s="2907"/>
      <c r="G69" s="2908"/>
      <c r="H69" s="7" t="s">
        <v>95</v>
      </c>
      <c r="I69" s="7"/>
      <c r="J69" s="7"/>
      <c r="K69" s="7"/>
      <c r="L69" s="7"/>
      <c r="M69" s="7"/>
      <c r="N69" s="2316">
        <f>D69*F69</f>
        <v>0</v>
      </c>
      <c r="O69" s="2317"/>
      <c r="P69" s="1437">
        <v>6</v>
      </c>
      <c r="Q69" s="409"/>
      <c r="R69" s="410"/>
      <c r="S69" s="410"/>
      <c r="T69" s="410"/>
      <c r="U69" s="411">
        <v>0</v>
      </c>
      <c r="V69" s="410"/>
      <c r="W69" s="226">
        <f t="shared" si="32"/>
        <v>0</v>
      </c>
      <c r="X69" s="299"/>
      <c r="Y69">
        <v>5</v>
      </c>
      <c r="Z69" t="s">
        <v>246</v>
      </c>
      <c r="AD69">
        <f>N41+N42</f>
        <v>0</v>
      </c>
    </row>
    <row r="70" spans="1:30" ht="19" customHeight="1" thickTop="1" x14ac:dyDescent="0.35">
      <c r="A70" s="2875" t="s">
        <v>176</v>
      </c>
      <c r="B70" s="2876"/>
      <c r="C70" s="2906"/>
      <c r="D70" s="1464">
        <v>0.5</v>
      </c>
      <c r="E70" s="17" t="s">
        <v>118</v>
      </c>
      <c r="F70" s="2909">
        <f>ROUNDUP(C27/K70*2-F69,0)</f>
        <v>0</v>
      </c>
      <c r="G70" s="2910"/>
      <c r="H70" s="17" t="s">
        <v>42</v>
      </c>
      <c r="I70" s="2911" t="s">
        <v>382</v>
      </c>
      <c r="J70" s="2912"/>
      <c r="K70" s="2915">
        <v>12</v>
      </c>
      <c r="L70" s="7"/>
      <c r="M70" s="7"/>
      <c r="N70" s="2316">
        <f>D70*F70</f>
        <v>0</v>
      </c>
      <c r="O70" s="2317"/>
      <c r="P70" s="1437">
        <v>10</v>
      </c>
      <c r="Q70" s="405"/>
      <c r="R70" s="149"/>
      <c r="S70" s="149"/>
      <c r="T70" s="149"/>
      <c r="U70" s="68">
        <f>BI65</f>
        <v>0</v>
      </c>
      <c r="V70" s="149"/>
      <c r="W70" s="38">
        <f t="shared" si="32"/>
        <v>0</v>
      </c>
      <c r="X70" s="299"/>
      <c r="Y70">
        <v>6</v>
      </c>
      <c r="Z70" t="s">
        <v>248</v>
      </c>
      <c r="AD70">
        <f>SUM(W64:W69)</f>
        <v>0</v>
      </c>
    </row>
    <row r="71" spans="1:30" ht="19" customHeight="1" x14ac:dyDescent="0.35">
      <c r="A71" s="2875" t="s">
        <v>442</v>
      </c>
      <c r="B71" s="2876"/>
      <c r="C71" s="2906"/>
      <c r="D71" s="1465">
        <f>Pricing!D41</f>
        <v>16</v>
      </c>
      <c r="E71" s="150" t="s">
        <v>443</v>
      </c>
      <c r="F71" s="2909">
        <f>SUM(T10:T26)</f>
        <v>0</v>
      </c>
      <c r="G71" s="2910"/>
      <c r="H71" s="7" t="s">
        <v>444</v>
      </c>
      <c r="I71" s="2913"/>
      <c r="J71" s="2914"/>
      <c r="K71" s="2915"/>
      <c r="L71" s="7"/>
      <c r="M71" s="7"/>
      <c r="N71" s="2316">
        <f>D71*F71</f>
        <v>0</v>
      </c>
      <c r="O71" s="2317"/>
      <c r="P71" s="1437">
        <v>10</v>
      </c>
      <c r="Q71" s="405" t="s">
        <v>211</v>
      </c>
      <c r="R71" s="149"/>
      <c r="S71" s="412">
        <f>ROUNDUP(H50/350/55,0)</f>
        <v>0</v>
      </c>
      <c r="T71" s="149" t="s">
        <v>213</v>
      </c>
      <c r="U71" s="68">
        <f>Pricing!N43</f>
        <v>542</v>
      </c>
      <c r="V71" s="408" t="s">
        <v>295</v>
      </c>
      <c r="W71" s="224">
        <f>U71*S71</f>
        <v>0</v>
      </c>
      <c r="X71" s="299"/>
      <c r="Y71">
        <v>7</v>
      </c>
      <c r="Z71" t="s">
        <v>247</v>
      </c>
      <c r="AD71">
        <f>N44</f>
        <v>0</v>
      </c>
    </row>
    <row r="72" spans="1:30" ht="19" customHeight="1" thickBot="1" x14ac:dyDescent="0.4">
      <c r="A72" s="2875" t="s">
        <v>307</v>
      </c>
      <c r="B72" s="2876"/>
      <c r="C72" s="2876"/>
      <c r="D72" s="1466">
        <v>4</v>
      </c>
      <c r="E72" s="151" t="s">
        <v>124</v>
      </c>
      <c r="F72" s="2904"/>
      <c r="G72" s="2905"/>
      <c r="H72" s="7" t="s">
        <v>31</v>
      </c>
      <c r="I72" s="7"/>
      <c r="J72" s="7"/>
      <c r="K72" s="7"/>
      <c r="L72" s="7"/>
      <c r="M72" s="7"/>
      <c r="N72" s="2316">
        <f>D72*F72</f>
        <v>0</v>
      </c>
      <c r="O72" s="2317"/>
      <c r="P72" s="1437">
        <v>10</v>
      </c>
      <c r="Q72" s="409" t="s">
        <v>212</v>
      </c>
      <c r="R72" s="410"/>
      <c r="S72" s="410"/>
      <c r="T72" s="410" t="s">
        <v>213</v>
      </c>
      <c r="U72" s="414">
        <f>BO61</f>
        <v>0</v>
      </c>
      <c r="V72" s="415" t="s">
        <v>295</v>
      </c>
      <c r="W72" s="226">
        <f t="shared" si="32"/>
        <v>0</v>
      </c>
      <c r="X72" s="299"/>
      <c r="Y72">
        <v>8</v>
      </c>
      <c r="Z72" t="s">
        <v>249</v>
      </c>
      <c r="AD72">
        <f>SUM(N38:O40)</f>
        <v>0</v>
      </c>
    </row>
    <row r="73" spans="1:30" ht="19" customHeight="1" thickTop="1" x14ac:dyDescent="0.35">
      <c r="A73" s="2886" t="s">
        <v>406</v>
      </c>
      <c r="B73" s="2887"/>
      <c r="C73" s="2887"/>
      <c r="D73" s="1467">
        <v>0</v>
      </c>
      <c r="E73" s="17" t="s">
        <v>191</v>
      </c>
      <c r="F73" s="2888">
        <f>AQ27</f>
        <v>0</v>
      </c>
      <c r="G73" s="2889"/>
      <c r="H73" s="7" t="s">
        <v>95</v>
      </c>
      <c r="J73" s="7"/>
      <c r="K73" s="7"/>
      <c r="L73" s="7"/>
      <c r="M73" s="252"/>
      <c r="N73" s="2419">
        <f>IF(D73=0,0,D73*F73)</f>
        <v>0</v>
      </c>
      <c r="O73" s="2890"/>
      <c r="P73" s="326"/>
      <c r="Q73" s="8"/>
      <c r="S73" s="7"/>
      <c r="T73" s="7"/>
      <c r="U73" s="7"/>
      <c r="V73" s="7"/>
      <c r="W73" s="38"/>
      <c r="X73" s="299"/>
      <c r="Y73">
        <v>9</v>
      </c>
      <c r="Z73" t="s">
        <v>234</v>
      </c>
      <c r="AD73">
        <f>SUM(N43)</f>
        <v>0</v>
      </c>
    </row>
    <row r="74" spans="1:30" ht="19" customHeight="1" x14ac:dyDescent="0.4">
      <c r="A74" s="2875" t="s">
        <v>186</v>
      </c>
      <c r="B74" s="2876"/>
      <c r="C74" s="2876"/>
      <c r="D74" s="1468">
        <v>0</v>
      </c>
      <c r="E74" s="151" t="s">
        <v>97</v>
      </c>
      <c r="F74" s="2877">
        <v>250</v>
      </c>
      <c r="G74" s="2878"/>
      <c r="H74" s="17" t="s">
        <v>68</v>
      </c>
      <c r="I74" s="7"/>
      <c r="J74" s="7"/>
      <c r="K74" s="7"/>
      <c r="L74" s="7"/>
      <c r="M74" s="7"/>
      <c r="N74" s="2316">
        <f>D74*F74</f>
        <v>0</v>
      </c>
      <c r="O74" s="2317"/>
      <c r="P74" s="326"/>
      <c r="Q74" s="2879" t="s">
        <v>216</v>
      </c>
      <c r="R74" s="2880"/>
      <c r="S74" s="1477">
        <v>18</v>
      </c>
      <c r="T74" s="7" t="s">
        <v>217</v>
      </c>
      <c r="U74" s="7"/>
      <c r="V74" s="7"/>
      <c r="W74" s="63"/>
      <c r="X74" s="299"/>
      <c r="Y74">
        <v>10</v>
      </c>
      <c r="Z74" t="s">
        <v>250</v>
      </c>
      <c r="AD74">
        <f>SUM(W70:W72)</f>
        <v>0</v>
      </c>
    </row>
    <row r="75" spans="1:30" ht="19" customHeight="1" thickBot="1" x14ac:dyDescent="0.4">
      <c r="A75" s="2881" t="s">
        <v>108</v>
      </c>
      <c r="B75" s="2882"/>
      <c r="C75" s="2882"/>
      <c r="D75" s="1469">
        <v>0</v>
      </c>
      <c r="E75" s="10"/>
      <c r="F75" s="2883">
        <v>1000</v>
      </c>
      <c r="G75" s="2884"/>
      <c r="H75" s="10" t="s">
        <v>177</v>
      </c>
      <c r="I75" s="10"/>
      <c r="J75" s="10"/>
      <c r="K75" s="10"/>
      <c r="L75" s="10"/>
      <c r="M75" s="10"/>
      <c r="N75" s="2319">
        <f>D75*F75</f>
        <v>0</v>
      </c>
      <c r="O75" s="2320"/>
      <c r="P75" s="298"/>
      <c r="Q75" s="9" t="s">
        <v>214</v>
      </c>
      <c r="R75" s="10"/>
      <c r="S75" s="10">
        <f>ROUNDUP((S49+S51+S52)*12/S74,0)</f>
        <v>0</v>
      </c>
      <c r="T75" s="10" t="s">
        <v>215</v>
      </c>
      <c r="U75" s="2874">
        <f>Pricing!D24</f>
        <v>2</v>
      </c>
      <c r="V75" s="2874"/>
      <c r="W75" s="227">
        <f>U75*S75</f>
        <v>0</v>
      </c>
      <c r="X75" s="299"/>
      <c r="Y75">
        <v>11</v>
      </c>
      <c r="Z75" t="s">
        <v>251</v>
      </c>
    </row>
    <row r="76" spans="1:30" ht="20.25" customHeight="1" thickBot="1" x14ac:dyDescent="0.4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298"/>
      <c r="Q76" s="326"/>
      <c r="R76" s="326"/>
      <c r="S76" s="326"/>
      <c r="T76" s="326"/>
      <c r="U76" s="326"/>
      <c r="V76" s="326"/>
      <c r="W76" s="1422">
        <f>SUM(W38:W75)</f>
        <v>0</v>
      </c>
      <c r="X76" s="299"/>
      <c r="Y76">
        <v>12</v>
      </c>
      <c r="Z76" t="s">
        <v>252</v>
      </c>
    </row>
    <row r="77" spans="1:30" ht="16" thickBot="1" x14ac:dyDescent="0.4">
      <c r="A77" s="1429"/>
      <c r="B77" s="1430"/>
      <c r="C77" s="1430"/>
      <c r="D77" s="1430"/>
      <c r="E77" s="1430"/>
      <c r="F77" s="1430"/>
      <c r="G77" s="1430"/>
      <c r="H77" s="1430"/>
      <c r="I77" s="1430"/>
      <c r="J77" s="1430"/>
      <c r="K77" s="1431"/>
      <c r="L77" s="1430"/>
      <c r="M77" s="1430"/>
      <c r="N77" s="1430"/>
      <c r="O77" s="1430"/>
      <c r="P77" s="1432"/>
      <c r="Q77" s="1430"/>
      <c r="R77" s="1430"/>
      <c r="S77" s="1430"/>
      <c r="T77" s="1430"/>
      <c r="U77" s="1430"/>
      <c r="V77" s="1430"/>
      <c r="W77" s="1115"/>
      <c r="X77" s="299"/>
      <c r="Y77">
        <v>15</v>
      </c>
      <c r="Z77" t="s">
        <v>253</v>
      </c>
    </row>
    <row r="78" spans="1:30" ht="27" x14ac:dyDescent="0.4">
      <c r="A78" s="2891" t="s">
        <v>185</v>
      </c>
      <c r="B78" s="2892"/>
      <c r="C78" s="2893"/>
      <c r="D78" s="2891" t="s">
        <v>140</v>
      </c>
      <c r="E78" s="2893"/>
      <c r="F78" s="2891" t="s">
        <v>178</v>
      </c>
      <c r="G78" s="2892"/>
      <c r="H78" s="2893"/>
      <c r="I78" s="1423" t="s">
        <v>184</v>
      </c>
      <c r="J78" s="1424"/>
      <c r="K78" s="1425"/>
      <c r="L78" s="2902" t="s">
        <v>179</v>
      </c>
      <c r="M78" s="2903"/>
      <c r="N78" s="1426"/>
      <c r="O78" s="1426"/>
      <c r="P78" s="1433"/>
      <c r="Q78" s="43" t="s">
        <v>34</v>
      </c>
      <c r="R78" s="42"/>
      <c r="S78" s="42" t="s">
        <v>220</v>
      </c>
      <c r="T78" s="1475" t="s">
        <v>200</v>
      </c>
      <c r="U78" s="73" t="s">
        <v>298</v>
      </c>
      <c r="V78" s="1476">
        <f>V30</f>
        <v>8.2500000000000004E-2</v>
      </c>
      <c r="W78" s="1433"/>
      <c r="X78" s="299"/>
      <c r="Y78">
        <v>16</v>
      </c>
      <c r="Z78" t="s">
        <v>841</v>
      </c>
    </row>
    <row r="79" spans="1:30" ht="16" thickBot="1" x14ac:dyDescent="0.4">
      <c r="A79" s="1420" t="s">
        <v>180</v>
      </c>
      <c r="B79" s="2894">
        <f>B31</f>
        <v>0</v>
      </c>
      <c r="C79" s="2895"/>
      <c r="D79" s="2896">
        <f>D31</f>
        <v>0</v>
      </c>
      <c r="E79" s="2897"/>
      <c r="F79" s="1421">
        <f>F31</f>
        <v>0</v>
      </c>
      <c r="G79" s="2775">
        <f>G31</f>
        <v>0</v>
      </c>
      <c r="H79" s="2898"/>
      <c r="I79" s="2899">
        <f>I31</f>
        <v>0</v>
      </c>
      <c r="J79" s="2900"/>
      <c r="K79" s="2901"/>
      <c r="L79" s="1473">
        <f>L31</f>
        <v>0.18</v>
      </c>
      <c r="M79" s="1474"/>
      <c r="N79" s="1474"/>
      <c r="O79" s="1474"/>
      <c r="P79" s="1434"/>
      <c r="Q79" s="3" t="s">
        <v>50</v>
      </c>
      <c r="S79" s="7"/>
      <c r="T79" s="2885">
        <f>T31</f>
        <v>0</v>
      </c>
      <c r="U79" s="2885"/>
      <c r="W79" s="1433"/>
      <c r="X79" s="299"/>
      <c r="Y79">
        <v>17</v>
      </c>
      <c r="Z79" t="s">
        <v>842</v>
      </c>
    </row>
    <row r="80" spans="1:30" ht="16" thickBot="1" x14ac:dyDescent="0.4">
      <c r="A80" s="964"/>
      <c r="B80" s="970"/>
      <c r="C80" s="970"/>
      <c r="D80" s="970"/>
      <c r="E80" s="970"/>
      <c r="F80" s="970"/>
      <c r="G80" s="970"/>
      <c r="H80" s="970"/>
      <c r="I80" s="970"/>
      <c r="J80" s="970"/>
      <c r="K80" s="970"/>
      <c r="L80" s="970"/>
      <c r="M80" s="970"/>
      <c r="N80" s="970"/>
      <c r="O80" s="970"/>
      <c r="P80" s="1435"/>
      <c r="Q80" s="970"/>
      <c r="R80" s="970"/>
      <c r="S80" s="970"/>
      <c r="T80" s="2872">
        <f>AD117</f>
        <v>0</v>
      </c>
      <c r="U80" s="2873"/>
      <c r="V80" s="970"/>
      <c r="W80" s="1436"/>
      <c r="X80" s="299"/>
      <c r="Y80">
        <v>18</v>
      </c>
      <c r="Z80" t="s">
        <v>843</v>
      </c>
    </row>
    <row r="81" spans="1:30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Y81">
        <v>20</v>
      </c>
      <c r="Z81" t="s">
        <v>93</v>
      </c>
      <c r="AD81">
        <f>SUM(N58:O59)</f>
        <v>0</v>
      </c>
    </row>
    <row r="82" spans="1:30" x14ac:dyDescent="0.35">
      <c r="B82" s="67"/>
      <c r="G82" s="67"/>
      <c r="H82" s="67"/>
      <c r="I82" s="2"/>
      <c r="J82" s="67"/>
      <c r="K82" s="67"/>
      <c r="L82" s="67"/>
      <c r="M82" s="174"/>
      <c r="N82" s="67"/>
      <c r="Q82" s="42"/>
      <c r="R82" s="42"/>
      <c r="Y82">
        <v>21</v>
      </c>
      <c r="Z82" t="s">
        <v>254</v>
      </c>
      <c r="AD82">
        <f>N60</f>
        <v>0</v>
      </c>
    </row>
    <row r="83" spans="1:30" x14ac:dyDescent="0.35">
      <c r="B83" s="67"/>
      <c r="G83" s="67"/>
      <c r="H83" s="67"/>
      <c r="I83" s="2"/>
      <c r="J83" s="67"/>
      <c r="K83" s="67"/>
      <c r="L83" s="67"/>
      <c r="M83" s="174"/>
      <c r="N83" s="67"/>
      <c r="Q83" s="42"/>
      <c r="R83" s="42"/>
      <c r="Y83">
        <v>22</v>
      </c>
      <c r="Z83" t="s">
        <v>255</v>
      </c>
      <c r="AD83">
        <f>SUM(K50:L55)</f>
        <v>0</v>
      </c>
    </row>
    <row r="84" spans="1:30" x14ac:dyDescent="0.35">
      <c r="B84" s="67"/>
      <c r="G84" s="67"/>
      <c r="H84" s="67"/>
      <c r="I84" s="2"/>
      <c r="J84" s="67"/>
      <c r="K84" s="67"/>
      <c r="L84" s="67"/>
      <c r="M84" s="174"/>
      <c r="N84" s="67"/>
      <c r="Q84" s="42"/>
      <c r="R84" s="42"/>
      <c r="Y84">
        <v>23</v>
      </c>
      <c r="Z84" t="s">
        <v>256</v>
      </c>
      <c r="AD84">
        <f>N74</f>
        <v>0</v>
      </c>
    </row>
    <row r="85" spans="1:30" x14ac:dyDescent="0.35">
      <c r="B85" s="67"/>
      <c r="G85" s="67"/>
      <c r="H85" s="67"/>
      <c r="I85" s="2"/>
      <c r="J85" s="67"/>
      <c r="K85" s="67"/>
      <c r="L85" s="67"/>
      <c r="M85" s="174"/>
      <c r="N85" s="67"/>
      <c r="Q85" s="42"/>
      <c r="R85" s="42"/>
      <c r="Y85">
        <v>24</v>
      </c>
      <c r="Z85" t="s">
        <v>257</v>
      </c>
    </row>
    <row r="86" spans="1:30" x14ac:dyDescent="0.35">
      <c r="G86" s="67"/>
      <c r="H86" s="67"/>
      <c r="I86" s="2"/>
      <c r="J86" s="67"/>
      <c r="K86" s="67"/>
      <c r="L86" s="67"/>
      <c r="M86" s="174"/>
      <c r="N86" s="67"/>
      <c r="Q86" s="42"/>
      <c r="R86" s="42"/>
      <c r="Y86">
        <v>25</v>
      </c>
      <c r="Z86" t="s">
        <v>258</v>
      </c>
    </row>
    <row r="87" spans="1:30" x14ac:dyDescent="0.35">
      <c r="G87" s="67"/>
      <c r="H87" s="67"/>
      <c r="I87" s="2"/>
      <c r="J87" s="67"/>
      <c r="K87" s="67"/>
      <c r="L87" s="67"/>
      <c r="M87" s="174"/>
      <c r="N87" s="67"/>
      <c r="Q87" s="42"/>
      <c r="R87" s="42"/>
      <c r="Y87">
        <v>30</v>
      </c>
      <c r="Z87" t="s">
        <v>259</v>
      </c>
      <c r="AD87">
        <f>N71</f>
        <v>0</v>
      </c>
    </row>
    <row r="88" spans="1:30" x14ac:dyDescent="0.35">
      <c r="G88" s="67"/>
      <c r="I88" s="2"/>
      <c r="J88" s="67"/>
      <c r="K88" s="67"/>
      <c r="L88" s="67"/>
      <c r="M88" s="174"/>
      <c r="N88" s="67"/>
      <c r="Q88" s="42"/>
      <c r="R88" s="42"/>
      <c r="Y88">
        <v>31</v>
      </c>
      <c r="Z88" t="s">
        <v>744</v>
      </c>
    </row>
    <row r="89" spans="1:30" x14ac:dyDescent="0.35">
      <c r="G89" s="67"/>
      <c r="I89" s="2"/>
      <c r="J89" s="67"/>
      <c r="K89" s="67"/>
      <c r="L89" s="67"/>
      <c r="M89" s="174"/>
      <c r="N89" s="67"/>
      <c r="Q89" s="42"/>
      <c r="R89" s="42"/>
      <c r="Y89">
        <v>32</v>
      </c>
      <c r="Z89" t="s">
        <v>260</v>
      </c>
    </row>
    <row r="90" spans="1:30" x14ac:dyDescent="0.35">
      <c r="G90" s="67"/>
      <c r="I90" s="2"/>
      <c r="J90" s="67"/>
      <c r="K90" s="67"/>
      <c r="L90" s="67"/>
      <c r="M90" s="174"/>
      <c r="N90" s="67"/>
      <c r="Q90" s="42"/>
      <c r="R90" s="42"/>
      <c r="Y90">
        <v>33</v>
      </c>
      <c r="Z90" t="s">
        <v>261</v>
      </c>
      <c r="AD90">
        <f>K82</f>
        <v>0</v>
      </c>
    </row>
    <row r="91" spans="1:30" x14ac:dyDescent="0.35">
      <c r="G91" s="67"/>
      <c r="I91" s="2"/>
      <c r="J91" s="67"/>
      <c r="K91" s="67"/>
      <c r="L91" s="67"/>
      <c r="M91" s="174"/>
      <c r="N91" s="67"/>
      <c r="Q91" s="42"/>
      <c r="R91" s="42"/>
      <c r="Y91">
        <v>34</v>
      </c>
      <c r="Z91" t="s">
        <v>262</v>
      </c>
      <c r="AD91">
        <f>N70+N69</f>
        <v>0</v>
      </c>
    </row>
    <row r="92" spans="1:30" x14ac:dyDescent="0.35">
      <c r="G92" s="67"/>
      <c r="I92" s="2"/>
      <c r="J92" s="67"/>
      <c r="K92" s="67"/>
      <c r="L92" s="67"/>
      <c r="M92" s="174"/>
      <c r="N92" s="67"/>
      <c r="Q92" s="42"/>
      <c r="R92" s="42"/>
      <c r="Y92">
        <v>35</v>
      </c>
      <c r="Z92" t="s">
        <v>263</v>
      </c>
    </row>
    <row r="93" spans="1:30" x14ac:dyDescent="0.35">
      <c r="G93" s="67"/>
      <c r="I93" s="2"/>
      <c r="J93" s="67"/>
      <c r="K93" s="67"/>
      <c r="L93" s="67"/>
      <c r="M93" s="174"/>
      <c r="N93" s="67"/>
      <c r="Q93" s="42"/>
      <c r="R93" s="42"/>
      <c r="Y93">
        <v>36</v>
      </c>
      <c r="Z93" t="s">
        <v>745</v>
      </c>
    </row>
    <row r="94" spans="1:30" x14ac:dyDescent="0.35">
      <c r="G94" s="67"/>
      <c r="H94" s="67"/>
      <c r="I94" s="2"/>
      <c r="J94" s="67"/>
      <c r="K94" s="67"/>
      <c r="L94" s="67"/>
      <c r="M94" s="174"/>
      <c r="Q94" s="42"/>
      <c r="R94" s="42"/>
      <c r="Y94">
        <v>39</v>
      </c>
      <c r="Z94" t="s">
        <v>264</v>
      </c>
    </row>
    <row r="95" spans="1:30" x14ac:dyDescent="0.35">
      <c r="F95" s="67"/>
      <c r="G95" s="67"/>
      <c r="H95" s="67"/>
      <c r="I95" s="2"/>
      <c r="J95" s="67"/>
      <c r="K95" s="67"/>
      <c r="L95" s="67"/>
      <c r="M95" s="174"/>
      <c r="Q95" s="42"/>
      <c r="R95" s="42"/>
      <c r="Y95">
        <v>40</v>
      </c>
      <c r="Z95" t="s">
        <v>222</v>
      </c>
    </row>
    <row r="96" spans="1:30" x14ac:dyDescent="0.35">
      <c r="A96" s="67"/>
      <c r="B96" s="67"/>
      <c r="C96" s="67"/>
      <c r="D96" s="67"/>
      <c r="E96" s="67"/>
      <c r="F96" s="67"/>
      <c r="G96" s="67"/>
      <c r="J96" s="67"/>
      <c r="K96" s="67"/>
      <c r="L96" s="67"/>
      <c r="M96" s="174"/>
      <c r="Q96" s="42"/>
      <c r="R96" s="42"/>
      <c r="Y96">
        <v>41</v>
      </c>
      <c r="Z96" t="s">
        <v>265</v>
      </c>
      <c r="AD96">
        <f>N50</f>
        <v>0</v>
      </c>
    </row>
    <row r="97" spans="1:30" x14ac:dyDescent="0.35">
      <c r="A97" s="67"/>
      <c r="B97" s="67"/>
      <c r="C97" s="67"/>
      <c r="D97" s="67"/>
      <c r="E97" s="67"/>
      <c r="F97" s="7"/>
      <c r="G97" s="67"/>
      <c r="H97" s="67"/>
      <c r="I97" s="67"/>
      <c r="L97" s="67"/>
      <c r="M97" s="174"/>
      <c r="Q97" s="42"/>
      <c r="R97" s="42"/>
      <c r="Y97">
        <v>42</v>
      </c>
      <c r="Z97" t="s">
        <v>266</v>
      </c>
      <c r="AD97">
        <f>N51</f>
        <v>0</v>
      </c>
    </row>
    <row r="98" spans="1:30" x14ac:dyDescent="0.35">
      <c r="A98" s="7"/>
      <c r="B98" s="7"/>
      <c r="C98" s="7"/>
      <c r="D98" s="7"/>
      <c r="E98" s="7"/>
      <c r="F98" s="7"/>
      <c r="G98" s="7"/>
      <c r="J98" s="67"/>
      <c r="K98" s="67"/>
      <c r="L98" s="67"/>
      <c r="M98" s="174"/>
      <c r="Y98">
        <v>44</v>
      </c>
      <c r="Z98" t="s">
        <v>267</v>
      </c>
      <c r="AD98">
        <f>N52</f>
        <v>0</v>
      </c>
    </row>
    <row r="99" spans="1:30" x14ac:dyDescent="0.35">
      <c r="A99" s="7"/>
      <c r="B99" s="7"/>
      <c r="C99" s="7"/>
      <c r="D99" s="7"/>
      <c r="E99" s="7"/>
      <c r="F99" s="7"/>
      <c r="G99" s="7"/>
      <c r="M99" s="67"/>
      <c r="Y99">
        <v>45</v>
      </c>
      <c r="Z99" t="s">
        <v>268</v>
      </c>
      <c r="AD99">
        <f>N55</f>
        <v>0</v>
      </c>
    </row>
    <row r="100" spans="1:30" x14ac:dyDescent="0.35">
      <c r="A100" s="7"/>
      <c r="B100" s="7"/>
      <c r="C100" s="7"/>
      <c r="D100" s="7"/>
      <c r="E100" s="7"/>
      <c r="F100" s="7"/>
      <c r="G100" s="7"/>
      <c r="L100" s="67"/>
      <c r="M100" s="67"/>
      <c r="Y100">
        <v>46</v>
      </c>
      <c r="Z100" t="s">
        <v>269</v>
      </c>
      <c r="AD100">
        <f>N53</f>
        <v>0</v>
      </c>
    </row>
    <row r="101" spans="1:30" x14ac:dyDescent="0.35">
      <c r="A101" s="7"/>
      <c r="B101" s="7"/>
      <c r="C101" s="7"/>
      <c r="D101" s="7"/>
      <c r="E101" s="7"/>
      <c r="G101" s="7"/>
      <c r="Y101">
        <v>47</v>
      </c>
      <c r="Z101" t="s">
        <v>270</v>
      </c>
    </row>
    <row r="102" spans="1:30" x14ac:dyDescent="0.35">
      <c r="Y102">
        <v>48</v>
      </c>
      <c r="Z102" t="s">
        <v>271</v>
      </c>
    </row>
    <row r="103" spans="1:30" x14ac:dyDescent="0.35">
      <c r="Y103">
        <v>49</v>
      </c>
      <c r="Z103" t="s">
        <v>272</v>
      </c>
    </row>
    <row r="104" spans="1:30" x14ac:dyDescent="0.35">
      <c r="Y104">
        <v>50</v>
      </c>
      <c r="Z104" t="s">
        <v>711</v>
      </c>
    </row>
    <row r="105" spans="1:30" x14ac:dyDescent="0.35">
      <c r="Y105">
        <v>51</v>
      </c>
      <c r="Z105" t="s">
        <v>713</v>
      </c>
    </row>
    <row r="106" spans="1:30" x14ac:dyDescent="0.35">
      <c r="Y106">
        <v>52</v>
      </c>
      <c r="Z106" t="s">
        <v>273</v>
      </c>
    </row>
    <row r="107" spans="1:30" x14ac:dyDescent="0.35">
      <c r="Y107">
        <v>53</v>
      </c>
      <c r="Z107" t="s">
        <v>274</v>
      </c>
    </row>
    <row r="108" spans="1:30" x14ac:dyDescent="0.35">
      <c r="Y108">
        <v>54</v>
      </c>
      <c r="Z108" t="s">
        <v>275</v>
      </c>
    </row>
    <row r="109" spans="1:30" x14ac:dyDescent="0.35">
      <c r="Y109">
        <v>55</v>
      </c>
      <c r="Z109" t="s">
        <v>276</v>
      </c>
    </row>
    <row r="110" spans="1:30" x14ac:dyDescent="0.35">
      <c r="Y110">
        <v>56</v>
      </c>
      <c r="Z110" t="s">
        <v>277</v>
      </c>
    </row>
    <row r="111" spans="1:30" x14ac:dyDescent="0.35">
      <c r="Y111">
        <v>57</v>
      </c>
      <c r="Z111" t="s">
        <v>278</v>
      </c>
    </row>
    <row r="112" spans="1:30" x14ac:dyDescent="0.35">
      <c r="Y112">
        <v>58</v>
      </c>
      <c r="Z112" t="s">
        <v>279</v>
      </c>
      <c r="AD112">
        <f>N73</f>
        <v>0</v>
      </c>
    </row>
    <row r="113" spans="25:30" x14ac:dyDescent="0.35">
      <c r="Y113">
        <v>54</v>
      </c>
      <c r="Z113" t="s">
        <v>280</v>
      </c>
      <c r="AD113">
        <f>N54</f>
        <v>0</v>
      </c>
    </row>
    <row r="114" spans="25:30" x14ac:dyDescent="0.35">
      <c r="Y114">
        <v>60</v>
      </c>
      <c r="Z114" t="s">
        <v>281</v>
      </c>
      <c r="AD114">
        <f>SUM(N62:O67)-N66</f>
        <v>0</v>
      </c>
    </row>
    <row r="115" spans="25:30" x14ac:dyDescent="0.35">
      <c r="Y115">
        <v>65</v>
      </c>
      <c r="Z115" t="s">
        <v>282</v>
      </c>
      <c r="AD115">
        <f>N66</f>
        <v>0</v>
      </c>
    </row>
    <row r="116" spans="25:30" x14ac:dyDescent="0.35">
      <c r="Y116">
        <v>99</v>
      </c>
      <c r="Z116" t="s">
        <v>893</v>
      </c>
      <c r="AD116" s="382">
        <f>W63</f>
        <v>0</v>
      </c>
    </row>
    <row r="117" spans="25:30" x14ac:dyDescent="0.35">
      <c r="AD117">
        <f>SUM(AD64:AD116)</f>
        <v>0</v>
      </c>
    </row>
  </sheetData>
  <mergeCells count="229">
    <mergeCell ref="V10:W10"/>
    <mergeCell ref="L31:O31"/>
    <mergeCell ref="T31:U31"/>
    <mergeCell ref="T32:U32"/>
    <mergeCell ref="B37:O37"/>
    <mergeCell ref="Q37:R37"/>
    <mergeCell ref="B31:C31"/>
    <mergeCell ref="D31:E31"/>
    <mergeCell ref="G31:H31"/>
    <mergeCell ref="I31:K31"/>
    <mergeCell ref="J32:K32"/>
    <mergeCell ref="A10:B10"/>
    <mergeCell ref="C10:D10"/>
    <mergeCell ref="A11:B11"/>
    <mergeCell ref="C11:D11"/>
    <mergeCell ref="A12:B12"/>
    <mergeCell ref="C12:D12"/>
    <mergeCell ref="A14:B14"/>
    <mergeCell ref="C14:D14"/>
    <mergeCell ref="A13:B13"/>
    <mergeCell ref="M32:N32"/>
    <mergeCell ref="A16:B16"/>
    <mergeCell ref="C16:D16"/>
    <mergeCell ref="C18:D18"/>
    <mergeCell ref="T1:U1"/>
    <mergeCell ref="V1:W1"/>
    <mergeCell ref="I5:M5"/>
    <mergeCell ref="N5:O5"/>
    <mergeCell ref="P5:Q5"/>
    <mergeCell ref="J8:J9"/>
    <mergeCell ref="K8:K9"/>
    <mergeCell ref="V8:W9"/>
    <mergeCell ref="U8:U9"/>
    <mergeCell ref="I4:M4"/>
    <mergeCell ref="N4:O4"/>
    <mergeCell ref="P4:Q4"/>
    <mergeCell ref="P3:Q3"/>
    <mergeCell ref="N6:O6"/>
    <mergeCell ref="P6:Q6"/>
    <mergeCell ref="I6:M6"/>
    <mergeCell ref="N8:O8"/>
    <mergeCell ref="A2:E2"/>
    <mergeCell ref="N2:O2"/>
    <mergeCell ref="P2:Q2"/>
    <mergeCell ref="A3:E3"/>
    <mergeCell ref="I3:M3"/>
    <mergeCell ref="N3:O3"/>
    <mergeCell ref="T8:T9"/>
    <mergeCell ref="C7:D7"/>
    <mergeCell ref="F7:H7"/>
    <mergeCell ref="I7:M7"/>
    <mergeCell ref="G8:G9"/>
    <mergeCell ref="H8:H9"/>
    <mergeCell ref="I8:I9"/>
    <mergeCell ref="L8:M8"/>
    <mergeCell ref="C6:D6"/>
    <mergeCell ref="A8:B9"/>
    <mergeCell ref="C8:D9"/>
    <mergeCell ref="P8:P9"/>
    <mergeCell ref="Q8:Q9"/>
    <mergeCell ref="R8:R9"/>
    <mergeCell ref="S8:S9"/>
    <mergeCell ref="E8:E9"/>
    <mergeCell ref="F8:F9"/>
    <mergeCell ref="A4:E4"/>
    <mergeCell ref="A21:B21"/>
    <mergeCell ref="C21:D21"/>
    <mergeCell ref="V21:W21"/>
    <mergeCell ref="C13:D13"/>
    <mergeCell ref="V19:W19"/>
    <mergeCell ref="A20:B20"/>
    <mergeCell ref="C20:D20"/>
    <mergeCell ref="V20:W20"/>
    <mergeCell ref="A17:B17"/>
    <mergeCell ref="C17:D17"/>
    <mergeCell ref="A19:B19"/>
    <mergeCell ref="C19:D19"/>
    <mergeCell ref="A18:B18"/>
    <mergeCell ref="A15:B15"/>
    <mergeCell ref="C15:D15"/>
    <mergeCell ref="A22:B22"/>
    <mergeCell ref="C22:D22"/>
    <mergeCell ref="V22:W22"/>
    <mergeCell ref="A23:B23"/>
    <mergeCell ref="C23:D23"/>
    <mergeCell ref="V23:W23"/>
    <mergeCell ref="A26:B26"/>
    <mergeCell ref="C26:D26"/>
    <mergeCell ref="V26:W26"/>
    <mergeCell ref="C27:D27"/>
    <mergeCell ref="A24:B24"/>
    <mergeCell ref="C24:D24"/>
    <mergeCell ref="V24:W24"/>
    <mergeCell ref="A25:B25"/>
    <mergeCell ref="C25:D25"/>
    <mergeCell ref="V25:W25"/>
    <mergeCell ref="T28:U28"/>
    <mergeCell ref="A30:C30"/>
    <mergeCell ref="D30:E30"/>
    <mergeCell ref="F30:H30"/>
    <mergeCell ref="I30:K30"/>
    <mergeCell ref="L30:M30"/>
    <mergeCell ref="D29:E29"/>
    <mergeCell ref="G29:H29"/>
    <mergeCell ref="N38:O38"/>
    <mergeCell ref="K39:L39"/>
    <mergeCell ref="N39:O39"/>
    <mergeCell ref="K40:L40"/>
    <mergeCell ref="N40:O40"/>
    <mergeCell ref="H41:I41"/>
    <mergeCell ref="K41:L41"/>
    <mergeCell ref="N41:O41"/>
    <mergeCell ref="H42:I42"/>
    <mergeCell ref="K42:L42"/>
    <mergeCell ref="N42:O42"/>
    <mergeCell ref="H38:I40"/>
    <mergeCell ref="J38:J40"/>
    <mergeCell ref="K38:L38"/>
    <mergeCell ref="H43:I43"/>
    <mergeCell ref="K43:L43"/>
    <mergeCell ref="N43:O43"/>
    <mergeCell ref="I44:J44"/>
    <mergeCell ref="K44:L44"/>
    <mergeCell ref="N44:O44"/>
    <mergeCell ref="N47:O47"/>
    <mergeCell ref="K49:L49"/>
    <mergeCell ref="M49:O49"/>
    <mergeCell ref="H47:I47"/>
    <mergeCell ref="K47:L47"/>
    <mergeCell ref="N46:O46"/>
    <mergeCell ref="H45:I46"/>
    <mergeCell ref="J45:J46"/>
    <mergeCell ref="K45:L45"/>
    <mergeCell ref="D54:E54"/>
    <mergeCell ref="H54:I54"/>
    <mergeCell ref="N45:O45"/>
    <mergeCell ref="K46:L46"/>
    <mergeCell ref="D53:E53"/>
    <mergeCell ref="K53:L53"/>
    <mergeCell ref="N53:O53"/>
    <mergeCell ref="H50:I53"/>
    <mergeCell ref="K50:L50"/>
    <mergeCell ref="N50:O50"/>
    <mergeCell ref="D51:E51"/>
    <mergeCell ref="K51:L51"/>
    <mergeCell ref="N51:O51"/>
    <mergeCell ref="N52:O52"/>
    <mergeCell ref="D52:E52"/>
    <mergeCell ref="K52:L52"/>
    <mergeCell ref="G50:G53"/>
    <mergeCell ref="D50:E50"/>
    <mergeCell ref="K54:L54"/>
    <mergeCell ref="N54:O54"/>
    <mergeCell ref="D55:E55"/>
    <mergeCell ref="H55:I55"/>
    <mergeCell ref="D56:E56"/>
    <mergeCell ref="H56:J56"/>
    <mergeCell ref="K56:L56"/>
    <mergeCell ref="N56:O56"/>
    <mergeCell ref="K55:L55"/>
    <mergeCell ref="N55:O55"/>
    <mergeCell ref="A57:O57"/>
    <mergeCell ref="L58:M58"/>
    <mergeCell ref="N58:O58"/>
    <mergeCell ref="N60:O60"/>
    <mergeCell ref="L59:M59"/>
    <mergeCell ref="N59:O59"/>
    <mergeCell ref="A61:O61"/>
    <mergeCell ref="A62:C62"/>
    <mergeCell ref="N62:O62"/>
    <mergeCell ref="A63:C63"/>
    <mergeCell ref="I63:J63"/>
    <mergeCell ref="L63:M63"/>
    <mergeCell ref="N63:O63"/>
    <mergeCell ref="A64:C64"/>
    <mergeCell ref="I64:J65"/>
    <mergeCell ref="L64:M64"/>
    <mergeCell ref="N64:O64"/>
    <mergeCell ref="A65:C65"/>
    <mergeCell ref="N65:O65"/>
    <mergeCell ref="A66:C66"/>
    <mergeCell ref="N66:O66"/>
    <mergeCell ref="A67:C67"/>
    <mergeCell ref="N67:O67"/>
    <mergeCell ref="A68:O68"/>
    <mergeCell ref="A69:C69"/>
    <mergeCell ref="F69:G69"/>
    <mergeCell ref="N69:O69"/>
    <mergeCell ref="N70:O70"/>
    <mergeCell ref="A71:C71"/>
    <mergeCell ref="F71:G71"/>
    <mergeCell ref="N71:O71"/>
    <mergeCell ref="A70:C70"/>
    <mergeCell ref="F70:G70"/>
    <mergeCell ref="I70:J71"/>
    <mergeCell ref="K70:K71"/>
    <mergeCell ref="A74:C74"/>
    <mergeCell ref="F74:G74"/>
    <mergeCell ref="N74:O74"/>
    <mergeCell ref="Q74:R74"/>
    <mergeCell ref="A75:C75"/>
    <mergeCell ref="F75:G75"/>
    <mergeCell ref="N75:O75"/>
    <mergeCell ref="T79:U79"/>
    <mergeCell ref="N72:O72"/>
    <mergeCell ref="A73:C73"/>
    <mergeCell ref="F73:G73"/>
    <mergeCell ref="N73:O73"/>
    <mergeCell ref="A78:C78"/>
    <mergeCell ref="D78:E78"/>
    <mergeCell ref="F78:H78"/>
    <mergeCell ref="B79:C79"/>
    <mergeCell ref="D79:E79"/>
    <mergeCell ref="G79:H79"/>
    <mergeCell ref="I79:K79"/>
    <mergeCell ref="L78:M78"/>
    <mergeCell ref="A72:C72"/>
    <mergeCell ref="F72:G72"/>
    <mergeCell ref="T80:U80"/>
    <mergeCell ref="V11:W11"/>
    <mergeCell ref="V12:W12"/>
    <mergeCell ref="V13:W13"/>
    <mergeCell ref="V14:W14"/>
    <mergeCell ref="V15:W15"/>
    <mergeCell ref="V16:W16"/>
    <mergeCell ref="V17:W17"/>
    <mergeCell ref="V18:W18"/>
    <mergeCell ref="U75:V75"/>
    <mergeCell ref="U63:V63"/>
  </mergeCells>
  <pageMargins left="0.74" right="0.75" top="0.51" bottom="0.21" header="0.27" footer="0.17"/>
  <pageSetup paperSize="5" scale="65" orientation="landscape" horizontalDpi="1200" verticalDpi="1200" r:id="rId1"/>
  <headerFooter alignWithMargins="0">
    <oddHeader>&amp;L&amp;16&amp;A&amp;C&amp;16&amp;F&amp;R&amp;16&amp;D</oddHeader>
  </headerFooter>
  <rowBreaks count="1" manualBreakCount="1">
    <brk id="3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HV117"/>
  <sheetViews>
    <sheetView topLeftCell="A52" zoomScaleNormal="100" workbookViewId="0">
      <selection activeCell="C11" sqref="C11:D11"/>
    </sheetView>
  </sheetViews>
  <sheetFormatPr defaultColWidth="19.6328125" defaultRowHeight="15.5" x14ac:dyDescent="0.35"/>
  <cols>
    <col min="1" max="1" width="9.453125" style="42" customWidth="1"/>
    <col min="2" max="2" width="11.81640625" style="42" customWidth="1"/>
    <col min="3" max="3" width="10.26953125" style="42" customWidth="1"/>
    <col min="4" max="4" width="9.7265625" style="42" customWidth="1"/>
    <col min="5" max="5" width="9.453125" style="42" customWidth="1"/>
    <col min="6" max="6" width="11.54296875" style="42" customWidth="1"/>
    <col min="7" max="7" width="9" style="42" customWidth="1"/>
    <col min="8" max="8" width="8.54296875" style="42" customWidth="1"/>
    <col min="9" max="9" width="11.26953125" style="42" customWidth="1"/>
    <col min="10" max="10" width="9.08984375" style="42" customWidth="1"/>
    <col min="11" max="11" width="11.7265625" style="42" customWidth="1"/>
    <col min="12" max="12" width="10.1796875" style="42" customWidth="1"/>
    <col min="13" max="13" width="10" style="42" customWidth="1"/>
    <col min="14" max="14" width="10.26953125" style="42" customWidth="1"/>
    <col min="15" max="15" width="10.1796875" style="42" customWidth="1"/>
    <col min="16" max="16" width="8.7265625" style="42" customWidth="1"/>
    <col min="17" max="17" width="10" style="42" customWidth="1"/>
    <col min="18" max="18" width="10.7265625" style="42" customWidth="1"/>
    <col min="19" max="19" width="9.26953125" style="42" customWidth="1"/>
    <col min="20" max="20" width="10.7265625" style="42" customWidth="1"/>
    <col min="21" max="21" width="11.7265625" style="42" customWidth="1"/>
    <col min="22" max="22" width="9.7265625" style="42" customWidth="1"/>
    <col min="23" max="23" width="12.7265625" style="42" bestFit="1" customWidth="1"/>
    <col min="24" max="24" width="8.7265625" style="42" customWidth="1"/>
    <col min="25" max="25" width="22.7265625" style="42" customWidth="1"/>
    <col min="26" max="26" width="4.54296875" customWidth="1"/>
    <col min="27" max="230" width="19.6328125" customWidth="1"/>
    <col min="231" max="16383" width="19.6328125" style="42"/>
    <col min="16384" max="16384" width="4.54296875" style="42" customWidth="1"/>
  </cols>
  <sheetData>
    <row r="1" spans="1:63" ht="24" customHeight="1" thickBot="1" x14ac:dyDescent="0.4">
      <c r="A1" s="1363" t="s">
        <v>303</v>
      </c>
      <c r="B1" s="891"/>
      <c r="C1" s="891"/>
      <c r="D1" s="892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1334" t="s">
        <v>305</v>
      </c>
      <c r="W1" s="1130"/>
      <c r="X1" s="2970">
        <v>37456</v>
      </c>
      <c r="Y1" s="2971"/>
    </row>
    <row r="2" spans="1:63" ht="24" customHeight="1" thickBot="1" x14ac:dyDescent="0.4">
      <c r="A2" s="2679">
        <f>Summary!C2</f>
        <v>0</v>
      </c>
      <c r="B2" s="2680"/>
      <c r="C2" s="2680"/>
      <c r="D2" s="2681"/>
      <c r="E2" s="298"/>
      <c r="F2" s="298"/>
      <c r="G2" s="1194" t="s">
        <v>131</v>
      </c>
      <c r="H2" s="877"/>
      <c r="I2" s="879"/>
      <c r="J2" s="879"/>
      <c r="K2" s="879"/>
      <c r="L2" s="879"/>
      <c r="M2" s="880" t="s">
        <v>96</v>
      </c>
      <c r="N2" s="879"/>
      <c r="O2" s="879"/>
      <c r="P2" s="879"/>
      <c r="Q2" s="1950" t="s">
        <v>125</v>
      </c>
      <c r="R2" s="1950"/>
      <c r="S2" s="1950" t="s">
        <v>306</v>
      </c>
      <c r="T2" s="1951"/>
      <c r="U2" s="298"/>
      <c r="V2" s="1183" t="s">
        <v>304</v>
      </c>
      <c r="W2" s="1180"/>
      <c r="X2" s="1184" t="str">
        <f>Information!C8</f>
        <v>Chad McKinney</v>
      </c>
      <c r="Y2" s="1185"/>
      <c r="AG2" s="299"/>
    </row>
    <row r="3" spans="1:63" ht="24" customHeight="1" x14ac:dyDescent="0.35">
      <c r="A3" s="2682">
        <f>Summary!C3</f>
        <v>0</v>
      </c>
      <c r="B3" s="2683"/>
      <c r="C3" s="2683"/>
      <c r="D3" s="2684"/>
      <c r="E3" s="298"/>
      <c r="F3" s="298"/>
      <c r="G3" s="1195" t="s">
        <v>132</v>
      </c>
      <c r="H3" s="938"/>
      <c r="I3" s="938"/>
      <c r="J3" s="897"/>
      <c r="K3" s="897"/>
      <c r="L3" s="2663">
        <f>Summary!K3</f>
        <v>0</v>
      </c>
      <c r="M3" s="2664"/>
      <c r="N3" s="2664"/>
      <c r="O3" s="2664"/>
      <c r="P3" s="2664"/>
      <c r="Q3" s="3020">
        <f>Summary!O3</f>
        <v>0</v>
      </c>
      <c r="R3" s="3020"/>
      <c r="S3" s="2843">
        <f>Summary!P3</f>
        <v>0</v>
      </c>
      <c r="T3" s="2844"/>
      <c r="U3" s="298"/>
      <c r="V3" s="1186"/>
      <c r="W3" s="1187"/>
      <c r="X3" s="1187"/>
      <c r="Y3" s="1188"/>
      <c r="AG3" s="299"/>
    </row>
    <row r="4" spans="1:63" ht="24" customHeight="1" thickBot="1" x14ac:dyDescent="0.4">
      <c r="A4" s="2685">
        <f>Summary!C4</f>
        <v>0</v>
      </c>
      <c r="B4" s="2686"/>
      <c r="C4" s="2686"/>
      <c r="D4" s="2687"/>
      <c r="E4" s="298"/>
      <c r="F4" s="298"/>
      <c r="G4" s="938"/>
      <c r="H4" s="939" t="s">
        <v>133</v>
      </c>
      <c r="I4" s="939"/>
      <c r="J4" s="939"/>
      <c r="K4" s="939"/>
      <c r="L4" s="2688">
        <f>Summary!K4</f>
        <v>0</v>
      </c>
      <c r="M4" s="2689"/>
      <c r="N4" s="2689"/>
      <c r="O4" s="2689"/>
      <c r="P4" s="2689"/>
      <c r="Q4" s="2963">
        <f>Summary!O4</f>
        <v>0</v>
      </c>
      <c r="R4" s="2963"/>
      <c r="S4" s="2845">
        <f>Summary!P4</f>
        <v>0</v>
      </c>
      <c r="T4" s="2846"/>
      <c r="U4" s="298"/>
      <c r="V4" s="1186" t="str">
        <f>Information!H5</f>
        <v>Approved by Chad:</v>
      </c>
      <c r="W4" s="1187"/>
      <c r="X4" s="1189"/>
      <c r="Y4" s="1190"/>
      <c r="AG4" s="299"/>
    </row>
    <row r="5" spans="1:63" ht="24" customHeight="1" x14ac:dyDescent="0.35">
      <c r="A5" s="57" t="s">
        <v>115</v>
      </c>
      <c r="C5" s="57" t="s">
        <v>125</v>
      </c>
      <c r="E5" s="298"/>
      <c r="F5" s="298"/>
      <c r="G5" s="938"/>
      <c r="H5" s="939" t="s">
        <v>134</v>
      </c>
      <c r="I5" s="939"/>
      <c r="J5" s="939"/>
      <c r="K5" s="939"/>
      <c r="L5" s="2688">
        <f>Summary!K5</f>
        <v>0</v>
      </c>
      <c r="M5" s="2689"/>
      <c r="N5" s="2689"/>
      <c r="O5" s="2689"/>
      <c r="P5" s="2689"/>
      <c r="Q5" s="2963">
        <f>Summary!O5</f>
        <v>0</v>
      </c>
      <c r="R5" s="2963"/>
      <c r="S5" s="2845">
        <f>Summary!P5</f>
        <v>0</v>
      </c>
      <c r="T5" s="2846"/>
      <c r="U5" s="298"/>
      <c r="V5" s="1186"/>
      <c r="W5" s="1187"/>
      <c r="X5" s="1187"/>
      <c r="Y5" s="1188"/>
      <c r="AG5" s="299"/>
    </row>
    <row r="6" spans="1:63" ht="24" customHeight="1" thickBot="1" x14ac:dyDescent="0.4">
      <c r="A6" s="1478">
        <v>0</v>
      </c>
      <c r="B6" s="298"/>
      <c r="C6" s="2957">
        <v>0</v>
      </c>
      <c r="D6" s="2958"/>
      <c r="E6" s="298"/>
      <c r="F6" s="298"/>
      <c r="G6" s="889"/>
      <c r="H6" s="940" t="s">
        <v>135</v>
      </c>
      <c r="I6" s="940"/>
      <c r="J6" s="940"/>
      <c r="K6" s="940"/>
      <c r="L6" s="2670">
        <f>Summary!K6</f>
        <v>0</v>
      </c>
      <c r="M6" s="2671"/>
      <c r="N6" s="2671"/>
      <c r="O6" s="2671"/>
      <c r="P6" s="2671"/>
      <c r="Q6" s="3021">
        <f>Summary!O6</f>
        <v>0</v>
      </c>
      <c r="R6" s="3021"/>
      <c r="S6" s="2852">
        <f>Summary!P6</f>
        <v>0</v>
      </c>
      <c r="T6" s="2853"/>
      <c r="U6" s="298"/>
      <c r="V6" s="1191" t="str">
        <f>Information!H6</f>
        <v>Approved by Edward:</v>
      </c>
      <c r="W6" s="1181"/>
      <c r="X6" s="1181"/>
      <c r="Y6" s="1182"/>
      <c r="AG6" s="299"/>
    </row>
    <row r="7" spans="1:63" ht="24" customHeight="1" thickBot="1" x14ac:dyDescent="0.4">
      <c r="A7" s="1479">
        <v>0</v>
      </c>
      <c r="B7" s="298"/>
      <c r="C7" s="2735">
        <v>0</v>
      </c>
      <c r="D7" s="3030"/>
      <c r="E7" s="298"/>
      <c r="F7" s="1963" t="s">
        <v>308</v>
      </c>
      <c r="G7" s="1963"/>
      <c r="H7" s="1963"/>
      <c r="I7" s="312"/>
      <c r="J7" s="312"/>
      <c r="K7" s="312"/>
      <c r="L7" s="1972" t="str">
        <f>Pricing!A2</f>
        <v>Martin Marrieta</v>
      </c>
      <c r="M7" s="1972"/>
      <c r="N7" s="1972"/>
      <c r="O7" s="1972"/>
      <c r="P7" s="1972"/>
      <c r="Q7" s="298"/>
      <c r="R7" s="298"/>
      <c r="S7" s="298"/>
      <c r="T7" s="298"/>
      <c r="U7" s="298"/>
      <c r="V7" s="298"/>
      <c r="W7" s="298"/>
      <c r="X7" s="298"/>
      <c r="Y7" s="298"/>
      <c r="AG7" s="299"/>
    </row>
    <row r="8" spans="1:63" ht="24" customHeight="1" x14ac:dyDescent="0.35">
      <c r="A8" s="2116" t="s">
        <v>47</v>
      </c>
      <c r="B8" s="3016"/>
      <c r="C8" s="3022" t="s">
        <v>346</v>
      </c>
      <c r="D8" s="3023"/>
      <c r="E8" s="3014" t="s">
        <v>364</v>
      </c>
      <c r="F8" s="3026" t="s">
        <v>356</v>
      </c>
      <c r="G8" s="3028" t="s">
        <v>35</v>
      </c>
      <c r="H8" s="3026" t="s">
        <v>389</v>
      </c>
      <c r="I8" s="3026" t="s">
        <v>1076</v>
      </c>
      <c r="J8" s="3026" t="s">
        <v>1074</v>
      </c>
      <c r="K8" s="3026" t="s">
        <v>1075</v>
      </c>
      <c r="L8" s="3026" t="s">
        <v>384</v>
      </c>
      <c r="M8" s="3031" t="s">
        <v>475</v>
      </c>
      <c r="N8" s="3032"/>
      <c r="O8" s="3033"/>
      <c r="P8" s="3011" t="s">
        <v>441</v>
      </c>
      <c r="Q8" s="3012"/>
      <c r="R8" s="3013"/>
      <c r="S8" s="3014" t="s">
        <v>352</v>
      </c>
      <c r="T8" s="3014" t="s">
        <v>595</v>
      </c>
      <c r="U8" s="3014" t="s">
        <v>349</v>
      </c>
      <c r="V8" s="3016" t="s">
        <v>106</v>
      </c>
      <c r="W8" s="3014" t="s">
        <v>359</v>
      </c>
      <c r="X8" s="3014" t="s">
        <v>350</v>
      </c>
      <c r="Y8" s="3018"/>
      <c r="AG8" s="299"/>
      <c r="AW8">
        <f>SUM(AV10:AZ10)</f>
        <v>0</v>
      </c>
    </row>
    <row r="9" spans="1:63" ht="24" customHeight="1" thickBot="1" x14ac:dyDescent="0.4">
      <c r="A9" s="2117"/>
      <c r="B9" s="3017"/>
      <c r="C9" s="3024"/>
      <c r="D9" s="3025"/>
      <c r="E9" s="3015"/>
      <c r="F9" s="3027"/>
      <c r="G9" s="3029"/>
      <c r="H9" s="3027"/>
      <c r="I9" s="3027"/>
      <c r="J9" s="3027"/>
      <c r="K9" s="3027"/>
      <c r="L9" s="3027"/>
      <c r="M9" s="1638" t="s">
        <v>42</v>
      </c>
      <c r="N9" s="1639" t="s">
        <v>473</v>
      </c>
      <c r="O9" s="1639" t="s">
        <v>474</v>
      </c>
      <c r="P9" s="1638" t="s">
        <v>28</v>
      </c>
      <c r="Q9" s="1640" t="s">
        <v>29</v>
      </c>
      <c r="R9" s="1641" t="s">
        <v>83</v>
      </c>
      <c r="S9" s="3015"/>
      <c r="T9" s="3015"/>
      <c r="U9" s="3015"/>
      <c r="V9" s="3017"/>
      <c r="W9" s="3015"/>
      <c r="X9" s="3015"/>
      <c r="Y9" s="3019"/>
      <c r="AG9" s="299" t="s">
        <v>386</v>
      </c>
      <c r="AH9" t="s">
        <v>227</v>
      </c>
      <c r="AI9" t="s">
        <v>228</v>
      </c>
      <c r="AJ9" t="s">
        <v>229</v>
      </c>
      <c r="AK9" t="s">
        <v>230</v>
      </c>
      <c r="AL9" t="s">
        <v>231</v>
      </c>
      <c r="AM9" t="s">
        <v>232</v>
      </c>
      <c r="AN9" t="s">
        <v>114</v>
      </c>
      <c r="AO9" t="s">
        <v>565</v>
      </c>
      <c r="AP9" t="s">
        <v>1074</v>
      </c>
      <c r="AQ9" t="s">
        <v>1077</v>
      </c>
      <c r="AR9" t="s">
        <v>59</v>
      </c>
      <c r="AS9" t="s">
        <v>369</v>
      </c>
      <c r="AT9" t="s">
        <v>106</v>
      </c>
      <c r="AU9" t="s">
        <v>82</v>
      </c>
      <c r="AV9" t="s">
        <v>353</v>
      </c>
      <c r="AW9" s="629" t="s">
        <v>1068</v>
      </c>
      <c r="AX9" s="629" t="s">
        <v>1067</v>
      </c>
      <c r="AY9" t="s">
        <v>371</v>
      </c>
      <c r="AZ9" t="s">
        <v>727</v>
      </c>
      <c r="BA9" t="s">
        <v>360</v>
      </c>
      <c r="BB9" t="s">
        <v>67</v>
      </c>
      <c r="BC9" t="s">
        <v>148</v>
      </c>
      <c r="BD9" t="s">
        <v>370</v>
      </c>
      <c r="BE9" t="s">
        <v>80</v>
      </c>
      <c r="BF9" t="s">
        <v>565</v>
      </c>
      <c r="BG9" t="s">
        <v>1074</v>
      </c>
      <c r="BH9" t="s">
        <v>1077</v>
      </c>
      <c r="BI9" t="s">
        <v>385</v>
      </c>
      <c r="BJ9" t="s">
        <v>70</v>
      </c>
      <c r="BK9" t="s">
        <v>86</v>
      </c>
    </row>
    <row r="10" spans="1:63" ht="24" customHeight="1" x14ac:dyDescent="0.35">
      <c r="A10" s="1979"/>
      <c r="B10" s="1981"/>
      <c r="C10" s="2493">
        <v>0</v>
      </c>
      <c r="D10" s="2487"/>
      <c r="E10" s="121"/>
      <c r="F10" s="127"/>
      <c r="G10" s="779">
        <v>6</v>
      </c>
      <c r="H10" s="264"/>
      <c r="I10" s="30"/>
      <c r="J10" s="30"/>
      <c r="K10" s="30"/>
      <c r="L10" s="121"/>
      <c r="M10" s="141"/>
      <c r="N10" s="121"/>
      <c r="O10" s="121"/>
      <c r="P10" s="30"/>
      <c r="Q10" s="121"/>
      <c r="R10" s="121"/>
      <c r="S10" s="1444">
        <f t="shared" ref="S10:S26" si="0">C10*F10/324*(1+M$44)</f>
        <v>0</v>
      </c>
      <c r="T10" s="1444">
        <f t="shared" ref="T10:T26" si="1">IF(R10&gt;0,C10,0)</f>
        <v>0</v>
      </c>
      <c r="U10" s="1380">
        <f>IF(Q10=0,0,(Q10/12+Q10/12)/(Q10/12*Q10/12)*C10*((P10/16*P10/16)*10.6870159))*(1+M$41)+(H10*Y34*2)</f>
        <v>0</v>
      </c>
      <c r="V10" s="1642">
        <f>((C10*E10/324+(H10*1.8*0.18/27))+IF(M10&gt;0,(M10*N10*(O10+12)/3888),0))*(1+M$38)</f>
        <v>0</v>
      </c>
      <c r="W10" s="1483">
        <f t="shared" ref="W10:W26" si="2">IF(C10=0,0,X10/C10)</f>
        <v>0</v>
      </c>
      <c r="X10" s="2488">
        <f>SUM(AT10:BI10)*(1+O$31+Summary!P$64)</f>
        <v>0</v>
      </c>
      <c r="Y10" s="2489"/>
      <c r="AG10" s="299">
        <f t="shared" ref="AG10:AG26" si="3">IF(L10="y",C10,0)</f>
        <v>0</v>
      </c>
      <c r="AH10">
        <f>IF($G10=1,$V10,0)</f>
        <v>0</v>
      </c>
      <c r="AI10">
        <f t="shared" ref="AI10:AI26" si="4">IF($G10=2,$V10,0)</f>
        <v>0</v>
      </c>
      <c r="AJ10">
        <f t="shared" ref="AJ10:AJ26" si="5">IF($G10=3,$V10,0)</f>
        <v>0</v>
      </c>
      <c r="AK10">
        <f t="shared" ref="AK10:AK26" si="6">IF($G10=4,$V10,0)</f>
        <v>0</v>
      </c>
      <c r="AL10">
        <f t="shared" ref="AL10:AL26" si="7">IF($G10=5,$V10,0)</f>
        <v>0</v>
      </c>
      <c r="AM10">
        <f t="shared" ref="AM10:AM26" si="8">IF($G10=6,$V10,0)</f>
        <v>0</v>
      </c>
      <c r="AN10">
        <f>SUM(AH10:AM10)</f>
        <v>0</v>
      </c>
      <c r="AO10">
        <f>IF(I10="Y",C10,0)</f>
        <v>0</v>
      </c>
      <c r="AP10">
        <f>IF(J10="Y",V10,0)</f>
        <v>0</v>
      </c>
      <c r="AQ10">
        <f>IF(K10="Y",C10,0)</f>
        <v>0</v>
      </c>
      <c r="AR10">
        <f t="shared" ref="AR10:AR26" si="9">IF(C10=0,0,IF(E10&lt;8,C10/N$68,0))</f>
        <v>0</v>
      </c>
      <c r="AS10">
        <f t="shared" ref="AS10:AS26" si="10">IF(C10=0,0,IF(E10&gt;8,C10/N$68,0))</f>
        <v>0</v>
      </c>
      <c r="AT10">
        <f>(AH10*Pricing!F$2+AI10*Pricing!G$2+AJ10*Pricing!H$2+AK10*Pricing!I$2+AL10*Pricing!J$2+AM10*Pricing!K$2)*IF(W$30="N",(1+Y$30),1)</f>
        <v>0</v>
      </c>
      <c r="AU10">
        <f t="shared" ref="AU10:AU26" si="11">U10*F$41*IF(W$30="n",1+Y$30,1)</f>
        <v>0</v>
      </c>
      <c r="AV10">
        <f t="shared" ref="AV10:AV26" si="12">C10*SUM(D$49:E$51)</f>
        <v>0</v>
      </c>
      <c r="AW10" s="382">
        <f t="shared" ref="AW10:AW26" si="13">M10*D$54</f>
        <v>0</v>
      </c>
      <c r="AX10" s="382">
        <f>H10*D$53</f>
        <v>0</v>
      </c>
      <c r="AY10">
        <f t="shared" ref="AY10:AY26" si="14">IF(C$27=0,0,Q$72/C$27*C10)</f>
        <v>0</v>
      </c>
      <c r="BA10">
        <f t="shared" ref="BA10:BA26" si="15">IF(C10=0,0,(SUM(Q$57:R$59)+Q$76)/C$27*C10)</f>
        <v>0</v>
      </c>
      <c r="BB10">
        <f t="shared" ref="BB10:BB26" si="16">IF(C10=0,0,SUM(Y$38:Y$78)/C$27*C10)</f>
        <v>0</v>
      </c>
      <c r="BC10">
        <f t="shared" ref="BC10:BC26" si="17">IF(C10=0,0,(SUM(Q$61:R$66)-Q$66)/C$27*C10)</f>
        <v>0</v>
      </c>
      <c r="BD10">
        <f t="shared" ref="BD10:BD26" si="18">IF(C10=0,0,SUM(Q$68:Q$71)/C$27)*C10</f>
        <v>0</v>
      </c>
      <c r="BE10">
        <f t="shared" ref="BE10:BE26" si="19">S10*F$44*IF(W$30="N",1+Y$30,1)</f>
        <v>0</v>
      </c>
      <c r="BF10" s="382">
        <f>AO10*D$73</f>
        <v>0</v>
      </c>
      <c r="BG10" s="382">
        <f>AP10*D$74</f>
        <v>0</v>
      </c>
      <c r="BH10" s="382">
        <f>AQ10*D$75</f>
        <v>0</v>
      </c>
      <c r="BI10">
        <f>IF(L10="y",Q$66/AG$27*C10,0)</f>
        <v>0</v>
      </c>
      <c r="BJ10">
        <f t="shared" ref="BJ10:BJ26" si="20">IF(N$46=0,0,Q$46/N$46*N10)</f>
        <v>0</v>
      </c>
      <c r="BK10" s="263">
        <f>IF(R10=6,Pricing!D$27,IF(R10=8,Pricing!D$26,IF(R10=10,Pricing!D$25,0)))*T10*(1+M$42)*IF(W$30="Y",1,1+Y$30)</f>
        <v>0</v>
      </c>
    </row>
    <row r="11" spans="1:63" ht="24" customHeight="1" x14ac:dyDescent="0.35">
      <c r="A11" s="1979"/>
      <c r="B11" s="1981"/>
      <c r="C11" s="2493"/>
      <c r="D11" s="2487"/>
      <c r="E11" s="121"/>
      <c r="F11" s="127"/>
      <c r="G11" s="777">
        <v>6</v>
      </c>
      <c r="H11" s="264"/>
      <c r="I11" s="30"/>
      <c r="J11" s="30"/>
      <c r="K11" s="30"/>
      <c r="L11" s="121"/>
      <c r="M11" s="141"/>
      <c r="N11" s="121"/>
      <c r="O11" s="121"/>
      <c r="P11" s="30"/>
      <c r="Q11" s="121"/>
      <c r="R11" s="121"/>
      <c r="S11" s="1444">
        <f t="shared" si="0"/>
        <v>0</v>
      </c>
      <c r="T11" s="1444">
        <f t="shared" si="1"/>
        <v>0</v>
      </c>
      <c r="U11" s="1380">
        <f t="shared" ref="U11:U26" si="21">IF(Q11=0,0,(Q11/12+Q11/12)/(Q11/12*Q11/12)*C11*((P11/16*P11/16)*10.6870159))*(1+M$41)</f>
        <v>0</v>
      </c>
      <c r="V11" s="740">
        <f>((C11*E11/324+(H11*1.5*0.18/27))+IF(M11&gt;0,(M11*N11*(O11+12)/3888),0))*(1+M$38)</f>
        <v>0</v>
      </c>
      <c r="W11" s="1483">
        <f t="shared" si="2"/>
        <v>0</v>
      </c>
      <c r="X11" s="2488">
        <f>SUM(AT11:BI11)*(1+O$31+Summary!P$64)</f>
        <v>0</v>
      </c>
      <c r="Y11" s="2489"/>
      <c r="AG11" s="299">
        <f t="shared" si="3"/>
        <v>0</v>
      </c>
      <c r="AH11">
        <f t="shared" ref="AH11:AH26" si="22">IF($G11=1,$V11,0)</f>
        <v>0</v>
      </c>
      <c r="AI11">
        <f t="shared" si="4"/>
        <v>0</v>
      </c>
      <c r="AJ11">
        <f t="shared" si="5"/>
        <v>0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ref="AN11:AN26" si="23">SUM(AH11:AM11)</f>
        <v>0</v>
      </c>
      <c r="AO11">
        <f t="shared" ref="AO11:AO26" si="24">IF(I11="Y",C11,0)</f>
        <v>0</v>
      </c>
      <c r="AP11">
        <f t="shared" ref="AP11:AP26" si="25">IF(J11="Y",V11,0)</f>
        <v>0</v>
      </c>
      <c r="AQ11">
        <f t="shared" ref="AQ11:AQ26" si="26">IF(K11="Y",C11,0)</f>
        <v>0</v>
      </c>
      <c r="AR11">
        <f t="shared" si="9"/>
        <v>0</v>
      </c>
      <c r="AS11">
        <f t="shared" si="10"/>
        <v>0</v>
      </c>
      <c r="AT11">
        <f>(AH11*Pricing!F$2+AI11*Pricing!G$2+AJ11*Pricing!H$2+AK11*Pricing!I$2+AL11*Pricing!J$2+AM11*Pricing!K$2)*IF(W$30="N",(1+Y$30),1)</f>
        <v>0</v>
      </c>
      <c r="AU11">
        <f t="shared" si="11"/>
        <v>0</v>
      </c>
      <c r="AV11">
        <f t="shared" si="12"/>
        <v>0</v>
      </c>
      <c r="AW11">
        <f t="shared" si="13"/>
        <v>0</v>
      </c>
      <c r="AX11" s="382">
        <f t="shared" ref="AX11:AX26" si="27">H11*D$53</f>
        <v>0</v>
      </c>
      <c r="AY11">
        <f t="shared" si="14"/>
        <v>0</v>
      </c>
      <c r="BA11">
        <f t="shared" si="15"/>
        <v>0</v>
      </c>
      <c r="BB11">
        <f t="shared" si="16"/>
        <v>0</v>
      </c>
      <c r="BC11">
        <f t="shared" si="17"/>
        <v>0</v>
      </c>
      <c r="BD11">
        <f t="shared" si="18"/>
        <v>0</v>
      </c>
      <c r="BE11">
        <f t="shared" si="19"/>
        <v>0</v>
      </c>
      <c r="BF11" s="382">
        <f t="shared" ref="BF11:BF26" si="28">AO11*D$73</f>
        <v>0</v>
      </c>
      <c r="BG11" s="382">
        <f t="shared" ref="BG11:BG26" si="29">AP11*D$74</f>
        <v>0</v>
      </c>
      <c r="BH11" s="382">
        <f t="shared" ref="BH11:BH26" si="30">AQ11*D$75</f>
        <v>0</v>
      </c>
      <c r="BI11">
        <f t="shared" ref="BI11:BI26" si="31">IF(L11="y",Q$66/AG$88*C11,0)</f>
        <v>0</v>
      </c>
      <c r="BJ11">
        <f t="shared" si="20"/>
        <v>0</v>
      </c>
      <c r="BK11" s="263">
        <f>IF(R11=6,T11*Pricing!D$27,IF(R11=8,Pricing!D$26,IF(R11=10,Pricing!D$25,0)))*T11*(1+M$42)*IF(W$30="Y",1,1+Y$30)</f>
        <v>0</v>
      </c>
    </row>
    <row r="12" spans="1:63" ht="24" customHeight="1" x14ac:dyDescent="0.35">
      <c r="A12" s="1979"/>
      <c r="B12" s="1981"/>
      <c r="C12" s="2491"/>
      <c r="D12" s="2524"/>
      <c r="E12" s="121"/>
      <c r="F12" s="127"/>
      <c r="G12" s="777">
        <v>6</v>
      </c>
      <c r="H12" s="264"/>
      <c r="I12" s="30"/>
      <c r="J12" s="30"/>
      <c r="K12" s="30"/>
      <c r="L12" s="121"/>
      <c r="M12" s="141"/>
      <c r="N12" s="121"/>
      <c r="O12" s="121"/>
      <c r="P12" s="30"/>
      <c r="Q12" s="121"/>
      <c r="R12" s="121"/>
      <c r="S12" s="1444">
        <f t="shared" si="0"/>
        <v>0</v>
      </c>
      <c r="T12" s="1444">
        <f t="shared" si="1"/>
        <v>0</v>
      </c>
      <c r="U12" s="1380">
        <f t="shared" si="21"/>
        <v>0</v>
      </c>
      <c r="V12" s="1481">
        <f t="shared" ref="V12:V26" si="32">((C12*E12/324+(I12*1.5*0.18/27))+IF(M12&gt;0,(M12*N12*(O12+12)/3888),0))*(1+M$38)</f>
        <v>0</v>
      </c>
      <c r="W12" s="1483">
        <f t="shared" si="2"/>
        <v>0</v>
      </c>
      <c r="X12" s="2488">
        <f>SUM(AT12:BI12)*(1+O$31+Summary!P$64)</f>
        <v>0</v>
      </c>
      <c r="Y12" s="2489"/>
      <c r="AG12" s="299">
        <f t="shared" si="3"/>
        <v>0</v>
      </c>
      <c r="AH12">
        <f t="shared" si="22"/>
        <v>0</v>
      </c>
      <c r="AI12">
        <f t="shared" si="4"/>
        <v>0</v>
      </c>
      <c r="AJ12">
        <f t="shared" si="5"/>
        <v>0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23"/>
        <v>0</v>
      </c>
      <c r="AO12">
        <f t="shared" si="24"/>
        <v>0</v>
      </c>
      <c r="AP12">
        <f t="shared" si="25"/>
        <v>0</v>
      </c>
      <c r="AQ12">
        <f t="shared" si="26"/>
        <v>0</v>
      </c>
      <c r="AR12">
        <f t="shared" si="9"/>
        <v>0</v>
      </c>
      <c r="AS12">
        <f t="shared" si="10"/>
        <v>0</v>
      </c>
      <c r="AT12">
        <f>(AH12*Pricing!F$2+AI12*Pricing!G$2+AJ12*Pricing!H$2+AK12*Pricing!I$2+AL12*Pricing!J$2+AM12*Pricing!K$2)*IF(W$30="N",(1+Y$30),1)</f>
        <v>0</v>
      </c>
      <c r="AU12">
        <f t="shared" si="11"/>
        <v>0</v>
      </c>
      <c r="AV12">
        <f t="shared" si="12"/>
        <v>0</v>
      </c>
      <c r="AW12">
        <f t="shared" si="13"/>
        <v>0</v>
      </c>
      <c r="AX12" s="382">
        <f t="shared" si="27"/>
        <v>0</v>
      </c>
      <c r="AY12">
        <f t="shared" si="14"/>
        <v>0</v>
      </c>
      <c r="BA12">
        <f t="shared" si="15"/>
        <v>0</v>
      </c>
      <c r="BB12">
        <f t="shared" si="16"/>
        <v>0</v>
      </c>
      <c r="BC12">
        <f t="shared" si="17"/>
        <v>0</v>
      </c>
      <c r="BD12">
        <f t="shared" si="18"/>
        <v>0</v>
      </c>
      <c r="BE12">
        <f t="shared" si="19"/>
        <v>0</v>
      </c>
      <c r="BF12" s="382">
        <f t="shared" si="28"/>
        <v>0</v>
      </c>
      <c r="BG12" s="382">
        <f t="shared" si="29"/>
        <v>0</v>
      </c>
      <c r="BH12" s="382">
        <f t="shared" si="30"/>
        <v>0</v>
      </c>
      <c r="BI12">
        <f t="shared" si="31"/>
        <v>0</v>
      </c>
      <c r="BJ12">
        <f t="shared" si="20"/>
        <v>0</v>
      </c>
      <c r="BK12" s="263">
        <f>IF(R12=6,T12*Pricing!D$27,IF(R12=8,Pricing!D$26,IF(R12=10,Pricing!D$25,0)))*T12*(1+M$42)*IF(W$30="Y",1,1+Y$30)</f>
        <v>0</v>
      </c>
    </row>
    <row r="13" spans="1:63" ht="24" customHeight="1" x14ac:dyDescent="0.35">
      <c r="A13" s="1979"/>
      <c r="B13" s="1981"/>
      <c r="C13" s="2979"/>
      <c r="D13" s="2002"/>
      <c r="E13" s="121"/>
      <c r="F13" s="127"/>
      <c r="G13" s="777">
        <v>6</v>
      </c>
      <c r="H13" s="264"/>
      <c r="I13" s="30"/>
      <c r="J13" s="30"/>
      <c r="K13" s="30"/>
      <c r="L13" s="121"/>
      <c r="M13" s="141"/>
      <c r="N13" s="121"/>
      <c r="O13" s="121"/>
      <c r="P13" s="30"/>
      <c r="Q13" s="121"/>
      <c r="R13" s="121"/>
      <c r="S13" s="1444">
        <f t="shared" si="0"/>
        <v>0</v>
      </c>
      <c r="T13" s="1444">
        <f t="shared" si="1"/>
        <v>0</v>
      </c>
      <c r="U13" s="1380">
        <f t="shared" si="21"/>
        <v>0</v>
      </c>
      <c r="V13" s="1481">
        <f t="shared" si="32"/>
        <v>0</v>
      </c>
      <c r="W13" s="1483">
        <f t="shared" si="2"/>
        <v>0</v>
      </c>
      <c r="X13" s="2488">
        <f>SUM(AT13:BI13)*(1+O$31+Summary!P$64)</f>
        <v>0</v>
      </c>
      <c r="Y13" s="2489"/>
      <c r="AG13" s="299">
        <f t="shared" si="3"/>
        <v>0</v>
      </c>
      <c r="AH13">
        <f t="shared" si="22"/>
        <v>0</v>
      </c>
      <c r="AI13">
        <f t="shared" si="4"/>
        <v>0</v>
      </c>
      <c r="AJ13">
        <f t="shared" si="5"/>
        <v>0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23"/>
        <v>0</v>
      </c>
      <c r="AO13">
        <f t="shared" si="24"/>
        <v>0</v>
      </c>
      <c r="AP13">
        <f t="shared" si="25"/>
        <v>0</v>
      </c>
      <c r="AQ13">
        <f t="shared" si="26"/>
        <v>0</v>
      </c>
      <c r="AR13">
        <f t="shared" si="9"/>
        <v>0</v>
      </c>
      <c r="AS13">
        <f t="shared" si="10"/>
        <v>0</v>
      </c>
      <c r="AT13">
        <f>(AH13*Pricing!F$2+AI13*Pricing!G$2+AJ13*Pricing!H$2+AK13*Pricing!I$2+AL13*Pricing!J$2+AM13*Pricing!K$2)*IF(W$30="N",(1+Y$30),1)</f>
        <v>0</v>
      </c>
      <c r="AU13">
        <f t="shared" si="11"/>
        <v>0</v>
      </c>
      <c r="AV13">
        <f t="shared" si="12"/>
        <v>0</v>
      </c>
      <c r="AW13">
        <f t="shared" si="13"/>
        <v>0</v>
      </c>
      <c r="AX13" s="382">
        <f t="shared" si="27"/>
        <v>0</v>
      </c>
      <c r="AY13">
        <f t="shared" si="14"/>
        <v>0</v>
      </c>
      <c r="BA13">
        <f t="shared" si="15"/>
        <v>0</v>
      </c>
      <c r="BB13">
        <f t="shared" si="16"/>
        <v>0</v>
      </c>
      <c r="BC13">
        <f t="shared" si="17"/>
        <v>0</v>
      </c>
      <c r="BD13">
        <f t="shared" si="18"/>
        <v>0</v>
      </c>
      <c r="BE13">
        <f t="shared" si="19"/>
        <v>0</v>
      </c>
      <c r="BF13" s="382">
        <f t="shared" si="28"/>
        <v>0</v>
      </c>
      <c r="BG13" s="382">
        <f t="shared" si="29"/>
        <v>0</v>
      </c>
      <c r="BH13" s="382">
        <f t="shared" si="30"/>
        <v>0</v>
      </c>
      <c r="BI13">
        <f t="shared" si="31"/>
        <v>0</v>
      </c>
      <c r="BJ13">
        <f t="shared" si="20"/>
        <v>0</v>
      </c>
      <c r="BK13" s="263">
        <f>IF(R13=6,T13*Pricing!D$27,IF(R13=8,Pricing!D$26,IF(R13=10,Pricing!D$25,0)))*T13*(1+M$42)*IF(W$30="Y",1,1+Y$30)</f>
        <v>0</v>
      </c>
    </row>
    <row r="14" spans="1:63" ht="24" customHeight="1" x14ac:dyDescent="0.35">
      <c r="A14" s="1979"/>
      <c r="B14" s="1981"/>
      <c r="C14" s="2979"/>
      <c r="D14" s="2002"/>
      <c r="E14" s="121"/>
      <c r="F14" s="127"/>
      <c r="G14" s="777">
        <v>6</v>
      </c>
      <c r="H14" s="264"/>
      <c r="I14" s="30"/>
      <c r="J14" s="30"/>
      <c r="K14" s="30"/>
      <c r="L14" s="121"/>
      <c r="M14" s="141"/>
      <c r="N14" s="121"/>
      <c r="O14" s="121"/>
      <c r="P14" s="30"/>
      <c r="Q14" s="121"/>
      <c r="R14" s="121"/>
      <c r="S14" s="1444">
        <f t="shared" si="0"/>
        <v>0</v>
      </c>
      <c r="T14" s="1444">
        <f t="shared" si="1"/>
        <v>0</v>
      </c>
      <c r="U14" s="1380">
        <f t="shared" si="21"/>
        <v>0</v>
      </c>
      <c r="V14" s="1481">
        <f t="shared" si="32"/>
        <v>0</v>
      </c>
      <c r="W14" s="1483">
        <f t="shared" si="2"/>
        <v>0</v>
      </c>
      <c r="X14" s="2488">
        <f>SUM(AT14:BI14)*(1+O$31+Summary!P$64)</f>
        <v>0</v>
      </c>
      <c r="Y14" s="2489"/>
      <c r="AG14" s="299">
        <f t="shared" si="3"/>
        <v>0</v>
      </c>
      <c r="AH14">
        <f t="shared" si="22"/>
        <v>0</v>
      </c>
      <c r="AI14">
        <f t="shared" si="4"/>
        <v>0</v>
      </c>
      <c r="AJ14">
        <f t="shared" si="5"/>
        <v>0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23"/>
        <v>0</v>
      </c>
      <c r="AO14">
        <f t="shared" si="24"/>
        <v>0</v>
      </c>
      <c r="AP14">
        <f t="shared" si="25"/>
        <v>0</v>
      </c>
      <c r="AQ14">
        <f t="shared" si="26"/>
        <v>0</v>
      </c>
      <c r="AR14">
        <f t="shared" si="9"/>
        <v>0</v>
      </c>
      <c r="AS14">
        <f t="shared" si="10"/>
        <v>0</v>
      </c>
      <c r="AT14">
        <f>(AH14*Pricing!F$2+AI14*Pricing!G$2+AJ14*Pricing!H$2+AK14*Pricing!I$2+AL14*Pricing!J$2+AM14*Pricing!K$2)*IF(W$30="N",(1+Y$30),1)</f>
        <v>0</v>
      </c>
      <c r="AU14">
        <f t="shared" si="11"/>
        <v>0</v>
      </c>
      <c r="AV14">
        <f t="shared" si="12"/>
        <v>0</v>
      </c>
      <c r="AW14">
        <f t="shared" si="13"/>
        <v>0</v>
      </c>
      <c r="AX14" s="382">
        <f t="shared" si="27"/>
        <v>0</v>
      </c>
      <c r="AY14">
        <f t="shared" si="14"/>
        <v>0</v>
      </c>
      <c r="BA14">
        <f t="shared" si="15"/>
        <v>0</v>
      </c>
      <c r="BB14">
        <f t="shared" si="16"/>
        <v>0</v>
      </c>
      <c r="BC14">
        <f t="shared" si="17"/>
        <v>0</v>
      </c>
      <c r="BD14">
        <f t="shared" si="18"/>
        <v>0</v>
      </c>
      <c r="BE14">
        <f t="shared" si="19"/>
        <v>0</v>
      </c>
      <c r="BF14" s="382">
        <f t="shared" si="28"/>
        <v>0</v>
      </c>
      <c r="BG14" s="382">
        <f t="shared" si="29"/>
        <v>0</v>
      </c>
      <c r="BH14" s="382">
        <f t="shared" si="30"/>
        <v>0</v>
      </c>
      <c r="BI14">
        <f t="shared" si="31"/>
        <v>0</v>
      </c>
      <c r="BJ14">
        <f t="shared" si="20"/>
        <v>0</v>
      </c>
      <c r="BK14" s="263">
        <f>IF(R14=6,T14*Pricing!D$27,IF(R14=8,Pricing!D$26,IF(R14=10,Pricing!D$25,0)))*T14*(1+M$42)*IF(W$30="Y",1,1+Y$30)</f>
        <v>0</v>
      </c>
    </row>
    <row r="15" spans="1:63" ht="24" customHeight="1" x14ac:dyDescent="0.35">
      <c r="A15" s="1979"/>
      <c r="B15" s="1981"/>
      <c r="C15" s="2001"/>
      <c r="D15" s="2002"/>
      <c r="E15" s="121"/>
      <c r="F15" s="127"/>
      <c r="G15" s="777">
        <v>6</v>
      </c>
      <c r="H15" s="264"/>
      <c r="I15" s="30"/>
      <c r="J15" s="30"/>
      <c r="K15" s="30"/>
      <c r="L15" s="121"/>
      <c r="M15" s="141"/>
      <c r="N15" s="121"/>
      <c r="O15" s="121"/>
      <c r="P15" s="30"/>
      <c r="Q15" s="121"/>
      <c r="R15" s="121"/>
      <c r="S15" s="1444">
        <f t="shared" si="0"/>
        <v>0</v>
      </c>
      <c r="T15" s="1444">
        <f t="shared" si="1"/>
        <v>0</v>
      </c>
      <c r="U15" s="1380">
        <f t="shared" si="21"/>
        <v>0</v>
      </c>
      <c r="V15" s="1481">
        <f t="shared" si="32"/>
        <v>0</v>
      </c>
      <c r="W15" s="1483">
        <f t="shared" si="2"/>
        <v>0</v>
      </c>
      <c r="X15" s="2488">
        <f>SUM(AT15:BI15)*(1+O$31+Summary!P$64)</f>
        <v>0</v>
      </c>
      <c r="Y15" s="2489"/>
      <c r="AG15" s="299">
        <f t="shared" si="3"/>
        <v>0</v>
      </c>
      <c r="AH15">
        <f t="shared" si="22"/>
        <v>0</v>
      </c>
      <c r="AI15">
        <f t="shared" si="4"/>
        <v>0</v>
      </c>
      <c r="AJ15">
        <f t="shared" si="5"/>
        <v>0</v>
      </c>
      <c r="AK15">
        <f t="shared" si="6"/>
        <v>0</v>
      </c>
      <c r="AL15">
        <f t="shared" si="7"/>
        <v>0</v>
      </c>
      <c r="AM15">
        <f t="shared" si="8"/>
        <v>0</v>
      </c>
      <c r="AN15">
        <f t="shared" si="23"/>
        <v>0</v>
      </c>
      <c r="AO15">
        <f t="shared" si="24"/>
        <v>0</v>
      </c>
      <c r="AP15">
        <f t="shared" si="25"/>
        <v>0</v>
      </c>
      <c r="AQ15">
        <f t="shared" si="26"/>
        <v>0</v>
      </c>
      <c r="AR15">
        <f t="shared" si="9"/>
        <v>0</v>
      </c>
      <c r="AS15">
        <f t="shared" si="10"/>
        <v>0</v>
      </c>
      <c r="AT15">
        <f>(AH15*Pricing!F$2+AI15*Pricing!G$2+AJ15*Pricing!H$2+AK15*Pricing!I$2+AL15*Pricing!J$2+AM15*Pricing!K$2)*IF(W$30="N",(1+Y$30),1)</f>
        <v>0</v>
      </c>
      <c r="AU15">
        <f t="shared" si="11"/>
        <v>0</v>
      </c>
      <c r="AV15">
        <f t="shared" si="12"/>
        <v>0</v>
      </c>
      <c r="AW15">
        <f t="shared" si="13"/>
        <v>0</v>
      </c>
      <c r="AX15" s="382">
        <f t="shared" si="27"/>
        <v>0</v>
      </c>
      <c r="AY15">
        <f t="shared" si="14"/>
        <v>0</v>
      </c>
      <c r="BA15">
        <f t="shared" si="15"/>
        <v>0</v>
      </c>
      <c r="BB15">
        <f t="shared" si="16"/>
        <v>0</v>
      </c>
      <c r="BC15">
        <f t="shared" si="17"/>
        <v>0</v>
      </c>
      <c r="BD15">
        <f t="shared" si="18"/>
        <v>0</v>
      </c>
      <c r="BE15">
        <f t="shared" si="19"/>
        <v>0</v>
      </c>
      <c r="BF15" s="382">
        <f t="shared" si="28"/>
        <v>0</v>
      </c>
      <c r="BG15" s="382">
        <f t="shared" si="29"/>
        <v>0</v>
      </c>
      <c r="BH15" s="382">
        <f t="shared" si="30"/>
        <v>0</v>
      </c>
      <c r="BI15">
        <f t="shared" si="31"/>
        <v>0</v>
      </c>
      <c r="BJ15">
        <f t="shared" si="20"/>
        <v>0</v>
      </c>
      <c r="BK15" s="263">
        <f>IF(R15=6,T15*Pricing!D$27,IF(R15=8,Pricing!D$26,IF(R15=10,Pricing!D$25,0)))*T15*(1+M$42)*IF(W$30="Y",1,1+Y$30)</f>
        <v>0</v>
      </c>
    </row>
    <row r="16" spans="1:63" ht="24" customHeight="1" x14ac:dyDescent="0.35">
      <c r="A16" s="1979"/>
      <c r="B16" s="1981"/>
      <c r="C16" s="2979"/>
      <c r="D16" s="2002"/>
      <c r="E16" s="121"/>
      <c r="F16" s="127"/>
      <c r="G16" s="777">
        <v>6</v>
      </c>
      <c r="H16" s="264"/>
      <c r="I16" s="30"/>
      <c r="J16" s="30"/>
      <c r="K16" s="30"/>
      <c r="L16" s="121"/>
      <c r="M16" s="141"/>
      <c r="N16" s="121"/>
      <c r="O16" s="121"/>
      <c r="P16" s="30"/>
      <c r="Q16" s="121"/>
      <c r="R16" s="121"/>
      <c r="S16" s="1444">
        <f t="shared" si="0"/>
        <v>0</v>
      </c>
      <c r="T16" s="1444">
        <f t="shared" si="1"/>
        <v>0</v>
      </c>
      <c r="U16" s="1380">
        <f t="shared" si="21"/>
        <v>0</v>
      </c>
      <c r="V16" s="1481">
        <f t="shared" si="32"/>
        <v>0</v>
      </c>
      <c r="W16" s="1483">
        <f t="shared" si="2"/>
        <v>0</v>
      </c>
      <c r="X16" s="2488">
        <f>SUM(AT16:BI16)*(1+O$31+Summary!P$64)</f>
        <v>0</v>
      </c>
      <c r="Y16" s="2489"/>
      <c r="AG16" s="299">
        <f t="shared" si="3"/>
        <v>0</v>
      </c>
      <c r="AH16">
        <f t="shared" si="22"/>
        <v>0</v>
      </c>
      <c r="AI16">
        <f t="shared" si="4"/>
        <v>0</v>
      </c>
      <c r="AJ16">
        <f t="shared" si="5"/>
        <v>0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23"/>
        <v>0</v>
      </c>
      <c r="AO16">
        <f t="shared" si="24"/>
        <v>0</v>
      </c>
      <c r="AP16">
        <f t="shared" si="25"/>
        <v>0</v>
      </c>
      <c r="AQ16">
        <f t="shared" si="26"/>
        <v>0</v>
      </c>
      <c r="AR16">
        <f t="shared" si="9"/>
        <v>0</v>
      </c>
      <c r="AS16">
        <f t="shared" si="10"/>
        <v>0</v>
      </c>
      <c r="AT16">
        <f>(AH16*Pricing!F$2+AI16*Pricing!G$2+AJ16*Pricing!H$2+AK16*Pricing!I$2+AL16*Pricing!J$2+AM16*Pricing!K$2)*IF(W$30="N",(1+Y$30),1)</f>
        <v>0</v>
      </c>
      <c r="AU16">
        <f t="shared" si="11"/>
        <v>0</v>
      </c>
      <c r="AV16">
        <f t="shared" si="12"/>
        <v>0</v>
      </c>
      <c r="AW16">
        <f t="shared" si="13"/>
        <v>0</v>
      </c>
      <c r="AX16" s="382">
        <f t="shared" si="27"/>
        <v>0</v>
      </c>
      <c r="AY16">
        <f t="shared" si="14"/>
        <v>0</v>
      </c>
      <c r="BA16">
        <f t="shared" si="15"/>
        <v>0</v>
      </c>
      <c r="BB16">
        <f t="shared" si="16"/>
        <v>0</v>
      </c>
      <c r="BC16">
        <f t="shared" si="17"/>
        <v>0</v>
      </c>
      <c r="BD16">
        <f t="shared" si="18"/>
        <v>0</v>
      </c>
      <c r="BE16">
        <f t="shared" si="19"/>
        <v>0</v>
      </c>
      <c r="BF16" s="382">
        <f t="shared" si="28"/>
        <v>0</v>
      </c>
      <c r="BG16" s="382">
        <f t="shared" si="29"/>
        <v>0</v>
      </c>
      <c r="BH16" s="382">
        <f t="shared" si="30"/>
        <v>0</v>
      </c>
      <c r="BI16">
        <f t="shared" si="31"/>
        <v>0</v>
      </c>
      <c r="BJ16">
        <f t="shared" si="20"/>
        <v>0</v>
      </c>
      <c r="BK16" s="263">
        <f>IF(R16=6,T16*Pricing!D$27,IF(R16=8,Pricing!D$26,IF(R16=10,Pricing!D$25,0)))*T16*(1+M$42)*IF(W$30="Y",1,1+Y$30)</f>
        <v>0</v>
      </c>
    </row>
    <row r="17" spans="1:64" ht="24" customHeight="1" x14ac:dyDescent="0.35">
      <c r="A17" s="2556"/>
      <c r="B17" s="1981"/>
      <c r="C17" s="2979"/>
      <c r="D17" s="2002"/>
      <c r="E17" s="121"/>
      <c r="F17" s="127"/>
      <c r="G17" s="777">
        <v>6</v>
      </c>
      <c r="H17" s="264"/>
      <c r="I17" s="30"/>
      <c r="J17" s="30"/>
      <c r="K17" s="30"/>
      <c r="L17" s="121"/>
      <c r="M17" s="141"/>
      <c r="N17" s="121"/>
      <c r="O17" s="121"/>
      <c r="P17" s="30"/>
      <c r="Q17" s="121"/>
      <c r="R17" s="121"/>
      <c r="S17" s="1444">
        <f t="shared" si="0"/>
        <v>0</v>
      </c>
      <c r="T17" s="1444">
        <f t="shared" si="1"/>
        <v>0</v>
      </c>
      <c r="U17" s="1380">
        <f t="shared" si="21"/>
        <v>0</v>
      </c>
      <c r="V17" s="1481">
        <f t="shared" si="32"/>
        <v>0</v>
      </c>
      <c r="W17" s="1483">
        <f t="shared" si="2"/>
        <v>0</v>
      </c>
      <c r="X17" s="2488">
        <f>SUM(AT17:BI17)*(1+O$31+Summary!P$64)</f>
        <v>0</v>
      </c>
      <c r="Y17" s="2489"/>
      <c r="AG17" s="299">
        <f t="shared" si="3"/>
        <v>0</v>
      </c>
      <c r="AH17">
        <f t="shared" si="22"/>
        <v>0</v>
      </c>
      <c r="AI17">
        <f t="shared" si="4"/>
        <v>0</v>
      </c>
      <c r="AJ17">
        <f t="shared" si="5"/>
        <v>0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23"/>
        <v>0</v>
      </c>
      <c r="AO17">
        <f t="shared" si="24"/>
        <v>0</v>
      </c>
      <c r="AP17">
        <f t="shared" si="25"/>
        <v>0</v>
      </c>
      <c r="AQ17">
        <f t="shared" si="26"/>
        <v>0</v>
      </c>
      <c r="AR17">
        <f t="shared" si="9"/>
        <v>0</v>
      </c>
      <c r="AS17">
        <f t="shared" si="10"/>
        <v>0</v>
      </c>
      <c r="AT17">
        <f>(AH17*Pricing!F$2+AI17*Pricing!G$2+AJ17*Pricing!H$2+AK17*Pricing!I$2+AL17*Pricing!J$2+AM17*Pricing!K$2)*IF(W$30="N",(1+Y$30),1)</f>
        <v>0</v>
      </c>
      <c r="AU17">
        <f t="shared" si="11"/>
        <v>0</v>
      </c>
      <c r="AV17">
        <f t="shared" si="12"/>
        <v>0</v>
      </c>
      <c r="AW17">
        <f t="shared" si="13"/>
        <v>0</v>
      </c>
      <c r="AX17" s="382">
        <f t="shared" si="27"/>
        <v>0</v>
      </c>
      <c r="AY17">
        <f t="shared" si="14"/>
        <v>0</v>
      </c>
      <c r="BA17">
        <f t="shared" si="15"/>
        <v>0</v>
      </c>
      <c r="BB17">
        <f t="shared" si="16"/>
        <v>0</v>
      </c>
      <c r="BC17">
        <f t="shared" si="17"/>
        <v>0</v>
      </c>
      <c r="BD17">
        <f t="shared" si="18"/>
        <v>0</v>
      </c>
      <c r="BE17">
        <f t="shared" si="19"/>
        <v>0</v>
      </c>
      <c r="BF17" s="382">
        <f t="shared" si="28"/>
        <v>0</v>
      </c>
      <c r="BG17" s="382">
        <f t="shared" si="29"/>
        <v>0</v>
      </c>
      <c r="BH17" s="382">
        <f t="shared" si="30"/>
        <v>0</v>
      </c>
      <c r="BI17">
        <f t="shared" si="31"/>
        <v>0</v>
      </c>
      <c r="BJ17">
        <f t="shared" si="20"/>
        <v>0</v>
      </c>
      <c r="BK17" s="263">
        <f>IF(R17=6,T17*Pricing!D$27,IF(R17=8,Pricing!D$26,IF(R17=10,Pricing!D$25,0)))*T17*(1+M$42)*IF(W$30="Y",1,1+Y$30)</f>
        <v>0</v>
      </c>
    </row>
    <row r="18" spans="1:64" ht="24" customHeight="1" x14ac:dyDescent="0.35">
      <c r="A18" s="2556"/>
      <c r="B18" s="1981"/>
      <c r="C18" s="2979"/>
      <c r="D18" s="2002"/>
      <c r="E18" s="121"/>
      <c r="F18" s="127"/>
      <c r="G18" s="777">
        <v>6</v>
      </c>
      <c r="H18" s="264"/>
      <c r="I18" s="30"/>
      <c r="J18" s="30"/>
      <c r="K18" s="30"/>
      <c r="L18" s="121"/>
      <c r="M18" s="141"/>
      <c r="N18" s="121"/>
      <c r="O18" s="121"/>
      <c r="P18" s="30"/>
      <c r="Q18" s="121"/>
      <c r="R18" s="121"/>
      <c r="S18" s="1444">
        <f t="shared" si="0"/>
        <v>0</v>
      </c>
      <c r="T18" s="1444">
        <f t="shared" si="1"/>
        <v>0</v>
      </c>
      <c r="U18" s="1380">
        <f t="shared" si="21"/>
        <v>0</v>
      </c>
      <c r="V18" s="1481">
        <f t="shared" si="32"/>
        <v>0</v>
      </c>
      <c r="W18" s="1483">
        <f t="shared" si="2"/>
        <v>0</v>
      </c>
      <c r="X18" s="2488">
        <f>SUM(AT18:BI18)*(1+O$31+Summary!P$64)</f>
        <v>0</v>
      </c>
      <c r="Y18" s="2489"/>
      <c r="AG18" s="299">
        <f t="shared" si="3"/>
        <v>0</v>
      </c>
      <c r="AH18">
        <f t="shared" si="22"/>
        <v>0</v>
      </c>
      <c r="AI18">
        <f t="shared" si="4"/>
        <v>0</v>
      </c>
      <c r="AJ18">
        <f t="shared" si="5"/>
        <v>0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23"/>
        <v>0</v>
      </c>
      <c r="AO18">
        <f t="shared" si="24"/>
        <v>0</v>
      </c>
      <c r="AP18">
        <f t="shared" si="25"/>
        <v>0</v>
      </c>
      <c r="AQ18">
        <f t="shared" si="26"/>
        <v>0</v>
      </c>
      <c r="AR18">
        <f t="shared" si="9"/>
        <v>0</v>
      </c>
      <c r="AS18">
        <f t="shared" si="10"/>
        <v>0</v>
      </c>
      <c r="AT18">
        <f>(AH18*Pricing!F$2+AI18*Pricing!G$2+AJ18*Pricing!H$2+AK18*Pricing!I$2+AL18*Pricing!J$2+AM18*Pricing!K$2)*IF(W$30="N",(1+Y$30),1)</f>
        <v>0</v>
      </c>
      <c r="AU18">
        <f t="shared" si="11"/>
        <v>0</v>
      </c>
      <c r="AV18">
        <f t="shared" si="12"/>
        <v>0</v>
      </c>
      <c r="AW18">
        <f t="shared" si="13"/>
        <v>0</v>
      </c>
      <c r="AX18" s="382">
        <f t="shared" si="27"/>
        <v>0</v>
      </c>
      <c r="AY18">
        <f t="shared" si="14"/>
        <v>0</v>
      </c>
      <c r="BA18">
        <f t="shared" si="15"/>
        <v>0</v>
      </c>
      <c r="BB18">
        <f t="shared" si="16"/>
        <v>0</v>
      </c>
      <c r="BC18">
        <f t="shared" si="17"/>
        <v>0</v>
      </c>
      <c r="BD18">
        <f t="shared" si="18"/>
        <v>0</v>
      </c>
      <c r="BE18">
        <f t="shared" si="19"/>
        <v>0</v>
      </c>
      <c r="BF18" s="382">
        <f t="shared" si="28"/>
        <v>0</v>
      </c>
      <c r="BG18" s="382">
        <f t="shared" si="29"/>
        <v>0</v>
      </c>
      <c r="BH18" s="382">
        <f t="shared" si="30"/>
        <v>0</v>
      </c>
      <c r="BI18">
        <f t="shared" si="31"/>
        <v>0</v>
      </c>
      <c r="BJ18">
        <f t="shared" si="20"/>
        <v>0</v>
      </c>
      <c r="BK18" s="263">
        <f>IF(R18=6,T18*Pricing!D$27,IF(R18=8,Pricing!D$26,IF(R18=10,Pricing!D$25,0)))*T18*(1+M$42)*IF(W$30="Y",1,1+Y$30)</f>
        <v>0</v>
      </c>
    </row>
    <row r="19" spans="1:64" ht="24" customHeight="1" x14ac:dyDescent="0.35">
      <c r="A19" s="1979"/>
      <c r="B19" s="1981"/>
      <c r="C19" s="2001"/>
      <c r="D19" s="2002"/>
      <c r="E19" s="121"/>
      <c r="F19" s="127"/>
      <c r="G19" s="777">
        <v>6</v>
      </c>
      <c r="H19" s="264"/>
      <c r="I19" s="30"/>
      <c r="J19" s="30"/>
      <c r="K19" s="30"/>
      <c r="L19" s="121"/>
      <c r="M19" s="141"/>
      <c r="N19" s="121"/>
      <c r="O19" s="121"/>
      <c r="P19" s="30"/>
      <c r="Q19" s="121"/>
      <c r="R19" s="121"/>
      <c r="S19" s="1444">
        <f t="shared" si="0"/>
        <v>0</v>
      </c>
      <c r="T19" s="1444">
        <f t="shared" si="1"/>
        <v>0</v>
      </c>
      <c r="U19" s="1380">
        <f t="shared" si="21"/>
        <v>0</v>
      </c>
      <c r="V19" s="1481">
        <f t="shared" si="32"/>
        <v>0</v>
      </c>
      <c r="W19" s="1483">
        <f t="shared" si="2"/>
        <v>0</v>
      </c>
      <c r="X19" s="2488">
        <f>SUM(AT19:BI19)*(1+O$31+Summary!P$64)</f>
        <v>0</v>
      </c>
      <c r="Y19" s="2489"/>
      <c r="AG19" s="299">
        <f t="shared" si="3"/>
        <v>0</v>
      </c>
      <c r="AH19">
        <f t="shared" si="22"/>
        <v>0</v>
      </c>
      <c r="AI19">
        <f t="shared" si="4"/>
        <v>0</v>
      </c>
      <c r="AJ19">
        <f t="shared" si="5"/>
        <v>0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23"/>
        <v>0</v>
      </c>
      <c r="AO19">
        <f t="shared" si="24"/>
        <v>0</v>
      </c>
      <c r="AP19">
        <f t="shared" si="25"/>
        <v>0</v>
      </c>
      <c r="AQ19">
        <f t="shared" si="26"/>
        <v>0</v>
      </c>
      <c r="AR19">
        <f t="shared" si="9"/>
        <v>0</v>
      </c>
      <c r="AS19">
        <f t="shared" si="10"/>
        <v>0</v>
      </c>
      <c r="AT19">
        <f>(AH19*Pricing!F$2+AI19*Pricing!G$2+AJ19*Pricing!H$2+AK19*Pricing!I$2+AL19*Pricing!J$2+AM19*Pricing!K$2)*IF(W$30="N",(1+Y$30),1)</f>
        <v>0</v>
      </c>
      <c r="AU19">
        <f t="shared" si="11"/>
        <v>0</v>
      </c>
      <c r="AV19">
        <f t="shared" si="12"/>
        <v>0</v>
      </c>
      <c r="AW19">
        <f t="shared" si="13"/>
        <v>0</v>
      </c>
      <c r="AX19" s="382">
        <f t="shared" si="27"/>
        <v>0</v>
      </c>
      <c r="AY19">
        <f t="shared" si="14"/>
        <v>0</v>
      </c>
      <c r="BA19">
        <f t="shared" si="15"/>
        <v>0</v>
      </c>
      <c r="BB19">
        <f t="shared" si="16"/>
        <v>0</v>
      </c>
      <c r="BC19">
        <f t="shared" si="17"/>
        <v>0</v>
      </c>
      <c r="BD19">
        <f t="shared" si="18"/>
        <v>0</v>
      </c>
      <c r="BE19">
        <f t="shared" si="19"/>
        <v>0</v>
      </c>
      <c r="BF19" s="382">
        <f t="shared" si="28"/>
        <v>0</v>
      </c>
      <c r="BG19" s="382">
        <f t="shared" si="29"/>
        <v>0</v>
      </c>
      <c r="BH19" s="382">
        <f t="shared" si="30"/>
        <v>0</v>
      </c>
      <c r="BI19">
        <f t="shared" si="31"/>
        <v>0</v>
      </c>
      <c r="BJ19">
        <f t="shared" si="20"/>
        <v>0</v>
      </c>
      <c r="BK19" s="263">
        <f>IF(R19=6,T19*Pricing!D$27,IF(R19=8,Pricing!D$26,IF(R19=10,Pricing!D$25,0)))*T19*(1+M$42)*IF(W$30="Y",1,1+Y$30)</f>
        <v>0</v>
      </c>
    </row>
    <row r="20" spans="1:64" ht="24" customHeight="1" x14ac:dyDescent="0.35">
      <c r="A20" s="1979"/>
      <c r="B20" s="1981"/>
      <c r="C20" s="2001"/>
      <c r="D20" s="2002"/>
      <c r="E20" s="121"/>
      <c r="F20" s="127"/>
      <c r="G20" s="777">
        <v>6</v>
      </c>
      <c r="H20" s="264"/>
      <c r="I20" s="30"/>
      <c r="J20" s="30"/>
      <c r="K20" s="30"/>
      <c r="L20" s="121"/>
      <c r="M20" s="141"/>
      <c r="N20" s="121"/>
      <c r="O20" s="121"/>
      <c r="P20" s="30"/>
      <c r="Q20" s="121"/>
      <c r="R20" s="121"/>
      <c r="S20" s="1444">
        <f t="shared" si="0"/>
        <v>0</v>
      </c>
      <c r="T20" s="1444">
        <f t="shared" si="1"/>
        <v>0</v>
      </c>
      <c r="U20" s="1380">
        <f t="shared" si="21"/>
        <v>0</v>
      </c>
      <c r="V20" s="1481">
        <f t="shared" si="32"/>
        <v>0</v>
      </c>
      <c r="W20" s="1483">
        <f t="shared" si="2"/>
        <v>0</v>
      </c>
      <c r="X20" s="2488">
        <f>SUM(AT20:BI20)*(1+O$31+Summary!P$64)</f>
        <v>0</v>
      </c>
      <c r="Y20" s="2489"/>
      <c r="AG20" s="299">
        <f t="shared" si="3"/>
        <v>0</v>
      </c>
      <c r="AH20">
        <f t="shared" si="22"/>
        <v>0</v>
      </c>
      <c r="AI20">
        <f t="shared" si="4"/>
        <v>0</v>
      </c>
      <c r="AJ20">
        <f t="shared" si="5"/>
        <v>0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23"/>
        <v>0</v>
      </c>
      <c r="AO20">
        <f t="shared" si="24"/>
        <v>0</v>
      </c>
      <c r="AP20">
        <f t="shared" si="25"/>
        <v>0</v>
      </c>
      <c r="AQ20">
        <f t="shared" si="26"/>
        <v>0</v>
      </c>
      <c r="AR20">
        <f t="shared" si="9"/>
        <v>0</v>
      </c>
      <c r="AS20">
        <f t="shared" si="10"/>
        <v>0</v>
      </c>
      <c r="AT20">
        <f>(AH20*Pricing!F$2+AI20*Pricing!G$2+AJ20*Pricing!H$2+AK20*Pricing!I$2+AL20*Pricing!J$2+AM20*Pricing!K$2)*IF(W$30="N",(1+Y$30),1)</f>
        <v>0</v>
      </c>
      <c r="AU20">
        <f t="shared" si="11"/>
        <v>0</v>
      </c>
      <c r="AV20">
        <f t="shared" si="12"/>
        <v>0</v>
      </c>
      <c r="AW20">
        <f t="shared" si="13"/>
        <v>0</v>
      </c>
      <c r="AX20" s="382">
        <f t="shared" si="27"/>
        <v>0</v>
      </c>
      <c r="AY20">
        <f t="shared" si="14"/>
        <v>0</v>
      </c>
      <c r="BA20">
        <f t="shared" si="15"/>
        <v>0</v>
      </c>
      <c r="BB20">
        <f t="shared" si="16"/>
        <v>0</v>
      </c>
      <c r="BC20">
        <f t="shared" si="17"/>
        <v>0</v>
      </c>
      <c r="BD20">
        <f t="shared" si="18"/>
        <v>0</v>
      </c>
      <c r="BE20">
        <f t="shared" si="19"/>
        <v>0</v>
      </c>
      <c r="BF20" s="382">
        <f t="shared" si="28"/>
        <v>0</v>
      </c>
      <c r="BG20" s="382">
        <f t="shared" si="29"/>
        <v>0</v>
      </c>
      <c r="BH20" s="382">
        <f t="shared" si="30"/>
        <v>0</v>
      </c>
      <c r="BI20">
        <f t="shared" si="31"/>
        <v>0</v>
      </c>
      <c r="BJ20">
        <f t="shared" si="20"/>
        <v>0</v>
      </c>
      <c r="BK20" s="263">
        <f>IF(R20=6,T20*Pricing!D$27,IF(R20=8,Pricing!D$26,IF(R20=10,Pricing!D$25,0)))*T20*(1+M$42)*IF(W$30="Y",1,1+Y$30)</f>
        <v>0</v>
      </c>
    </row>
    <row r="21" spans="1:64" ht="24" customHeight="1" x14ac:dyDescent="0.35">
      <c r="A21" s="1979"/>
      <c r="B21" s="1981"/>
      <c r="C21" s="2001"/>
      <c r="D21" s="2002"/>
      <c r="E21" s="121"/>
      <c r="F21" s="127"/>
      <c r="G21" s="777">
        <v>6</v>
      </c>
      <c r="H21" s="264"/>
      <c r="I21" s="30"/>
      <c r="J21" s="30"/>
      <c r="K21" s="30"/>
      <c r="L21" s="121"/>
      <c r="M21" s="141"/>
      <c r="N21" s="121"/>
      <c r="O21" s="121"/>
      <c r="P21" s="30"/>
      <c r="Q21" s="121"/>
      <c r="R21" s="121"/>
      <c r="S21" s="1444">
        <f t="shared" si="0"/>
        <v>0</v>
      </c>
      <c r="T21" s="1444">
        <f t="shared" si="1"/>
        <v>0</v>
      </c>
      <c r="U21" s="1380">
        <f t="shared" si="21"/>
        <v>0</v>
      </c>
      <c r="V21" s="1481">
        <f t="shared" si="32"/>
        <v>0</v>
      </c>
      <c r="W21" s="1483">
        <f t="shared" si="2"/>
        <v>0</v>
      </c>
      <c r="X21" s="2488">
        <f>SUM(AT21:BI21)*(1+O$31+Summary!P$64)</f>
        <v>0</v>
      </c>
      <c r="Y21" s="2489"/>
      <c r="AG21" s="299">
        <f t="shared" si="3"/>
        <v>0</v>
      </c>
      <c r="AH21">
        <f t="shared" si="22"/>
        <v>0</v>
      </c>
      <c r="AI21">
        <f t="shared" si="4"/>
        <v>0</v>
      </c>
      <c r="AJ21">
        <f t="shared" si="5"/>
        <v>0</v>
      </c>
      <c r="AK21">
        <f t="shared" si="6"/>
        <v>0</v>
      </c>
      <c r="AL21">
        <f t="shared" si="7"/>
        <v>0</v>
      </c>
      <c r="AM21">
        <f t="shared" si="8"/>
        <v>0</v>
      </c>
      <c r="AN21">
        <f t="shared" si="23"/>
        <v>0</v>
      </c>
      <c r="AO21">
        <f t="shared" si="24"/>
        <v>0</v>
      </c>
      <c r="AP21">
        <f t="shared" si="25"/>
        <v>0</v>
      </c>
      <c r="AQ21">
        <f t="shared" si="26"/>
        <v>0</v>
      </c>
      <c r="AR21">
        <f t="shared" si="9"/>
        <v>0</v>
      </c>
      <c r="AS21">
        <f t="shared" si="10"/>
        <v>0</v>
      </c>
      <c r="AT21">
        <f>(AH21*Pricing!F$2+AI21*Pricing!G$2+AJ21*Pricing!H$2+AK21*Pricing!I$2+AL21*Pricing!J$2+AM21*Pricing!K$2)*IF(W$30="N",(1+Y$30),1)</f>
        <v>0</v>
      </c>
      <c r="AU21">
        <f t="shared" si="11"/>
        <v>0</v>
      </c>
      <c r="AV21">
        <f t="shared" si="12"/>
        <v>0</v>
      </c>
      <c r="AW21">
        <f t="shared" si="13"/>
        <v>0</v>
      </c>
      <c r="AX21" s="382">
        <f t="shared" si="27"/>
        <v>0</v>
      </c>
      <c r="AY21">
        <f t="shared" si="14"/>
        <v>0</v>
      </c>
      <c r="BA21">
        <f t="shared" si="15"/>
        <v>0</v>
      </c>
      <c r="BB21">
        <f t="shared" si="16"/>
        <v>0</v>
      </c>
      <c r="BC21">
        <f t="shared" si="17"/>
        <v>0</v>
      </c>
      <c r="BD21">
        <f t="shared" si="18"/>
        <v>0</v>
      </c>
      <c r="BE21">
        <f t="shared" si="19"/>
        <v>0</v>
      </c>
      <c r="BF21" s="382">
        <f t="shared" si="28"/>
        <v>0</v>
      </c>
      <c r="BG21" s="382">
        <f t="shared" si="29"/>
        <v>0</v>
      </c>
      <c r="BH21" s="382">
        <f t="shared" si="30"/>
        <v>0</v>
      </c>
      <c r="BI21">
        <f t="shared" si="31"/>
        <v>0</v>
      </c>
      <c r="BJ21">
        <f t="shared" si="20"/>
        <v>0</v>
      </c>
      <c r="BK21" s="263">
        <f>IF(R21=6,T21*Pricing!D$27,IF(R21=8,Pricing!D$26,IF(R21=10,Pricing!D$25,0)))*T21*(1+M$42)*IF(W$30="Y",1,1+Y$30)</f>
        <v>0</v>
      </c>
    </row>
    <row r="22" spans="1:64" ht="24" customHeight="1" x14ac:dyDescent="0.35">
      <c r="A22" s="1979"/>
      <c r="B22" s="1981"/>
      <c r="C22" s="2001"/>
      <c r="D22" s="2002"/>
      <c r="E22" s="121"/>
      <c r="F22" s="127"/>
      <c r="G22" s="777">
        <v>6</v>
      </c>
      <c r="H22" s="264"/>
      <c r="I22" s="30"/>
      <c r="J22" s="30"/>
      <c r="K22" s="30"/>
      <c r="L22" s="121"/>
      <c r="M22" s="141"/>
      <c r="N22" s="121"/>
      <c r="O22" s="121"/>
      <c r="P22" s="30"/>
      <c r="Q22" s="121"/>
      <c r="R22" s="121"/>
      <c r="S22" s="1444">
        <f t="shared" si="0"/>
        <v>0</v>
      </c>
      <c r="T22" s="1444">
        <f t="shared" si="1"/>
        <v>0</v>
      </c>
      <c r="U22" s="1380">
        <f t="shared" si="21"/>
        <v>0</v>
      </c>
      <c r="V22" s="1481">
        <f t="shared" si="32"/>
        <v>0</v>
      </c>
      <c r="W22" s="1483">
        <f t="shared" si="2"/>
        <v>0</v>
      </c>
      <c r="X22" s="2488">
        <f>SUM(AT22:BI22)*(1+O$31+Summary!P$64)</f>
        <v>0</v>
      </c>
      <c r="Y22" s="2489"/>
      <c r="AG22" s="299">
        <f t="shared" si="3"/>
        <v>0</v>
      </c>
      <c r="AH22">
        <f t="shared" si="22"/>
        <v>0</v>
      </c>
      <c r="AI22">
        <f t="shared" si="4"/>
        <v>0</v>
      </c>
      <c r="AJ22">
        <f t="shared" si="5"/>
        <v>0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23"/>
        <v>0</v>
      </c>
      <c r="AO22">
        <f t="shared" si="24"/>
        <v>0</v>
      </c>
      <c r="AP22">
        <f t="shared" si="25"/>
        <v>0</v>
      </c>
      <c r="AQ22">
        <f t="shared" si="26"/>
        <v>0</v>
      </c>
      <c r="AR22">
        <f t="shared" si="9"/>
        <v>0</v>
      </c>
      <c r="AS22">
        <f t="shared" si="10"/>
        <v>0</v>
      </c>
      <c r="AT22">
        <f>(AH22*Pricing!F$2+AI22*Pricing!G$2+AJ22*Pricing!H$2+AK22*Pricing!I$2+AL22*Pricing!J$2+AM22*Pricing!K$2)*IF(W$30="N",(1+Y$30),1)</f>
        <v>0</v>
      </c>
      <c r="AU22">
        <f t="shared" si="11"/>
        <v>0</v>
      </c>
      <c r="AV22">
        <f t="shared" si="12"/>
        <v>0</v>
      </c>
      <c r="AW22">
        <f t="shared" si="13"/>
        <v>0</v>
      </c>
      <c r="AX22" s="382">
        <f t="shared" si="27"/>
        <v>0</v>
      </c>
      <c r="AY22">
        <f t="shared" si="14"/>
        <v>0</v>
      </c>
      <c r="BA22">
        <f t="shared" si="15"/>
        <v>0</v>
      </c>
      <c r="BB22">
        <f t="shared" si="16"/>
        <v>0</v>
      </c>
      <c r="BC22">
        <f t="shared" si="17"/>
        <v>0</v>
      </c>
      <c r="BD22">
        <f t="shared" si="18"/>
        <v>0</v>
      </c>
      <c r="BE22">
        <f t="shared" si="19"/>
        <v>0</v>
      </c>
      <c r="BF22" s="382">
        <f t="shared" si="28"/>
        <v>0</v>
      </c>
      <c r="BG22" s="382">
        <f t="shared" si="29"/>
        <v>0</v>
      </c>
      <c r="BH22" s="382">
        <f t="shared" si="30"/>
        <v>0</v>
      </c>
      <c r="BI22">
        <f t="shared" si="31"/>
        <v>0</v>
      </c>
      <c r="BJ22">
        <f t="shared" si="20"/>
        <v>0</v>
      </c>
      <c r="BK22" s="263">
        <f>IF(R22=6,T22*Pricing!D$27,IF(R22=8,Pricing!D$26,IF(R22=10,Pricing!D$25,0)))*T22*(1+M$42)*IF(W$30="Y",1,1+Y$30)</f>
        <v>0</v>
      </c>
    </row>
    <row r="23" spans="1:64" ht="24" customHeight="1" x14ac:dyDescent="0.35">
      <c r="A23" s="1979"/>
      <c r="B23" s="1981"/>
      <c r="C23" s="2001"/>
      <c r="D23" s="2002"/>
      <c r="E23" s="121"/>
      <c r="F23" s="127"/>
      <c r="G23" s="777">
        <v>6</v>
      </c>
      <c r="H23" s="264"/>
      <c r="I23" s="30"/>
      <c r="J23" s="30"/>
      <c r="K23" s="30"/>
      <c r="L23" s="121"/>
      <c r="M23" s="141"/>
      <c r="N23" s="121"/>
      <c r="O23" s="121"/>
      <c r="P23" s="30"/>
      <c r="Q23" s="121"/>
      <c r="R23" s="121"/>
      <c r="S23" s="1444">
        <f t="shared" si="0"/>
        <v>0</v>
      </c>
      <c r="T23" s="1444">
        <f t="shared" si="1"/>
        <v>0</v>
      </c>
      <c r="U23" s="1380">
        <f t="shared" si="21"/>
        <v>0</v>
      </c>
      <c r="V23" s="1481">
        <f t="shared" si="32"/>
        <v>0</v>
      </c>
      <c r="W23" s="1483">
        <f t="shared" si="2"/>
        <v>0</v>
      </c>
      <c r="X23" s="2488">
        <f>SUM(AT23:BI23)*(1+O$31+Summary!P$64)</f>
        <v>0</v>
      </c>
      <c r="Y23" s="2489"/>
      <c r="AG23" s="299">
        <f t="shared" si="3"/>
        <v>0</v>
      </c>
      <c r="AH23">
        <f t="shared" si="22"/>
        <v>0</v>
      </c>
      <c r="AI23">
        <f t="shared" si="4"/>
        <v>0</v>
      </c>
      <c r="AJ23">
        <f t="shared" si="5"/>
        <v>0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23"/>
        <v>0</v>
      </c>
      <c r="AO23">
        <f t="shared" si="24"/>
        <v>0</v>
      </c>
      <c r="AP23">
        <f t="shared" si="25"/>
        <v>0</v>
      </c>
      <c r="AQ23">
        <f t="shared" si="26"/>
        <v>0</v>
      </c>
      <c r="AR23">
        <f t="shared" si="9"/>
        <v>0</v>
      </c>
      <c r="AS23">
        <f t="shared" si="10"/>
        <v>0</v>
      </c>
      <c r="AT23">
        <f>(AH23*Pricing!F$2+AI23*Pricing!G$2+AJ23*Pricing!H$2+AK23*Pricing!I$2+AL23*Pricing!J$2+AM23*Pricing!K$2)*IF(W$30="N",(1+Y$30),1)</f>
        <v>0</v>
      </c>
      <c r="AU23">
        <f t="shared" si="11"/>
        <v>0</v>
      </c>
      <c r="AV23">
        <f t="shared" si="12"/>
        <v>0</v>
      </c>
      <c r="AW23">
        <f t="shared" si="13"/>
        <v>0</v>
      </c>
      <c r="AX23" s="382">
        <f t="shared" si="27"/>
        <v>0</v>
      </c>
      <c r="AY23">
        <f t="shared" si="14"/>
        <v>0</v>
      </c>
      <c r="BA23">
        <f t="shared" si="15"/>
        <v>0</v>
      </c>
      <c r="BB23">
        <f t="shared" si="16"/>
        <v>0</v>
      </c>
      <c r="BC23">
        <f t="shared" si="17"/>
        <v>0</v>
      </c>
      <c r="BD23">
        <f t="shared" si="18"/>
        <v>0</v>
      </c>
      <c r="BE23">
        <f t="shared" si="19"/>
        <v>0</v>
      </c>
      <c r="BF23" s="382">
        <f t="shared" si="28"/>
        <v>0</v>
      </c>
      <c r="BG23" s="382">
        <f t="shared" si="29"/>
        <v>0</v>
      </c>
      <c r="BH23" s="382">
        <f t="shared" si="30"/>
        <v>0</v>
      </c>
      <c r="BI23">
        <f t="shared" si="31"/>
        <v>0</v>
      </c>
      <c r="BJ23">
        <f t="shared" si="20"/>
        <v>0</v>
      </c>
      <c r="BK23" s="263">
        <f>IF(R23=6,T23*Pricing!D$27,IF(R23=8,Pricing!D$26,IF(R23=10,Pricing!D$25,0)))*T23*(1+M$42)*IF(W$30="Y",1,1+Y$30)</f>
        <v>0</v>
      </c>
    </row>
    <row r="24" spans="1:64" ht="24" customHeight="1" x14ac:dyDescent="0.35">
      <c r="A24" s="1979"/>
      <c r="B24" s="1981"/>
      <c r="C24" s="2001"/>
      <c r="D24" s="2002"/>
      <c r="E24" s="121"/>
      <c r="F24" s="127"/>
      <c r="G24" s="777">
        <v>6</v>
      </c>
      <c r="H24" s="264"/>
      <c r="I24" s="30"/>
      <c r="J24" s="30"/>
      <c r="K24" s="30"/>
      <c r="L24" s="121"/>
      <c r="M24" s="141"/>
      <c r="N24" s="121"/>
      <c r="O24" s="121"/>
      <c r="P24" s="30"/>
      <c r="Q24" s="121"/>
      <c r="R24" s="121"/>
      <c r="S24" s="1444">
        <f t="shared" si="0"/>
        <v>0</v>
      </c>
      <c r="T24" s="1444">
        <f t="shared" si="1"/>
        <v>0</v>
      </c>
      <c r="U24" s="1380">
        <f t="shared" si="21"/>
        <v>0</v>
      </c>
      <c r="V24" s="1481">
        <f t="shared" si="32"/>
        <v>0</v>
      </c>
      <c r="W24" s="1483">
        <f t="shared" si="2"/>
        <v>0</v>
      </c>
      <c r="X24" s="2488">
        <f>SUM(AT24:BI24)*(1+O$31+Summary!P$64)</f>
        <v>0</v>
      </c>
      <c r="Y24" s="2489"/>
      <c r="AG24" s="299">
        <f t="shared" si="3"/>
        <v>0</v>
      </c>
      <c r="AH24">
        <f t="shared" si="22"/>
        <v>0</v>
      </c>
      <c r="AI24">
        <f t="shared" si="4"/>
        <v>0</v>
      </c>
      <c r="AJ24">
        <f t="shared" si="5"/>
        <v>0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23"/>
        <v>0</v>
      </c>
      <c r="AO24">
        <f t="shared" si="24"/>
        <v>0</v>
      </c>
      <c r="AP24">
        <f t="shared" si="25"/>
        <v>0</v>
      </c>
      <c r="AQ24">
        <f t="shared" si="26"/>
        <v>0</v>
      </c>
      <c r="AR24">
        <f t="shared" si="9"/>
        <v>0</v>
      </c>
      <c r="AS24">
        <f t="shared" si="10"/>
        <v>0</v>
      </c>
      <c r="AT24">
        <f>(AH24*Pricing!F$2+AI24*Pricing!G$2+AJ24*Pricing!H$2+AK24*Pricing!I$2+AL24*Pricing!J$2+AM24*Pricing!K$2)*IF(W$30="N",(1+Y$30),1)</f>
        <v>0</v>
      </c>
      <c r="AU24">
        <f t="shared" si="11"/>
        <v>0</v>
      </c>
      <c r="AV24">
        <f t="shared" si="12"/>
        <v>0</v>
      </c>
      <c r="AW24">
        <f t="shared" si="13"/>
        <v>0</v>
      </c>
      <c r="AX24" s="382">
        <f t="shared" si="27"/>
        <v>0</v>
      </c>
      <c r="AY24">
        <f t="shared" si="14"/>
        <v>0</v>
      </c>
      <c r="BA24">
        <f t="shared" si="15"/>
        <v>0</v>
      </c>
      <c r="BB24">
        <f t="shared" si="16"/>
        <v>0</v>
      </c>
      <c r="BC24">
        <f t="shared" si="17"/>
        <v>0</v>
      </c>
      <c r="BD24">
        <f t="shared" si="18"/>
        <v>0</v>
      </c>
      <c r="BE24">
        <f t="shared" si="19"/>
        <v>0</v>
      </c>
      <c r="BF24" s="382">
        <f t="shared" si="28"/>
        <v>0</v>
      </c>
      <c r="BG24" s="382">
        <f t="shared" si="29"/>
        <v>0</v>
      </c>
      <c r="BH24" s="382">
        <f t="shared" si="30"/>
        <v>0</v>
      </c>
      <c r="BI24">
        <f t="shared" si="31"/>
        <v>0</v>
      </c>
      <c r="BJ24">
        <f t="shared" si="20"/>
        <v>0</v>
      </c>
      <c r="BK24" s="263">
        <f>IF(R24=6,T24*Pricing!D$27,IF(R24=8,Pricing!D$26,IF(R24=10,Pricing!D$25,0)))*T24*(1+M$42)*IF(W$30="Y",1,1+Y$30)</f>
        <v>0</v>
      </c>
    </row>
    <row r="25" spans="1:64" ht="24" customHeight="1" x14ac:dyDescent="0.35">
      <c r="A25" s="1979"/>
      <c r="B25" s="1981"/>
      <c r="C25" s="2001"/>
      <c r="D25" s="2002"/>
      <c r="E25" s="121"/>
      <c r="F25" s="127"/>
      <c r="G25" s="777">
        <v>6</v>
      </c>
      <c r="H25" s="264"/>
      <c r="I25" s="30"/>
      <c r="J25" s="30"/>
      <c r="K25" s="30"/>
      <c r="L25" s="121"/>
      <c r="M25" s="141"/>
      <c r="N25" s="121"/>
      <c r="O25" s="121"/>
      <c r="P25" s="30"/>
      <c r="Q25" s="121"/>
      <c r="R25" s="121"/>
      <c r="S25" s="1444">
        <f t="shared" si="0"/>
        <v>0</v>
      </c>
      <c r="T25" s="1444">
        <f t="shared" si="1"/>
        <v>0</v>
      </c>
      <c r="U25" s="1380">
        <f t="shared" si="21"/>
        <v>0</v>
      </c>
      <c r="V25" s="1481">
        <f t="shared" si="32"/>
        <v>0</v>
      </c>
      <c r="W25" s="1483">
        <f t="shared" si="2"/>
        <v>0</v>
      </c>
      <c r="X25" s="2488">
        <f>SUM(AT25:BI25)*(1+O$31+Summary!P$64)</f>
        <v>0</v>
      </c>
      <c r="Y25" s="2489"/>
      <c r="AG25" s="299">
        <f t="shared" si="3"/>
        <v>0</v>
      </c>
      <c r="AH25">
        <f t="shared" si="22"/>
        <v>0</v>
      </c>
      <c r="AI25">
        <f t="shared" si="4"/>
        <v>0</v>
      </c>
      <c r="AJ25">
        <f t="shared" si="5"/>
        <v>0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23"/>
        <v>0</v>
      </c>
      <c r="AO25">
        <f t="shared" si="24"/>
        <v>0</v>
      </c>
      <c r="AP25">
        <f t="shared" si="25"/>
        <v>0</v>
      </c>
      <c r="AQ25">
        <f t="shared" si="26"/>
        <v>0</v>
      </c>
      <c r="AR25">
        <f t="shared" si="9"/>
        <v>0</v>
      </c>
      <c r="AS25">
        <f t="shared" si="10"/>
        <v>0</v>
      </c>
      <c r="AT25">
        <f>(AH25*Pricing!F$2+AI25*Pricing!G$2+AJ25*Pricing!H$2+AK25*Pricing!I$2+AL25*Pricing!J$2+AM25*Pricing!K$2)*IF(W$30="N",(1+Y$30),1)</f>
        <v>0</v>
      </c>
      <c r="AU25">
        <f t="shared" si="11"/>
        <v>0</v>
      </c>
      <c r="AV25">
        <f t="shared" si="12"/>
        <v>0</v>
      </c>
      <c r="AW25">
        <f t="shared" si="13"/>
        <v>0</v>
      </c>
      <c r="AX25" s="382">
        <f t="shared" si="27"/>
        <v>0</v>
      </c>
      <c r="AY25">
        <f t="shared" si="14"/>
        <v>0</v>
      </c>
      <c r="BA25">
        <f t="shared" si="15"/>
        <v>0</v>
      </c>
      <c r="BB25">
        <f t="shared" si="16"/>
        <v>0</v>
      </c>
      <c r="BC25">
        <f t="shared" si="17"/>
        <v>0</v>
      </c>
      <c r="BD25">
        <f t="shared" si="18"/>
        <v>0</v>
      </c>
      <c r="BE25">
        <f t="shared" si="19"/>
        <v>0</v>
      </c>
      <c r="BF25" s="382">
        <f t="shared" si="28"/>
        <v>0</v>
      </c>
      <c r="BG25" s="382">
        <f t="shared" si="29"/>
        <v>0</v>
      </c>
      <c r="BH25" s="382">
        <f t="shared" si="30"/>
        <v>0</v>
      </c>
      <c r="BI25">
        <f t="shared" si="31"/>
        <v>0</v>
      </c>
      <c r="BJ25">
        <f t="shared" si="20"/>
        <v>0</v>
      </c>
      <c r="BK25" s="263">
        <f>IF(R25=6,T25*Pricing!D$27,IF(R25=8,Pricing!D$26,IF(R25=10,Pricing!D$25,0)))*T25*(1+M$42)*IF(W$30="Y",1,1+Y$30)</f>
        <v>0</v>
      </c>
    </row>
    <row r="26" spans="1:64" ht="24" customHeight="1" thickBot="1" x14ac:dyDescent="0.4">
      <c r="A26" s="2069"/>
      <c r="B26" s="2071"/>
      <c r="C26" s="1993"/>
      <c r="D26" s="1994"/>
      <c r="E26" s="128"/>
      <c r="F26" s="129"/>
      <c r="G26" s="777">
        <v>6</v>
      </c>
      <c r="H26" s="231"/>
      <c r="I26" s="33"/>
      <c r="J26" s="33"/>
      <c r="K26" s="33"/>
      <c r="L26" s="128"/>
      <c r="M26" s="187"/>
      <c r="N26" s="128"/>
      <c r="O26" s="128"/>
      <c r="P26" s="231"/>
      <c r="Q26" s="128"/>
      <c r="R26" s="129"/>
      <c r="S26" s="1216">
        <f t="shared" si="0"/>
        <v>0</v>
      </c>
      <c r="T26" s="1446">
        <f t="shared" si="1"/>
        <v>0</v>
      </c>
      <c r="U26" s="1447">
        <f t="shared" si="21"/>
        <v>0</v>
      </c>
      <c r="V26" s="1482">
        <f t="shared" si="32"/>
        <v>0</v>
      </c>
      <c r="W26" s="1484">
        <f t="shared" si="2"/>
        <v>0</v>
      </c>
      <c r="X26" s="2474">
        <f>SUM(AT26:BI26)*(1+O$31+Summary!P$64)</f>
        <v>0</v>
      </c>
      <c r="Y26" s="2475"/>
      <c r="AG26" s="299">
        <f t="shared" si="3"/>
        <v>0</v>
      </c>
      <c r="AH26">
        <f t="shared" si="22"/>
        <v>0</v>
      </c>
      <c r="AI26">
        <f t="shared" si="4"/>
        <v>0</v>
      </c>
      <c r="AJ26">
        <f t="shared" si="5"/>
        <v>0</v>
      </c>
      <c r="AK26">
        <f t="shared" si="6"/>
        <v>0</v>
      </c>
      <c r="AL26">
        <f t="shared" si="7"/>
        <v>0</v>
      </c>
      <c r="AM26">
        <f t="shared" si="8"/>
        <v>0</v>
      </c>
      <c r="AN26">
        <f t="shared" si="23"/>
        <v>0</v>
      </c>
      <c r="AO26">
        <f t="shared" si="24"/>
        <v>0</v>
      </c>
      <c r="AP26">
        <f t="shared" si="25"/>
        <v>0</v>
      </c>
      <c r="AQ26">
        <f t="shared" si="26"/>
        <v>0</v>
      </c>
      <c r="AR26">
        <f t="shared" si="9"/>
        <v>0</v>
      </c>
      <c r="AS26">
        <f t="shared" si="10"/>
        <v>0</v>
      </c>
      <c r="AT26">
        <f>(AH26*Pricing!F$2+AI26*Pricing!G$2+AJ26*Pricing!H$2+AK26*Pricing!I$2+AL26*Pricing!J$2+AM26*Pricing!K$2)*IF(W$30="N",(1+Y$30),1)</f>
        <v>0</v>
      </c>
      <c r="AU26">
        <f t="shared" si="11"/>
        <v>0</v>
      </c>
      <c r="AV26">
        <f t="shared" si="12"/>
        <v>0</v>
      </c>
      <c r="AW26">
        <f t="shared" si="13"/>
        <v>0</v>
      </c>
      <c r="AX26" s="382">
        <f t="shared" si="27"/>
        <v>0</v>
      </c>
      <c r="AY26">
        <f t="shared" si="14"/>
        <v>0</v>
      </c>
      <c r="BA26">
        <f t="shared" si="15"/>
        <v>0</v>
      </c>
      <c r="BB26">
        <f t="shared" si="16"/>
        <v>0</v>
      </c>
      <c r="BC26">
        <f t="shared" si="17"/>
        <v>0</v>
      </c>
      <c r="BD26">
        <f t="shared" si="18"/>
        <v>0</v>
      </c>
      <c r="BE26">
        <f t="shared" si="19"/>
        <v>0</v>
      </c>
      <c r="BF26" s="382">
        <f t="shared" si="28"/>
        <v>0</v>
      </c>
      <c r="BG26" s="382">
        <f t="shared" si="29"/>
        <v>0</v>
      </c>
      <c r="BH26" s="382">
        <f t="shared" si="30"/>
        <v>0</v>
      </c>
      <c r="BI26">
        <f t="shared" si="31"/>
        <v>0</v>
      </c>
      <c r="BJ26">
        <f t="shared" si="20"/>
        <v>0</v>
      </c>
      <c r="BK26" s="263">
        <f>IF(R26=6,T26*Pricing!D$27,IF(R26=8,Pricing!D$26,IF(R26=10,Pricing!D$25,0)))*T26*(1+M$42)*IF(W$30="Y",1,1+Y$30)</f>
        <v>0</v>
      </c>
    </row>
    <row r="27" spans="1:64" ht="24" customHeight="1" x14ac:dyDescent="0.35">
      <c r="A27" s="298"/>
      <c r="B27" s="298"/>
      <c r="C27" s="2001">
        <f>SUM(C10:D26)</f>
        <v>0</v>
      </c>
      <c r="D27" s="2002"/>
      <c r="E27" s="42" t="s">
        <v>98</v>
      </c>
      <c r="G27" s="298"/>
      <c r="H27" s="298"/>
      <c r="I27" s="298"/>
      <c r="J27" s="298"/>
      <c r="K27" s="298"/>
      <c r="L27" s="298"/>
      <c r="M27" s="298"/>
      <c r="N27" s="298"/>
      <c r="O27" s="308"/>
      <c r="P27" s="308"/>
      <c r="Q27" s="308"/>
      <c r="R27" s="308"/>
      <c r="S27" s="298"/>
      <c r="T27" s="298"/>
      <c r="U27" s="298"/>
      <c r="V27" s="69">
        <f>SUM(V10:V26)</f>
        <v>0</v>
      </c>
      <c r="W27" s="298"/>
      <c r="X27" s="298"/>
      <c r="Y27" s="298"/>
      <c r="AG27">
        <f>SUM(AG10:AG26)</f>
        <v>0</v>
      </c>
      <c r="AH27">
        <f>SUM(AH10:AH26)</f>
        <v>0</v>
      </c>
      <c r="AI27">
        <f t="shared" ref="AI27:AN27" si="33">SUM(AI10:AI26)</f>
        <v>0</v>
      </c>
      <c r="AJ27">
        <f t="shared" si="33"/>
        <v>0</v>
      </c>
      <c r="AK27">
        <f t="shared" si="33"/>
        <v>0</v>
      </c>
      <c r="AL27">
        <f t="shared" si="33"/>
        <v>0</v>
      </c>
      <c r="AM27">
        <f t="shared" si="33"/>
        <v>0</v>
      </c>
      <c r="AN27">
        <f t="shared" si="33"/>
        <v>0</v>
      </c>
      <c r="AO27">
        <f>SUM(AO10:AO26)</f>
        <v>0</v>
      </c>
      <c r="AP27">
        <f>SUM(AP10:AP26)</f>
        <v>0</v>
      </c>
      <c r="AQ27">
        <f>SUM(AQ10:AQ26)</f>
        <v>0</v>
      </c>
      <c r="AR27">
        <f>ROUNDUP(SUM(AR10:AR26),0)</f>
        <v>0</v>
      </c>
      <c r="AS27">
        <f>ROUNDUP(SUM(AS10:AS26),0)</f>
        <v>0</v>
      </c>
      <c r="AX27" s="382"/>
    </row>
    <row r="28" spans="1:64" ht="24" customHeight="1" thickBot="1" x14ac:dyDescent="0.4">
      <c r="A28" s="298"/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308"/>
      <c r="P28" s="308"/>
      <c r="Q28" s="308"/>
      <c r="R28" s="308"/>
      <c r="S28" s="298"/>
      <c r="T28" s="298"/>
      <c r="U28" s="298"/>
      <c r="V28" s="298"/>
      <c r="W28" s="2589"/>
      <c r="X28" s="2802"/>
      <c r="Y28" s="298"/>
      <c r="AG28" s="299"/>
      <c r="AT28">
        <f>SUM(AT10:AT27)</f>
        <v>0</v>
      </c>
      <c r="AU28">
        <f t="shared" ref="AU28:BK28" si="34">SUM(AU10:AU27)</f>
        <v>0</v>
      </c>
      <c r="AV28">
        <f t="shared" si="34"/>
        <v>0</v>
      </c>
      <c r="AW28">
        <f t="shared" si="34"/>
        <v>0</v>
      </c>
      <c r="AX28" s="382">
        <f>SUM(AX10:AX27)</f>
        <v>0</v>
      </c>
      <c r="AY28">
        <f t="shared" si="34"/>
        <v>0</v>
      </c>
      <c r="AZ28">
        <f t="shared" si="34"/>
        <v>0</v>
      </c>
      <c r="BA28">
        <f t="shared" si="34"/>
        <v>0</v>
      </c>
      <c r="BB28">
        <f t="shared" si="34"/>
        <v>0</v>
      </c>
      <c r="BC28">
        <f t="shared" si="34"/>
        <v>0</v>
      </c>
      <c r="BD28">
        <f t="shared" si="34"/>
        <v>0</v>
      </c>
      <c r="BE28">
        <f t="shared" si="34"/>
        <v>0</v>
      </c>
      <c r="BF28">
        <f>SUM(BF10:BF27)</f>
        <v>0</v>
      </c>
      <c r="BG28">
        <f>SUM(BG10:BG27)</f>
        <v>0</v>
      </c>
      <c r="BH28">
        <f t="shared" si="34"/>
        <v>0</v>
      </c>
      <c r="BI28">
        <f t="shared" si="34"/>
        <v>0</v>
      </c>
      <c r="BJ28">
        <f t="shared" si="34"/>
        <v>0</v>
      </c>
      <c r="BK28">
        <f t="shared" si="34"/>
        <v>0</v>
      </c>
      <c r="BL28">
        <f>SUM(AT28:BK28)</f>
        <v>0</v>
      </c>
    </row>
    <row r="29" spans="1:64" ht="24" customHeight="1" thickBot="1" x14ac:dyDescent="0.4">
      <c r="A29" s="898"/>
      <c r="B29" s="899"/>
      <c r="C29" s="899"/>
      <c r="D29" s="899"/>
      <c r="E29" s="899"/>
      <c r="F29" s="899"/>
      <c r="G29" s="899"/>
      <c r="H29" s="899"/>
      <c r="I29" s="899"/>
      <c r="J29" s="899"/>
      <c r="K29" s="899"/>
      <c r="L29" s="899"/>
      <c r="M29" s="899"/>
      <c r="N29" s="900"/>
      <c r="O29" s="899"/>
      <c r="P29" s="899"/>
      <c r="Q29" s="899"/>
      <c r="R29" s="899"/>
      <c r="S29" s="899"/>
      <c r="T29" s="899"/>
      <c r="U29" s="899"/>
      <c r="V29" s="899"/>
      <c r="W29" s="899"/>
      <c r="X29" s="899"/>
      <c r="Y29" s="901"/>
      <c r="AG29" s="299"/>
    </row>
    <row r="30" spans="1:64" ht="24" customHeight="1" x14ac:dyDescent="0.35">
      <c r="A30" s="1987" t="s">
        <v>185</v>
      </c>
      <c r="B30" s="2041"/>
      <c r="C30" s="1988"/>
      <c r="D30" s="1987" t="s">
        <v>140</v>
      </c>
      <c r="E30" s="1988"/>
      <c r="F30" s="1987" t="s">
        <v>178</v>
      </c>
      <c r="G30" s="2041"/>
      <c r="H30" s="1988"/>
      <c r="I30" s="271"/>
      <c r="J30" s="271"/>
      <c r="K30" s="271"/>
      <c r="L30" s="1935" t="s">
        <v>184</v>
      </c>
      <c r="M30" s="1936"/>
      <c r="N30" s="1937"/>
      <c r="O30" s="2044" t="s">
        <v>179</v>
      </c>
      <c r="P30" s="2045"/>
      <c r="Q30" s="132"/>
      <c r="R30" s="133"/>
      <c r="S30" s="897"/>
      <c r="T30" s="43" t="s">
        <v>34</v>
      </c>
      <c r="V30" s="42" t="s">
        <v>758</v>
      </c>
      <c r="W30" s="1098" t="str">
        <f>Summary!P65</f>
        <v>n</v>
      </c>
      <c r="X30" s="73" t="s">
        <v>298</v>
      </c>
      <c r="Y30" s="1485">
        <f>Summary!R65</f>
        <v>8.2500000000000004E-2</v>
      </c>
      <c r="AG30" s="299"/>
    </row>
    <row r="31" spans="1:64" ht="24" customHeight="1" thickBot="1" x14ac:dyDescent="0.4">
      <c r="A31" s="11" t="s">
        <v>180</v>
      </c>
      <c r="B31" s="1999">
        <f>IF(C27=0,0,(D31-((N52+Q52)*(1+O31)))/C27)</f>
        <v>0</v>
      </c>
      <c r="C31" s="2000"/>
      <c r="D31" s="2003">
        <f>W31*(1+(O31+Summary!P64))</f>
        <v>0</v>
      </c>
      <c r="E31" s="2004"/>
      <c r="F31" s="15">
        <f>IF(G31=0,0,G31/D31)</f>
        <v>0</v>
      </c>
      <c r="G31" s="2042">
        <f>D31-W31</f>
        <v>0</v>
      </c>
      <c r="H31" s="2043"/>
      <c r="I31" s="273"/>
      <c r="J31" s="273"/>
      <c r="K31" s="273"/>
      <c r="L31" s="2064">
        <f>IF(C27=0,0,W31/C27)</f>
        <v>0</v>
      </c>
      <c r="M31" s="2065"/>
      <c r="N31" s="2066"/>
      <c r="O31" s="1879">
        <f>Summary!P63</f>
        <v>0.18</v>
      </c>
      <c r="P31" s="1880"/>
      <c r="Q31" s="1880"/>
      <c r="R31" s="1881"/>
      <c r="S31" s="897"/>
      <c r="T31" s="86" t="s">
        <v>50</v>
      </c>
      <c r="W31" s="1932">
        <f>SUM(Q38:R46)+SUM(Q49:R54)+SUM(Q57:R59)+SUM(Q61:R66)+SUM(Q68:R77)+Y79+N55</f>
        <v>0</v>
      </c>
      <c r="X31" s="1932"/>
      <c r="Y31" s="74"/>
      <c r="AG31" s="299"/>
    </row>
    <row r="32" spans="1:64" ht="24" customHeight="1" thickBot="1" x14ac:dyDescent="0.4">
      <c r="A32" s="889" t="s">
        <v>720</v>
      </c>
      <c r="B32" s="890"/>
      <c r="C32" s="2614">
        <f>(N52+Q52)*(1+O31)</f>
        <v>0</v>
      </c>
      <c r="D32" s="2614"/>
      <c r="E32" s="890"/>
      <c r="F32" s="890"/>
      <c r="G32" s="890"/>
      <c r="H32" s="891" t="s">
        <v>891</v>
      </c>
      <c r="I32" s="891"/>
      <c r="J32" s="891"/>
      <c r="K32" s="891"/>
      <c r="L32" s="892"/>
      <c r="M32" s="2036"/>
      <c r="N32" s="2037"/>
      <c r="O32" s="893"/>
      <c r="P32" s="1899">
        <f>IF(M32&gt;0,(M32-D31)/(1+O31),0)</f>
        <v>0</v>
      </c>
      <c r="Q32" s="1900"/>
      <c r="R32" s="890"/>
      <c r="S32" s="894"/>
      <c r="T32" s="895"/>
      <c r="U32" s="890"/>
      <c r="V32" s="890"/>
      <c r="W32" s="2245">
        <f>AG118</f>
        <v>0</v>
      </c>
      <c r="X32" s="2245"/>
      <c r="Y32" s="896"/>
      <c r="AG32" s="299"/>
    </row>
    <row r="33" spans="1:230" ht="26.25" customHeight="1" x14ac:dyDescent="0.35">
      <c r="A33" s="42" t="s">
        <v>635</v>
      </c>
      <c r="B33" s="906">
        <f>Q38+Q41+Q44+Q49+Q50+Q51+O58+O63+Q73+Q74+Q75+Y79</f>
        <v>0</v>
      </c>
      <c r="C33" s="739"/>
      <c r="D33" s="739"/>
      <c r="E33" s="739"/>
      <c r="F33" s="739"/>
      <c r="G33" s="906"/>
      <c r="H33" s="906"/>
      <c r="I33" s="906"/>
      <c r="J33" s="906"/>
      <c r="K33" s="906"/>
      <c r="L33" s="739"/>
      <c r="M33" s="739"/>
      <c r="N33" s="739"/>
      <c r="O33" s="739"/>
      <c r="P33" s="1486"/>
      <c r="Q33" s="906"/>
      <c r="R33" s="739"/>
      <c r="S33" s="298"/>
      <c r="T33" s="298"/>
      <c r="U33" s="298"/>
      <c r="V33" s="500" t="s">
        <v>42</v>
      </c>
      <c r="W33" s="501" t="s">
        <v>28</v>
      </c>
      <c r="X33" s="502" t="s">
        <v>320</v>
      </c>
      <c r="Y33" s="503" t="s">
        <v>705</v>
      </c>
      <c r="Z33" s="42"/>
      <c r="AA33" s="42"/>
      <c r="AB33" s="42"/>
      <c r="AC33" s="42"/>
      <c r="AD33" s="42"/>
      <c r="AE33" s="42"/>
      <c r="AF33" s="42"/>
      <c r="AG33" s="299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</row>
    <row r="34" spans="1:230" ht="19" customHeight="1" x14ac:dyDescent="0.35">
      <c r="A34" s="298"/>
      <c r="B34" s="1488"/>
      <c r="C34" s="739"/>
      <c r="D34" s="739"/>
      <c r="E34" s="739"/>
      <c r="F34" s="739"/>
      <c r="G34" s="906"/>
      <c r="H34" s="906"/>
      <c r="I34" s="906"/>
      <c r="J34" s="906"/>
      <c r="K34" s="906"/>
      <c r="L34" s="1487"/>
      <c r="M34" s="906"/>
      <c r="N34" s="906"/>
      <c r="O34" s="906"/>
      <c r="P34" s="1486"/>
      <c r="Q34" s="906"/>
      <c r="R34" s="739"/>
      <c r="S34" s="298"/>
      <c r="T34" s="298"/>
      <c r="U34" s="298"/>
      <c r="V34" s="504">
        <v>1</v>
      </c>
      <c r="W34" s="498">
        <v>3</v>
      </c>
      <c r="X34" s="499">
        <v>1</v>
      </c>
      <c r="Y34" s="507">
        <f>V34*(W34*W34*0.04180884375)*X34</f>
        <v>0.37627959374999997</v>
      </c>
      <c r="Z34" s="42"/>
      <c r="AA34" s="42"/>
      <c r="AB34" s="42"/>
      <c r="AC34" s="42"/>
      <c r="AD34" s="42"/>
      <c r="AE34" s="42"/>
      <c r="AF34" s="42"/>
      <c r="AG34" s="298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</row>
    <row r="35" spans="1:230" ht="19" customHeight="1" x14ac:dyDescent="0.35">
      <c r="A35" s="298"/>
      <c r="B35" s="906"/>
      <c r="C35" s="739"/>
      <c r="D35" s="739"/>
      <c r="E35" s="739"/>
      <c r="F35" s="739"/>
      <c r="G35" s="906"/>
      <c r="H35" s="906"/>
      <c r="I35" s="906"/>
      <c r="J35" s="906"/>
      <c r="K35" s="906"/>
      <c r="L35" s="1487"/>
      <c r="M35" s="906"/>
      <c r="N35" s="906"/>
      <c r="O35" s="906"/>
      <c r="P35" s="1486"/>
      <c r="Q35" s="906"/>
      <c r="R35" s="739"/>
      <c r="S35" s="298"/>
      <c r="T35" s="298"/>
      <c r="U35" s="298"/>
      <c r="V35" s="504">
        <v>1</v>
      </c>
      <c r="W35" s="498">
        <v>4</v>
      </c>
      <c r="X35" s="499">
        <v>1</v>
      </c>
      <c r="Y35" s="507">
        <f>V35*(W35*W35*0.04180884375)*X35</f>
        <v>0.66894149999999997</v>
      </c>
      <c r="Z35" s="42"/>
      <c r="AA35" s="42"/>
      <c r="AB35" s="42"/>
      <c r="AC35" s="42"/>
      <c r="AD35" s="42"/>
      <c r="AE35" s="42"/>
      <c r="AF35" s="42"/>
      <c r="AG35" s="298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</row>
    <row r="36" spans="1:230" ht="19" customHeight="1" thickBot="1" x14ac:dyDescent="0.4">
      <c r="A36" s="298"/>
      <c r="B36" s="770"/>
      <c r="C36" s="770"/>
      <c r="D36" s="770"/>
      <c r="E36" s="770"/>
      <c r="F36" s="770"/>
      <c r="G36" s="770"/>
      <c r="H36" s="770"/>
      <c r="I36" s="770"/>
      <c r="J36" s="770"/>
      <c r="K36" s="770"/>
      <c r="L36" s="770"/>
      <c r="M36" s="770"/>
      <c r="N36" s="770"/>
      <c r="O36" s="770"/>
      <c r="P36" s="770"/>
      <c r="Q36" s="770"/>
      <c r="R36" s="770"/>
      <c r="S36" s="298"/>
      <c r="T36" s="298"/>
      <c r="U36" s="298"/>
      <c r="V36" s="504">
        <v>1</v>
      </c>
      <c r="W36" s="498">
        <v>5</v>
      </c>
      <c r="X36" s="499">
        <v>1</v>
      </c>
      <c r="Y36" s="507">
        <f>V36*(W36*W36*0.04180884375)*X36</f>
        <v>1.0452210937499999</v>
      </c>
      <c r="Z36" s="42"/>
      <c r="AA36" s="42"/>
      <c r="AB36" s="42"/>
      <c r="AC36" s="42"/>
      <c r="AD36" s="42"/>
      <c r="AE36" s="42"/>
      <c r="AF36" s="42"/>
      <c r="AG36" s="298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</row>
    <row r="37" spans="1:230" ht="35.25" customHeight="1" thickBot="1" x14ac:dyDescent="0.4">
      <c r="A37" s="926" t="s">
        <v>226</v>
      </c>
      <c r="B37" s="2309" t="s">
        <v>167</v>
      </c>
      <c r="C37" s="2370"/>
      <c r="D37" s="2370"/>
      <c r="E37" s="2370"/>
      <c r="F37" s="2370"/>
      <c r="G37" s="2370"/>
      <c r="H37" s="2370"/>
      <c r="I37" s="2370"/>
      <c r="J37" s="2370"/>
      <c r="K37" s="2370"/>
      <c r="L37" s="2370"/>
      <c r="M37" s="2370"/>
      <c r="N37" s="2370"/>
      <c r="O37" s="2370"/>
      <c r="P37" s="2370"/>
      <c r="Q37" s="2370"/>
      <c r="R37" s="2371"/>
      <c r="S37" s="2250" t="s">
        <v>196</v>
      </c>
      <c r="T37" s="2251"/>
      <c r="U37" s="927" t="s">
        <v>52</v>
      </c>
      <c r="V37" s="1123"/>
      <c r="W37" s="1124" t="s">
        <v>7</v>
      </c>
      <c r="X37" s="1123"/>
      <c r="Y37" s="1125"/>
      <c r="Z37" s="42"/>
      <c r="AA37" s="42"/>
      <c r="AB37" s="42"/>
      <c r="AC37" s="42"/>
      <c r="AD37" s="42"/>
      <c r="AE37" s="42"/>
      <c r="AF37" s="42"/>
      <c r="AG37" s="298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</row>
    <row r="38" spans="1:230" ht="28.5" customHeight="1" thickTop="1" x14ac:dyDescent="0.35">
      <c r="A38" s="442">
        <v>6</v>
      </c>
      <c r="B38" s="190" t="str">
        <f>IF(A38=1,Pricing!F$1,IF(A38=2,Pricing!G$1,IF(A38=3,Pricing!H$1,IF(A38=4,Pricing!I$1,IF(A38=5,Pricing!J$1,IF(A38=6,Pricing!K$1,0))))))</f>
        <v>3000 PSI Sidewalk and Hardscape</v>
      </c>
      <c r="C38" s="190"/>
      <c r="D38" s="190"/>
      <c r="E38" s="190"/>
      <c r="F38" s="764">
        <f>IF(A38=1,Pricing!F$2,IF(A38=2,Pricing!G$2,IF(A38=3,Pricing!H$2,IF(A38=4,Pricing!I$2,IF(A38=5,Pricing!J$2,IF(A38=6,Pricing!K$2,0))))))</f>
        <v>147</v>
      </c>
      <c r="G38" s="88" t="s">
        <v>168</v>
      </c>
      <c r="H38" s="2032" t="s">
        <v>323</v>
      </c>
      <c r="I38" s="2032"/>
      <c r="J38" s="2032"/>
      <c r="K38" s="2032"/>
      <c r="L38" s="2033"/>
      <c r="M38" s="2039">
        <v>0.08</v>
      </c>
      <c r="N38" s="2456">
        <f>IF(A38=1,AH$27,IF(A38=2,AI$27,IF(A38=3,AJ$27,IF(A38=4,AK$27,IF(A38=5,AL$27,IF(A38=6,AM$27))))))</f>
        <v>0</v>
      </c>
      <c r="O38" s="1874"/>
      <c r="P38" s="58" t="s">
        <v>102</v>
      </c>
      <c r="Q38" s="2248">
        <f>N38*F38*(IF(W$30="N",1+Y$30,1))</f>
        <v>0</v>
      </c>
      <c r="R38" s="2249"/>
      <c r="S38" s="193" t="s">
        <v>203</v>
      </c>
      <c r="T38" s="106"/>
      <c r="U38" s="194">
        <f>C27/4</f>
        <v>0</v>
      </c>
      <c r="V38" s="106" t="s">
        <v>42</v>
      </c>
      <c r="W38" s="195">
        <f>Pricing!N3</f>
        <v>0.5625</v>
      </c>
      <c r="X38" s="401" t="s">
        <v>787</v>
      </c>
      <c r="Y38" s="118">
        <f>IF(W$30="Y",U38*W38,U38*W38*(1+Y$30))</f>
        <v>0</v>
      </c>
      <c r="AG38" s="298"/>
    </row>
    <row r="39" spans="1:230" ht="19" customHeight="1" x14ac:dyDescent="0.35">
      <c r="A39" s="443">
        <v>2</v>
      </c>
      <c r="B39" s="42" t="str">
        <f>IF(A39=1,Pricing!F$1,IF(A39=2,Pricing!G$1,IF(A39=3,Pricing!H$1,IF(A39=4,Pricing!I$1,IF(A39=5,Pricing!J$1,IF(A39=6,Pricing!K$1,0))))))</f>
        <v>3500 Psi</v>
      </c>
      <c r="F39" s="762">
        <f>IF(A39=1,Pricing!F$2,IF(A39=2,Pricing!G$2,IF(A39=3,Pricing!H$2,IF(A39=4,Pricing!I$2,IF(A39=5,Pricing!J$2,IF(A39=6,Pricing!K$2,0))))))</f>
        <v>152</v>
      </c>
      <c r="G39" s="88" t="s">
        <v>168</v>
      </c>
      <c r="H39" s="2032"/>
      <c r="I39" s="2032"/>
      <c r="J39" s="2032"/>
      <c r="K39" s="2032"/>
      <c r="L39" s="2033"/>
      <c r="M39" s="2039"/>
      <c r="N39" s="2456">
        <f>IF(A39=1,AH$27,IF(A39=2,AI$27,IF(A39=3,AJ$27,IF(A39=4,AK$27,IF(A39=5,AL$27,IF(A39=6,AM$27))))))</f>
        <v>0</v>
      </c>
      <c r="O39" s="1874"/>
      <c r="P39" s="58" t="s">
        <v>102</v>
      </c>
      <c r="Q39" s="2248">
        <f>N39*F39*(IF(W$30="N",1+Y$30,1))</f>
        <v>0</v>
      </c>
      <c r="R39" s="2249"/>
      <c r="S39" s="193" t="s">
        <v>204</v>
      </c>
      <c r="T39" s="106"/>
      <c r="U39" s="194">
        <v>0</v>
      </c>
      <c r="V39" s="106" t="s">
        <v>42</v>
      </c>
      <c r="W39" s="195">
        <f>Pricing!N4</f>
        <v>0.65625</v>
      </c>
      <c r="X39" s="401" t="s">
        <v>787</v>
      </c>
      <c r="Y39" s="118">
        <f>IF(W$30="Y",U39*W39,U39*W39*(1+Y$30))</f>
        <v>0</v>
      </c>
    </row>
    <row r="40" spans="1:230" ht="19" customHeight="1" thickBot="1" x14ac:dyDescent="0.4">
      <c r="A40" s="444">
        <v>3</v>
      </c>
      <c r="B40" s="75" t="str">
        <f>IF(A40=1,Pricing!F$1,IF(A40=2,Pricing!G$1,IF(A40=3,Pricing!H$1,IF(A40=4,Pricing!I$1,IF(A40=5,Pricing!J$1,IF(A40=6,Pricing!K$1,0))))))</f>
        <v>4000 psi</v>
      </c>
      <c r="C40" s="75"/>
      <c r="D40" s="75"/>
      <c r="E40" s="75"/>
      <c r="F40" s="763">
        <f>IF(A40=1,Pricing!F$2,IF(A40=2,Pricing!G$2,IF(A40=3,Pricing!H$2,IF(A40=4,Pricing!I$2,IF(A40=5,Pricing!J$2,IF(A40=6,Pricing!K$2,0))))))</f>
        <v>157</v>
      </c>
      <c r="G40" s="90" t="s">
        <v>168</v>
      </c>
      <c r="H40" s="2034"/>
      <c r="I40" s="2034"/>
      <c r="J40" s="2034"/>
      <c r="K40" s="2034"/>
      <c r="L40" s="2035"/>
      <c r="M40" s="2040"/>
      <c r="N40" s="2456">
        <f>IF(A40=1,AH$27,IF(A40=2,AI$27,IF(A40=3,AJ$27,IF(A40=4,AK$27,IF(A40=5,AL$27,IF(A40=6,AM$27))))))</f>
        <v>0</v>
      </c>
      <c r="O40" s="1874"/>
      <c r="P40" s="91" t="s">
        <v>102</v>
      </c>
      <c r="Q40" s="2248">
        <f>N40*F40*(IF(W$30="N",1+Y$30,1))</f>
        <v>0</v>
      </c>
      <c r="R40" s="2249"/>
      <c r="S40" s="193" t="s">
        <v>206</v>
      </c>
      <c r="T40" s="106"/>
      <c r="U40" s="194">
        <v>0</v>
      </c>
      <c r="V40" s="106" t="s">
        <v>42</v>
      </c>
      <c r="W40" s="195">
        <f>Pricing!N5</f>
        <v>1</v>
      </c>
      <c r="X40" s="401" t="s">
        <v>787</v>
      </c>
      <c r="Y40" s="118">
        <f>IF(W$30="Y",U40*W40,U40*W40*(1+Y$30))</f>
        <v>0</v>
      </c>
    </row>
    <row r="41" spans="1:230" ht="19" customHeight="1" thickTop="1" x14ac:dyDescent="0.35">
      <c r="A41" s="43"/>
      <c r="B41" s="92" t="s">
        <v>104</v>
      </c>
      <c r="F41" s="762">
        <f>Pricing!D23</f>
        <v>0.55000000000000004</v>
      </c>
      <c r="G41" s="88" t="s">
        <v>88</v>
      </c>
      <c r="H41" s="2246" t="s">
        <v>202</v>
      </c>
      <c r="I41" s="2246"/>
      <c r="J41" s="2246"/>
      <c r="K41" s="2246"/>
      <c r="L41" s="2247"/>
      <c r="M41" s="826">
        <v>0.1</v>
      </c>
      <c r="N41" s="2454">
        <f>SUM(U10:U26)</f>
        <v>0</v>
      </c>
      <c r="O41" s="2455"/>
      <c r="P41" s="42" t="s">
        <v>32</v>
      </c>
      <c r="Q41" s="2366">
        <f>F41*N41*(IF(W30="N",1+Y30,1))</f>
        <v>0</v>
      </c>
      <c r="R41" s="2367"/>
      <c r="S41" s="193" t="s">
        <v>205</v>
      </c>
      <c r="T41" s="106"/>
      <c r="U41" s="194">
        <v>0</v>
      </c>
      <c r="V41" s="106" t="s">
        <v>42</v>
      </c>
      <c r="W41" s="195">
        <f>Pricing!N6</f>
        <v>1.25</v>
      </c>
      <c r="X41" s="401" t="s">
        <v>787</v>
      </c>
      <c r="Y41" s="118">
        <f>IF(W$30="Y",U41*W41,U41*W41*(1+Y$30))</f>
        <v>0</v>
      </c>
    </row>
    <row r="42" spans="1:230" ht="19" customHeight="1" x14ac:dyDescent="0.35">
      <c r="A42" s="43"/>
      <c r="B42" s="92" t="s">
        <v>86</v>
      </c>
      <c r="F42" s="762">
        <f>Pricing!D27</f>
        <v>0.4</v>
      </c>
      <c r="G42" s="88" t="s">
        <v>69</v>
      </c>
      <c r="H42" s="2008" t="s">
        <v>202</v>
      </c>
      <c r="I42" s="2008"/>
      <c r="J42" s="2008"/>
      <c r="K42" s="2008"/>
      <c r="L42" s="2009"/>
      <c r="M42" s="748">
        <v>0.05</v>
      </c>
      <c r="N42" s="2456">
        <f>SUM(T10:T26)</f>
        <v>0</v>
      </c>
      <c r="O42" s="1874"/>
      <c r="P42" s="42" t="s">
        <v>95</v>
      </c>
      <c r="Q42" s="2248">
        <f>BK28</f>
        <v>0</v>
      </c>
      <c r="R42" s="2249"/>
      <c r="S42" s="193" t="s">
        <v>783</v>
      </c>
      <c r="T42" s="106"/>
      <c r="U42" s="194">
        <v>0</v>
      </c>
      <c r="V42" s="106" t="s">
        <v>376</v>
      </c>
      <c r="W42" s="195">
        <f>Pricing!N8</f>
        <v>19</v>
      </c>
      <c r="X42" s="401" t="s">
        <v>294</v>
      </c>
      <c r="Y42" s="118">
        <f>W42*U42</f>
        <v>0</v>
      </c>
    </row>
    <row r="43" spans="1:230" ht="19" customHeight="1" thickBot="1" x14ac:dyDescent="0.4">
      <c r="A43" s="43"/>
      <c r="B43" s="93"/>
      <c r="C43" s="75"/>
      <c r="D43" s="75"/>
      <c r="E43" s="75"/>
      <c r="F43" s="763">
        <v>0.35</v>
      </c>
      <c r="G43" s="90" t="s">
        <v>69</v>
      </c>
      <c r="H43" s="75" t="s">
        <v>199</v>
      </c>
      <c r="I43" s="75"/>
      <c r="J43" s="75"/>
      <c r="K43" s="75"/>
      <c r="L43" s="2375">
        <v>0</v>
      </c>
      <c r="M43" s="2375"/>
      <c r="N43" s="2441"/>
      <c r="O43" s="2441"/>
      <c r="P43" s="75" t="s">
        <v>95</v>
      </c>
      <c r="Q43" s="2373"/>
      <c r="R43" s="2374"/>
      <c r="S43" s="193" t="s">
        <v>207</v>
      </c>
      <c r="T43" s="106"/>
      <c r="U43" s="194">
        <f>BY26*0.35</f>
        <v>0</v>
      </c>
      <c r="V43" s="106" t="s">
        <v>791</v>
      </c>
      <c r="W43" s="195">
        <f>Pricing!N7</f>
        <v>50</v>
      </c>
      <c r="X43" s="401" t="s">
        <v>290</v>
      </c>
      <c r="Y43" s="118">
        <f t="shared" ref="Y43:Y48" si="35">IF(W$30="Y",U43*W43,U43*W43*(1+Y$30))</f>
        <v>0</v>
      </c>
    </row>
    <row r="44" spans="1:230" ht="19" customHeight="1" thickTop="1" x14ac:dyDescent="0.35">
      <c r="A44" s="94"/>
      <c r="B44" s="58" t="s">
        <v>103</v>
      </c>
      <c r="F44" s="838">
        <f>Pricing!D18</f>
        <v>25</v>
      </c>
      <c r="G44" s="88" t="s">
        <v>169</v>
      </c>
      <c r="H44" s="2444" t="s">
        <v>202</v>
      </c>
      <c r="I44" s="2444"/>
      <c r="J44" s="2444"/>
      <c r="K44" s="2444"/>
      <c r="L44" s="2445"/>
      <c r="M44" s="2603">
        <v>0.05</v>
      </c>
      <c r="N44" s="1874">
        <f>SUM(S10:S26)</f>
        <v>0</v>
      </c>
      <c r="O44" s="1874"/>
      <c r="P44" s="42" t="s">
        <v>102</v>
      </c>
      <c r="Q44" s="2366">
        <f>N44*F44*(IF(W30="N",(1+Y30),1))</f>
        <v>0</v>
      </c>
      <c r="R44" s="2367"/>
      <c r="S44" s="193" t="s">
        <v>472</v>
      </c>
      <c r="T44" s="106"/>
      <c r="U44" s="194">
        <f>C27/8/50</f>
        <v>0</v>
      </c>
      <c r="V44" s="106" t="s">
        <v>790</v>
      </c>
      <c r="W44" s="195">
        <f>Pricing!N14</f>
        <v>18</v>
      </c>
      <c r="X44" s="401" t="s">
        <v>291</v>
      </c>
      <c r="Y44" s="118">
        <f t="shared" si="35"/>
        <v>0</v>
      </c>
    </row>
    <row r="45" spans="1:230" ht="19" customHeight="1" thickBot="1" x14ac:dyDescent="0.4">
      <c r="A45" s="43"/>
      <c r="B45" s="134" t="s">
        <v>362</v>
      </c>
      <c r="C45" s="75"/>
      <c r="D45" s="95"/>
      <c r="E45" s="75"/>
      <c r="F45" s="839">
        <v>15</v>
      </c>
      <c r="G45" s="90" t="s">
        <v>124</v>
      </c>
      <c r="H45" s="2446"/>
      <c r="I45" s="2446"/>
      <c r="J45" s="2446"/>
      <c r="K45" s="2446"/>
      <c r="L45" s="2447"/>
      <c r="M45" s="2604"/>
      <c r="N45" s="2441"/>
      <c r="O45" s="2441"/>
      <c r="P45" s="75" t="s">
        <v>102</v>
      </c>
      <c r="Q45" s="2300">
        <f>N45*F45*(IF(W30="N",(1+Y30),1))</f>
        <v>0</v>
      </c>
      <c r="R45" s="2301"/>
      <c r="S45" s="193" t="s">
        <v>0</v>
      </c>
      <c r="T45" s="106"/>
      <c r="U45" s="194">
        <f>ROUNDUP(SUM(C10:D26)/6000,0)</f>
        <v>0</v>
      </c>
      <c r="V45" s="106" t="s">
        <v>626</v>
      </c>
      <c r="W45" s="195">
        <f>Pricing!N15</f>
        <v>42</v>
      </c>
      <c r="X45" s="401" t="s">
        <v>292</v>
      </c>
      <c r="Y45" s="118">
        <f t="shared" si="35"/>
        <v>0</v>
      </c>
    </row>
    <row r="46" spans="1:230" ht="19" customHeight="1" thickTop="1" thickBot="1" x14ac:dyDescent="0.4">
      <c r="A46" s="47"/>
      <c r="B46" s="47" t="s">
        <v>70</v>
      </c>
      <c r="C46" s="49"/>
      <c r="D46" s="49"/>
      <c r="E46" s="49"/>
      <c r="F46" s="841">
        <v>0.65</v>
      </c>
      <c r="G46" s="96" t="s">
        <v>193</v>
      </c>
      <c r="H46" s="2360" t="s">
        <v>195</v>
      </c>
      <c r="I46" s="2360"/>
      <c r="J46" s="2360"/>
      <c r="K46" s="2360"/>
      <c r="L46" s="2361"/>
      <c r="M46" s="828">
        <v>0</v>
      </c>
      <c r="N46" s="2427"/>
      <c r="O46" s="2428"/>
      <c r="P46" s="49" t="s">
        <v>42</v>
      </c>
      <c r="Q46" s="2351">
        <f>F46*M46*N46</f>
        <v>0</v>
      </c>
      <c r="R46" s="2352"/>
      <c r="S46" s="193" t="s">
        <v>2</v>
      </c>
      <c r="T46" s="106"/>
      <c r="U46" s="194">
        <f>ROUNDUP(SUM(C10:C26)*1.25/6000,0)</f>
        <v>0</v>
      </c>
      <c r="V46" s="106" t="s">
        <v>626</v>
      </c>
      <c r="W46" s="195">
        <f>Pricing!N16</f>
        <v>42</v>
      </c>
      <c r="X46" s="401" t="s">
        <v>292</v>
      </c>
      <c r="Y46" s="118">
        <f t="shared" si="35"/>
        <v>0</v>
      </c>
    </row>
    <row r="47" spans="1:230" ht="19" customHeight="1" thickBot="1" x14ac:dyDescent="0.4">
      <c r="A47" s="314"/>
      <c r="B47" s="306"/>
      <c r="C47" s="306"/>
      <c r="D47" s="306"/>
      <c r="E47" s="306"/>
      <c r="F47" s="306"/>
      <c r="G47" s="315"/>
      <c r="H47" s="316"/>
      <c r="I47" s="316"/>
      <c r="J47" s="316"/>
      <c r="K47" s="316"/>
      <c r="L47" s="316"/>
      <c r="M47" s="317"/>
      <c r="N47" s="318"/>
      <c r="O47" s="318"/>
      <c r="P47" s="306"/>
      <c r="Q47" s="319"/>
      <c r="R47" s="320"/>
      <c r="S47" s="193" t="s">
        <v>1</v>
      </c>
      <c r="T47" s="106"/>
      <c r="U47" s="194">
        <v>0</v>
      </c>
      <c r="V47" s="106" t="s">
        <v>626</v>
      </c>
      <c r="W47" s="195">
        <f>Pricing!N17</f>
        <v>42</v>
      </c>
      <c r="X47" s="401" t="s">
        <v>292</v>
      </c>
      <c r="Y47" s="118">
        <f t="shared" si="35"/>
        <v>0</v>
      </c>
    </row>
    <row r="48" spans="1:230" ht="19" customHeight="1" thickBot="1" x14ac:dyDescent="0.4">
      <c r="A48" s="835" t="s">
        <v>221</v>
      </c>
      <c r="B48" s="834"/>
      <c r="C48" s="834" t="s">
        <v>299</v>
      </c>
      <c r="D48" s="834"/>
      <c r="E48" s="834"/>
      <c r="F48" s="834"/>
      <c r="G48" s="834"/>
      <c r="H48" s="834"/>
      <c r="I48" s="834"/>
      <c r="J48" s="834"/>
      <c r="K48" s="834"/>
      <c r="L48" s="834"/>
      <c r="M48" s="834"/>
      <c r="N48" s="2306" t="s">
        <v>45</v>
      </c>
      <c r="O48" s="2306"/>
      <c r="P48" s="2306" t="s">
        <v>300</v>
      </c>
      <c r="Q48" s="2306"/>
      <c r="R48" s="2307"/>
      <c r="S48" s="193" t="s">
        <v>210</v>
      </c>
      <c r="T48" s="106"/>
      <c r="U48" s="194">
        <v>0</v>
      </c>
      <c r="V48" s="106" t="s">
        <v>626</v>
      </c>
      <c r="W48" s="195">
        <f>Pricing!N33</f>
        <v>25.5</v>
      </c>
      <c r="X48" s="401" t="s">
        <v>292</v>
      </c>
      <c r="Y48" s="118">
        <f t="shared" si="35"/>
        <v>0</v>
      </c>
    </row>
    <row r="49" spans="1:29" ht="19" customHeight="1" x14ac:dyDescent="0.35">
      <c r="A49" s="250" t="s">
        <v>329</v>
      </c>
      <c r="B49" s="78"/>
      <c r="C49" s="246" t="s">
        <v>235</v>
      </c>
      <c r="D49" s="2027">
        <v>1.5</v>
      </c>
      <c r="E49" s="2028"/>
      <c r="F49" s="116" t="s">
        <v>191</v>
      </c>
      <c r="G49" s="2987">
        <f>SUM(D49:E51)</f>
        <v>2.5</v>
      </c>
      <c r="H49" s="2988">
        <f>C27</f>
        <v>0</v>
      </c>
      <c r="I49" s="2989"/>
      <c r="J49" s="2989"/>
      <c r="K49" s="2989"/>
      <c r="L49" s="2990"/>
      <c r="M49" s="48" t="s">
        <v>95</v>
      </c>
      <c r="N49" s="1853">
        <f>IF(C49="N",D49*H$49,0)</f>
        <v>0</v>
      </c>
      <c r="O49" s="1853"/>
      <c r="P49" s="247"/>
      <c r="Q49" s="2349">
        <f>IF(C49="y",H$49*D49,0)</f>
        <v>0</v>
      </c>
      <c r="R49" s="2350"/>
      <c r="S49" s="193" t="s">
        <v>236</v>
      </c>
      <c r="T49" s="106"/>
      <c r="U49" s="194">
        <f>BN48+AF110</f>
        <v>0</v>
      </c>
      <c r="V49" s="106" t="s">
        <v>42</v>
      </c>
      <c r="W49" s="195">
        <f>Pricing!N18</f>
        <v>0.78</v>
      </c>
      <c r="X49" s="106" t="s">
        <v>787</v>
      </c>
      <c r="Y49" s="118">
        <f>IF(W$30="Y",U49*W49,U49*W49*(1+Y$30))</f>
        <v>0</v>
      </c>
    </row>
    <row r="50" spans="1:29" ht="19" customHeight="1" x14ac:dyDescent="0.35">
      <c r="A50" s="196" t="s">
        <v>162</v>
      </c>
      <c r="B50" s="57"/>
      <c r="C50" s="98" t="s">
        <v>235</v>
      </c>
      <c r="D50" s="1844">
        <v>0.75</v>
      </c>
      <c r="E50" s="1845"/>
      <c r="F50" s="88" t="s">
        <v>191</v>
      </c>
      <c r="G50" s="2431"/>
      <c r="H50" s="2991"/>
      <c r="I50" s="2992"/>
      <c r="J50" s="2992"/>
      <c r="K50" s="2992"/>
      <c r="L50" s="2993"/>
      <c r="M50" s="42" t="s">
        <v>95</v>
      </c>
      <c r="N50" s="1886">
        <f>IF(C50="N",D50*H$49,0)</f>
        <v>0</v>
      </c>
      <c r="O50" s="1886"/>
      <c r="P50"/>
      <c r="Q50" s="2261">
        <f>IF(C50="y",H$49*D50,0)</f>
        <v>0</v>
      </c>
      <c r="R50" s="2262"/>
      <c r="S50" s="193" t="s">
        <v>119</v>
      </c>
      <c r="T50" s="106"/>
      <c r="U50" s="194">
        <v>0</v>
      </c>
      <c r="V50" s="106" t="s">
        <v>42</v>
      </c>
      <c r="W50" s="195">
        <f>Pricing!N19</f>
        <v>0.16</v>
      </c>
      <c r="X50" s="106" t="s">
        <v>787</v>
      </c>
      <c r="Y50" s="118">
        <f>IF(W$30="Y",U50*W50,U50*W50*(1+Y$30))</f>
        <v>0</v>
      </c>
    </row>
    <row r="51" spans="1:29" ht="19" customHeight="1" x14ac:dyDescent="0.35">
      <c r="A51" s="196" t="s">
        <v>84</v>
      </c>
      <c r="B51" s="57"/>
      <c r="C51" s="98" t="s">
        <v>235</v>
      </c>
      <c r="D51" s="1844">
        <v>0.25</v>
      </c>
      <c r="E51" s="1845"/>
      <c r="F51" s="88" t="s">
        <v>191</v>
      </c>
      <c r="G51" s="2431"/>
      <c r="H51" s="2994"/>
      <c r="I51" s="2995"/>
      <c r="J51" s="2995"/>
      <c r="K51" s="2995"/>
      <c r="L51" s="2996"/>
      <c r="M51" s="42" t="s">
        <v>95</v>
      </c>
      <c r="N51" s="1886">
        <f>IF(C51="N",D51*H$49,0)</f>
        <v>0</v>
      </c>
      <c r="O51" s="1886"/>
      <c r="P51"/>
      <c r="Q51" s="2261">
        <f>IF(C51="y",H$49*D51,0)</f>
        <v>0</v>
      </c>
      <c r="R51" s="2262"/>
      <c r="S51" s="193" t="s">
        <v>380</v>
      </c>
      <c r="T51" s="106"/>
      <c r="U51" s="194">
        <f>AR27</f>
        <v>0</v>
      </c>
      <c r="V51" s="106" t="s">
        <v>42</v>
      </c>
      <c r="W51" s="195">
        <f>Pricing!N10</f>
        <v>1</v>
      </c>
      <c r="X51" s="106" t="s">
        <v>787</v>
      </c>
      <c r="Y51" s="118">
        <f>IF(W$30="Y",U51*W51,U51*W51*(1+Y$30))</f>
        <v>0</v>
      </c>
    </row>
    <row r="52" spans="1:29" ht="19" customHeight="1" x14ac:dyDescent="0.35">
      <c r="A52" s="196" t="s">
        <v>720</v>
      </c>
      <c r="B52" s="57"/>
      <c r="C52" s="98" t="s">
        <v>235</v>
      </c>
      <c r="D52" s="1844">
        <v>400</v>
      </c>
      <c r="E52" s="1845"/>
      <c r="F52" s="88" t="s">
        <v>121</v>
      </c>
      <c r="H52" s="1909">
        <v>0</v>
      </c>
      <c r="I52" s="1909"/>
      <c r="J52" s="1909"/>
      <c r="K52" s="1909"/>
      <c r="L52" s="1909"/>
      <c r="M52" s="42" t="s">
        <v>721</v>
      </c>
      <c r="N52" s="1886">
        <f>IF(C52="N",D52*H52,0)</f>
        <v>0</v>
      </c>
      <c r="O52" s="1886"/>
      <c r="P52"/>
      <c r="Q52" s="2261">
        <f>IF(C52="y",H$52*D52,0)</f>
        <v>0</v>
      </c>
      <c r="R52" s="2262"/>
      <c r="S52" s="193" t="s">
        <v>367</v>
      </c>
      <c r="T52" s="106"/>
      <c r="U52" s="194">
        <f>AS27</f>
        <v>0</v>
      </c>
      <c r="V52" s="106" t="s">
        <v>42</v>
      </c>
      <c r="W52" s="195">
        <f>Pricing!N12</f>
        <v>0.9</v>
      </c>
      <c r="X52" s="106" t="s">
        <v>787</v>
      </c>
      <c r="Y52" s="118">
        <f>W52*U52</f>
        <v>0</v>
      </c>
    </row>
    <row r="53" spans="1:29" ht="19" customHeight="1" x14ac:dyDescent="0.35">
      <c r="A53" s="196" t="s">
        <v>1067</v>
      </c>
      <c r="B53" s="57"/>
      <c r="C53" s="98" t="s">
        <v>235</v>
      </c>
      <c r="D53" s="1844">
        <v>10</v>
      </c>
      <c r="E53" s="1845"/>
      <c r="F53" s="88" t="s">
        <v>42</v>
      </c>
      <c r="H53" s="1909">
        <f>SUM(H10:H26)</f>
        <v>0</v>
      </c>
      <c r="I53" s="1909"/>
      <c r="J53" s="1909"/>
      <c r="K53" s="1909"/>
      <c r="L53" s="1909"/>
      <c r="N53" s="1886">
        <f>IF(C53="N",D53*H53,0)</f>
        <v>0</v>
      </c>
      <c r="O53" s="1886"/>
      <c r="P53"/>
      <c r="Q53" s="2261">
        <f>IF(C53="y",H$53*D53,0)</f>
        <v>0</v>
      </c>
      <c r="R53" s="2262"/>
      <c r="S53" s="193"/>
      <c r="T53" s="106"/>
      <c r="U53" s="194"/>
      <c r="V53" s="106"/>
      <c r="W53" s="195"/>
      <c r="X53" s="106"/>
      <c r="Y53" s="118"/>
    </row>
    <row r="54" spans="1:29" ht="19" customHeight="1" thickBot="1" x14ac:dyDescent="0.4">
      <c r="A54" s="209" t="s">
        <v>475</v>
      </c>
      <c r="B54" s="79"/>
      <c r="C54" s="98" t="s">
        <v>235</v>
      </c>
      <c r="D54" s="1844">
        <v>2</v>
      </c>
      <c r="E54" s="1845"/>
      <c r="F54" s="137" t="s">
        <v>42</v>
      </c>
      <c r="G54" s="52"/>
      <c r="H54" s="2257">
        <f>SUM(M10:M26)</f>
        <v>0</v>
      </c>
      <c r="I54" s="2257"/>
      <c r="J54" s="2257"/>
      <c r="K54" s="2257"/>
      <c r="L54" s="2257"/>
      <c r="M54" s="52" t="s">
        <v>42</v>
      </c>
      <c r="N54" s="1886">
        <f>IF(C54="N",D54*H54,0)</f>
        <v>0</v>
      </c>
      <c r="O54" s="1886"/>
      <c r="P54"/>
      <c r="Q54" s="2829">
        <f>IF(C54="y",H54*D54,0)</f>
        <v>0</v>
      </c>
      <c r="R54" s="2830"/>
      <c r="S54" s="193" t="s">
        <v>379</v>
      </c>
      <c r="T54" s="106"/>
      <c r="U54" s="194">
        <f>SUM(U51:U52)</f>
        <v>0</v>
      </c>
      <c r="V54" s="106" t="s">
        <v>42</v>
      </c>
      <c r="W54" s="195">
        <f>Pricing!N9</f>
        <v>0.15</v>
      </c>
      <c r="X54" s="106" t="s">
        <v>787</v>
      </c>
      <c r="Y54" s="118">
        <f>W54*U54</f>
        <v>0</v>
      </c>
    </row>
    <row r="55" spans="1:29" ht="19" customHeight="1" thickBot="1" x14ac:dyDescent="0.4">
      <c r="A55" s="6" t="s">
        <v>223</v>
      </c>
      <c r="B55" s="4"/>
      <c r="C55" s="4"/>
      <c r="D55" s="3007">
        <f>IF(H49=0,0,(Q55+N55)/H49)</f>
        <v>0</v>
      </c>
      <c r="E55" s="3008"/>
      <c r="F55" s="76"/>
      <c r="G55" s="49"/>
      <c r="H55" s="2017" t="s">
        <v>50</v>
      </c>
      <c r="I55" s="2017"/>
      <c r="J55" s="2017"/>
      <c r="K55" s="2017"/>
      <c r="L55" s="2017"/>
      <c r="M55" s="2017"/>
      <c r="N55" s="3009">
        <f>SUM(N49:O54)</f>
        <v>0</v>
      </c>
      <c r="O55" s="3010"/>
      <c r="P55" s="248"/>
      <c r="Q55" s="2985">
        <f>SUM(Q49:R54)</f>
        <v>0</v>
      </c>
      <c r="R55" s="2986"/>
      <c r="S55" s="193" t="s">
        <v>722</v>
      </c>
      <c r="T55" s="106"/>
      <c r="U55" s="194">
        <v>0</v>
      </c>
      <c r="V55" s="106" t="s">
        <v>18</v>
      </c>
      <c r="W55" s="195">
        <v>0.9</v>
      </c>
      <c r="X55" s="106" t="s">
        <v>121</v>
      </c>
      <c r="Y55" s="118">
        <f>U55*W55</f>
        <v>0</v>
      </c>
    </row>
    <row r="56" spans="1:29" ht="19" customHeight="1" thickBot="1" x14ac:dyDescent="0.4">
      <c r="A56" s="2236" t="s">
        <v>374</v>
      </c>
      <c r="B56" s="2236"/>
      <c r="C56" s="2236"/>
      <c r="D56" s="2236"/>
      <c r="E56" s="2236"/>
      <c r="F56" s="2236"/>
      <c r="G56" s="2236"/>
      <c r="H56" s="2236"/>
      <c r="I56" s="2236"/>
      <c r="J56" s="2236"/>
      <c r="K56" s="2236"/>
      <c r="L56" s="2236"/>
      <c r="M56" s="2236"/>
      <c r="N56" s="2236"/>
      <c r="O56" s="2236"/>
      <c r="P56" s="2236"/>
      <c r="Q56" s="2236"/>
      <c r="R56" s="2396"/>
      <c r="S56" s="193"/>
      <c r="T56" s="106"/>
      <c r="U56" s="194"/>
      <c r="V56" s="106"/>
      <c r="W56" s="195"/>
      <c r="X56" s="106"/>
      <c r="Y56" s="118"/>
    </row>
    <row r="57" spans="1:29" ht="19" customHeight="1" x14ac:dyDescent="0.35">
      <c r="A57" s="390" t="s">
        <v>173</v>
      </c>
      <c r="B57" s="421"/>
      <c r="C57" s="101"/>
      <c r="D57" s="752">
        <f>IF(C27=0,0,((AN27/10)*1.5)+5)</f>
        <v>0</v>
      </c>
      <c r="E57" s="421" t="s">
        <v>187</v>
      </c>
      <c r="F57" s="807">
        <v>390</v>
      </c>
      <c r="G57" s="458" t="s">
        <v>68</v>
      </c>
      <c r="H57" s="48"/>
      <c r="I57" s="48"/>
      <c r="J57" s="48"/>
      <c r="K57" s="48"/>
      <c r="L57" s="48"/>
      <c r="M57" s="48"/>
      <c r="N57" s="48"/>
      <c r="O57" s="2525">
        <f>IF(D31=0,0,(SUM(Q57:R59))/D31)</f>
        <v>0</v>
      </c>
      <c r="P57" s="2526"/>
      <c r="Q57" s="2349">
        <f>D57*F57</f>
        <v>0</v>
      </c>
      <c r="R57" s="2350"/>
      <c r="S57" s="193"/>
      <c r="T57" s="106"/>
      <c r="U57" s="194"/>
      <c r="V57" s="106"/>
      <c r="W57" s="195"/>
      <c r="X57" s="106"/>
      <c r="Y57" s="118"/>
      <c r="AB57" t="s">
        <v>237</v>
      </c>
    </row>
    <row r="58" spans="1:29" ht="19" customHeight="1" x14ac:dyDescent="0.35">
      <c r="A58" s="196" t="s">
        <v>158</v>
      </c>
      <c r="B58" s="106"/>
      <c r="C58" s="106"/>
      <c r="D58" s="753"/>
      <c r="E58" s="447" t="s">
        <v>187</v>
      </c>
      <c r="F58" s="808">
        <v>295</v>
      </c>
      <c r="G58" s="459" t="s">
        <v>68</v>
      </c>
      <c r="O58" s="2410">
        <f>SUM(Q57:R59)</f>
        <v>0</v>
      </c>
      <c r="P58" s="2411"/>
      <c r="Q58" s="2261">
        <f>D58*F58</f>
        <v>0</v>
      </c>
      <c r="R58" s="2262"/>
      <c r="S58" s="193"/>
      <c r="T58" s="106"/>
      <c r="U58" s="194"/>
      <c r="V58" s="106"/>
      <c r="W58" s="195"/>
      <c r="X58" s="106"/>
      <c r="Y58" s="118"/>
      <c r="AB58" t="s">
        <v>126</v>
      </c>
      <c r="AC58">
        <v>0</v>
      </c>
    </row>
    <row r="59" spans="1:29" ht="19" customHeight="1" thickBot="1" x14ac:dyDescent="0.4">
      <c r="A59" s="219" t="s">
        <v>188</v>
      </c>
      <c r="B59" s="188"/>
      <c r="C59" s="188"/>
      <c r="D59" s="754">
        <f>IF(D57=0,D58,D57)</f>
        <v>0</v>
      </c>
      <c r="E59" s="188" t="s">
        <v>187</v>
      </c>
      <c r="F59" s="809">
        <v>100</v>
      </c>
      <c r="G59" s="422" t="s">
        <v>68</v>
      </c>
      <c r="H59" s="49"/>
      <c r="I59" s="49"/>
      <c r="J59" s="49"/>
      <c r="K59" s="49"/>
      <c r="L59" s="49"/>
      <c r="M59" s="49"/>
      <c r="N59" s="49"/>
      <c r="O59" s="49"/>
      <c r="P59" s="49"/>
      <c r="Q59" s="2335">
        <f>D59*F59</f>
        <v>0</v>
      </c>
      <c r="R59" s="2336"/>
      <c r="S59" s="193"/>
      <c r="T59" s="106"/>
      <c r="U59" s="194"/>
      <c r="V59" s="402"/>
      <c r="W59" s="195"/>
      <c r="X59" s="106"/>
      <c r="Y59" s="118"/>
      <c r="AB59" t="s">
        <v>238</v>
      </c>
      <c r="AC59">
        <v>0</v>
      </c>
    </row>
    <row r="60" spans="1:29" ht="19" customHeight="1" thickBot="1" x14ac:dyDescent="0.4">
      <c r="A60" s="2236" t="s">
        <v>44</v>
      </c>
      <c r="B60" s="2236"/>
      <c r="C60" s="2236"/>
      <c r="D60" s="2236"/>
      <c r="E60" s="2236"/>
      <c r="F60" s="2236"/>
      <c r="G60" s="2236"/>
      <c r="H60" s="2236"/>
      <c r="I60" s="2236"/>
      <c r="J60" s="2236"/>
      <c r="K60" s="2236"/>
      <c r="L60" s="2236"/>
      <c r="M60" s="2236"/>
      <c r="N60" s="2236"/>
      <c r="O60" s="2236"/>
      <c r="P60" s="2236"/>
      <c r="Q60" s="2236"/>
      <c r="R60" s="2396"/>
      <c r="S60" s="193"/>
      <c r="T60" s="106"/>
      <c r="U60" s="194"/>
      <c r="V60" s="106"/>
      <c r="W60" s="195"/>
      <c r="X60" s="106"/>
      <c r="Y60" s="118"/>
      <c r="AB60" t="s">
        <v>283</v>
      </c>
      <c r="AC60">
        <v>0</v>
      </c>
    </row>
    <row r="61" spans="1:29" ht="19" customHeight="1" thickBot="1" x14ac:dyDescent="0.4">
      <c r="A61" s="2052" t="s">
        <v>90</v>
      </c>
      <c r="B61" s="2053"/>
      <c r="C61" s="2054"/>
      <c r="D61" s="755"/>
      <c r="E61" s="421" t="s">
        <v>107</v>
      </c>
      <c r="F61" s="807">
        <f>Pricing!D31</f>
        <v>385</v>
      </c>
      <c r="G61" s="419" t="s">
        <v>68</v>
      </c>
      <c r="H61" s="421"/>
      <c r="I61" s="421"/>
      <c r="J61" s="421"/>
      <c r="K61" s="421"/>
      <c r="L61" s="421"/>
      <c r="M61" s="421"/>
      <c r="N61" s="421"/>
      <c r="O61" s="421"/>
      <c r="P61" s="421"/>
      <c r="Q61" s="3001">
        <f>(IF(AND(D61&gt;0,D61&lt;4),D61*F61,0)+IF(AND(D61&gt;3,D61&lt;8),F61*3,0)+IF(AND(D61&gt;7,D61&lt;21),D61/7*F61*3,0)+IF(AND(D61&gt;20,D61&lt;30),F61*9,0)+IF(D61&gt;29,D61/30*F61*9,0))*(1+Y$30+L$63)</f>
        <v>0</v>
      </c>
      <c r="R61" s="3002"/>
      <c r="S61" s="193"/>
      <c r="T61" s="106"/>
      <c r="U61" s="194"/>
      <c r="V61" s="106"/>
      <c r="W61" s="195"/>
      <c r="X61" s="106"/>
      <c r="Y61" s="118"/>
      <c r="AB61" t="s">
        <v>239</v>
      </c>
      <c r="AC61" t="s">
        <v>240</v>
      </c>
    </row>
    <row r="62" spans="1:29" ht="19" customHeight="1" thickBot="1" x14ac:dyDescent="0.4">
      <c r="A62" s="1979" t="s">
        <v>789</v>
      </c>
      <c r="B62" s="1980"/>
      <c r="C62" s="1981"/>
      <c r="D62" s="755">
        <f>IF(D$59&gt;0,IF(D$59&lt;=3,D$59,7),0)+IF(D$59&gt;5,IF(D$59&lt;=10,7,0),0)+IF(D$59&gt;10,IF(D$59&lt;=15,14,0),0)+IF(D$59&gt;15,IF(D$59&lt;=20,23,0),0)+IF(D$59&gt;20,IF(D$59&lt;=40,53,0),0)+IF(D$59&gt;40,IF(D$59&lt;=60,83,0),0)+IF(D$59&gt;60,IF(D$59&lt;=80,113,0),0)+IF(D$59&gt;80,IF(D$59&lt;=100,143,0),0)</f>
        <v>0</v>
      </c>
      <c r="E62" s="106" t="s">
        <v>107</v>
      </c>
      <c r="F62" s="807">
        <f>Pricing!D33</f>
        <v>350</v>
      </c>
      <c r="G62" s="401" t="s">
        <v>68</v>
      </c>
      <c r="H62" s="106"/>
      <c r="I62" s="106"/>
      <c r="J62" s="106"/>
      <c r="K62" s="106"/>
      <c r="L62" s="3003" t="s">
        <v>469</v>
      </c>
      <c r="M62" s="3004"/>
      <c r="N62" s="106"/>
      <c r="O62" s="3005">
        <f>IF(D31=0,0,(SUM(Q61:R66))/D31)</f>
        <v>0</v>
      </c>
      <c r="P62" s="3006"/>
      <c r="Q62" s="2981">
        <f>(IF(AND(D62&gt;0,D62&lt;4),D62*F62,0)+IF(AND(D62&gt;3,D62&lt;8),F62*3,0)+IF(AND(D62&gt;7,D62&lt;21),D62/7*F62*3,0)+IF(AND(D62&gt;20,D62&lt;30),F62*9,0)+IF(D62&gt;29,D62/30*F62*9,0))*(1+Y$30+L$63)</f>
        <v>0</v>
      </c>
      <c r="R62" s="2982"/>
      <c r="S62" s="193"/>
      <c r="T62" s="106"/>
      <c r="U62" s="194"/>
      <c r="V62" s="106"/>
      <c r="W62" s="195"/>
      <c r="X62" s="401"/>
      <c r="Y62" s="118"/>
    </row>
    <row r="63" spans="1:29" ht="19" customHeight="1" thickTop="1" x14ac:dyDescent="0.35">
      <c r="A63" s="1979" t="s">
        <v>16</v>
      </c>
      <c r="B63" s="1980"/>
      <c r="C63" s="1981"/>
      <c r="D63" s="755"/>
      <c r="E63" s="106" t="s">
        <v>107</v>
      </c>
      <c r="F63" s="807">
        <f>Pricing!D34</f>
        <v>300</v>
      </c>
      <c r="G63" s="401" t="s">
        <v>68</v>
      </c>
      <c r="H63" s="106"/>
      <c r="I63" s="106"/>
      <c r="J63" s="106"/>
      <c r="K63" s="106"/>
      <c r="L63" s="2565">
        <v>0.5</v>
      </c>
      <c r="M63" s="2566"/>
      <c r="N63" s="106"/>
      <c r="O63" s="2983">
        <f>SUM(Q61:R66)</f>
        <v>0</v>
      </c>
      <c r="P63" s="2984"/>
      <c r="Q63" s="2981">
        <f>(IF(AND(D63&gt;0,D63&lt;4),D63*F63,0)+IF(AND(D63&gt;3,D63&lt;8),F63*3,0)+IF(AND(D63&gt;7,D63&lt;21),D63/7*F63*3,0)+IF(AND(D63&gt;20,D63&lt;30),F63*9,0)+IF(D63&gt;29,D63/30*F63*9,0))*(1+Y$30+L$63)</f>
        <v>0</v>
      </c>
      <c r="R63" s="2982"/>
      <c r="S63" s="193"/>
      <c r="T63" s="106"/>
      <c r="U63" s="194"/>
      <c r="V63" s="106"/>
      <c r="W63" s="195"/>
      <c r="X63" s="106"/>
      <c r="Y63" s="118"/>
      <c r="AB63">
        <v>0</v>
      </c>
      <c r="AC63" t="s">
        <v>241</v>
      </c>
    </row>
    <row r="64" spans="1:29" ht="19" customHeight="1" thickBot="1" x14ac:dyDescent="0.4">
      <c r="A64" s="1979" t="s">
        <v>160</v>
      </c>
      <c r="B64" s="1980"/>
      <c r="C64" s="1981"/>
      <c r="D64" s="755"/>
      <c r="E64" s="106" t="s">
        <v>107</v>
      </c>
      <c r="F64" s="808">
        <f>Pricing!D37</f>
        <v>65</v>
      </c>
      <c r="G64" s="401" t="s">
        <v>68</v>
      </c>
      <c r="H64" s="106"/>
      <c r="I64" s="106"/>
      <c r="J64" s="106"/>
      <c r="K64" s="106"/>
      <c r="L64" s="2567"/>
      <c r="M64" s="2568"/>
      <c r="N64" s="106"/>
      <c r="O64" s="106"/>
      <c r="P64" s="106"/>
      <c r="Q64" s="2981">
        <f>(IF(AND(D64&gt;0,D64&lt;4),D64*F64,0)+IF(AND(D64&gt;3,D64&lt;8),F64*3,0)+IF(AND(D64&gt;7,D64&lt;21),D64/7*F64*3,0)+IF(AND(D64&gt;20,D64&lt;30),F64*9,0)+IF(D64&gt;29,D64/30*F64*9,0))*(1+Y$30+L$63)</f>
        <v>0</v>
      </c>
      <c r="R64" s="2982"/>
      <c r="S64" s="851" t="s">
        <v>892</v>
      </c>
      <c r="T64" s="852"/>
      <c r="U64" s="851"/>
      <c r="V64" s="853"/>
      <c r="W64" s="2243"/>
      <c r="X64" s="2244"/>
      <c r="Y64" s="850">
        <f>W64</f>
        <v>0</v>
      </c>
      <c r="AB64">
        <v>1</v>
      </c>
      <c r="AC64" t="s">
        <v>242</v>
      </c>
    </row>
    <row r="65" spans="1:30" ht="19" customHeight="1" thickTop="1" x14ac:dyDescent="0.35">
      <c r="A65" s="1979" t="s">
        <v>108</v>
      </c>
      <c r="B65" s="1980"/>
      <c r="C65" s="1981"/>
      <c r="D65" s="755">
        <f>IF(D$59&gt;0,IF(D$59&lt;=3,D$59,7),0)+IF(D$59&gt;5,IF(D$59&lt;=10,7,0),0)+IF(D$59&gt;10,IF(D$59&lt;=15,14,0),0)+IF(D$59&gt;15,IF(D$59&lt;=20,23,0),0)+IF(D$59&gt;20,IF(D$59&lt;=40,53,0),0)+IF(D$59&gt;40,IF(D$59&lt;=60,83,0),0)+IF(D$59&gt;60,IF(D$59&lt;=80,113,0),0)+IF(D$59&gt;80,IF(D$59&lt;=100,143,0),0)</f>
        <v>0</v>
      </c>
      <c r="E65" s="106" t="s">
        <v>107</v>
      </c>
      <c r="F65" s="808">
        <v>25</v>
      </c>
      <c r="G65" s="401" t="s">
        <v>68</v>
      </c>
      <c r="H65" s="106"/>
      <c r="I65" s="106"/>
      <c r="J65" s="106"/>
      <c r="K65" s="106"/>
      <c r="L65" s="106"/>
      <c r="M65" s="106"/>
      <c r="N65" s="106"/>
      <c r="O65" s="106"/>
      <c r="P65" s="106"/>
      <c r="Q65" s="2981">
        <f>(IF(AND(D65&gt;0,D65&lt;4),D65*F65,0)+IF(AND(D65&gt;3,D65&lt;8),F65*3,0)+IF(AND(D65&gt;7,D65&lt;21),D65/7*F65*3,0)+IF(AND(D65&gt;20,D65&lt;30),F65*9,0)+IF(D65&gt;29,D65/30*F65*9,0))</f>
        <v>0</v>
      </c>
      <c r="R65" s="2982"/>
      <c r="S65" s="193" t="s">
        <v>772</v>
      </c>
      <c r="T65" s="106"/>
      <c r="U65" s="194">
        <v>0</v>
      </c>
      <c r="V65" s="106" t="s">
        <v>288</v>
      </c>
      <c r="W65" s="195">
        <f>Pricing!N37</f>
        <v>35</v>
      </c>
      <c r="X65" s="401" t="s">
        <v>293</v>
      </c>
      <c r="Y65" s="111">
        <f>U65*W65</f>
        <v>0</v>
      </c>
      <c r="AB65">
        <v>2</v>
      </c>
      <c r="AC65" t="s">
        <v>243</v>
      </c>
    </row>
    <row r="66" spans="1:30" ht="19" customHeight="1" thickBot="1" x14ac:dyDescent="0.4">
      <c r="A66" s="2069" t="s">
        <v>383</v>
      </c>
      <c r="B66" s="2070"/>
      <c r="C66" s="2071"/>
      <c r="D66" s="754">
        <v>0</v>
      </c>
      <c r="E66" s="188" t="s">
        <v>780</v>
      </c>
      <c r="F66" s="809">
        <v>1200</v>
      </c>
      <c r="G66" s="422" t="s">
        <v>388</v>
      </c>
      <c r="H66" s="188"/>
      <c r="I66" s="188"/>
      <c r="J66" s="188"/>
      <c r="K66" s="188"/>
      <c r="L66" s="188"/>
      <c r="M66" s="188"/>
      <c r="N66" s="188"/>
      <c r="O66" s="461"/>
      <c r="P66" s="188"/>
      <c r="Q66" s="2997">
        <f>(IF(AND(D66&gt;0,D66&lt;4),D66*F66,0)+IF(AND(D66&gt;3,D66&lt;8),F66*3,0)+IF(AND(D66&gt;7,D66&lt;21),D66/7*F66*3,0)+IF(AND(D66&gt;20,D66&lt;30),F66*9,0)+IF(D66&gt;29,D66/30*F66*9,0))*(1+Y$30+L$63)</f>
        <v>0</v>
      </c>
      <c r="R66" s="2998"/>
      <c r="S66" s="193" t="s">
        <v>361</v>
      </c>
      <c r="T66" s="106"/>
      <c r="U66" s="194">
        <f>H49/15000</f>
        <v>0</v>
      </c>
      <c r="V66" s="106" t="s">
        <v>781</v>
      </c>
      <c r="W66" s="195">
        <f>Pricing!N34</f>
        <v>4</v>
      </c>
      <c r="X66" s="106" t="s">
        <v>294</v>
      </c>
      <c r="Y66" s="118">
        <f>W66*U66</f>
        <v>0</v>
      </c>
      <c r="AB66">
        <v>3</v>
      </c>
      <c r="AC66" t="s">
        <v>244</v>
      </c>
      <c r="AD66">
        <f>BE28</f>
        <v>0</v>
      </c>
    </row>
    <row r="67" spans="1:30" ht="19" customHeight="1" thickBot="1" x14ac:dyDescent="0.4">
      <c r="A67" s="2999" t="s">
        <v>174</v>
      </c>
      <c r="B67" s="2999"/>
      <c r="C67" s="2999"/>
      <c r="D67" s="2999"/>
      <c r="E67" s="2999"/>
      <c r="F67" s="2999"/>
      <c r="G67" s="2999"/>
      <c r="H67" s="2999"/>
      <c r="I67" s="2999"/>
      <c r="J67" s="2999"/>
      <c r="K67" s="2999"/>
      <c r="L67" s="2999"/>
      <c r="M67" s="2999"/>
      <c r="N67" s="2999"/>
      <c r="O67" s="2999"/>
      <c r="P67" s="2999"/>
      <c r="Q67" s="2999"/>
      <c r="R67" s="3000"/>
      <c r="S67" s="193" t="s">
        <v>285</v>
      </c>
      <c r="T67" s="106"/>
      <c r="U67" s="194">
        <f>0+N41</f>
        <v>0</v>
      </c>
      <c r="V67" s="106" t="s">
        <v>32</v>
      </c>
      <c r="W67" s="195">
        <v>0.02</v>
      </c>
      <c r="X67" s="401" t="s">
        <v>88</v>
      </c>
      <c r="Y67" s="118">
        <f>W67*U67</f>
        <v>0</v>
      </c>
      <c r="AB67">
        <v>4</v>
      </c>
      <c r="AC67" t="s">
        <v>245</v>
      </c>
    </row>
    <row r="68" spans="1:30" ht="19" customHeight="1" x14ac:dyDescent="0.35">
      <c r="A68" s="2052" t="s">
        <v>366</v>
      </c>
      <c r="B68" s="2053"/>
      <c r="C68" s="2054"/>
      <c r="D68" s="756">
        <v>0</v>
      </c>
      <c r="E68" s="423" t="s">
        <v>118</v>
      </c>
      <c r="F68" s="2048">
        <f>IF(N68=0,0,ROUNDUP(C27/N68,0))</f>
        <v>0</v>
      </c>
      <c r="G68" s="2049"/>
      <c r="H68" s="116" t="s">
        <v>42</v>
      </c>
      <c r="I68" s="116"/>
      <c r="J68" s="116"/>
      <c r="K68" s="116"/>
      <c r="L68" s="2398" t="s">
        <v>382</v>
      </c>
      <c r="M68" s="2398"/>
      <c r="N68" s="1276">
        <v>15</v>
      </c>
      <c r="O68" s="48"/>
      <c r="P68" s="48"/>
      <c r="Q68" s="2312">
        <f>D68*F68</f>
        <v>0</v>
      </c>
      <c r="R68" s="2340"/>
      <c r="S68" s="193"/>
      <c r="T68" s="106"/>
      <c r="U68" s="194"/>
      <c r="V68" s="106"/>
      <c r="W68" s="195"/>
      <c r="X68" s="106"/>
      <c r="Y68" s="118"/>
      <c r="AB68">
        <v>5</v>
      </c>
      <c r="AC68" t="s">
        <v>246</v>
      </c>
      <c r="AD68">
        <f>AU28</f>
        <v>0</v>
      </c>
    </row>
    <row r="69" spans="1:30" ht="19" customHeight="1" x14ac:dyDescent="0.35">
      <c r="A69" s="1979" t="s">
        <v>365</v>
      </c>
      <c r="B69" s="1980"/>
      <c r="C69" s="1981"/>
      <c r="D69" s="757">
        <v>0</v>
      </c>
      <c r="E69" s="401" t="s">
        <v>118</v>
      </c>
      <c r="F69" s="2089">
        <f>IF(N69=0,0,ROUNDUP(C27/N69*2-F68,0))</f>
        <v>0</v>
      </c>
      <c r="G69" s="2090"/>
      <c r="H69" s="88" t="s">
        <v>42</v>
      </c>
      <c r="I69" s="88"/>
      <c r="J69" s="88"/>
      <c r="K69" s="88"/>
      <c r="L69" s="2092" t="s">
        <v>382</v>
      </c>
      <c r="M69" s="2093"/>
      <c r="N69" s="2091">
        <v>5</v>
      </c>
      <c r="Q69" s="2316">
        <f>D69*F69</f>
        <v>0</v>
      </c>
      <c r="R69" s="2317"/>
      <c r="S69" s="193"/>
      <c r="T69" s="106"/>
      <c r="U69" s="194"/>
      <c r="V69" s="106"/>
      <c r="W69" s="195"/>
      <c r="X69" s="106"/>
      <c r="Y69" s="118"/>
      <c r="AB69">
        <v>6</v>
      </c>
      <c r="AC69" t="s">
        <v>248</v>
      </c>
      <c r="AD69" s="261">
        <f>Y79-Y72</f>
        <v>0</v>
      </c>
    </row>
    <row r="70" spans="1:30" ht="19" customHeight="1" thickBot="1" x14ac:dyDescent="0.4">
      <c r="A70" s="1979" t="s">
        <v>176</v>
      </c>
      <c r="B70" s="1980"/>
      <c r="C70" s="1981"/>
      <c r="D70" s="758">
        <v>0</v>
      </c>
      <c r="E70" s="424" t="s">
        <v>118</v>
      </c>
      <c r="F70" s="2089">
        <f>F69</f>
        <v>0</v>
      </c>
      <c r="G70" s="2090"/>
      <c r="H70" s="42" t="s">
        <v>42</v>
      </c>
      <c r="L70" s="2092"/>
      <c r="M70" s="2093"/>
      <c r="N70" s="2091"/>
      <c r="Q70" s="2316">
        <f>D70*F70</f>
        <v>0</v>
      </c>
      <c r="R70" s="2317"/>
      <c r="S70" s="198"/>
      <c r="T70" s="199"/>
      <c r="U70" s="200"/>
      <c r="V70" s="199"/>
      <c r="W70" s="201"/>
      <c r="X70" s="199"/>
      <c r="Y70" s="119"/>
      <c r="AB70">
        <v>7</v>
      </c>
      <c r="AC70" t="s">
        <v>247</v>
      </c>
    </row>
    <row r="71" spans="1:30" ht="19" customHeight="1" thickTop="1" x14ac:dyDescent="0.35">
      <c r="A71" s="1979" t="s">
        <v>307</v>
      </c>
      <c r="B71" s="1980"/>
      <c r="C71" s="1980"/>
      <c r="D71" s="758">
        <v>4</v>
      </c>
      <c r="E71" s="195" t="s">
        <v>124</v>
      </c>
      <c r="F71" s="2089">
        <v>0</v>
      </c>
      <c r="G71" s="2090"/>
      <c r="H71" s="42" t="s">
        <v>31</v>
      </c>
      <c r="Q71" s="2316">
        <f>D71*F71</f>
        <v>0</v>
      </c>
      <c r="R71" s="2317"/>
      <c r="S71" s="193"/>
      <c r="T71" s="106"/>
      <c r="U71" s="194"/>
      <c r="V71" s="106"/>
      <c r="W71" s="195"/>
      <c r="X71" s="106"/>
      <c r="Y71" s="111"/>
      <c r="AB71">
        <v>8</v>
      </c>
      <c r="AC71" t="s">
        <v>249</v>
      </c>
      <c r="AD71">
        <f>AT28</f>
        <v>0</v>
      </c>
    </row>
    <row r="72" spans="1:30" ht="19" customHeight="1" x14ac:dyDescent="0.35">
      <c r="A72" s="196" t="s">
        <v>373</v>
      </c>
      <c r="B72" s="30"/>
      <c r="C72" s="30"/>
      <c r="D72" s="757">
        <v>8</v>
      </c>
      <c r="E72" s="460" t="s">
        <v>118</v>
      </c>
      <c r="F72" s="2101"/>
      <c r="G72" s="2102"/>
      <c r="H72" s="2387" t="s">
        <v>42</v>
      </c>
      <c r="I72" s="1972"/>
      <c r="J72" s="1972"/>
      <c r="K72" s="1972"/>
      <c r="L72" s="1972"/>
      <c r="P72" s="46"/>
      <c r="Q72" s="2261">
        <f>D72*F72</f>
        <v>0</v>
      </c>
      <c r="R72" s="2262"/>
      <c r="S72" s="193" t="s">
        <v>211</v>
      </c>
      <c r="T72" s="106"/>
      <c r="U72" s="194">
        <f>C27/16000</f>
        <v>0</v>
      </c>
      <c r="V72" s="106" t="s">
        <v>754</v>
      </c>
      <c r="W72" s="195">
        <f>Pricing!N42</f>
        <v>540</v>
      </c>
      <c r="X72" s="401" t="s">
        <v>295</v>
      </c>
      <c r="Y72" s="118">
        <f>W72*U72</f>
        <v>0</v>
      </c>
      <c r="AB72">
        <v>9</v>
      </c>
      <c r="AC72" t="s">
        <v>234</v>
      </c>
    </row>
    <row r="73" spans="1:30" ht="19" customHeight="1" thickBot="1" x14ac:dyDescent="0.4">
      <c r="A73" s="1979" t="s">
        <v>561</v>
      </c>
      <c r="B73" s="1980"/>
      <c r="C73" s="1980"/>
      <c r="D73" s="759">
        <v>3.5</v>
      </c>
      <c r="E73" s="401" t="s">
        <v>191</v>
      </c>
      <c r="F73" s="2101">
        <f>AO27</f>
        <v>0</v>
      </c>
      <c r="G73" s="2102"/>
      <c r="H73" s="401" t="s">
        <v>191</v>
      </c>
      <c r="Q73" s="2316">
        <f>IF(D73=0,0,D73*F73)</f>
        <v>0</v>
      </c>
      <c r="R73" s="2317"/>
      <c r="S73" s="198" t="s">
        <v>212</v>
      </c>
      <c r="T73" s="199"/>
      <c r="U73" s="200">
        <f>BN62</f>
        <v>0</v>
      </c>
      <c r="V73" s="199" t="s">
        <v>754</v>
      </c>
      <c r="W73" s="201">
        <f>Pricing!N43</f>
        <v>542</v>
      </c>
      <c r="X73" s="426" t="s">
        <v>295</v>
      </c>
      <c r="Y73" s="119">
        <f>W73*U73</f>
        <v>0</v>
      </c>
      <c r="AB73">
        <v>10</v>
      </c>
      <c r="AC73" t="s">
        <v>250</v>
      </c>
      <c r="AD73" s="261">
        <f>Y72</f>
        <v>0</v>
      </c>
    </row>
    <row r="74" spans="1:30" ht="19" customHeight="1" thickTop="1" x14ac:dyDescent="0.35">
      <c r="A74" s="196" t="s">
        <v>1074</v>
      </c>
      <c r="B74" s="387"/>
      <c r="C74" s="387"/>
      <c r="D74" s="1637">
        <v>100</v>
      </c>
      <c r="E74" s="401" t="s">
        <v>124</v>
      </c>
      <c r="F74" s="2101">
        <f>AP27</f>
        <v>0</v>
      </c>
      <c r="G74" s="2102"/>
      <c r="H74" s="401" t="s">
        <v>124</v>
      </c>
      <c r="Q74" s="2316">
        <f>IF(D74=0,0,D74*F74)</f>
        <v>0</v>
      </c>
      <c r="R74" s="2317"/>
      <c r="S74" s="193"/>
      <c r="T74" s="106"/>
      <c r="U74" s="194"/>
      <c r="V74" s="106"/>
      <c r="W74" s="195"/>
      <c r="X74" s="401"/>
      <c r="Y74" s="118"/>
    </row>
    <row r="75" spans="1:30" ht="19" customHeight="1" thickBot="1" x14ac:dyDescent="0.4">
      <c r="A75" s="196" t="s">
        <v>1078</v>
      </c>
      <c r="B75" s="387"/>
      <c r="C75" s="387"/>
      <c r="D75" s="759">
        <v>2</v>
      </c>
      <c r="E75" s="401" t="s">
        <v>191</v>
      </c>
      <c r="F75" s="2101">
        <f>AQ27</f>
        <v>0</v>
      </c>
      <c r="G75" s="2102"/>
      <c r="H75" s="401" t="s">
        <v>191</v>
      </c>
      <c r="Q75" s="2316">
        <f>IF(D75=0,0,D75*F75)</f>
        <v>0</v>
      </c>
      <c r="R75" s="2317"/>
      <c r="S75" s="193"/>
      <c r="T75" s="106"/>
      <c r="U75" s="194"/>
      <c r="V75" s="106"/>
      <c r="W75" s="195"/>
      <c r="X75" s="401"/>
      <c r="Y75" s="118"/>
    </row>
    <row r="76" spans="1:30" ht="18" customHeight="1" thickTop="1" x14ac:dyDescent="0.35">
      <c r="A76" s="1979" t="s">
        <v>186</v>
      </c>
      <c r="B76" s="1980"/>
      <c r="C76" s="1980"/>
      <c r="D76" s="1489"/>
      <c r="E76" s="425" t="s">
        <v>97</v>
      </c>
      <c r="F76" s="2325">
        <v>100</v>
      </c>
      <c r="G76" s="2326"/>
      <c r="H76" s="88" t="s">
        <v>68</v>
      </c>
      <c r="I76" s="88"/>
      <c r="J76" s="88"/>
      <c r="K76" s="88"/>
      <c r="Q76" s="2316">
        <f>D76*F76</f>
        <v>0</v>
      </c>
      <c r="R76" s="2317"/>
      <c r="S76" s="43"/>
      <c r="Y76" s="111"/>
      <c r="AB76">
        <v>11</v>
      </c>
      <c r="AC76" t="s">
        <v>251</v>
      </c>
    </row>
    <row r="77" spans="1:30" ht="24.75" customHeight="1" thickBot="1" x14ac:dyDescent="0.4">
      <c r="A77" s="2069" t="s">
        <v>108</v>
      </c>
      <c r="B77" s="2070"/>
      <c r="C77" s="2070"/>
      <c r="D77" s="1490">
        <v>0</v>
      </c>
      <c r="E77" s="188"/>
      <c r="F77" s="2323">
        <v>1000</v>
      </c>
      <c r="G77" s="2324"/>
      <c r="H77" s="49" t="s">
        <v>177</v>
      </c>
      <c r="I77" s="49"/>
      <c r="J77" s="49"/>
      <c r="K77" s="49"/>
      <c r="L77" s="49"/>
      <c r="M77" s="49"/>
      <c r="N77" s="49"/>
      <c r="O77" s="49"/>
      <c r="P77" s="49"/>
      <c r="Q77" s="2319">
        <f>D77*F77</f>
        <v>0</v>
      </c>
      <c r="R77" s="2320"/>
      <c r="S77" s="2314" t="s">
        <v>216</v>
      </c>
      <c r="T77" s="2315"/>
      <c r="U77" s="770">
        <v>18</v>
      </c>
      <c r="V77" s="42" t="s">
        <v>217</v>
      </c>
      <c r="Y77" s="534"/>
      <c r="AB77">
        <v>12</v>
      </c>
      <c r="AC77" t="s">
        <v>252</v>
      </c>
    </row>
    <row r="78" spans="1:30" ht="20.25" customHeight="1" thickBot="1" x14ac:dyDescent="0.4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47" t="s">
        <v>214</v>
      </c>
      <c r="T78" s="49"/>
      <c r="U78" s="49">
        <f>ROUNDUP((U49+U51+U52)*12/U77,0)</f>
        <v>0</v>
      </c>
      <c r="V78" s="49" t="s">
        <v>215</v>
      </c>
      <c r="W78" s="2313">
        <f>Pricing!D29</f>
        <v>1.75</v>
      </c>
      <c r="X78" s="2313"/>
      <c r="Y78" s="22">
        <f>W78*U78</f>
        <v>0</v>
      </c>
      <c r="AB78">
        <v>15</v>
      </c>
      <c r="AC78" t="s">
        <v>253</v>
      </c>
    </row>
    <row r="79" spans="1:30" ht="20.25" customHeight="1" thickBot="1" x14ac:dyDescent="0.4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120">
        <f>SUM(Y38:Y78)</f>
        <v>0</v>
      </c>
      <c r="AB79">
        <v>16</v>
      </c>
      <c r="AC79" t="s">
        <v>841</v>
      </c>
    </row>
    <row r="80" spans="1:30" ht="16" thickBot="1" x14ac:dyDescent="0.4">
      <c r="A80" s="898"/>
      <c r="B80" s="899"/>
      <c r="C80" s="899"/>
      <c r="D80" s="899"/>
      <c r="E80" s="899"/>
      <c r="F80" s="899"/>
      <c r="G80" s="899"/>
      <c r="H80" s="899"/>
      <c r="I80" s="899"/>
      <c r="J80" s="899"/>
      <c r="K80" s="899"/>
      <c r="L80" s="899"/>
      <c r="M80" s="899"/>
      <c r="N80" s="900"/>
      <c r="O80" s="899"/>
      <c r="P80" s="899"/>
      <c r="Q80" s="899"/>
      <c r="R80" s="899"/>
      <c r="S80" s="899"/>
      <c r="T80" s="899"/>
      <c r="U80" s="899"/>
      <c r="V80" s="899"/>
      <c r="W80" s="899"/>
      <c r="X80" s="899"/>
      <c r="Y80" s="901"/>
      <c r="AB80">
        <v>17</v>
      </c>
      <c r="AC80" t="s">
        <v>842</v>
      </c>
    </row>
    <row r="81" spans="1:30" ht="31" x14ac:dyDescent="0.35">
      <c r="A81" s="1987" t="s">
        <v>185</v>
      </c>
      <c r="B81" s="2041"/>
      <c r="C81" s="1988"/>
      <c r="D81" s="1987" t="s">
        <v>140</v>
      </c>
      <c r="E81" s="1988"/>
      <c r="F81" s="1987" t="s">
        <v>178</v>
      </c>
      <c r="G81" s="2041"/>
      <c r="H81" s="1988"/>
      <c r="I81" s="271"/>
      <c r="J81" s="271"/>
      <c r="K81" s="271"/>
      <c r="L81" s="61" t="s">
        <v>184</v>
      </c>
      <c r="M81" s="62"/>
      <c r="N81" s="60"/>
      <c r="O81" s="2044" t="s">
        <v>179</v>
      </c>
      <c r="P81" s="2045"/>
      <c r="Q81" s="132"/>
      <c r="R81" s="133"/>
      <c r="S81" s="897"/>
      <c r="T81" s="43" t="s">
        <v>34</v>
      </c>
      <c r="V81" s="42" t="s">
        <v>758</v>
      </c>
      <c r="W81" s="728" t="str">
        <f>W30</f>
        <v>n</v>
      </c>
      <c r="X81" s="73" t="s">
        <v>298</v>
      </c>
      <c r="Y81" s="925">
        <f>Y30</f>
        <v>8.2500000000000004E-2</v>
      </c>
      <c r="AB81">
        <v>18</v>
      </c>
      <c r="AC81" t="s">
        <v>843</v>
      </c>
    </row>
    <row r="82" spans="1:30" ht="16" thickBot="1" x14ac:dyDescent="0.4">
      <c r="A82" s="11" t="s">
        <v>180</v>
      </c>
      <c r="B82" s="1999">
        <f>B31</f>
        <v>0</v>
      </c>
      <c r="C82" s="2000"/>
      <c r="D82" s="2003">
        <f>D31</f>
        <v>0</v>
      </c>
      <c r="E82" s="2004"/>
      <c r="F82" s="15">
        <f>F31</f>
        <v>0</v>
      </c>
      <c r="G82" s="2042">
        <f>G31</f>
        <v>0</v>
      </c>
      <c r="H82" s="2043"/>
      <c r="I82" s="273"/>
      <c r="J82" s="273"/>
      <c r="K82" s="273"/>
      <c r="L82" s="2064">
        <f>L31</f>
        <v>0</v>
      </c>
      <c r="M82" s="2065"/>
      <c r="N82" s="2066"/>
      <c r="O82" s="725">
        <f>O31</f>
        <v>0.18</v>
      </c>
      <c r="P82" s="726"/>
      <c r="Q82" s="726"/>
      <c r="R82" s="727"/>
      <c r="S82" s="902"/>
      <c r="T82" s="86" t="s">
        <v>50</v>
      </c>
      <c r="W82" s="1932">
        <f>W31</f>
        <v>0</v>
      </c>
      <c r="X82" s="1932"/>
      <c r="Y82" s="74"/>
      <c r="AB82">
        <v>20</v>
      </c>
      <c r="AC82" t="s">
        <v>93</v>
      </c>
      <c r="AD82" s="261">
        <f>Q57</f>
        <v>0</v>
      </c>
    </row>
    <row r="83" spans="1:30" ht="16" thickBot="1" x14ac:dyDescent="0.4">
      <c r="A83" s="889"/>
      <c r="B83" s="890"/>
      <c r="C83" s="890"/>
      <c r="D83" s="890"/>
      <c r="E83" s="890"/>
      <c r="F83" s="890"/>
      <c r="G83" s="890"/>
      <c r="H83" s="890"/>
      <c r="I83" s="890"/>
      <c r="J83" s="890"/>
      <c r="K83" s="890"/>
      <c r="L83" s="890"/>
      <c r="M83" s="890"/>
      <c r="N83" s="890"/>
      <c r="O83" s="890"/>
      <c r="P83" s="890"/>
      <c r="Q83" s="890"/>
      <c r="R83" s="890"/>
      <c r="S83" s="890"/>
      <c r="T83" s="890"/>
      <c r="U83" s="890"/>
      <c r="V83" s="890"/>
      <c r="W83" s="890"/>
      <c r="X83" s="890"/>
      <c r="Y83" s="896"/>
      <c r="AB83">
        <v>21</v>
      </c>
      <c r="AC83" t="s">
        <v>254</v>
      </c>
      <c r="AD83" s="261">
        <f>Q59</f>
        <v>0</v>
      </c>
    </row>
    <row r="84" spans="1:30" x14ac:dyDescent="0.35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AB84">
        <v>22</v>
      </c>
      <c r="AC84" t="s">
        <v>255</v>
      </c>
      <c r="AD84" s="382">
        <f>N55</f>
        <v>0</v>
      </c>
    </row>
    <row r="85" spans="1:30" x14ac:dyDescent="0.35">
      <c r="A85" s="298"/>
      <c r="B85" s="300"/>
      <c r="C85" s="298"/>
      <c r="D85" s="298"/>
      <c r="E85" s="298"/>
      <c r="F85" s="298"/>
      <c r="G85" s="300"/>
      <c r="H85" s="300"/>
      <c r="I85" s="300"/>
      <c r="J85" s="300"/>
      <c r="K85" s="300"/>
      <c r="L85" s="301"/>
      <c r="M85" s="300"/>
      <c r="N85" s="300"/>
      <c r="O85" s="300"/>
      <c r="P85" s="302"/>
      <c r="Q85" s="300"/>
      <c r="R85" s="298"/>
      <c r="S85" s="298"/>
      <c r="T85" s="298"/>
      <c r="U85" s="298"/>
      <c r="V85" s="298"/>
      <c r="W85" s="298"/>
      <c r="X85" s="298"/>
      <c r="Y85" s="298"/>
      <c r="AB85">
        <v>23</v>
      </c>
      <c r="AC85" t="s">
        <v>256</v>
      </c>
      <c r="AD85" s="261">
        <f>Q76</f>
        <v>0</v>
      </c>
    </row>
    <row r="86" spans="1:30" x14ac:dyDescent="0.35">
      <c r="B86" s="69"/>
      <c r="G86" s="69"/>
      <c r="H86" s="69"/>
      <c r="I86" s="69"/>
      <c r="J86" s="69"/>
      <c r="K86" s="69"/>
      <c r="L86" s="114"/>
      <c r="M86" s="69"/>
      <c r="N86" s="69"/>
      <c r="O86" s="69"/>
      <c r="P86" s="113"/>
      <c r="Q86" s="69"/>
      <c r="AB86">
        <v>24</v>
      </c>
      <c r="AC86" t="s">
        <v>257</v>
      </c>
    </row>
    <row r="87" spans="1:30" x14ac:dyDescent="0.35">
      <c r="B87" s="69"/>
      <c r="G87" s="69"/>
      <c r="H87" s="69"/>
      <c r="I87" s="69"/>
      <c r="J87" s="69"/>
      <c r="K87" s="69"/>
      <c r="L87" s="114"/>
      <c r="M87" s="69"/>
      <c r="N87" s="69"/>
      <c r="O87" s="69"/>
      <c r="P87" s="113"/>
      <c r="Q87" s="69"/>
      <c r="AB87">
        <v>25</v>
      </c>
      <c r="AC87" t="s">
        <v>258</v>
      </c>
    </row>
    <row r="88" spans="1:30" x14ac:dyDescent="0.35">
      <c r="G88" s="69"/>
      <c r="H88" s="69"/>
      <c r="I88" s="69"/>
      <c r="J88" s="69"/>
      <c r="K88" s="69"/>
      <c r="L88" s="114"/>
      <c r="M88" s="69"/>
      <c r="N88" s="69"/>
      <c r="O88" s="69"/>
      <c r="P88" s="113"/>
      <c r="Q88" s="69"/>
      <c r="AB88">
        <v>30</v>
      </c>
      <c r="AC88" t="s">
        <v>259</v>
      </c>
    </row>
    <row r="89" spans="1:30" x14ac:dyDescent="0.35">
      <c r="G89" s="69"/>
      <c r="H89" s="69"/>
      <c r="I89" s="69"/>
      <c r="J89" s="69"/>
      <c r="K89" s="69"/>
      <c r="L89" s="114"/>
      <c r="M89" s="69"/>
      <c r="N89" s="69"/>
      <c r="O89" s="69"/>
      <c r="P89" s="113"/>
      <c r="Q89" s="69"/>
      <c r="AB89">
        <v>31</v>
      </c>
      <c r="AC89" t="s">
        <v>744</v>
      </c>
    </row>
    <row r="90" spans="1:30" x14ac:dyDescent="0.35">
      <c r="G90" s="69"/>
      <c r="L90" s="114"/>
      <c r="M90" s="69"/>
      <c r="N90" s="69"/>
      <c r="O90" s="69"/>
      <c r="P90" s="113"/>
      <c r="Q90" s="69"/>
      <c r="AB90">
        <v>32</v>
      </c>
      <c r="AC90" t="s">
        <v>260</v>
      </c>
    </row>
    <row r="91" spans="1:30" x14ac:dyDescent="0.35">
      <c r="G91" s="69"/>
      <c r="L91" s="114"/>
      <c r="M91" s="69"/>
      <c r="N91" s="69"/>
      <c r="O91" s="69"/>
      <c r="P91" s="113"/>
      <c r="Q91" s="69"/>
      <c r="AB91">
        <v>33</v>
      </c>
      <c r="AC91" t="s">
        <v>261</v>
      </c>
    </row>
    <row r="92" spans="1:30" x14ac:dyDescent="0.35">
      <c r="G92" s="69"/>
      <c r="L92" s="114"/>
      <c r="M92" s="69"/>
      <c r="N92" s="69"/>
      <c r="O92" s="69"/>
      <c r="P92" s="113"/>
      <c r="Q92" s="69"/>
      <c r="AB92">
        <v>34</v>
      </c>
      <c r="AC92" t="s">
        <v>262</v>
      </c>
    </row>
    <row r="93" spans="1:30" x14ac:dyDescent="0.35">
      <c r="G93" s="69"/>
      <c r="L93" s="114"/>
      <c r="M93" s="69"/>
      <c r="N93" s="69"/>
      <c r="O93" s="69"/>
      <c r="P93" s="113"/>
      <c r="Q93" s="69"/>
      <c r="AB93">
        <v>35</v>
      </c>
      <c r="AC93" t="s">
        <v>263</v>
      </c>
    </row>
    <row r="94" spans="1:30" x14ac:dyDescent="0.35">
      <c r="G94" s="69"/>
      <c r="L94" s="114"/>
      <c r="M94" s="69"/>
      <c r="N94" s="69"/>
      <c r="O94" s="69"/>
      <c r="P94" s="113"/>
      <c r="Q94" s="69"/>
      <c r="AB94">
        <v>36</v>
      </c>
      <c r="AC94" t="s">
        <v>745</v>
      </c>
    </row>
    <row r="95" spans="1:30" x14ac:dyDescent="0.35">
      <c r="G95" s="69"/>
      <c r="L95" s="114"/>
      <c r="M95" s="69"/>
      <c r="N95" s="69"/>
      <c r="O95" s="69"/>
      <c r="P95" s="113"/>
      <c r="Q95" s="69"/>
      <c r="AB95">
        <v>39</v>
      </c>
      <c r="AC95" t="s">
        <v>264</v>
      </c>
    </row>
    <row r="96" spans="1:30" x14ac:dyDescent="0.35">
      <c r="G96" s="69"/>
      <c r="H96" s="69"/>
      <c r="I96" s="69"/>
      <c r="J96" s="69"/>
      <c r="K96" s="69"/>
      <c r="L96" s="114"/>
      <c r="M96" s="69"/>
      <c r="N96" s="69"/>
      <c r="O96" s="69"/>
      <c r="P96" s="113"/>
      <c r="AB96">
        <v>40</v>
      </c>
      <c r="AC96" t="s">
        <v>222</v>
      </c>
      <c r="AD96" s="261">
        <f>Q55</f>
        <v>0</v>
      </c>
    </row>
    <row r="97" spans="1:29" x14ac:dyDescent="0.35">
      <c r="F97" s="69"/>
      <c r="G97" s="69"/>
      <c r="H97" s="69"/>
      <c r="I97" s="69"/>
      <c r="J97" s="69"/>
      <c r="K97" s="69"/>
      <c r="L97" s="114"/>
      <c r="M97" s="69"/>
      <c r="N97" s="69"/>
      <c r="O97" s="69"/>
      <c r="P97" s="113"/>
      <c r="AB97">
        <v>41</v>
      </c>
      <c r="AC97" t="s">
        <v>265</v>
      </c>
    </row>
    <row r="98" spans="1:29" x14ac:dyDescent="0.35">
      <c r="A98" s="69"/>
      <c r="B98" s="69"/>
      <c r="C98" s="69"/>
      <c r="D98" s="69"/>
      <c r="E98" s="69"/>
      <c r="F98" s="69"/>
      <c r="G98" s="69"/>
      <c r="M98" s="69"/>
      <c r="N98" s="69"/>
      <c r="O98" s="69"/>
      <c r="P98" s="113"/>
      <c r="AB98">
        <v>42</v>
      </c>
      <c r="AC98" t="s">
        <v>266</v>
      </c>
    </row>
    <row r="99" spans="1:29" x14ac:dyDescent="0.35">
      <c r="A99" s="69"/>
      <c r="B99" s="69"/>
      <c r="C99" s="69"/>
      <c r="D99" s="69"/>
      <c r="E99" s="69"/>
      <c r="G99" s="69"/>
      <c r="H99" s="69"/>
      <c r="I99" s="69"/>
      <c r="J99" s="69"/>
      <c r="K99" s="69"/>
      <c r="L99" s="69"/>
      <c r="O99" s="69"/>
      <c r="P99" s="113"/>
      <c r="AB99">
        <v>44</v>
      </c>
      <c r="AC99" t="s">
        <v>267</v>
      </c>
    </row>
    <row r="100" spans="1:29" x14ac:dyDescent="0.35">
      <c r="M100" s="69"/>
      <c r="N100" s="69"/>
      <c r="O100" s="69"/>
      <c r="P100" s="113"/>
      <c r="AB100">
        <v>45</v>
      </c>
      <c r="AC100" t="s">
        <v>268</v>
      </c>
    </row>
    <row r="101" spans="1:29" x14ac:dyDescent="0.35">
      <c r="P101" s="69"/>
      <c r="AB101">
        <v>46</v>
      </c>
      <c r="AC101" t="s">
        <v>269</v>
      </c>
    </row>
    <row r="102" spans="1:29" x14ac:dyDescent="0.35">
      <c r="O102" s="69"/>
      <c r="P102" s="69"/>
      <c r="AB102">
        <v>47</v>
      </c>
      <c r="AC102" t="s">
        <v>270</v>
      </c>
    </row>
    <row r="103" spans="1:29" x14ac:dyDescent="0.35">
      <c r="AB103">
        <v>48</v>
      </c>
      <c r="AC103" t="s">
        <v>271</v>
      </c>
    </row>
    <row r="104" spans="1:29" x14ac:dyDescent="0.35">
      <c r="AB104">
        <v>49</v>
      </c>
      <c r="AC104" t="s">
        <v>272</v>
      </c>
    </row>
    <row r="105" spans="1:29" x14ac:dyDescent="0.35">
      <c r="AB105">
        <v>50</v>
      </c>
      <c r="AC105" t="s">
        <v>711</v>
      </c>
    </row>
    <row r="106" spans="1:29" x14ac:dyDescent="0.35">
      <c r="AB106">
        <v>51</v>
      </c>
      <c r="AC106" t="s">
        <v>712</v>
      </c>
    </row>
    <row r="107" spans="1:29" x14ac:dyDescent="0.35">
      <c r="AB107">
        <v>52</v>
      </c>
      <c r="AC107" t="s">
        <v>273</v>
      </c>
    </row>
    <row r="108" spans="1:29" x14ac:dyDescent="0.35">
      <c r="AB108">
        <v>53</v>
      </c>
      <c r="AC108" t="s">
        <v>274</v>
      </c>
    </row>
    <row r="109" spans="1:29" x14ac:dyDescent="0.35">
      <c r="AB109">
        <v>54</v>
      </c>
      <c r="AC109" t="s">
        <v>275</v>
      </c>
    </row>
    <row r="110" spans="1:29" x14ac:dyDescent="0.35">
      <c r="AB110">
        <v>55</v>
      </c>
      <c r="AC110" t="s">
        <v>276</v>
      </c>
    </row>
    <row r="111" spans="1:29" x14ac:dyDescent="0.35">
      <c r="AB111">
        <v>56</v>
      </c>
      <c r="AC111" t="s">
        <v>277</v>
      </c>
    </row>
    <row r="112" spans="1:29" x14ac:dyDescent="0.35">
      <c r="AB112">
        <v>57</v>
      </c>
      <c r="AC112" t="s">
        <v>278</v>
      </c>
    </row>
    <row r="113" spans="28:30" x14ac:dyDescent="0.35">
      <c r="AB113">
        <v>58</v>
      </c>
      <c r="AC113" t="s">
        <v>279</v>
      </c>
    </row>
    <row r="114" spans="28:30" x14ac:dyDescent="0.35">
      <c r="AB114">
        <v>59</v>
      </c>
      <c r="AC114" t="s">
        <v>280</v>
      </c>
    </row>
    <row r="115" spans="28:30" x14ac:dyDescent="0.35">
      <c r="AB115">
        <v>60</v>
      </c>
      <c r="AC115" t="s">
        <v>281</v>
      </c>
      <c r="AD115" s="382">
        <f>O63</f>
        <v>0</v>
      </c>
    </row>
    <row r="116" spans="28:30" x14ac:dyDescent="0.35">
      <c r="AB116">
        <v>65</v>
      </c>
      <c r="AC116" t="s">
        <v>282</v>
      </c>
    </row>
    <row r="117" spans="28:30" x14ac:dyDescent="0.35">
      <c r="AB117">
        <v>99</v>
      </c>
      <c r="AC117" t="s">
        <v>893</v>
      </c>
    </row>
  </sheetData>
  <mergeCells count="232">
    <mergeCell ref="Q53:R53"/>
    <mergeCell ref="H46:L46"/>
    <mergeCell ref="H44:L45"/>
    <mergeCell ref="M44:M45"/>
    <mergeCell ref="N44:O44"/>
    <mergeCell ref="Q44:R44"/>
    <mergeCell ref="H38:L40"/>
    <mergeCell ref="M38:M40"/>
    <mergeCell ref="N38:O38"/>
    <mergeCell ref="Q38:R38"/>
    <mergeCell ref="N39:O39"/>
    <mergeCell ref="Q39:R39"/>
    <mergeCell ref="N40:O40"/>
    <mergeCell ref="Q40:R40"/>
    <mergeCell ref="Q43:R43"/>
    <mergeCell ref="L43:M43"/>
    <mergeCell ref="N43:O43"/>
    <mergeCell ref="H41:L41"/>
    <mergeCell ref="N41:O41"/>
    <mergeCell ref="Q41:R41"/>
    <mergeCell ref="H42:L42"/>
    <mergeCell ref="N42:O42"/>
    <mergeCell ref="Q42:R42"/>
    <mergeCell ref="N46:O46"/>
    <mergeCell ref="Q46:R46"/>
    <mergeCell ref="C19:D19"/>
    <mergeCell ref="C7:D7"/>
    <mergeCell ref="F7:H7"/>
    <mergeCell ref="L7:P7"/>
    <mergeCell ref="L8:L9"/>
    <mergeCell ref="M8:O8"/>
    <mergeCell ref="C17:D17"/>
    <mergeCell ref="C15:D15"/>
    <mergeCell ref="C26:D26"/>
    <mergeCell ref="I8:I9"/>
    <mergeCell ref="J8:J9"/>
    <mergeCell ref="K8:K9"/>
    <mergeCell ref="Q2:R2"/>
    <mergeCell ref="S2:T2"/>
    <mergeCell ref="Q6:R6"/>
    <mergeCell ref="A4:D4"/>
    <mergeCell ref="A8:B9"/>
    <mergeCell ref="C8:D9"/>
    <mergeCell ref="E8:E9"/>
    <mergeCell ref="H8:H9"/>
    <mergeCell ref="G8:G9"/>
    <mergeCell ref="F8:F9"/>
    <mergeCell ref="L4:P4"/>
    <mergeCell ref="S6:T6"/>
    <mergeCell ref="L3:P3"/>
    <mergeCell ref="L5:P5"/>
    <mergeCell ref="L6:P6"/>
    <mergeCell ref="Q4:R4"/>
    <mergeCell ref="S4:T4"/>
    <mergeCell ref="S5:T5"/>
    <mergeCell ref="Q5:R5"/>
    <mergeCell ref="C6:D6"/>
    <mergeCell ref="A11:B11"/>
    <mergeCell ref="C11:D11"/>
    <mergeCell ref="X11:Y11"/>
    <mergeCell ref="C12:D12"/>
    <mergeCell ref="X12:Y12"/>
    <mergeCell ref="A12:B12"/>
    <mergeCell ref="A13:B13"/>
    <mergeCell ref="A14:B14"/>
    <mergeCell ref="A10:B10"/>
    <mergeCell ref="C10:D10"/>
    <mergeCell ref="X10:Y10"/>
    <mergeCell ref="C13:D13"/>
    <mergeCell ref="X1:Y1"/>
    <mergeCell ref="X17:Y17"/>
    <mergeCell ref="C18:D18"/>
    <mergeCell ref="X18:Y18"/>
    <mergeCell ref="X15:Y15"/>
    <mergeCell ref="C16:D16"/>
    <mergeCell ref="X16:Y16"/>
    <mergeCell ref="X19:Y19"/>
    <mergeCell ref="C20:D20"/>
    <mergeCell ref="X20:Y20"/>
    <mergeCell ref="X13:Y13"/>
    <mergeCell ref="C14:D14"/>
    <mergeCell ref="X14:Y14"/>
    <mergeCell ref="P8:R8"/>
    <mergeCell ref="S8:S9"/>
    <mergeCell ref="T8:T9"/>
    <mergeCell ref="U8:U9"/>
    <mergeCell ref="V8:V9"/>
    <mergeCell ref="W8:W9"/>
    <mergeCell ref="X8:Y9"/>
    <mergeCell ref="A2:D2"/>
    <mergeCell ref="A3:D3"/>
    <mergeCell ref="Q3:R3"/>
    <mergeCell ref="S3:T3"/>
    <mergeCell ref="W28:X28"/>
    <mergeCell ref="A30:C30"/>
    <mergeCell ref="D30:E30"/>
    <mergeCell ref="F30:H30"/>
    <mergeCell ref="L30:N30"/>
    <mergeCell ref="O30:P30"/>
    <mergeCell ref="A26:B26"/>
    <mergeCell ref="A21:B21"/>
    <mergeCell ref="C21:D21"/>
    <mergeCell ref="X23:Y23"/>
    <mergeCell ref="A24:B24"/>
    <mergeCell ref="C24:D24"/>
    <mergeCell ref="X24:Y24"/>
    <mergeCell ref="A23:B23"/>
    <mergeCell ref="A22:B22"/>
    <mergeCell ref="C27:D27"/>
    <mergeCell ref="X26:Y26"/>
    <mergeCell ref="C22:D22"/>
    <mergeCell ref="X21:Y21"/>
    <mergeCell ref="C23:D23"/>
    <mergeCell ref="X25:Y25"/>
    <mergeCell ref="X22:Y22"/>
    <mergeCell ref="Q52:R52"/>
    <mergeCell ref="D51:E51"/>
    <mergeCell ref="N51:O51"/>
    <mergeCell ref="D50:E50"/>
    <mergeCell ref="N50:O50"/>
    <mergeCell ref="Q51:R51"/>
    <mergeCell ref="Q49:R49"/>
    <mergeCell ref="Q50:R50"/>
    <mergeCell ref="W31:X31"/>
    <mergeCell ref="B37:R37"/>
    <mergeCell ref="S37:T37"/>
    <mergeCell ref="B31:C31"/>
    <mergeCell ref="D31:E31"/>
    <mergeCell ref="G31:H31"/>
    <mergeCell ref="L31:N31"/>
    <mergeCell ref="W32:X32"/>
    <mergeCell ref="M32:N32"/>
    <mergeCell ref="P32:Q32"/>
    <mergeCell ref="C32:D32"/>
    <mergeCell ref="O31:R31"/>
    <mergeCell ref="N45:O45"/>
    <mergeCell ref="Q45:R45"/>
    <mergeCell ref="N48:O48"/>
    <mergeCell ref="P48:R48"/>
    <mergeCell ref="O58:P58"/>
    <mergeCell ref="H52:L52"/>
    <mergeCell ref="N52:O52"/>
    <mergeCell ref="D55:E55"/>
    <mergeCell ref="H55:M55"/>
    <mergeCell ref="N55:O55"/>
    <mergeCell ref="D54:E54"/>
    <mergeCell ref="H54:L54"/>
    <mergeCell ref="N54:O54"/>
    <mergeCell ref="D52:E52"/>
    <mergeCell ref="D53:E53"/>
    <mergeCell ref="H53:L53"/>
    <mergeCell ref="N53:O53"/>
    <mergeCell ref="D49:E49"/>
    <mergeCell ref="G49:G51"/>
    <mergeCell ref="H49:L51"/>
    <mergeCell ref="N49:O49"/>
    <mergeCell ref="Q68:R68"/>
    <mergeCell ref="A65:C65"/>
    <mergeCell ref="Q65:R65"/>
    <mergeCell ref="A66:C66"/>
    <mergeCell ref="Q66:R66"/>
    <mergeCell ref="A67:R67"/>
    <mergeCell ref="A68:C68"/>
    <mergeCell ref="Q54:R54"/>
    <mergeCell ref="Q57:R57"/>
    <mergeCell ref="O57:P57"/>
    <mergeCell ref="A56:R56"/>
    <mergeCell ref="Q58:R58"/>
    <mergeCell ref="Q61:R61"/>
    <mergeCell ref="A62:C62"/>
    <mergeCell ref="Q62:R62"/>
    <mergeCell ref="L62:M62"/>
    <mergeCell ref="O62:P62"/>
    <mergeCell ref="A61:C61"/>
    <mergeCell ref="Q59:R59"/>
    <mergeCell ref="A60:R60"/>
    <mergeCell ref="A71:C71"/>
    <mergeCell ref="F71:G71"/>
    <mergeCell ref="Q71:R71"/>
    <mergeCell ref="A70:C70"/>
    <mergeCell ref="A69:C69"/>
    <mergeCell ref="F68:G68"/>
    <mergeCell ref="L68:M68"/>
    <mergeCell ref="F77:G77"/>
    <mergeCell ref="Q77:R77"/>
    <mergeCell ref="F72:G72"/>
    <mergeCell ref="H72:L72"/>
    <mergeCell ref="Q72:R72"/>
    <mergeCell ref="Q69:R69"/>
    <mergeCell ref="F70:G70"/>
    <mergeCell ref="Q70:R70"/>
    <mergeCell ref="F69:G69"/>
    <mergeCell ref="L69:M70"/>
    <mergeCell ref="N69:N70"/>
    <mergeCell ref="F74:G74"/>
    <mergeCell ref="F75:G75"/>
    <mergeCell ref="Q74:R74"/>
    <mergeCell ref="Q75:R75"/>
    <mergeCell ref="S77:T77"/>
    <mergeCell ref="A73:C73"/>
    <mergeCell ref="F73:G73"/>
    <mergeCell ref="Q73:R73"/>
    <mergeCell ref="A76:C76"/>
    <mergeCell ref="F76:G76"/>
    <mergeCell ref="Q76:R76"/>
    <mergeCell ref="A77:C77"/>
    <mergeCell ref="G82:H82"/>
    <mergeCell ref="L82:N82"/>
    <mergeCell ref="W78:X78"/>
    <mergeCell ref="A81:C81"/>
    <mergeCell ref="D81:E81"/>
    <mergeCell ref="F81:H81"/>
    <mergeCell ref="O81:P81"/>
    <mergeCell ref="W82:X82"/>
    <mergeCell ref="D82:E82"/>
    <mergeCell ref="B82:C82"/>
    <mergeCell ref="A15:B15"/>
    <mergeCell ref="A16:B16"/>
    <mergeCell ref="A17:B17"/>
    <mergeCell ref="A25:B25"/>
    <mergeCell ref="C25:D25"/>
    <mergeCell ref="A18:B18"/>
    <mergeCell ref="A19:B19"/>
    <mergeCell ref="A20:B20"/>
    <mergeCell ref="W64:X64"/>
    <mergeCell ref="A63:C63"/>
    <mergeCell ref="A64:C64"/>
    <mergeCell ref="Q63:R63"/>
    <mergeCell ref="O63:P63"/>
    <mergeCell ref="L63:M64"/>
    <mergeCell ref="Q64:R64"/>
    <mergeCell ref="Q55:R55"/>
  </mergeCells>
  <printOptions gridLines="1"/>
  <pageMargins left="0" right="0" top="0.67" bottom="0.16" header="0.3" footer="0.13"/>
  <pageSetup paperSize="5" scale="60" orientation="landscape" horizontalDpi="1200" verticalDpi="1200" r:id="rId1"/>
  <headerFooter alignWithMargins="0">
    <oddHeader>&amp;L&amp;"Arial,Bold"&amp;16&amp;A&amp;C&amp;"Arial,Bold"&amp;16&amp;F&amp;R&amp;16&amp;D&amp;10&amp;P OF &amp;N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XFC62"/>
  <sheetViews>
    <sheetView topLeftCell="A2" zoomScaleNormal="100" workbookViewId="0">
      <selection activeCell="F22" sqref="F22"/>
    </sheetView>
  </sheetViews>
  <sheetFormatPr defaultColWidth="0" defaultRowHeight="15.5" x14ac:dyDescent="0.35"/>
  <cols>
    <col min="1" max="1" width="8" style="42" customWidth="1"/>
    <col min="2" max="2" width="7" style="42" customWidth="1"/>
    <col min="3" max="3" width="7.1796875" style="42" customWidth="1"/>
    <col min="4" max="4" width="5.81640625" style="42" customWidth="1"/>
    <col min="5" max="5" width="9.1796875" style="42" customWidth="1"/>
    <col min="6" max="6" width="11.6328125" style="42" bestFit="1" customWidth="1"/>
    <col min="7" max="7" width="12.81640625" style="42" customWidth="1"/>
    <col min="8" max="8" width="22.36328125" style="42" bestFit="1" customWidth="1"/>
    <col min="9" max="9" width="12" style="42" customWidth="1"/>
    <col min="10" max="10" width="9.26953125" style="42" bestFit="1" customWidth="1"/>
    <col min="11" max="11" width="11.26953125" style="42" customWidth="1"/>
    <col min="12" max="12" width="11.90625" style="42" bestFit="1" customWidth="1"/>
    <col min="13" max="13" width="11" style="42" customWidth="1"/>
    <col min="14" max="14" width="10.26953125" style="42" customWidth="1"/>
    <col min="15" max="15" width="16.08984375" style="42" customWidth="1"/>
    <col min="16" max="16" width="11.1796875" style="42" customWidth="1"/>
    <col min="17" max="17" width="9.81640625" style="42" customWidth="1"/>
    <col min="18" max="18" width="9.26953125" style="42" bestFit="1" customWidth="1"/>
    <col min="19" max="19" width="12" style="42" customWidth="1"/>
    <col min="20" max="20" width="18.7265625" style="42" customWidth="1"/>
    <col min="21" max="21" width="6.7265625" style="42" customWidth="1"/>
    <col min="22" max="22" width="7.81640625" style="42" customWidth="1"/>
    <col min="23" max="23" width="14.26953125" style="42" customWidth="1"/>
    <col min="24" max="24" width="9.1796875" style="42" customWidth="1"/>
    <col min="25" max="35" width="9.1796875" style="42" hidden="1"/>
    <col min="36" max="36" width="23.453125" style="42" hidden="1"/>
    <col min="37" max="16383" width="9.1796875" style="42" hidden="1"/>
    <col min="16384" max="16384" width="7" style="42" hidden="1"/>
  </cols>
  <sheetData>
    <row r="1" spans="1:39" ht="18" customHeight="1" thickBot="1" x14ac:dyDescent="0.4">
      <c r="A1" s="1363" t="s">
        <v>303</v>
      </c>
      <c r="B1" s="891"/>
      <c r="C1" s="891"/>
      <c r="D1" s="892"/>
      <c r="E1" s="48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334" t="s">
        <v>305</v>
      </c>
      <c r="T1" s="1130"/>
      <c r="U1" s="2970">
        <v>37456</v>
      </c>
      <c r="V1" s="2971"/>
      <c r="W1" s="298"/>
      <c r="X1" s="298"/>
      <c r="AF1" s="42" t="s">
        <v>237</v>
      </c>
    </row>
    <row r="2" spans="1:39" ht="18" customHeight="1" thickBot="1" x14ac:dyDescent="0.4">
      <c r="A2" s="2679">
        <f>Summary!C2</f>
        <v>0</v>
      </c>
      <c r="B2" s="2680"/>
      <c r="C2" s="2680"/>
      <c r="D2" s="2681"/>
      <c r="E2" s="705"/>
      <c r="F2" s="298"/>
      <c r="G2" s="877"/>
      <c r="H2" s="1364" t="s">
        <v>131</v>
      </c>
      <c r="I2" s="893"/>
      <c r="J2" s="1196" t="s">
        <v>96</v>
      </c>
      <c r="K2" s="891"/>
      <c r="L2" s="891"/>
      <c r="M2" s="891"/>
      <c r="N2" s="2661" t="s">
        <v>125</v>
      </c>
      <c r="O2" s="2661"/>
      <c r="P2" s="2661" t="s">
        <v>306</v>
      </c>
      <c r="Q2" s="2662"/>
      <c r="R2" s="298"/>
      <c r="S2" s="1183" t="s">
        <v>304</v>
      </c>
      <c r="T2" s="1180"/>
      <c r="U2" s="1184" t="str">
        <f>Information!C8</f>
        <v>Chad McKinney</v>
      </c>
      <c r="V2" s="1185"/>
      <c r="W2" s="298"/>
      <c r="X2" s="298"/>
      <c r="AF2" s="42" t="s">
        <v>126</v>
      </c>
      <c r="AG2" s="42">
        <v>0</v>
      </c>
    </row>
    <row r="3" spans="1:39" ht="18" customHeight="1" x14ac:dyDescent="0.35">
      <c r="A3" s="2682">
        <f>Summary!C3</f>
        <v>0</v>
      </c>
      <c r="B3" s="2683"/>
      <c r="C3" s="2683"/>
      <c r="D3" s="2684"/>
      <c r="E3" s="705"/>
      <c r="F3" s="298"/>
      <c r="G3" s="938"/>
      <c r="H3" s="1365" t="s">
        <v>132</v>
      </c>
      <c r="I3" s="3063">
        <f>Summary!K3</f>
        <v>0</v>
      </c>
      <c r="J3" s="3064"/>
      <c r="K3" s="3064"/>
      <c r="L3" s="3064"/>
      <c r="M3" s="3064"/>
      <c r="N3" s="3020">
        <f>Summary!O3</f>
        <v>0</v>
      </c>
      <c r="O3" s="3020"/>
      <c r="P3" s="2843">
        <f>Summary!P3</f>
        <v>0</v>
      </c>
      <c r="Q3" s="2844"/>
      <c r="R3" s="298"/>
      <c r="S3" s="1186"/>
      <c r="T3" s="1187"/>
      <c r="U3" s="1187"/>
      <c r="V3" s="1188"/>
      <c r="W3" s="298"/>
      <c r="X3" s="298"/>
      <c r="AF3" s="42" t="s">
        <v>238</v>
      </c>
      <c r="AG3" s="42">
        <v>0</v>
      </c>
    </row>
    <row r="4" spans="1:39" ht="18" customHeight="1" thickBot="1" x14ac:dyDescent="0.4">
      <c r="A4" s="2685">
        <f>Summary!C4</f>
        <v>0</v>
      </c>
      <c r="B4" s="2686"/>
      <c r="C4" s="2686"/>
      <c r="D4" s="2687"/>
      <c r="E4" s="705"/>
      <c r="F4" s="298"/>
      <c r="G4" s="938"/>
      <c r="H4" s="1365" t="s">
        <v>133</v>
      </c>
      <c r="I4" s="3059">
        <f>Summary!K4</f>
        <v>0</v>
      </c>
      <c r="J4" s="3060"/>
      <c r="K4" s="3060"/>
      <c r="L4" s="3060"/>
      <c r="M4" s="3060"/>
      <c r="N4" s="2963">
        <f>Summary!O4</f>
        <v>0</v>
      </c>
      <c r="O4" s="2963"/>
      <c r="P4" s="2845">
        <f>Summary!P4</f>
        <v>0</v>
      </c>
      <c r="Q4" s="2846"/>
      <c r="R4" s="298"/>
      <c r="S4" s="1186" t="str">
        <f>Information!H5</f>
        <v>Approved by Chad:</v>
      </c>
      <c r="T4" s="1187"/>
      <c r="U4" s="1189"/>
      <c r="V4" s="1190"/>
      <c r="W4" s="298"/>
      <c r="X4" s="298"/>
      <c r="AF4" s="42" t="s">
        <v>283</v>
      </c>
      <c r="AG4" s="42">
        <v>0</v>
      </c>
    </row>
    <row r="5" spans="1:39" ht="18" customHeight="1" x14ac:dyDescent="0.35">
      <c r="A5" s="92" t="s">
        <v>115</v>
      </c>
      <c r="C5" s="57" t="s">
        <v>125</v>
      </c>
      <c r="F5" s="298"/>
      <c r="G5" s="938"/>
      <c r="H5" s="1365" t="s">
        <v>134</v>
      </c>
      <c r="I5" s="3059">
        <f>Summary!K5</f>
        <v>0</v>
      </c>
      <c r="J5" s="3060"/>
      <c r="K5" s="3060"/>
      <c r="L5" s="3060"/>
      <c r="M5" s="3060"/>
      <c r="N5" s="2963">
        <f>Summary!O5</f>
        <v>0</v>
      </c>
      <c r="O5" s="2963"/>
      <c r="P5" s="2845">
        <f>Summary!P5</f>
        <v>0</v>
      </c>
      <c r="Q5" s="2846"/>
      <c r="R5" s="298"/>
      <c r="S5" s="1186"/>
      <c r="T5" s="1187"/>
      <c r="U5" s="1187"/>
      <c r="V5" s="1188"/>
      <c r="W5" s="298"/>
      <c r="X5" s="298"/>
      <c r="AF5" s="42" t="s">
        <v>239</v>
      </c>
      <c r="AG5" s="42" t="s">
        <v>240</v>
      </c>
      <c r="AK5" s="42" t="s">
        <v>92</v>
      </c>
    </row>
    <row r="6" spans="1:39" ht="18" customHeight="1" thickBot="1" x14ac:dyDescent="0.4">
      <c r="A6" s="1478">
        <v>0</v>
      </c>
      <c r="B6" s="298"/>
      <c r="C6" s="3065">
        <v>0</v>
      </c>
      <c r="D6" s="3066"/>
      <c r="E6" s="1524"/>
      <c r="F6" s="298"/>
      <c r="G6" s="889"/>
      <c r="H6" s="1366" t="s">
        <v>135</v>
      </c>
      <c r="I6" s="3061">
        <f>Summary!K6</f>
        <v>0</v>
      </c>
      <c r="J6" s="3062"/>
      <c r="K6" s="3062"/>
      <c r="L6" s="3062"/>
      <c r="M6" s="3062"/>
      <c r="N6" s="3021">
        <f>Summary!O6</f>
        <v>0</v>
      </c>
      <c r="O6" s="3021"/>
      <c r="P6" s="2852">
        <f>Summary!P6</f>
        <v>0</v>
      </c>
      <c r="Q6" s="2853"/>
      <c r="R6" s="298"/>
      <c r="S6" s="1191" t="str">
        <f>Information!H6</f>
        <v>Approved by Edward:</v>
      </c>
      <c r="T6" s="1181"/>
      <c r="U6" s="1181"/>
      <c r="V6" s="1182"/>
      <c r="W6" s="298"/>
      <c r="X6" s="298"/>
    </row>
    <row r="7" spans="1:39" ht="18" customHeight="1" thickBot="1" x14ac:dyDescent="0.4">
      <c r="A7" s="1479">
        <v>0</v>
      </c>
      <c r="B7" s="298"/>
      <c r="C7" s="2735">
        <v>0</v>
      </c>
      <c r="D7" s="2736"/>
      <c r="E7" s="1480"/>
      <c r="F7" s="298"/>
      <c r="G7" s="2008" t="s">
        <v>308</v>
      </c>
      <c r="H7" s="2008"/>
      <c r="I7" s="2008"/>
      <c r="J7" s="1972" t="str">
        <f>Pricing!A2</f>
        <v>Martin Marrieta</v>
      </c>
      <c r="K7" s="1972"/>
      <c r="L7" s="1972"/>
      <c r="M7" s="1972"/>
      <c r="N7" s="1972"/>
      <c r="R7" s="48"/>
      <c r="V7" s="48"/>
      <c r="W7" s="298"/>
      <c r="X7" s="298"/>
      <c r="AF7" s="42">
        <v>0</v>
      </c>
      <c r="AG7" s="42" t="s">
        <v>241</v>
      </c>
      <c r="AK7" s="42">
        <f>'Mono Slab on Grade Building 1'!FU8+'Gd Beams'!AK8+'SLAB ON DECK'!AI7+'Private Paving'!AJ8+PIERS!AN8+SIDEWALKS!AL7</f>
        <v>0</v>
      </c>
    </row>
    <row r="8" spans="1:39" ht="40.5" customHeight="1" thickBot="1" x14ac:dyDescent="0.4">
      <c r="A8" s="2056" t="s">
        <v>489</v>
      </c>
      <c r="B8" s="2057"/>
      <c r="C8" s="2057"/>
      <c r="D8" s="1525">
        <v>6</v>
      </c>
      <c r="E8" s="1491"/>
      <c r="F8" s="1491"/>
      <c r="G8" s="1491"/>
      <c r="H8" s="3039" t="str">
        <f>IF(D8=1,Pricing!F$1,IF(D8=2,Pricing!G$1,IF(D8=3,Pricing!H$1,IF(D8=4,Pricing!I$1,IF(D8=5,Pricing!J$1,IF(D8=6,Pricing!K$1,0))))))</f>
        <v>3000 PSI Sidewalk and Hardscape</v>
      </c>
      <c r="I8" s="3039"/>
      <c r="J8" s="3039"/>
      <c r="K8" s="236">
        <f>IF(D8=1,Pricing!F$2,IF(D8=2,Pricing!G$2,IF(D8=3,Pricing!H$2,IF(D8=4,Pricing!I$2,IF(D8=5,Pricing!J$2,IF(D8=6,Pricing!K$2,0))))))</f>
        <v>147</v>
      </c>
      <c r="L8" s="2056" t="s">
        <v>488</v>
      </c>
      <c r="M8" s="2057"/>
      <c r="N8" s="3038"/>
      <c r="O8" s="1526">
        <v>6</v>
      </c>
      <c r="P8" s="3039" t="str">
        <f>IF(O8=1,Pricing!F$1,IF(O8=2,Pricing!G$1,IF(O8=3,Pricing!H$1,IF(O8=4,Pricing!I$1,IF(O8=5,Pricing!J$1,IF(O8=6,Pricing!K$1,0))))))</f>
        <v>3000 PSI Sidewalk and Hardscape</v>
      </c>
      <c r="Q8" s="3039"/>
      <c r="R8" s="3044"/>
      <c r="S8" s="237">
        <f>IF(O8=1,Pricing!F$2,IF(O8=2,Pricing!G$2,IF(O8=3,Pricing!H$2,IF(O8=4,Pricing!I$2,IF(O8=5,Pricing!J$2,IF(O8=6,Pricing!K$2,0))))))</f>
        <v>147</v>
      </c>
      <c r="T8" s="238"/>
      <c r="U8" s="72"/>
      <c r="V8" s="82"/>
      <c r="Y8" s="298"/>
      <c r="Z8" s="298"/>
      <c r="AH8" s="42">
        <v>1</v>
      </c>
      <c r="AI8" s="42" t="s">
        <v>242</v>
      </c>
      <c r="AM8" s="42">
        <f>'Mono Slab on Grade Building 1'!FU9+'Gd Beams'!AK9+'SLAB ON DECK'!AI8+'Private Paving'!AJ9+PIERS!AN9+SIDEWALKS!AL8</f>
        <v>0</v>
      </c>
    </row>
    <row r="9" spans="1:39" ht="53.25" customHeight="1" thickBot="1" x14ac:dyDescent="0.4">
      <c r="A9" s="1527"/>
      <c r="B9" s="1528" t="s">
        <v>47</v>
      </c>
      <c r="C9" s="1528"/>
      <c r="D9" s="1528"/>
      <c r="E9" s="1529" t="s">
        <v>740</v>
      </c>
      <c r="F9" s="1530" t="s">
        <v>52</v>
      </c>
      <c r="G9" s="1531" t="s">
        <v>457</v>
      </c>
      <c r="H9" s="1532" t="s">
        <v>455</v>
      </c>
      <c r="I9" s="1533" t="s">
        <v>458</v>
      </c>
      <c r="J9" s="1081" t="s">
        <v>453</v>
      </c>
      <c r="K9" s="1082" t="s">
        <v>454</v>
      </c>
      <c r="L9" s="1534"/>
      <c r="M9" s="1254" t="s">
        <v>465</v>
      </c>
      <c r="N9" s="1255" t="s">
        <v>464</v>
      </c>
      <c r="O9" s="1256" t="s">
        <v>145</v>
      </c>
      <c r="P9" s="1255" t="s">
        <v>456</v>
      </c>
      <c r="Q9" s="1256" t="s">
        <v>10</v>
      </c>
      <c r="R9" s="1256" t="s">
        <v>45</v>
      </c>
      <c r="S9" s="1255" t="s">
        <v>459</v>
      </c>
      <c r="T9" s="1256" t="s">
        <v>460</v>
      </c>
      <c r="U9" s="3045" t="s">
        <v>50</v>
      </c>
      <c r="V9" s="3046"/>
      <c r="W9" s="42" t="s">
        <v>467</v>
      </c>
      <c r="X9" s="298"/>
      <c r="AD9" s="42" t="s">
        <v>300</v>
      </c>
      <c r="AE9" s="42" t="s">
        <v>45</v>
      </c>
      <c r="AF9" s="42">
        <v>2</v>
      </c>
      <c r="AG9" s="42" t="s">
        <v>243</v>
      </c>
      <c r="AK9" s="239">
        <f>SUM(O10:O37)</f>
        <v>0</v>
      </c>
    </row>
    <row r="10" spans="1:39" ht="20.149999999999999" customHeight="1" x14ac:dyDescent="0.35">
      <c r="A10" s="1979" t="s">
        <v>447</v>
      </c>
      <c r="B10" s="1980"/>
      <c r="C10" s="1980"/>
      <c r="D10" s="1980"/>
      <c r="E10" s="1509" t="s">
        <v>200</v>
      </c>
      <c r="F10" s="30"/>
      <c r="G10" s="1512">
        <v>1250</v>
      </c>
      <c r="H10" s="195">
        <v>400</v>
      </c>
      <c r="I10" s="1511">
        <f>F10*G10</f>
        <v>0</v>
      </c>
      <c r="J10" s="1517">
        <v>24</v>
      </c>
      <c r="K10" s="1517">
        <v>8</v>
      </c>
      <c r="L10" s="1518"/>
      <c r="M10" s="57">
        <f>ROUNDUP((J10*0.5*J10*0.5)*3.145/144*K10/27*F10,0)</f>
        <v>0</v>
      </c>
      <c r="N10" s="256">
        <f>J10*K10*0.75*F10</f>
        <v>0</v>
      </c>
      <c r="O10" s="239">
        <f>I10*0.1</f>
        <v>0</v>
      </c>
      <c r="P10" s="239">
        <f>M10*K8</f>
        <v>0</v>
      </c>
      <c r="Q10" s="257">
        <f>N10*Pricing!D21</f>
        <v>0</v>
      </c>
      <c r="R10" s="239">
        <f>H10*F10</f>
        <v>0</v>
      </c>
      <c r="S10" s="257">
        <f>R10*0.2</f>
        <v>0</v>
      </c>
      <c r="T10" s="257">
        <f>100*F10</f>
        <v>0</v>
      </c>
      <c r="U10" s="3047">
        <f>SUM(O10:T10)</f>
        <v>0</v>
      </c>
      <c r="V10" s="3048"/>
      <c r="W10" s="241">
        <f>IF(I10=0,0,1-U10/I10)</f>
        <v>0</v>
      </c>
      <c r="AD10" s="42">
        <f>IF(E10="Y",R10,0)</f>
        <v>0</v>
      </c>
      <c r="AE10" s="42">
        <f>IF(E10="Y",0,R10)</f>
        <v>0</v>
      </c>
      <c r="AF10" s="42">
        <v>3</v>
      </c>
      <c r="AG10" s="42" t="s">
        <v>244</v>
      </c>
      <c r="AK10" s="42">
        <f>N24+N25+N26+N27+N28+N29</f>
        <v>0</v>
      </c>
    </row>
    <row r="11" spans="1:39" ht="20.149999999999999" customHeight="1" x14ac:dyDescent="0.35">
      <c r="A11" s="1979" t="s">
        <v>451</v>
      </c>
      <c r="B11" s="1980"/>
      <c r="C11" s="1980"/>
      <c r="D11" s="1980"/>
      <c r="E11" s="1509" t="s">
        <v>200</v>
      </c>
      <c r="F11" s="30"/>
      <c r="G11" s="1512">
        <v>250</v>
      </c>
      <c r="H11" s="195">
        <v>50</v>
      </c>
      <c r="I11" s="1511">
        <f>F11*G11</f>
        <v>0</v>
      </c>
      <c r="J11" s="842">
        <v>18</v>
      </c>
      <c r="K11" s="842">
        <v>3</v>
      </c>
      <c r="L11" s="1519"/>
      <c r="M11" s="57">
        <f>ROUNDUP((J11*J11)*3.145/144*K11/27*F11,0)</f>
        <v>0</v>
      </c>
      <c r="N11" s="256">
        <f>J11*K11*0.75*F11</f>
        <v>0</v>
      </c>
      <c r="O11" s="239"/>
      <c r="P11" s="239">
        <f>M11*K8</f>
        <v>0</v>
      </c>
      <c r="Q11" s="257">
        <f>N11*Pricing!D21</f>
        <v>0</v>
      </c>
      <c r="R11" s="239">
        <f>H11*F11</f>
        <v>0</v>
      </c>
      <c r="S11" s="257">
        <f>R11*0.1</f>
        <v>0</v>
      </c>
      <c r="T11" s="257">
        <f>8*F11</f>
        <v>0</v>
      </c>
      <c r="U11" s="3049">
        <f>SUM(O11:T11)</f>
        <v>0</v>
      </c>
      <c r="V11" s="3050"/>
      <c r="W11" s="241">
        <f>IF(I11=0,0,1-U11/I11)</f>
        <v>0</v>
      </c>
      <c r="AD11" s="42">
        <f>IF(E11="Y",R11,0)</f>
        <v>0</v>
      </c>
      <c r="AE11" s="42">
        <f>IF(E11="Y",0,R11)</f>
        <v>0</v>
      </c>
      <c r="AF11" s="42">
        <v>4</v>
      </c>
      <c r="AG11" s="42" t="s">
        <v>245</v>
      </c>
    </row>
    <row r="12" spans="1:39" ht="20.149999999999999" customHeight="1" x14ac:dyDescent="0.35">
      <c r="A12" s="1979" t="s">
        <v>1069</v>
      </c>
      <c r="B12" s="1980"/>
      <c r="C12" s="1980"/>
      <c r="D12" s="1980"/>
      <c r="E12" s="1509" t="s">
        <v>200</v>
      </c>
      <c r="F12" s="30"/>
      <c r="G12" s="1512">
        <v>175</v>
      </c>
      <c r="H12" s="195">
        <v>50</v>
      </c>
      <c r="I12" s="1511">
        <f>F12*G12</f>
        <v>0</v>
      </c>
      <c r="J12" s="842">
        <v>12</v>
      </c>
      <c r="K12" s="842">
        <v>3</v>
      </c>
      <c r="L12" s="1519"/>
      <c r="M12" s="57">
        <f>ROUNDUP((J12*J12)*3.145/144*K12/27*F12,0)</f>
        <v>0</v>
      </c>
      <c r="N12" s="256">
        <f>J12*K12*0.75*F12</f>
        <v>0</v>
      </c>
      <c r="O12" s="239"/>
      <c r="P12" s="239">
        <f>M12*K8</f>
        <v>0</v>
      </c>
      <c r="Q12" s="257">
        <f>N12*Pricing!D21</f>
        <v>0</v>
      </c>
      <c r="R12" s="239">
        <f>H12*F12</f>
        <v>0</v>
      </c>
      <c r="S12" s="257">
        <f>R12*0.1</f>
        <v>0</v>
      </c>
      <c r="T12" s="257">
        <f>8*F12</f>
        <v>0</v>
      </c>
      <c r="U12" s="3049">
        <f>SUM(O12:T12)</f>
        <v>0</v>
      </c>
      <c r="V12" s="3050"/>
      <c r="W12" s="241">
        <f>IF(I12=0,0,1-U12/I12)</f>
        <v>0</v>
      </c>
      <c r="AD12" s="42">
        <f t="shared" ref="AD12:AD37" si="0">IF(E12="Y",R12,0)</f>
        <v>0</v>
      </c>
      <c r="AE12" s="42">
        <f t="shared" ref="AE12:AE37" si="1">IF(E12="Y",0,R12)</f>
        <v>0</v>
      </c>
      <c r="AF12" s="42">
        <v>4</v>
      </c>
      <c r="AG12" s="42" t="s">
        <v>245</v>
      </c>
    </row>
    <row r="13" spans="1:39" ht="20.149999999999999" customHeight="1" thickBot="1" x14ac:dyDescent="0.4">
      <c r="A13" s="2069" t="s">
        <v>889</v>
      </c>
      <c r="B13" s="2070"/>
      <c r="C13" s="2070"/>
      <c r="D13" s="2070"/>
      <c r="E13" s="518" t="s">
        <v>200</v>
      </c>
      <c r="F13" s="33"/>
      <c r="G13" s="1513">
        <v>150</v>
      </c>
      <c r="H13" s="472">
        <v>50</v>
      </c>
      <c r="I13" s="473">
        <f>F13*G13</f>
        <v>0</v>
      </c>
      <c r="J13" s="869">
        <v>12</v>
      </c>
      <c r="K13" s="869">
        <v>6</v>
      </c>
      <c r="L13" s="1520"/>
      <c r="M13" s="76">
        <f>ROUNDUP((J13*J13/576)*K13*3.145/27*F13,0)</f>
        <v>0</v>
      </c>
      <c r="N13" s="258">
        <f>J13*K13*0.75*F13</f>
        <v>0</v>
      </c>
      <c r="O13" s="259">
        <f>I13*0.1</f>
        <v>0</v>
      </c>
      <c r="P13" s="243">
        <f>M13*K8</f>
        <v>0</v>
      </c>
      <c r="Q13" s="260">
        <f>N13*Pricing!D21</f>
        <v>0</v>
      </c>
      <c r="R13" s="243">
        <f>H13*F13</f>
        <v>0</v>
      </c>
      <c r="S13" s="260">
        <f>R13*0.1</f>
        <v>0</v>
      </c>
      <c r="T13" s="260">
        <f>8*F13</f>
        <v>0</v>
      </c>
      <c r="U13" s="3042">
        <f>SUM(O13:T13)</f>
        <v>0</v>
      </c>
      <c r="V13" s="3043"/>
      <c r="W13" s="241">
        <f>IF(I13=0,0,1-U13/I13)</f>
        <v>0</v>
      </c>
      <c r="AD13" s="42">
        <f t="shared" si="0"/>
        <v>0</v>
      </c>
      <c r="AE13" s="42">
        <f t="shared" si="1"/>
        <v>0</v>
      </c>
      <c r="AF13" s="42">
        <v>5</v>
      </c>
      <c r="AG13" s="42" t="s">
        <v>246</v>
      </c>
      <c r="AK13" s="239">
        <f>SUM(Q10:Q37)</f>
        <v>0</v>
      </c>
    </row>
    <row r="14" spans="1:39" ht="20.149999999999999" customHeight="1" thickBot="1" x14ac:dyDescent="0.4">
      <c r="A14" s="1492"/>
      <c r="B14" s="1493"/>
      <c r="C14" s="1493"/>
      <c r="D14" s="1493"/>
      <c r="E14" s="1494"/>
      <c r="F14" s="1075"/>
      <c r="G14" s="1495"/>
      <c r="H14" s="1496"/>
      <c r="I14" s="1497"/>
      <c r="J14" s="1498"/>
      <c r="K14" s="1498"/>
      <c r="L14" s="891"/>
      <c r="M14" s="1498"/>
      <c r="N14" s="891"/>
      <c r="O14" s="1497"/>
      <c r="P14" s="1497"/>
      <c r="Q14" s="1499"/>
      <c r="R14" s="1497"/>
      <c r="S14" s="1499"/>
      <c r="T14" s="1499"/>
      <c r="U14" s="1500"/>
      <c r="V14" s="1501"/>
      <c r="W14" s="241"/>
      <c r="AD14" s="42">
        <f t="shared" si="0"/>
        <v>0</v>
      </c>
      <c r="AE14" s="42">
        <f t="shared" si="1"/>
        <v>0</v>
      </c>
      <c r="AF14" s="42">
        <v>6</v>
      </c>
      <c r="AG14" s="42" t="s">
        <v>248</v>
      </c>
    </row>
    <row r="15" spans="1:39" ht="39.75" customHeight="1" thickBot="1" x14ac:dyDescent="0.4">
      <c r="A15" s="2305" t="s">
        <v>47</v>
      </c>
      <c r="B15" s="2306"/>
      <c r="C15" s="2306"/>
      <c r="D15" s="2306"/>
      <c r="E15" s="1535"/>
      <c r="F15" s="1536" t="s">
        <v>52</v>
      </c>
      <c r="G15" s="1537" t="s">
        <v>457</v>
      </c>
      <c r="H15" s="1538" t="s">
        <v>575</v>
      </c>
      <c r="I15" s="1539"/>
      <c r="J15" s="1081" t="s">
        <v>461</v>
      </c>
      <c r="K15" s="1255" t="s">
        <v>462</v>
      </c>
      <c r="L15" s="1540" t="s">
        <v>463</v>
      </c>
      <c r="M15" s="1541" t="str">
        <f t="shared" ref="M15:U15" si="2">M9</f>
        <v>YDS CONC.</v>
      </c>
      <c r="N15" s="1540" t="str">
        <f t="shared" si="2"/>
        <v>STEEL WT</v>
      </c>
      <c r="O15" s="1542" t="str">
        <f t="shared" si="2"/>
        <v>FORMS</v>
      </c>
      <c r="P15" s="1542" t="str">
        <f t="shared" si="2"/>
        <v>CONC</v>
      </c>
      <c r="Q15" s="1542" t="str">
        <f t="shared" si="2"/>
        <v>STEEL</v>
      </c>
      <c r="R15" s="1542" t="str">
        <f t="shared" si="2"/>
        <v>LABOR</v>
      </c>
      <c r="S15" s="1542" t="str">
        <f t="shared" si="2"/>
        <v>SUPRVSN</v>
      </c>
      <c r="T15" s="1542" t="str">
        <f t="shared" si="2"/>
        <v>EQUIP.</v>
      </c>
      <c r="U15" s="3055" t="str">
        <f t="shared" si="2"/>
        <v>TOTAL COST</v>
      </c>
      <c r="V15" s="3056"/>
      <c r="W15" s="241"/>
      <c r="AD15" s="42">
        <f t="shared" si="0"/>
        <v>0</v>
      </c>
      <c r="AE15" s="42" t="str">
        <f t="shared" si="1"/>
        <v>LABOR</v>
      </c>
      <c r="AF15" s="42">
        <v>7</v>
      </c>
      <c r="AG15" s="42" t="s">
        <v>247</v>
      </c>
    </row>
    <row r="16" spans="1:39" ht="20.149999999999999" customHeight="1" x14ac:dyDescent="0.35">
      <c r="A16" s="1979" t="s">
        <v>449</v>
      </c>
      <c r="B16" s="1980"/>
      <c r="C16" s="1980"/>
      <c r="D16" s="1980"/>
      <c r="E16" s="1509" t="s">
        <v>200</v>
      </c>
      <c r="F16" s="30"/>
      <c r="G16" s="1512">
        <v>15000</v>
      </c>
      <c r="H16" s="474">
        <v>5000</v>
      </c>
      <c r="I16" s="1511">
        <f>F16*G16</f>
        <v>0</v>
      </c>
      <c r="J16" s="1824">
        <v>32</v>
      </c>
      <c r="K16" s="1819">
        <v>12</v>
      </c>
      <c r="L16" s="1825">
        <v>48</v>
      </c>
      <c r="M16" s="42">
        <f>IF(F16=0,0,ROUNDUP((J16*K16*L16/3888)*1.15*F16,0)+ROUNDUP((J16/4)*(J16/4)/27*F16,0))</f>
        <v>0</v>
      </c>
      <c r="N16" s="42">
        <f>ROUND(M16*145,0)</f>
        <v>0</v>
      </c>
      <c r="O16" s="239">
        <f>ROUNDUP(I16*0.2,0)</f>
        <v>0</v>
      </c>
      <c r="P16" s="154">
        <f>IF(F16&gt;0,S$8*M16,0)</f>
        <v>0</v>
      </c>
      <c r="Q16" s="46">
        <f>ROUNDUP(N16*Pricing!D$21,0)</f>
        <v>0</v>
      </c>
      <c r="R16" s="46">
        <f t="shared" ref="R16:R21" si="3">H16*F16</f>
        <v>0</v>
      </c>
      <c r="S16" s="46">
        <f>R16*0.25</f>
        <v>0</v>
      </c>
      <c r="T16" s="34">
        <f>F16*250</f>
        <v>0</v>
      </c>
      <c r="U16" s="3053">
        <f t="shared" ref="U16:U21" si="4">SUM(O16:T16)</f>
        <v>0</v>
      </c>
      <c r="V16" s="3054"/>
      <c r="W16" s="241">
        <f t="shared" ref="W16:W21" si="5">IF(I16=0,0,1-U16/I16)</f>
        <v>0</v>
      </c>
      <c r="AD16" s="42">
        <f t="shared" si="0"/>
        <v>0</v>
      </c>
      <c r="AE16" s="42">
        <f t="shared" si="1"/>
        <v>0</v>
      </c>
      <c r="AF16" s="42">
        <v>8</v>
      </c>
      <c r="AG16" s="42" t="s">
        <v>249</v>
      </c>
      <c r="AK16" s="239">
        <f>SUM(P10:P37)</f>
        <v>0</v>
      </c>
    </row>
    <row r="17" spans="1:37" ht="20.149999999999999" customHeight="1" x14ac:dyDescent="0.35">
      <c r="A17" s="1979" t="s">
        <v>448</v>
      </c>
      <c r="B17" s="1980"/>
      <c r="C17" s="1980"/>
      <c r="D17" s="1980"/>
      <c r="E17" s="1509" t="s">
        <v>200</v>
      </c>
      <c r="F17" s="30"/>
      <c r="G17" s="1512">
        <v>2000</v>
      </c>
      <c r="H17" s="474">
        <v>600</v>
      </c>
      <c r="I17" s="1511">
        <f>F17*G17</f>
        <v>0</v>
      </c>
      <c r="J17" s="1826">
        <v>20</v>
      </c>
      <c r="K17" s="842">
        <v>12</v>
      </c>
      <c r="L17" s="1522">
        <v>24</v>
      </c>
      <c r="M17" s="42">
        <f>IF(F17=0,0,ROUNDUP((J17*K17*L17/3888)*1.15*F17,0)+ROUNDUP((J17/4)*(J17/4)/27*F17,0))</f>
        <v>0</v>
      </c>
      <c r="N17" s="42">
        <f>ROUND(M17*145,0)</f>
        <v>0</v>
      </c>
      <c r="O17" s="239">
        <f>ROUNDUP(I17*0.15,0)</f>
        <v>0</v>
      </c>
      <c r="P17" s="154">
        <f>IF(F17&gt;0,S$8*M17,0)</f>
        <v>0</v>
      </c>
      <c r="Q17" s="46">
        <f>ROUNDUP(N17*Pricing!D$21,0)</f>
        <v>0</v>
      </c>
      <c r="R17" s="46">
        <f t="shared" si="3"/>
        <v>0</v>
      </c>
      <c r="S17" s="46">
        <f>R17*0.3</f>
        <v>0</v>
      </c>
      <c r="T17" s="34">
        <f>F17*150</f>
        <v>0</v>
      </c>
      <c r="U17" s="3053">
        <f t="shared" si="4"/>
        <v>0</v>
      </c>
      <c r="V17" s="3054"/>
      <c r="W17" s="241">
        <f t="shared" si="5"/>
        <v>0</v>
      </c>
      <c r="AD17" s="42">
        <f t="shared" si="0"/>
        <v>0</v>
      </c>
      <c r="AE17" s="42">
        <f t="shared" si="1"/>
        <v>0</v>
      </c>
      <c r="AF17" s="42">
        <v>9</v>
      </c>
      <c r="AG17" s="42" t="s">
        <v>234</v>
      </c>
    </row>
    <row r="18" spans="1:37" ht="20.149999999999999" customHeight="1" x14ac:dyDescent="0.35">
      <c r="A18" s="1979" t="s">
        <v>835</v>
      </c>
      <c r="B18" s="1980"/>
      <c r="C18" s="1980"/>
      <c r="D18" s="1980"/>
      <c r="E18" s="1509"/>
      <c r="F18" s="30">
        <v>0</v>
      </c>
      <c r="G18" s="1514">
        <v>1500</v>
      </c>
      <c r="H18" s="195">
        <v>500</v>
      </c>
      <c r="I18" s="1511">
        <f>F18*G18</f>
        <v>0</v>
      </c>
      <c r="J18" s="1826">
        <f>F18</f>
        <v>0</v>
      </c>
      <c r="K18" s="842">
        <v>6</v>
      </c>
      <c r="L18" s="1522">
        <v>12</v>
      </c>
      <c r="M18" s="42">
        <f>ROUNDUP(J18*K18*L18/3888*1.1,0)</f>
        <v>0</v>
      </c>
      <c r="N18" s="42">
        <f>ROUND(M18*55,0)</f>
        <v>0</v>
      </c>
      <c r="O18" s="239">
        <f>ROUNDUP(I18*0.1,0)</f>
        <v>0</v>
      </c>
      <c r="P18" s="154">
        <v>0</v>
      </c>
      <c r="Q18" s="46">
        <f>ROUNDUP(N18*Pricing!D$21,0)</f>
        <v>0</v>
      </c>
      <c r="R18" s="46">
        <f t="shared" si="3"/>
        <v>0</v>
      </c>
      <c r="S18" s="46">
        <v>0</v>
      </c>
      <c r="T18" s="34"/>
      <c r="U18" s="3053">
        <f t="shared" si="4"/>
        <v>0</v>
      </c>
      <c r="V18" s="3054"/>
      <c r="W18" s="241">
        <f t="shared" si="5"/>
        <v>0</v>
      </c>
      <c r="AD18" s="42">
        <f t="shared" si="0"/>
        <v>0</v>
      </c>
      <c r="AE18" s="42">
        <f t="shared" si="1"/>
        <v>0</v>
      </c>
      <c r="AF18" s="42">
        <v>10</v>
      </c>
      <c r="AG18" s="42" t="s">
        <v>250</v>
      </c>
    </row>
    <row r="19" spans="1:37" ht="20.149999999999999" customHeight="1" x14ac:dyDescent="0.35">
      <c r="A19" s="1979" t="s">
        <v>468</v>
      </c>
      <c r="B19" s="1980"/>
      <c r="C19" s="1980"/>
      <c r="D19" s="1980"/>
      <c r="E19" s="1509"/>
      <c r="F19" s="30"/>
      <c r="G19" s="1514">
        <v>8.5</v>
      </c>
      <c r="H19" s="195">
        <v>4</v>
      </c>
      <c r="I19" s="1511">
        <f>F19*G19</f>
        <v>0</v>
      </c>
      <c r="J19" s="1826">
        <f>F19</f>
        <v>0</v>
      </c>
      <c r="K19" s="842">
        <v>6</v>
      </c>
      <c r="L19" s="1522">
        <v>6</v>
      </c>
      <c r="M19" s="42">
        <f>ROUNDUP(J19*K19*L19/3888*1.1,0)</f>
        <v>0</v>
      </c>
      <c r="N19" s="42">
        <f>ROUND(M19*55,0)</f>
        <v>0</v>
      </c>
      <c r="O19" s="239">
        <f>ROUNDUP(I19*0.1,0)</f>
        <v>0</v>
      </c>
      <c r="P19" s="154">
        <f>K8*M19</f>
        <v>0</v>
      </c>
      <c r="Q19" s="46">
        <f>ROUNDUP(N19*Pricing!D$21,0)</f>
        <v>0</v>
      </c>
      <c r="R19" s="46">
        <f t="shared" si="3"/>
        <v>0</v>
      </c>
      <c r="S19" s="46">
        <f>R19*0.3</f>
        <v>0</v>
      </c>
      <c r="T19" s="34">
        <f>F19*0.3</f>
        <v>0</v>
      </c>
      <c r="U19" s="3053">
        <f t="shared" si="4"/>
        <v>0</v>
      </c>
      <c r="V19" s="3054"/>
      <c r="W19" s="241">
        <f t="shared" si="5"/>
        <v>0</v>
      </c>
      <c r="AD19" s="42">
        <f t="shared" si="0"/>
        <v>0</v>
      </c>
      <c r="AE19" s="42">
        <f t="shared" si="1"/>
        <v>0</v>
      </c>
      <c r="AF19" s="42">
        <v>11</v>
      </c>
      <c r="AG19" s="42" t="s">
        <v>251</v>
      </c>
    </row>
    <row r="20" spans="1:37" ht="20.149999999999999" customHeight="1" thickBot="1" x14ac:dyDescent="0.4">
      <c r="A20" s="1979" t="s">
        <v>452</v>
      </c>
      <c r="B20" s="1980"/>
      <c r="C20" s="1980"/>
      <c r="D20" s="1980"/>
      <c r="E20" s="1509" t="s">
        <v>200</v>
      </c>
      <c r="F20" s="30"/>
      <c r="G20" s="1514">
        <v>850</v>
      </c>
      <c r="H20" s="195">
        <v>100</v>
      </c>
      <c r="I20" s="1511">
        <f>F20*G20</f>
        <v>0</v>
      </c>
      <c r="J20" s="1826">
        <v>36</v>
      </c>
      <c r="K20" s="842">
        <v>12</v>
      </c>
      <c r="L20" s="1522">
        <v>24</v>
      </c>
      <c r="M20" s="42">
        <f>IF(F20=0,0,ROUNDUP(J20*K20*L20/3888*1.1,0)+ROUNDUP((J20/4)*(J20/4)/27,0))</f>
        <v>0</v>
      </c>
      <c r="N20" s="42">
        <f>IF(F20=0,0,ROUND(M20*55,0)+J20*2.5*4)</f>
        <v>0</v>
      </c>
      <c r="O20" s="239">
        <f>ROUNDUP(I20*0.1,0)</f>
        <v>0</v>
      </c>
      <c r="P20" s="154">
        <f>S7*M20</f>
        <v>0</v>
      </c>
      <c r="Q20" s="46">
        <f>ROUNDUP(N20*Pricing!D$21,0)</f>
        <v>0</v>
      </c>
      <c r="R20" s="46">
        <f t="shared" si="3"/>
        <v>0</v>
      </c>
      <c r="S20" s="46">
        <f>R20*0.3</f>
        <v>0</v>
      </c>
      <c r="T20" s="34">
        <f>F20*50</f>
        <v>0</v>
      </c>
      <c r="U20" s="3069">
        <f t="shared" si="4"/>
        <v>0</v>
      </c>
      <c r="V20" s="3070"/>
      <c r="W20" s="241">
        <f t="shared" si="5"/>
        <v>0</v>
      </c>
      <c r="AD20" s="42">
        <f t="shared" ref="AD20" si="6">IF(E20="Y",R20,0)</f>
        <v>0</v>
      </c>
      <c r="AE20" s="42">
        <f t="shared" ref="AE20" si="7">IF(E20="Y",0,R20)</f>
        <v>0</v>
      </c>
      <c r="AF20" s="42">
        <v>12</v>
      </c>
      <c r="AG20" s="42" t="s">
        <v>252</v>
      </c>
    </row>
    <row r="21" spans="1:37" ht="20.149999999999999" customHeight="1" thickBot="1" x14ac:dyDescent="0.4">
      <c r="A21" s="2069" t="s">
        <v>1170</v>
      </c>
      <c r="B21" s="2070"/>
      <c r="C21" s="2070"/>
      <c r="D21" s="2070"/>
      <c r="E21" s="1822" t="s">
        <v>200</v>
      </c>
      <c r="F21" s="1821">
        <v>0</v>
      </c>
      <c r="G21" s="1823">
        <v>45</v>
      </c>
      <c r="H21" s="1820">
        <v>16</v>
      </c>
      <c r="I21" s="475">
        <f>G21*F21</f>
        <v>0</v>
      </c>
      <c r="J21" s="1827">
        <v>1</v>
      </c>
      <c r="K21" s="869">
        <v>12</v>
      </c>
      <c r="L21" s="1523">
        <v>12</v>
      </c>
      <c r="M21" s="49">
        <f>IF(F21=0,0,ROUNDUP((J21*K21*L21/3888)*1.15*F21,0)+ROUNDUP((J21/4)*(K21/4)/27*F21,0))</f>
        <v>0</v>
      </c>
      <c r="N21" s="49">
        <f>IF(F21=0,0,ROUND(M21*55,0)+J21*2.5*4)</f>
        <v>0</v>
      </c>
      <c r="O21" s="243">
        <f>ROUNDUP(I21*0.1,0)</f>
        <v>0</v>
      </c>
      <c r="P21" s="163">
        <f>S8*M21</f>
        <v>0</v>
      </c>
      <c r="Q21" s="117">
        <f>ROUNDUP(N21*Pricing!D$21,0)</f>
        <v>0</v>
      </c>
      <c r="R21" s="117">
        <f t="shared" si="3"/>
        <v>0</v>
      </c>
      <c r="S21" s="117">
        <f>R21*0.1</f>
        <v>0</v>
      </c>
      <c r="T21" s="242">
        <f>F21*3</f>
        <v>0</v>
      </c>
      <c r="U21" s="3069">
        <f t="shared" si="4"/>
        <v>0</v>
      </c>
      <c r="V21" s="3070"/>
      <c r="W21" s="241">
        <f t="shared" si="5"/>
        <v>0</v>
      </c>
      <c r="AD21" s="42">
        <f t="shared" si="0"/>
        <v>0</v>
      </c>
      <c r="AE21" s="42">
        <f t="shared" si="1"/>
        <v>0</v>
      </c>
      <c r="AF21" s="42">
        <v>12</v>
      </c>
      <c r="AG21" s="42" t="s">
        <v>252</v>
      </c>
    </row>
    <row r="22" spans="1:37" ht="20.149999999999999" customHeight="1" thickBot="1" x14ac:dyDescent="0.4">
      <c r="A22" s="1492"/>
      <c r="B22" s="1493"/>
      <c r="C22" s="1493"/>
      <c r="D22" s="1493"/>
      <c r="E22" s="1498"/>
      <c r="F22" s="1075"/>
      <c r="G22" s="1502"/>
      <c r="H22" s="1496"/>
      <c r="I22" s="1497"/>
      <c r="J22" s="1498"/>
      <c r="K22" s="1498"/>
      <c r="L22" s="891"/>
      <c r="M22" s="891"/>
      <c r="N22" s="891"/>
      <c r="O22" s="1497"/>
      <c r="P22" s="1503"/>
      <c r="Q22" s="1504"/>
      <c r="R22" s="1504"/>
      <c r="S22" s="1504"/>
      <c r="T22" s="1496"/>
      <c r="U22" s="1505"/>
      <c r="V22" s="1506"/>
      <c r="W22" s="241"/>
      <c r="AD22" s="42">
        <f t="shared" si="0"/>
        <v>0</v>
      </c>
      <c r="AE22" s="42">
        <f t="shared" si="1"/>
        <v>0</v>
      </c>
      <c r="AF22" s="42">
        <v>15</v>
      </c>
      <c r="AG22" s="42" t="s">
        <v>253</v>
      </c>
    </row>
    <row r="23" spans="1:37" ht="39" customHeight="1" thickBot="1" x14ac:dyDescent="0.4">
      <c r="A23" s="2305" t="s">
        <v>47</v>
      </c>
      <c r="B23" s="2306"/>
      <c r="C23" s="2306"/>
      <c r="D23" s="2306"/>
      <c r="E23" s="834"/>
      <c r="F23" s="1536" t="s">
        <v>52</v>
      </c>
      <c r="G23" s="1543" t="s">
        <v>457</v>
      </c>
      <c r="H23" s="1544" t="s">
        <v>575</v>
      </c>
      <c r="I23" s="1545" t="s">
        <v>458</v>
      </c>
      <c r="J23" s="1546" t="s">
        <v>95</v>
      </c>
      <c r="K23" s="1083" t="s">
        <v>476</v>
      </c>
      <c r="L23" s="1256" t="s">
        <v>10</v>
      </c>
      <c r="M23" s="1255" t="s">
        <v>521</v>
      </c>
      <c r="N23" s="1547" t="s">
        <v>80</v>
      </c>
      <c r="O23" s="1542" t="str">
        <f>O15</f>
        <v>FORMS</v>
      </c>
      <c r="P23" s="1548" t="str">
        <f>P9</f>
        <v>CONC</v>
      </c>
      <c r="Q23" s="1548" t="str">
        <f>Q9</f>
        <v>STEEL</v>
      </c>
      <c r="R23" s="1548" t="str">
        <f>R9</f>
        <v>LABOR</v>
      </c>
      <c r="S23" s="1548" t="str">
        <f>S9</f>
        <v>SUPRVSN</v>
      </c>
      <c r="T23" s="1548" t="str">
        <f>T9</f>
        <v>EQUIP.</v>
      </c>
      <c r="U23" s="3067"/>
      <c r="V23" s="3068"/>
      <c r="W23" s="241"/>
      <c r="AD23" s="42">
        <f t="shared" si="0"/>
        <v>0</v>
      </c>
      <c r="AE23" s="42" t="str">
        <f t="shared" si="1"/>
        <v>LABOR</v>
      </c>
      <c r="AF23" s="42">
        <v>16</v>
      </c>
      <c r="AG23" s="42" t="s">
        <v>841</v>
      </c>
    </row>
    <row r="24" spans="1:37" ht="20.149999999999999" customHeight="1" x14ac:dyDescent="0.35">
      <c r="A24" s="1979" t="s">
        <v>555</v>
      </c>
      <c r="B24" s="1980"/>
      <c r="C24" s="1980"/>
      <c r="D24" s="1980"/>
      <c r="E24" s="30" t="s">
        <v>200</v>
      </c>
      <c r="F24" s="30"/>
      <c r="G24" s="1488">
        <v>200</v>
      </c>
      <c r="H24" s="195">
        <v>80</v>
      </c>
      <c r="I24" s="476">
        <f t="shared" ref="I24:I29" si="8">F24*G24</f>
        <v>0</v>
      </c>
      <c r="J24" s="1517"/>
      <c r="K24" s="1521"/>
      <c r="L24" s="244">
        <f>P24/3/2</f>
        <v>0</v>
      </c>
      <c r="M24" s="42">
        <f>ROUNDUP(J24*K24/324*F24,0)</f>
        <v>0</v>
      </c>
      <c r="N24" s="46">
        <f>M24*Pricing!D18</f>
        <v>0</v>
      </c>
      <c r="O24" s="239">
        <f>G24*0.1*F24</f>
        <v>0</v>
      </c>
      <c r="P24" s="239">
        <f t="shared" ref="P24:P29" si="9">M24*K$8*1.0825</f>
        <v>0</v>
      </c>
      <c r="Q24" s="239">
        <f>L24*Pricing!D$23</f>
        <v>0</v>
      </c>
      <c r="R24" s="239">
        <f t="shared" ref="R24:R29" si="10">H24*F24</f>
        <v>0</v>
      </c>
      <c r="S24" s="239">
        <f>F24*5</f>
        <v>0</v>
      </c>
      <c r="T24" s="240">
        <f>F24*5</f>
        <v>0</v>
      </c>
      <c r="U24" s="3051">
        <f t="shared" ref="U24:U29" si="11">SUM(N24:T24)</f>
        <v>0</v>
      </c>
      <c r="V24" s="3052"/>
      <c r="W24" s="241">
        <f t="shared" ref="W24:W29" si="12">IF(I24=0,0,1-U24/I24)</f>
        <v>0</v>
      </c>
      <c r="AD24" s="42">
        <f t="shared" si="0"/>
        <v>0</v>
      </c>
      <c r="AE24" s="42">
        <f t="shared" si="1"/>
        <v>0</v>
      </c>
      <c r="AF24" s="42">
        <v>17</v>
      </c>
      <c r="AG24" s="42" t="s">
        <v>846</v>
      </c>
    </row>
    <row r="25" spans="1:37" ht="20.149999999999999" customHeight="1" x14ac:dyDescent="0.35">
      <c r="A25" s="1979" t="s">
        <v>450</v>
      </c>
      <c r="B25" s="1980"/>
      <c r="C25" s="1980"/>
      <c r="D25" s="1980"/>
      <c r="E25" s="30" t="s">
        <v>200</v>
      </c>
      <c r="F25" s="30"/>
      <c r="G25" s="1488">
        <v>250</v>
      </c>
      <c r="H25" s="195">
        <v>25</v>
      </c>
      <c r="I25" s="476">
        <f t="shared" si="8"/>
        <v>0</v>
      </c>
      <c r="J25" s="842">
        <v>16</v>
      </c>
      <c r="K25" s="1522">
        <v>12</v>
      </c>
      <c r="L25" s="244">
        <f>P25/3/2</f>
        <v>0</v>
      </c>
      <c r="M25" s="89">
        <f>J25*K25/324*F25</f>
        <v>0</v>
      </c>
      <c r="N25" s="46">
        <f>M25*Pricing!D18</f>
        <v>0</v>
      </c>
      <c r="O25" s="1508">
        <f>P25*0.7</f>
        <v>0</v>
      </c>
      <c r="P25" s="239">
        <f t="shared" si="9"/>
        <v>0</v>
      </c>
      <c r="Q25" s="239">
        <f>L25*Pricing!D$23</f>
        <v>0</v>
      </c>
      <c r="R25" s="239">
        <f t="shared" si="10"/>
        <v>0</v>
      </c>
      <c r="S25" s="239">
        <f>F25*5</f>
        <v>0</v>
      </c>
      <c r="T25" s="239">
        <f>M25*5</f>
        <v>0</v>
      </c>
      <c r="U25" s="3035">
        <f t="shared" si="11"/>
        <v>0</v>
      </c>
      <c r="V25" s="3036"/>
      <c r="W25" s="241">
        <f t="shared" si="12"/>
        <v>0</v>
      </c>
      <c r="AD25" s="42">
        <f t="shared" si="0"/>
        <v>0</v>
      </c>
      <c r="AE25" s="42">
        <f t="shared" si="1"/>
        <v>0</v>
      </c>
      <c r="AF25" s="42">
        <v>18</v>
      </c>
      <c r="AG25" s="42" t="s">
        <v>843</v>
      </c>
    </row>
    <row r="26" spans="1:37" ht="20.149999999999999" customHeight="1" x14ac:dyDescent="0.35">
      <c r="A26" s="1979" t="s">
        <v>567</v>
      </c>
      <c r="B26" s="1980"/>
      <c r="C26" s="1980"/>
      <c r="D26" s="1980"/>
      <c r="E26" s="30" t="s">
        <v>200</v>
      </c>
      <c r="F26" s="30"/>
      <c r="G26" s="1488">
        <v>250</v>
      </c>
      <c r="H26" s="195">
        <v>100</v>
      </c>
      <c r="I26" s="476">
        <f t="shared" si="8"/>
        <v>0</v>
      </c>
      <c r="J26" s="842">
        <v>9</v>
      </c>
      <c r="K26" s="1522">
        <v>24</v>
      </c>
      <c r="L26" s="244">
        <f>P26/3/0.26</f>
        <v>0</v>
      </c>
      <c r="M26" s="89">
        <f>J26*K26/324*F26</f>
        <v>0</v>
      </c>
      <c r="N26" s="46">
        <f>M26*Pricing!D18</f>
        <v>0</v>
      </c>
      <c r="O26" s="1508">
        <f>P26*0.7</f>
        <v>0</v>
      </c>
      <c r="P26" s="239">
        <f t="shared" si="9"/>
        <v>0</v>
      </c>
      <c r="Q26" s="239">
        <f>L26*Pricing!D$23</f>
        <v>0</v>
      </c>
      <c r="R26" s="239">
        <f t="shared" si="10"/>
        <v>0</v>
      </c>
      <c r="S26" s="239">
        <f>R26*0.25</f>
        <v>0</v>
      </c>
      <c r="T26" s="239">
        <f>Q26</f>
        <v>0</v>
      </c>
      <c r="U26" s="3035">
        <f t="shared" si="11"/>
        <v>0</v>
      </c>
      <c r="V26" s="3036"/>
      <c r="W26" s="241">
        <f t="shared" si="12"/>
        <v>0</v>
      </c>
      <c r="AD26" s="42">
        <f t="shared" si="0"/>
        <v>0</v>
      </c>
      <c r="AE26" s="42">
        <f t="shared" si="1"/>
        <v>0</v>
      </c>
      <c r="AF26" s="42">
        <v>20</v>
      </c>
      <c r="AG26" s="42" t="s">
        <v>93</v>
      </c>
      <c r="AK26" s="239">
        <f>SUM(S10:S37)</f>
        <v>0</v>
      </c>
    </row>
    <row r="27" spans="1:37" ht="20.149999999999999" customHeight="1" x14ac:dyDescent="0.35">
      <c r="A27" s="1979" t="s">
        <v>727</v>
      </c>
      <c r="B27" s="1980"/>
      <c r="C27" s="1980"/>
      <c r="D27" s="1980"/>
      <c r="E27" s="30" t="s">
        <v>200</v>
      </c>
      <c r="F27" s="30"/>
      <c r="G27" s="1488">
        <v>400</v>
      </c>
      <c r="H27" s="195">
        <v>100</v>
      </c>
      <c r="I27" s="476">
        <f t="shared" si="8"/>
        <v>0</v>
      </c>
      <c r="J27" s="803">
        <v>20</v>
      </c>
      <c r="K27" s="1522">
        <v>6</v>
      </c>
      <c r="L27" s="244">
        <f>P27/3/0.26</f>
        <v>0</v>
      </c>
      <c r="M27" s="89">
        <f>J27*K27/324*F27*1.1</f>
        <v>0</v>
      </c>
      <c r="N27" s="46">
        <f>M27*Pricing!D18</f>
        <v>0</v>
      </c>
      <c r="O27" s="1508">
        <f>P27*0.7</f>
        <v>0</v>
      </c>
      <c r="P27" s="239">
        <f t="shared" si="9"/>
        <v>0</v>
      </c>
      <c r="Q27" s="239">
        <f>L27*Pricing!D$23</f>
        <v>0</v>
      </c>
      <c r="R27" s="239">
        <f t="shared" si="10"/>
        <v>0</v>
      </c>
      <c r="S27" s="239">
        <f>R27*0.25</f>
        <v>0</v>
      </c>
      <c r="T27" s="239">
        <f>Q27</f>
        <v>0</v>
      </c>
      <c r="U27" s="3035">
        <f t="shared" si="11"/>
        <v>0</v>
      </c>
      <c r="V27" s="3036"/>
      <c r="W27" s="241">
        <f t="shared" si="12"/>
        <v>0</v>
      </c>
      <c r="AD27" s="42">
        <f t="shared" si="0"/>
        <v>0</v>
      </c>
      <c r="AE27" s="42">
        <f t="shared" si="1"/>
        <v>0</v>
      </c>
      <c r="AF27" s="42">
        <v>21</v>
      </c>
      <c r="AG27" s="42" t="s">
        <v>254</v>
      </c>
    </row>
    <row r="28" spans="1:37" ht="20.149999999999999" customHeight="1" x14ac:dyDescent="0.35">
      <c r="A28" s="1979" t="s">
        <v>736</v>
      </c>
      <c r="B28" s="1980"/>
      <c r="C28" s="1980"/>
      <c r="D28" s="1980"/>
      <c r="E28" s="30" t="s">
        <v>200</v>
      </c>
      <c r="F28" s="30">
        <v>0</v>
      </c>
      <c r="G28" s="1515">
        <v>4.5</v>
      </c>
      <c r="H28" s="195">
        <v>0.35</v>
      </c>
      <c r="I28" s="476">
        <f t="shared" si="8"/>
        <v>0</v>
      </c>
      <c r="J28" s="842">
        <v>1</v>
      </c>
      <c r="K28" s="1522">
        <v>3</v>
      </c>
      <c r="L28" s="244"/>
      <c r="M28" s="89">
        <f>J28*K28/324*F28*1.1</f>
        <v>0</v>
      </c>
      <c r="N28" s="46">
        <f>M28*Pricing!D18</f>
        <v>0</v>
      </c>
      <c r="O28" s="1508">
        <f>P28*0.7</f>
        <v>0</v>
      </c>
      <c r="P28" s="239">
        <f t="shared" si="9"/>
        <v>0</v>
      </c>
      <c r="Q28" s="239">
        <f>L28*Pricing!D$23</f>
        <v>0</v>
      </c>
      <c r="R28" s="239">
        <f t="shared" si="10"/>
        <v>0</v>
      </c>
      <c r="S28" s="239">
        <f>R28*0.25</f>
        <v>0</v>
      </c>
      <c r="T28" s="239">
        <f>Q28</f>
        <v>0</v>
      </c>
      <c r="U28" s="3035">
        <f t="shared" si="11"/>
        <v>0</v>
      </c>
      <c r="V28" s="3036"/>
      <c r="W28" s="241">
        <f t="shared" si="12"/>
        <v>0</v>
      </c>
      <c r="AD28" s="42">
        <f t="shared" si="0"/>
        <v>0</v>
      </c>
      <c r="AE28" s="42">
        <f t="shared" si="1"/>
        <v>0</v>
      </c>
      <c r="AF28" s="42">
        <v>22</v>
      </c>
      <c r="AG28" s="42" t="s">
        <v>255</v>
      </c>
      <c r="AK28" s="239">
        <f>SUM(AE10:AE37)</f>
        <v>0</v>
      </c>
    </row>
    <row r="29" spans="1:37" ht="20.149999999999999" customHeight="1" thickBot="1" x14ac:dyDescent="0.4">
      <c r="A29" s="2069" t="s">
        <v>738</v>
      </c>
      <c r="B29" s="2070"/>
      <c r="C29" s="2070"/>
      <c r="D29" s="2070"/>
      <c r="E29" s="33" t="s">
        <v>200</v>
      </c>
      <c r="F29" s="33"/>
      <c r="G29" s="1516">
        <v>35</v>
      </c>
      <c r="H29" s="472">
        <v>30</v>
      </c>
      <c r="I29" s="473">
        <f t="shared" si="8"/>
        <v>0</v>
      </c>
      <c r="J29" s="869"/>
      <c r="K29" s="1523"/>
      <c r="L29" s="1510">
        <f>P29/3/0.26</f>
        <v>0</v>
      </c>
      <c r="M29" s="157">
        <f>J29*K29/324*F29*1.1</f>
        <v>0</v>
      </c>
      <c r="N29" s="117">
        <f>M29*Pricing!D19</f>
        <v>0</v>
      </c>
      <c r="O29" s="259">
        <f>P29*0.7</f>
        <v>0</v>
      </c>
      <c r="P29" s="243">
        <f t="shared" si="9"/>
        <v>0</v>
      </c>
      <c r="Q29" s="243">
        <f>L29*Pricing!D$23</f>
        <v>0</v>
      </c>
      <c r="R29" s="243">
        <f t="shared" si="10"/>
        <v>0</v>
      </c>
      <c r="S29" s="243">
        <f>R29*0.25</f>
        <v>0</v>
      </c>
      <c r="T29" s="243">
        <f>Q29</f>
        <v>0</v>
      </c>
      <c r="U29" s="3057">
        <f t="shared" si="11"/>
        <v>0</v>
      </c>
      <c r="V29" s="3058"/>
      <c r="W29" s="241">
        <f t="shared" si="12"/>
        <v>0</v>
      </c>
      <c r="AD29" s="42">
        <f t="shared" si="0"/>
        <v>0</v>
      </c>
      <c r="AE29" s="42">
        <f t="shared" si="1"/>
        <v>0</v>
      </c>
    </row>
    <row r="30" spans="1:37" ht="32.25" customHeight="1" thickBot="1" x14ac:dyDescent="0.4">
      <c r="A30" s="1549"/>
      <c r="B30" s="1550"/>
      <c r="C30" s="1550"/>
      <c r="D30" s="1550"/>
      <c r="E30" s="1082"/>
      <c r="F30" s="1082" t="s">
        <v>52</v>
      </c>
      <c r="G30" s="1256" t="s">
        <v>457</v>
      </c>
      <c r="H30" s="1544" t="s">
        <v>575</v>
      </c>
      <c r="I30" s="1545" t="s">
        <v>458</v>
      </c>
      <c r="J30" s="1532" t="s">
        <v>522</v>
      </c>
      <c r="K30" s="1532" t="s">
        <v>501</v>
      </c>
      <c r="L30" s="1533" t="s">
        <v>523</v>
      </c>
      <c r="M30" s="1254" t="s">
        <v>465</v>
      </c>
      <c r="N30" s="1255" t="s">
        <v>296</v>
      </c>
      <c r="O30" s="1256" t="s">
        <v>145</v>
      </c>
      <c r="P30" s="1255" t="s">
        <v>456</v>
      </c>
      <c r="Q30" s="1256" t="s">
        <v>10</v>
      </c>
      <c r="R30" s="1256" t="s">
        <v>45</v>
      </c>
      <c r="S30" s="1255" t="s">
        <v>459</v>
      </c>
      <c r="T30" s="1256" t="s">
        <v>460</v>
      </c>
      <c r="U30" s="3045" t="s">
        <v>50</v>
      </c>
      <c r="V30" s="3046"/>
      <c r="W30" s="517"/>
      <c r="AD30" s="42">
        <f t="shared" si="0"/>
        <v>0</v>
      </c>
      <c r="AE30" s="42" t="str">
        <f t="shared" si="1"/>
        <v>LABOR</v>
      </c>
      <c r="AF30" s="42">
        <v>24</v>
      </c>
      <c r="AG30" s="42" t="s">
        <v>257</v>
      </c>
    </row>
    <row r="31" spans="1:37" ht="20.149999999999999" customHeight="1" x14ac:dyDescent="0.35">
      <c r="A31" s="1979" t="s">
        <v>733</v>
      </c>
      <c r="B31" s="1980"/>
      <c r="C31" s="1980"/>
      <c r="D31" s="1980"/>
      <c r="E31" s="1507" t="s">
        <v>200</v>
      </c>
      <c r="F31" s="30"/>
      <c r="G31" s="1515">
        <v>55</v>
      </c>
      <c r="H31" s="195">
        <v>30</v>
      </c>
      <c r="I31" s="476">
        <f>F31*G31</f>
        <v>0</v>
      </c>
      <c r="J31" s="1517">
        <v>12</v>
      </c>
      <c r="K31" s="1517">
        <v>12</v>
      </c>
      <c r="L31" s="1521">
        <v>12</v>
      </c>
      <c r="M31" s="1106">
        <f t="shared" ref="M31:M37" si="13">J31*K31*L31/46656*F31*1.2</f>
        <v>0</v>
      </c>
      <c r="N31" s="232">
        <f t="shared" ref="N31:N37" si="14">P31*0.33/0.26*1.15</f>
        <v>0</v>
      </c>
      <c r="O31" s="1508">
        <f t="shared" ref="O31:O37" si="15">P31*0.5*1.0825</f>
        <v>0</v>
      </c>
      <c r="P31" s="239">
        <f t="shared" ref="P31:P37" si="16">M31*K$8*1.0825</f>
        <v>0</v>
      </c>
      <c r="Q31" s="239">
        <f>N31*Pricing!D$23*1.0825</f>
        <v>0</v>
      </c>
      <c r="R31" s="239">
        <f t="shared" ref="R31:R37" si="17">H31*F31</f>
        <v>0</v>
      </c>
      <c r="S31" s="239">
        <f t="shared" ref="S31:S37" si="18">R31</f>
        <v>0</v>
      </c>
      <c r="T31" s="239">
        <f t="shared" ref="T31:T37" si="19">IF(F31&gt;0,IF(F31&lt;11,300,F31*30),0)</f>
        <v>0</v>
      </c>
      <c r="U31" s="3051">
        <f t="shared" ref="U31:U36" si="20">SUM(O31:T31)</f>
        <v>0</v>
      </c>
      <c r="V31" s="3052"/>
      <c r="W31" s="241">
        <f t="shared" ref="W31:W36" si="21">IF(I31=0,0,1-U31/I31)</f>
        <v>0</v>
      </c>
      <c r="AD31" s="42">
        <f t="shared" si="0"/>
        <v>0</v>
      </c>
      <c r="AE31" s="42">
        <f t="shared" si="1"/>
        <v>0</v>
      </c>
      <c r="AF31" s="42">
        <v>25</v>
      </c>
      <c r="AG31" s="42" t="s">
        <v>258</v>
      </c>
      <c r="AK31" s="46"/>
    </row>
    <row r="32" spans="1:37" ht="20.149999999999999" customHeight="1" x14ac:dyDescent="0.35">
      <c r="A32" s="3040" t="s">
        <v>450</v>
      </c>
      <c r="B32" s="3041"/>
      <c r="C32" s="3041"/>
      <c r="D32" s="3041"/>
      <c r="E32" s="1509" t="s">
        <v>200</v>
      </c>
      <c r="F32" s="30"/>
      <c r="G32" s="1515">
        <v>50</v>
      </c>
      <c r="H32" s="195">
        <v>40</v>
      </c>
      <c r="I32" s="476">
        <f>F32*G32</f>
        <v>0</v>
      </c>
      <c r="J32" s="842">
        <v>22</v>
      </c>
      <c r="K32" s="842">
        <v>22</v>
      </c>
      <c r="L32" s="1522">
        <v>12</v>
      </c>
      <c r="M32" s="1106">
        <f t="shared" si="13"/>
        <v>0</v>
      </c>
      <c r="N32" s="232">
        <f t="shared" si="14"/>
        <v>0</v>
      </c>
      <c r="O32" s="1508">
        <f t="shared" si="15"/>
        <v>0</v>
      </c>
      <c r="P32" s="239">
        <f t="shared" si="16"/>
        <v>0</v>
      </c>
      <c r="Q32" s="239">
        <f>N32*Pricing!D$23*1.0825</f>
        <v>0</v>
      </c>
      <c r="R32" s="239">
        <f t="shared" si="17"/>
        <v>0</v>
      </c>
      <c r="S32" s="239">
        <f t="shared" si="18"/>
        <v>0</v>
      </c>
      <c r="T32" s="239">
        <f t="shared" si="19"/>
        <v>0</v>
      </c>
      <c r="U32" s="3035">
        <f t="shared" si="20"/>
        <v>0</v>
      </c>
      <c r="V32" s="3036"/>
      <c r="W32" s="241">
        <f t="shared" si="21"/>
        <v>0</v>
      </c>
      <c r="AD32" s="42">
        <f t="shared" si="0"/>
        <v>0</v>
      </c>
      <c r="AE32" s="42">
        <f t="shared" si="1"/>
        <v>0</v>
      </c>
      <c r="AF32" s="42">
        <v>30</v>
      </c>
      <c r="AG32" s="42" t="s">
        <v>259</v>
      </c>
    </row>
    <row r="33" spans="1:37" ht="20.149999999999999" customHeight="1" x14ac:dyDescent="0.35">
      <c r="A33" s="1979" t="s">
        <v>756</v>
      </c>
      <c r="B33" s="1980"/>
      <c r="C33" s="1980"/>
      <c r="D33" s="1980"/>
      <c r="E33" s="30" t="s">
        <v>200</v>
      </c>
      <c r="F33" s="30"/>
      <c r="G33" s="1512">
        <v>30.5</v>
      </c>
      <c r="H33" s="195">
        <v>8</v>
      </c>
      <c r="I33" s="476">
        <f>F33*G33</f>
        <v>0</v>
      </c>
      <c r="J33" s="842">
        <v>12</v>
      </c>
      <c r="K33" s="842">
        <v>24</v>
      </c>
      <c r="L33" s="1522">
        <v>24</v>
      </c>
      <c r="M33" s="1106">
        <f>J33*K33*L33/46656*F33*1.2</f>
        <v>0</v>
      </c>
      <c r="N33" s="232">
        <f t="shared" si="14"/>
        <v>0</v>
      </c>
      <c r="O33" s="1508">
        <f t="shared" si="15"/>
        <v>0</v>
      </c>
      <c r="P33" s="239">
        <f t="shared" si="16"/>
        <v>0</v>
      </c>
      <c r="Q33" s="239">
        <f>N33*Pricing!D$23*1.0825</f>
        <v>0</v>
      </c>
      <c r="R33" s="239">
        <f t="shared" si="17"/>
        <v>0</v>
      </c>
      <c r="S33" s="239">
        <f t="shared" si="18"/>
        <v>0</v>
      </c>
      <c r="T33" s="239">
        <f t="shared" si="19"/>
        <v>0</v>
      </c>
      <c r="U33" s="3035">
        <f t="shared" si="20"/>
        <v>0</v>
      </c>
      <c r="V33" s="3036"/>
      <c r="W33" s="241">
        <f t="shared" si="21"/>
        <v>0</v>
      </c>
      <c r="AD33" s="42">
        <f t="shared" si="0"/>
        <v>0</v>
      </c>
      <c r="AE33" s="42">
        <f t="shared" si="1"/>
        <v>0</v>
      </c>
      <c r="AF33" s="42">
        <v>31</v>
      </c>
      <c r="AG33" s="42" t="s">
        <v>744</v>
      </c>
    </row>
    <row r="34" spans="1:37" ht="20.149999999999999" customHeight="1" x14ac:dyDescent="0.35">
      <c r="A34" s="196" t="s">
        <v>1057</v>
      </c>
      <c r="B34" s="387"/>
      <c r="C34" s="387"/>
      <c r="D34" s="387"/>
      <c r="E34" s="30" t="s">
        <v>200</v>
      </c>
      <c r="F34" s="30">
        <v>0</v>
      </c>
      <c r="G34" s="1512">
        <v>50</v>
      </c>
      <c r="H34" s="474">
        <v>15</v>
      </c>
      <c r="I34" s="476">
        <f>F34*G34</f>
        <v>0</v>
      </c>
      <c r="J34" s="842">
        <v>12</v>
      </c>
      <c r="K34" s="842">
        <v>18</v>
      </c>
      <c r="L34" s="1522">
        <v>6</v>
      </c>
      <c r="M34" s="1106">
        <f t="shared" si="13"/>
        <v>0</v>
      </c>
      <c r="N34" s="232">
        <f>P34*0.05/0.26*1.15</f>
        <v>0</v>
      </c>
      <c r="O34" s="1508">
        <f>F34*1*1.0825</f>
        <v>0</v>
      </c>
      <c r="P34" s="239">
        <f>M34*K$8*1.0825</f>
        <v>0</v>
      </c>
      <c r="Q34" s="239">
        <f>N34*Pricing!D$23*1.0825</f>
        <v>0</v>
      </c>
      <c r="R34" s="239">
        <f t="shared" si="17"/>
        <v>0</v>
      </c>
      <c r="S34" s="239">
        <f>R34/2</f>
        <v>0</v>
      </c>
      <c r="T34" s="239">
        <f>IF(F34&gt;0,IF(F34&lt;11,50,F34*5),0)</f>
        <v>0</v>
      </c>
      <c r="U34" s="3035">
        <f t="shared" si="20"/>
        <v>0</v>
      </c>
      <c r="V34" s="3036"/>
      <c r="W34" s="241">
        <f t="shared" si="21"/>
        <v>0</v>
      </c>
      <c r="AD34" s="42">
        <f t="shared" si="0"/>
        <v>0</v>
      </c>
      <c r="AE34" s="42">
        <f t="shared" si="1"/>
        <v>0</v>
      </c>
      <c r="AF34" s="42">
        <v>32</v>
      </c>
      <c r="AG34" s="42" t="s">
        <v>260</v>
      </c>
    </row>
    <row r="35" spans="1:37" ht="20.149999999999999" customHeight="1" x14ac:dyDescent="0.35">
      <c r="A35" s="1979"/>
      <c r="B35" s="1980"/>
      <c r="C35" s="1980"/>
      <c r="D35" s="1980"/>
      <c r="E35" s="30" t="s">
        <v>200</v>
      </c>
      <c r="F35" s="30"/>
      <c r="G35" s="1512">
        <v>225</v>
      </c>
      <c r="H35" s="474">
        <v>150</v>
      </c>
      <c r="I35" s="476">
        <f>F35*G35</f>
        <v>0</v>
      </c>
      <c r="J35" s="842">
        <v>48</v>
      </c>
      <c r="K35" s="842">
        <v>36</v>
      </c>
      <c r="L35" s="1522">
        <v>8</v>
      </c>
      <c r="M35" s="1106">
        <f t="shared" si="13"/>
        <v>0</v>
      </c>
      <c r="N35" s="232">
        <f t="shared" si="14"/>
        <v>0</v>
      </c>
      <c r="O35" s="1508">
        <f t="shared" si="15"/>
        <v>0</v>
      </c>
      <c r="P35" s="239">
        <f t="shared" si="16"/>
        <v>0</v>
      </c>
      <c r="Q35" s="239">
        <f>N35*Pricing!D$23*1.0825</f>
        <v>0</v>
      </c>
      <c r="R35" s="239">
        <f t="shared" si="17"/>
        <v>0</v>
      </c>
      <c r="S35" s="239">
        <f t="shared" si="18"/>
        <v>0</v>
      </c>
      <c r="T35" s="239">
        <f t="shared" si="19"/>
        <v>0</v>
      </c>
      <c r="U35" s="3035">
        <f t="shared" si="20"/>
        <v>0</v>
      </c>
      <c r="V35" s="3036"/>
      <c r="W35" s="241">
        <f t="shared" si="21"/>
        <v>0</v>
      </c>
      <c r="AD35" s="42">
        <f t="shared" si="0"/>
        <v>0</v>
      </c>
      <c r="AE35" s="42">
        <f t="shared" si="1"/>
        <v>0</v>
      </c>
      <c r="AF35" s="42">
        <v>33</v>
      </c>
      <c r="AG35" s="42" t="s">
        <v>261</v>
      </c>
    </row>
    <row r="36" spans="1:37" ht="20.149999999999999" customHeight="1" x14ac:dyDescent="0.35">
      <c r="A36" s="1979"/>
      <c r="B36" s="1980"/>
      <c r="C36" s="1980"/>
      <c r="D36" s="1980"/>
      <c r="E36" s="30"/>
      <c r="F36" s="106"/>
      <c r="G36" s="1512"/>
      <c r="H36" s="474"/>
      <c r="I36" s="476"/>
      <c r="J36" s="1201"/>
      <c r="K36" s="1201"/>
      <c r="L36" s="1519"/>
      <c r="M36" s="1106">
        <f t="shared" si="13"/>
        <v>0</v>
      </c>
      <c r="N36" s="232">
        <f t="shared" si="14"/>
        <v>0</v>
      </c>
      <c r="O36" s="1508">
        <f t="shared" si="15"/>
        <v>0</v>
      </c>
      <c r="P36" s="239">
        <f t="shared" si="16"/>
        <v>0</v>
      </c>
      <c r="Q36" s="239">
        <f>N36*Pricing!D$23*1.0825</f>
        <v>0</v>
      </c>
      <c r="R36" s="239">
        <f t="shared" si="17"/>
        <v>0</v>
      </c>
      <c r="S36" s="239">
        <f t="shared" si="18"/>
        <v>0</v>
      </c>
      <c r="T36" s="239">
        <f t="shared" si="19"/>
        <v>0</v>
      </c>
      <c r="U36" s="3035">
        <f t="shared" si="20"/>
        <v>0</v>
      </c>
      <c r="V36" s="3036"/>
      <c r="W36" s="241">
        <f t="shared" si="21"/>
        <v>0</v>
      </c>
      <c r="AD36" s="42">
        <f t="shared" si="0"/>
        <v>0</v>
      </c>
      <c r="AE36" s="42">
        <f t="shared" si="1"/>
        <v>0</v>
      </c>
      <c r="AF36" s="42">
        <v>34</v>
      </c>
      <c r="AG36" s="42" t="s">
        <v>262</v>
      </c>
    </row>
    <row r="37" spans="1:37" ht="20.149999999999999" customHeight="1" thickBot="1" x14ac:dyDescent="0.4">
      <c r="A37" s="2069"/>
      <c r="B37" s="2070"/>
      <c r="C37" s="2070"/>
      <c r="D37" s="2070"/>
      <c r="E37" s="33"/>
      <c r="F37" s="188"/>
      <c r="G37" s="1513"/>
      <c r="H37" s="477"/>
      <c r="I37" s="473"/>
      <c r="J37" s="768"/>
      <c r="K37" s="768"/>
      <c r="L37" s="1520"/>
      <c r="M37" s="513">
        <f t="shared" si="13"/>
        <v>0</v>
      </c>
      <c r="N37" s="136">
        <f t="shared" si="14"/>
        <v>0</v>
      </c>
      <c r="O37" s="259">
        <f t="shared" si="15"/>
        <v>0</v>
      </c>
      <c r="P37" s="243">
        <f t="shared" si="16"/>
        <v>0</v>
      </c>
      <c r="Q37" s="243">
        <f>N37*Pricing!D$23*1.0825</f>
        <v>0</v>
      </c>
      <c r="R37" s="243">
        <f t="shared" si="17"/>
        <v>0</v>
      </c>
      <c r="S37" s="243">
        <f t="shared" si="18"/>
        <v>0</v>
      </c>
      <c r="T37" s="243">
        <f t="shared" si="19"/>
        <v>0</v>
      </c>
      <c r="U37" s="3037"/>
      <c r="V37" s="2853"/>
      <c r="AD37" s="42">
        <f t="shared" si="0"/>
        <v>0</v>
      </c>
      <c r="AE37" s="42">
        <f t="shared" si="1"/>
        <v>0</v>
      </c>
      <c r="AF37" s="42">
        <v>35</v>
      </c>
      <c r="AG37" s="42" t="s">
        <v>263</v>
      </c>
    </row>
    <row r="38" spans="1:37" s="298" customFormat="1" x14ac:dyDescent="0.3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515">
        <f>SUM(N31:N37)+SUM(L24:L29)+SUM(N16:N21)+SUM(N9:N13)</f>
        <v>0</v>
      </c>
      <c r="O38" s="46">
        <f t="shared" ref="O38:T38" si="22">SUM(O10:O37)</f>
        <v>0</v>
      </c>
      <c r="P38" s="46">
        <f t="shared" si="22"/>
        <v>0</v>
      </c>
      <c r="Q38" s="46">
        <f t="shared" si="22"/>
        <v>0</v>
      </c>
      <c r="R38" s="46">
        <f t="shared" si="22"/>
        <v>0</v>
      </c>
      <c r="S38" s="46">
        <f t="shared" si="22"/>
        <v>0</v>
      </c>
      <c r="T38" s="46">
        <f t="shared" si="22"/>
        <v>0</v>
      </c>
      <c r="U38" s="3034">
        <f>SUM(U10:V37)</f>
        <v>0</v>
      </c>
      <c r="V38" s="3034"/>
      <c r="AD38" s="298">
        <f>SUM(AD10:AD37)</f>
        <v>0</v>
      </c>
      <c r="AE38" s="298">
        <f>SUM(AE10:AE37)</f>
        <v>0</v>
      </c>
      <c r="AF38" s="42">
        <v>36</v>
      </c>
      <c r="AG38" s="42" t="s">
        <v>745</v>
      </c>
      <c r="AH38" s="42"/>
      <c r="AI38" s="42"/>
      <c r="AJ38" s="42"/>
      <c r="AK38" s="42"/>
    </row>
    <row r="39" spans="1:37" s="298" customFormat="1" x14ac:dyDescent="0.35">
      <c r="A39" s="42" t="s">
        <v>632</v>
      </c>
      <c r="B39" s="739" t="s">
        <v>633</v>
      </c>
      <c r="C39" s="739"/>
      <c r="D39" s="739"/>
      <c r="E39" s="739"/>
      <c r="F39" s="739"/>
      <c r="G39" s="739"/>
      <c r="H39" s="739"/>
      <c r="I39" s="739"/>
      <c r="J39" s="739"/>
      <c r="K39" s="739"/>
      <c r="L39" s="739"/>
      <c r="M39" s="739"/>
      <c r="N39" s="739"/>
      <c r="U39" s="2589">
        <f>AK62</f>
        <v>0</v>
      </c>
      <c r="V39" s="2589"/>
      <c r="AF39" s="42">
        <v>39</v>
      </c>
      <c r="AG39" s="42" t="s">
        <v>264</v>
      </c>
      <c r="AH39" s="42"/>
      <c r="AI39" s="42"/>
      <c r="AJ39" s="42"/>
      <c r="AK39" s="239">
        <f>AD32+AD31+AD27+AD26</f>
        <v>0</v>
      </c>
    </row>
    <row r="40" spans="1:37" s="298" customFormat="1" x14ac:dyDescent="0.35">
      <c r="B40" s="739"/>
      <c r="C40" s="739"/>
      <c r="D40" s="739"/>
      <c r="E40" s="739"/>
      <c r="F40" s="739"/>
      <c r="G40" s="739"/>
      <c r="H40" s="739"/>
      <c r="I40" s="739"/>
      <c r="J40" s="739"/>
      <c r="K40" s="739"/>
      <c r="L40" s="739"/>
      <c r="M40" s="739"/>
      <c r="N40" s="739"/>
      <c r="AF40" s="42">
        <v>40</v>
      </c>
      <c r="AG40" s="42" t="s">
        <v>222</v>
      </c>
      <c r="AH40" s="42"/>
      <c r="AI40" s="42"/>
      <c r="AJ40" s="42"/>
      <c r="AK40" s="42"/>
    </row>
    <row r="41" spans="1:37" s="298" customFormat="1" x14ac:dyDescent="0.35">
      <c r="B41" s="739"/>
      <c r="C41" s="739"/>
      <c r="D41" s="739"/>
      <c r="E41" s="739"/>
      <c r="F41" s="739"/>
      <c r="G41" s="739"/>
      <c r="H41" s="739"/>
      <c r="I41" s="739"/>
      <c r="J41" s="739"/>
      <c r="K41" s="739"/>
      <c r="L41" s="739"/>
      <c r="M41" s="739"/>
      <c r="N41" s="739"/>
      <c r="AF41" s="42">
        <v>41</v>
      </c>
      <c r="AG41" s="42" t="s">
        <v>265</v>
      </c>
      <c r="AH41" s="42"/>
      <c r="AI41" s="42"/>
      <c r="AJ41" s="42"/>
      <c r="AK41" s="42"/>
    </row>
    <row r="42" spans="1:37" x14ac:dyDescent="0.35">
      <c r="A42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/>
      <c r="P42"/>
      <c r="Q42"/>
      <c r="R42"/>
      <c r="S42"/>
      <c r="T42"/>
      <c r="U42"/>
      <c r="V42"/>
      <c r="AD42"/>
      <c r="AF42" s="298">
        <v>42</v>
      </c>
      <c r="AG42" s="298" t="s">
        <v>266</v>
      </c>
      <c r="AH42" s="298"/>
      <c r="AI42" s="298"/>
      <c r="AJ42" s="298"/>
      <c r="AK42" s="298"/>
    </row>
    <row r="43" spans="1:37" x14ac:dyDescent="0.35">
      <c r="AF43" s="298">
        <v>44</v>
      </c>
      <c r="AG43" s="298" t="s">
        <v>267</v>
      </c>
      <c r="AH43" s="298"/>
      <c r="AI43" s="298"/>
      <c r="AJ43" s="298"/>
      <c r="AK43" s="298">
        <f>AD10+AD12+AD13+AD14+AD18+AD19+AD21+AD22+AD24+AD25+AD28+AD29+AD33+AD34+AD35+AD36+AD37</f>
        <v>0</v>
      </c>
    </row>
    <row r="44" spans="1:37" hidden="1" x14ac:dyDescent="0.35">
      <c r="AF44" s="298">
        <v>45</v>
      </c>
      <c r="AG44" s="298" t="s">
        <v>268</v>
      </c>
      <c r="AH44" s="298"/>
      <c r="AI44" s="298"/>
      <c r="AJ44" s="298"/>
      <c r="AK44" s="298"/>
    </row>
    <row r="45" spans="1:37" hidden="1" x14ac:dyDescent="0.35">
      <c r="AF45" s="298">
        <v>46</v>
      </c>
      <c r="AG45" s="298" t="s">
        <v>269</v>
      </c>
      <c r="AH45" s="298"/>
      <c r="AI45" s="298"/>
      <c r="AJ45" s="298"/>
      <c r="AK45" s="298"/>
    </row>
    <row r="46" spans="1:37" hidden="1" x14ac:dyDescent="0.35">
      <c r="AF46">
        <v>47</v>
      </c>
      <c r="AG46" t="s">
        <v>270</v>
      </c>
      <c r="AH46"/>
      <c r="AI46"/>
      <c r="AK46"/>
    </row>
    <row r="47" spans="1:37" hidden="1" x14ac:dyDescent="0.35">
      <c r="AF47">
        <v>48</v>
      </c>
      <c r="AG47" t="s">
        <v>271</v>
      </c>
      <c r="AH47"/>
      <c r="AI47"/>
      <c r="AK47"/>
    </row>
    <row r="48" spans="1:37" hidden="1" x14ac:dyDescent="0.35">
      <c r="AF48">
        <v>49</v>
      </c>
      <c r="AG48" t="s">
        <v>272</v>
      </c>
      <c r="AH48"/>
      <c r="AI48"/>
      <c r="AK48"/>
    </row>
    <row r="49" spans="32:37" hidden="1" x14ac:dyDescent="0.35">
      <c r="AF49">
        <v>50</v>
      </c>
      <c r="AG49"/>
      <c r="AH49"/>
      <c r="AI49"/>
      <c r="AK49"/>
    </row>
    <row r="50" spans="32:37" hidden="1" x14ac:dyDescent="0.35">
      <c r="AF50">
        <v>51</v>
      </c>
      <c r="AG50"/>
      <c r="AH50"/>
      <c r="AI50"/>
      <c r="AK50"/>
    </row>
    <row r="51" spans="32:37" hidden="1" x14ac:dyDescent="0.35">
      <c r="AF51">
        <v>52</v>
      </c>
      <c r="AG51" t="s">
        <v>273</v>
      </c>
      <c r="AH51"/>
      <c r="AI51"/>
      <c r="AK51"/>
    </row>
    <row r="52" spans="32:37" hidden="1" x14ac:dyDescent="0.35">
      <c r="AF52">
        <v>53</v>
      </c>
      <c r="AG52" t="s">
        <v>274</v>
      </c>
      <c r="AH52"/>
      <c r="AI52"/>
      <c r="AK52"/>
    </row>
    <row r="53" spans="32:37" hidden="1" x14ac:dyDescent="0.35">
      <c r="AF53">
        <v>54</v>
      </c>
      <c r="AG53" t="s">
        <v>275</v>
      </c>
      <c r="AH53"/>
      <c r="AI53"/>
      <c r="AK53"/>
    </row>
    <row r="54" spans="32:37" hidden="1" x14ac:dyDescent="0.35">
      <c r="AF54">
        <v>55</v>
      </c>
      <c r="AG54" t="s">
        <v>276</v>
      </c>
      <c r="AH54"/>
      <c r="AI54"/>
      <c r="AK54"/>
    </row>
    <row r="55" spans="32:37" hidden="1" x14ac:dyDescent="0.35">
      <c r="AF55">
        <v>56</v>
      </c>
      <c r="AG55" t="s">
        <v>277</v>
      </c>
      <c r="AH55"/>
      <c r="AI55"/>
      <c r="AK55" s="261">
        <f>AD16+AD17</f>
        <v>0</v>
      </c>
    </row>
    <row r="56" spans="32:37" hidden="1" x14ac:dyDescent="0.35">
      <c r="AF56">
        <v>57</v>
      </c>
      <c r="AG56" t="s">
        <v>278</v>
      </c>
      <c r="AH56"/>
      <c r="AI56"/>
      <c r="AK56"/>
    </row>
    <row r="57" spans="32:37" hidden="1" x14ac:dyDescent="0.35">
      <c r="AF57">
        <v>58</v>
      </c>
      <c r="AG57" t="s">
        <v>279</v>
      </c>
      <c r="AH57"/>
      <c r="AI57"/>
      <c r="AK57"/>
    </row>
    <row r="58" spans="32:37" hidden="1" x14ac:dyDescent="0.35">
      <c r="AF58">
        <v>59</v>
      </c>
      <c r="AG58" t="s">
        <v>280</v>
      </c>
      <c r="AH58"/>
      <c r="AI58"/>
      <c r="AK58">
        <f>R93</f>
        <v>0</v>
      </c>
    </row>
    <row r="59" spans="32:37" hidden="1" x14ac:dyDescent="0.35">
      <c r="AF59">
        <v>60</v>
      </c>
      <c r="AG59" t="s">
        <v>281</v>
      </c>
      <c r="AH59"/>
      <c r="AI59"/>
      <c r="AK59" s="532">
        <f>SUM(T10:T37)</f>
        <v>0</v>
      </c>
    </row>
    <row r="60" spans="32:37" hidden="1" x14ac:dyDescent="0.35">
      <c r="AF60">
        <v>65</v>
      </c>
      <c r="AG60" t="s">
        <v>282</v>
      </c>
      <c r="AH60"/>
      <c r="AI60"/>
      <c r="AK60">
        <f>R106</f>
        <v>0</v>
      </c>
    </row>
    <row r="61" spans="32:37" hidden="1" x14ac:dyDescent="0.35">
      <c r="AF61"/>
      <c r="AG61"/>
      <c r="AH61"/>
      <c r="AI61"/>
      <c r="AK61"/>
    </row>
    <row r="62" spans="32:37" hidden="1" x14ac:dyDescent="0.35">
      <c r="AF62"/>
      <c r="AG62"/>
      <c r="AH62"/>
      <c r="AI62"/>
      <c r="AK62" s="532">
        <f>SUM(AK9:AK60)</f>
        <v>0</v>
      </c>
    </row>
  </sheetData>
  <mergeCells count="79">
    <mergeCell ref="U11:V11"/>
    <mergeCell ref="A27:D27"/>
    <mergeCell ref="A31:D31"/>
    <mergeCell ref="A25:D25"/>
    <mergeCell ref="A21:D21"/>
    <mergeCell ref="A24:D24"/>
    <mergeCell ref="A23:D23"/>
    <mergeCell ref="U26:V26"/>
    <mergeCell ref="U18:V18"/>
    <mergeCell ref="U25:V25"/>
    <mergeCell ref="U16:V16"/>
    <mergeCell ref="U17:V17"/>
    <mergeCell ref="U23:V23"/>
    <mergeCell ref="U21:V21"/>
    <mergeCell ref="A20:D20"/>
    <mergeCell ref="U20:V20"/>
    <mergeCell ref="A2:D2"/>
    <mergeCell ref="A3:D3"/>
    <mergeCell ref="A4:D4"/>
    <mergeCell ref="A26:D26"/>
    <mergeCell ref="I3:M3"/>
    <mergeCell ref="A17:D17"/>
    <mergeCell ref="A16:D16"/>
    <mergeCell ref="A19:D19"/>
    <mergeCell ref="C6:D6"/>
    <mergeCell ref="A8:C8"/>
    <mergeCell ref="C7:D7"/>
    <mergeCell ref="A15:D15"/>
    <mergeCell ref="A18:D18"/>
    <mergeCell ref="A11:D11"/>
    <mergeCell ref="G7:I7"/>
    <mergeCell ref="J7:N7"/>
    <mergeCell ref="N3:O3"/>
    <mergeCell ref="P3:Q3"/>
    <mergeCell ref="P6:Q6"/>
    <mergeCell ref="I4:M4"/>
    <mergeCell ref="I6:M6"/>
    <mergeCell ref="I5:M5"/>
    <mergeCell ref="P5:Q5"/>
    <mergeCell ref="U33:V33"/>
    <mergeCell ref="U28:V28"/>
    <mergeCell ref="U29:V29"/>
    <mergeCell ref="U30:V30"/>
    <mergeCell ref="U31:V31"/>
    <mergeCell ref="U32:V32"/>
    <mergeCell ref="U1:V1"/>
    <mergeCell ref="N2:O2"/>
    <mergeCell ref="P2:Q2"/>
    <mergeCell ref="U27:V27"/>
    <mergeCell ref="U13:V13"/>
    <mergeCell ref="P8:R8"/>
    <mergeCell ref="U9:V9"/>
    <mergeCell ref="U10:V10"/>
    <mergeCell ref="U12:V12"/>
    <mergeCell ref="U24:V24"/>
    <mergeCell ref="N6:O6"/>
    <mergeCell ref="U19:V19"/>
    <mergeCell ref="U15:V15"/>
    <mergeCell ref="N4:O4"/>
    <mergeCell ref="P4:Q4"/>
    <mergeCell ref="N5:O5"/>
    <mergeCell ref="A33:D33"/>
    <mergeCell ref="A37:D37"/>
    <mergeCell ref="A28:D28"/>
    <mergeCell ref="A35:D35"/>
    <mergeCell ref="A36:D36"/>
    <mergeCell ref="A29:D29"/>
    <mergeCell ref="A32:D32"/>
    <mergeCell ref="A10:D10"/>
    <mergeCell ref="A13:D13"/>
    <mergeCell ref="A12:D12"/>
    <mergeCell ref="L8:N8"/>
    <mergeCell ref="H8:J8"/>
    <mergeCell ref="U38:V38"/>
    <mergeCell ref="U39:V39"/>
    <mergeCell ref="U34:V34"/>
    <mergeCell ref="U35:V35"/>
    <mergeCell ref="U36:V36"/>
    <mergeCell ref="U37:V37"/>
  </mergeCells>
  <printOptions gridLines="1"/>
  <pageMargins left="0.4" right="0" top="0.65" bottom="1" header="0.18" footer="0.5"/>
  <pageSetup paperSize="5" scale="55" orientation="landscape" horizontalDpi="4294967293" verticalDpi="1200" r:id="rId1"/>
  <headerFooter alignWithMargins="0">
    <oddHeader>&amp;L     &amp;16&amp;A&amp;C&amp;20&amp;F&amp;R&amp;16&amp;D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B1:L32"/>
  <sheetViews>
    <sheetView zoomScale="75" workbookViewId="0">
      <selection activeCell="F33" sqref="F33"/>
    </sheetView>
  </sheetViews>
  <sheetFormatPr defaultRowHeight="12.5" x14ac:dyDescent="0.25"/>
  <cols>
    <col min="10" max="10" width="10.1796875" bestFit="1" customWidth="1"/>
    <col min="12" max="12" width="10.1796875" bestFit="1" customWidth="1"/>
  </cols>
  <sheetData>
    <row r="1" spans="2:12" ht="13" thickBot="1" x14ac:dyDescent="0.3">
      <c r="I1" s="361" t="s">
        <v>115</v>
      </c>
      <c r="J1" s="361" t="s">
        <v>125</v>
      </c>
    </row>
    <row r="2" spans="2:12" ht="15.5" x14ac:dyDescent="0.35">
      <c r="B2" s="362" t="s">
        <v>126</v>
      </c>
      <c r="C2" s="1553"/>
      <c r="D2" s="1554"/>
      <c r="E2" s="1554"/>
      <c r="F2" s="1555"/>
      <c r="H2" s="363" t="s">
        <v>127</v>
      </c>
      <c r="I2" s="1579"/>
      <c r="J2" s="1580"/>
    </row>
    <row r="3" spans="2:12" ht="15.5" x14ac:dyDescent="0.35">
      <c r="B3" s="362" t="s">
        <v>128</v>
      </c>
      <c r="C3" s="1556"/>
      <c r="D3" s="1557"/>
      <c r="E3" s="1557"/>
      <c r="F3" s="1558"/>
      <c r="H3" s="363" t="s">
        <v>129</v>
      </c>
      <c r="I3" s="1581"/>
      <c r="J3" s="1581"/>
    </row>
    <row r="4" spans="2:12" ht="15.5" x14ac:dyDescent="0.35">
      <c r="B4" s="362" t="s">
        <v>130</v>
      </c>
      <c r="C4" s="1559"/>
      <c r="D4" s="1557"/>
      <c r="E4" s="1557"/>
      <c r="F4" s="1558"/>
      <c r="H4" s="363"/>
    </row>
    <row r="5" spans="2:12" ht="15.5" x14ac:dyDescent="0.35">
      <c r="B5" s="362" t="s">
        <v>639</v>
      </c>
      <c r="C5" s="1560"/>
      <c r="D5" s="1557"/>
      <c r="E5" s="1557"/>
      <c r="F5" s="1558"/>
      <c r="H5" s="1764" t="s">
        <v>1085</v>
      </c>
    </row>
    <row r="6" spans="2:12" ht="15.5" x14ac:dyDescent="0.35">
      <c r="B6" s="362"/>
      <c r="C6" s="1556"/>
      <c r="D6" s="1557"/>
      <c r="E6" s="1557"/>
      <c r="F6" s="1558"/>
      <c r="H6" s="1764" t="s">
        <v>1020</v>
      </c>
    </row>
    <row r="7" spans="2:12" ht="15.5" x14ac:dyDescent="0.35">
      <c r="B7" s="362" t="s">
        <v>640</v>
      </c>
      <c r="C7" s="1561"/>
      <c r="D7" s="1557"/>
      <c r="E7" s="1557"/>
      <c r="F7" s="1558"/>
      <c r="H7" s="363"/>
    </row>
    <row r="8" spans="2:12" ht="16" thickBot="1" x14ac:dyDescent="0.4">
      <c r="B8" s="362" t="s">
        <v>641</v>
      </c>
      <c r="C8" s="1562" t="s">
        <v>1018</v>
      </c>
      <c r="D8" s="1563"/>
      <c r="E8" s="1563"/>
      <c r="F8" s="1564"/>
    </row>
    <row r="9" spans="2:12" ht="15.5" x14ac:dyDescent="0.35">
      <c r="B9" s="362"/>
    </row>
    <row r="10" spans="2:12" ht="15.5" x14ac:dyDescent="0.35">
      <c r="B10" s="362"/>
    </row>
    <row r="11" spans="2:12" x14ac:dyDescent="0.25">
      <c r="B11" s="364"/>
    </row>
    <row r="12" spans="2:12" ht="18" x14ac:dyDescent="0.4">
      <c r="B12" s="365" t="s">
        <v>237</v>
      </c>
      <c r="H12" s="364" t="s">
        <v>131</v>
      </c>
      <c r="J12" s="366" t="s">
        <v>96</v>
      </c>
      <c r="L12" s="366" t="s">
        <v>125</v>
      </c>
    </row>
    <row r="13" spans="2:12" ht="14" x14ac:dyDescent="0.3">
      <c r="B13" s="367" t="s">
        <v>642</v>
      </c>
      <c r="C13" s="1565"/>
      <c r="D13" s="1566"/>
      <c r="E13" s="1566"/>
      <c r="F13" s="1567"/>
      <c r="H13" s="364" t="s">
        <v>643</v>
      </c>
      <c r="I13" s="1572"/>
      <c r="J13" s="1566"/>
      <c r="K13" s="1566"/>
      <c r="L13" s="1573"/>
    </row>
    <row r="14" spans="2:12" ht="14" x14ac:dyDescent="0.3">
      <c r="B14" s="367" t="s">
        <v>644</v>
      </c>
      <c r="C14" s="1568"/>
      <c r="D14" s="1557"/>
      <c r="E14" s="1557"/>
      <c r="F14" s="1448"/>
      <c r="H14" s="364" t="s">
        <v>133</v>
      </c>
      <c r="I14" s="1568"/>
      <c r="J14" s="1557"/>
      <c r="K14" s="1557"/>
      <c r="L14" s="1573"/>
    </row>
    <row r="15" spans="2:12" ht="14" x14ac:dyDescent="0.3">
      <c r="B15" s="367"/>
      <c r="C15" s="1568"/>
      <c r="D15" s="1557"/>
      <c r="E15" s="1557"/>
      <c r="F15" s="1448"/>
      <c r="H15" s="364" t="s">
        <v>134</v>
      </c>
      <c r="I15" s="1568"/>
      <c r="J15" s="1557"/>
      <c r="K15" s="1557"/>
      <c r="L15" s="1573"/>
    </row>
    <row r="16" spans="2:12" ht="14" x14ac:dyDescent="0.3">
      <c r="B16" s="367" t="s">
        <v>645</v>
      </c>
      <c r="C16" s="1568"/>
      <c r="D16" s="1557"/>
      <c r="E16" s="1557"/>
      <c r="F16" s="1448"/>
      <c r="H16" s="364" t="s">
        <v>135</v>
      </c>
      <c r="I16" s="1569"/>
      <c r="J16" s="1570"/>
      <c r="K16" s="1570"/>
      <c r="L16" s="1574"/>
    </row>
    <row r="17" spans="2:12" ht="14" x14ac:dyDescent="0.3">
      <c r="B17" s="367" t="s">
        <v>897</v>
      </c>
      <c r="C17" s="1568"/>
      <c r="D17" s="1557"/>
      <c r="E17" s="1557"/>
      <c r="F17" s="1448"/>
      <c r="H17" s="364"/>
    </row>
    <row r="18" spans="2:12" ht="14" x14ac:dyDescent="0.3">
      <c r="B18" s="367" t="s">
        <v>898</v>
      </c>
      <c r="C18" s="1569"/>
      <c r="D18" s="1570"/>
      <c r="E18" s="1570"/>
      <c r="F18" s="1571"/>
      <c r="H18" s="364" t="s">
        <v>131</v>
      </c>
      <c r="J18" s="366" t="s">
        <v>96</v>
      </c>
      <c r="L18" s="366" t="s">
        <v>125</v>
      </c>
    </row>
    <row r="19" spans="2:12" ht="14" x14ac:dyDescent="0.3">
      <c r="B19" s="367"/>
      <c r="C19" s="368"/>
      <c r="D19" s="368"/>
      <c r="E19" s="368"/>
      <c r="F19" s="368"/>
      <c r="H19" s="364"/>
      <c r="J19" s="366"/>
      <c r="L19" s="366"/>
    </row>
    <row r="20" spans="2:12" ht="14" x14ac:dyDescent="0.3">
      <c r="B20" s="367" t="s">
        <v>646</v>
      </c>
      <c r="C20" s="1572"/>
      <c r="D20" s="1566"/>
      <c r="E20" s="1566"/>
      <c r="F20" s="1567"/>
      <c r="H20" s="364" t="s">
        <v>643</v>
      </c>
      <c r="I20" s="1572"/>
      <c r="J20" s="1566"/>
      <c r="K20" s="1566"/>
      <c r="L20" s="1573"/>
    </row>
    <row r="21" spans="2:12" ht="14" x14ac:dyDescent="0.3">
      <c r="B21" s="367" t="s">
        <v>644</v>
      </c>
      <c r="C21" s="1568"/>
      <c r="D21" s="1557"/>
      <c r="E21" s="1557"/>
      <c r="F21" s="1448"/>
      <c r="H21" s="364" t="s">
        <v>133</v>
      </c>
      <c r="I21" s="1568"/>
      <c r="J21" s="1557"/>
      <c r="K21" s="1557"/>
      <c r="L21" s="1573"/>
    </row>
    <row r="22" spans="2:12" ht="14" x14ac:dyDescent="0.3">
      <c r="B22" s="367"/>
      <c r="C22" s="1568"/>
      <c r="D22" s="1557"/>
      <c r="E22" s="1557"/>
      <c r="F22" s="1448"/>
      <c r="H22" s="364" t="s">
        <v>134</v>
      </c>
      <c r="I22" s="1568"/>
      <c r="J22" s="1557"/>
      <c r="K22" s="1557"/>
      <c r="L22" s="1573"/>
    </row>
    <row r="23" spans="2:12" ht="14" x14ac:dyDescent="0.3">
      <c r="B23" s="367" t="s">
        <v>645</v>
      </c>
      <c r="C23" s="1568"/>
      <c r="D23" s="1557"/>
      <c r="E23" s="1557"/>
      <c r="F23" s="1448"/>
      <c r="H23" s="364" t="s">
        <v>135</v>
      </c>
      <c r="I23" s="1569"/>
      <c r="J23" s="1570"/>
      <c r="K23" s="1570"/>
      <c r="L23" s="1574"/>
    </row>
    <row r="24" spans="2:12" ht="14" x14ac:dyDescent="0.3">
      <c r="B24" s="367" t="s">
        <v>897</v>
      </c>
      <c r="C24" s="1568"/>
      <c r="D24" s="1557"/>
      <c r="E24" s="1557"/>
      <c r="F24" s="1448"/>
    </row>
    <row r="25" spans="2:12" ht="14" x14ac:dyDescent="0.3">
      <c r="B25" s="367" t="s">
        <v>899</v>
      </c>
      <c r="C25" s="1569"/>
      <c r="D25" s="1570"/>
      <c r="E25" s="1570"/>
      <c r="F25" s="1571"/>
      <c r="H25" s="364" t="s">
        <v>131</v>
      </c>
      <c r="J25" s="366" t="s">
        <v>96</v>
      </c>
      <c r="L25" s="366" t="s">
        <v>125</v>
      </c>
    </row>
    <row r="26" spans="2:12" ht="14" x14ac:dyDescent="0.3">
      <c r="B26" s="367"/>
      <c r="C26" s="368"/>
      <c r="D26" s="368"/>
      <c r="E26" s="368"/>
      <c r="F26" s="368"/>
      <c r="H26" s="364"/>
      <c r="J26" s="366"/>
      <c r="L26" s="366"/>
    </row>
    <row r="27" spans="2:12" ht="14" x14ac:dyDescent="0.3">
      <c r="B27" s="367" t="s">
        <v>647</v>
      </c>
      <c r="C27" s="1572"/>
      <c r="D27" s="1566"/>
      <c r="E27" s="1566"/>
      <c r="F27" s="1567"/>
      <c r="H27" s="364" t="s">
        <v>643</v>
      </c>
      <c r="I27" s="1572"/>
      <c r="J27" s="1566"/>
      <c r="K27" s="1566"/>
      <c r="L27" s="1573"/>
    </row>
    <row r="28" spans="2:12" ht="14" x14ac:dyDescent="0.3">
      <c r="B28" s="367" t="s">
        <v>644</v>
      </c>
      <c r="C28" s="1568"/>
      <c r="D28" s="1557"/>
      <c r="E28" s="1557"/>
      <c r="F28" s="1448"/>
      <c r="H28" s="364" t="s">
        <v>133</v>
      </c>
      <c r="I28" s="1568"/>
      <c r="J28" s="1557"/>
      <c r="K28" s="1557"/>
      <c r="L28" s="1573"/>
    </row>
    <row r="29" spans="2:12" ht="14" x14ac:dyDescent="0.3">
      <c r="B29" s="367"/>
      <c r="C29" s="1568"/>
      <c r="D29" s="1557"/>
      <c r="E29" s="1557"/>
      <c r="F29" s="1448"/>
      <c r="H29" s="364" t="s">
        <v>134</v>
      </c>
      <c r="I29" s="1568"/>
      <c r="J29" s="1557"/>
      <c r="K29" s="1557"/>
      <c r="L29" s="1573"/>
    </row>
    <row r="30" spans="2:12" ht="14" x14ac:dyDescent="0.3">
      <c r="B30" s="369" t="s">
        <v>645</v>
      </c>
      <c r="C30" s="1568"/>
      <c r="D30" s="1557"/>
      <c r="E30" s="1557"/>
      <c r="F30" s="1448"/>
      <c r="H30" s="364" t="s">
        <v>135</v>
      </c>
      <c r="I30" s="1569"/>
      <c r="J30" s="1570"/>
      <c r="K30" s="1570"/>
      <c r="L30" s="1574"/>
    </row>
    <row r="31" spans="2:12" x14ac:dyDescent="0.25">
      <c r="B31" s="364" t="s">
        <v>897</v>
      </c>
      <c r="C31" s="1575"/>
      <c r="D31" s="815"/>
      <c r="E31" s="815"/>
      <c r="F31" s="1080"/>
    </row>
    <row r="32" spans="2:12" x14ac:dyDescent="0.25">
      <c r="B32" s="364" t="s">
        <v>899</v>
      </c>
      <c r="C32" s="1576"/>
      <c r="D32" s="1577"/>
      <c r="E32" s="1577"/>
      <c r="F32" s="1578"/>
    </row>
  </sheetData>
  <pageMargins left="0.75" right="0.75" top="1" bottom="1" header="0.5" footer="0.5"/>
  <pageSetup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156"/>
  <sheetViews>
    <sheetView topLeftCell="A58" workbookViewId="0">
      <selection activeCell="D52" sqref="D52"/>
    </sheetView>
  </sheetViews>
  <sheetFormatPr defaultRowHeight="12.5" x14ac:dyDescent="0.25"/>
  <cols>
    <col min="1" max="1" width="5.453125" customWidth="1"/>
    <col min="2" max="2" width="2.7265625" customWidth="1"/>
    <col min="3" max="3" width="5.453125" customWidth="1"/>
    <col min="4" max="4" width="2.7265625" customWidth="1"/>
    <col min="5" max="5" width="6.453125" customWidth="1"/>
  </cols>
  <sheetData>
    <row r="1" spans="1:10" ht="17.5" x14ac:dyDescent="0.35">
      <c r="F1" s="595" t="s">
        <v>911</v>
      </c>
      <c r="G1" s="595"/>
      <c r="H1" s="595"/>
      <c r="J1" s="600">
        <f>Information!C2</f>
        <v>0</v>
      </c>
    </row>
    <row r="3" spans="1:10" ht="13" x14ac:dyDescent="0.3">
      <c r="A3" s="596" t="s">
        <v>912</v>
      </c>
      <c r="B3" s="596"/>
      <c r="C3" s="596"/>
      <c r="D3" s="596"/>
      <c r="E3" s="596"/>
    </row>
    <row r="4" spans="1:10" ht="13" thickBot="1" x14ac:dyDescent="0.3">
      <c r="B4" t="s">
        <v>913</v>
      </c>
      <c r="D4" t="s">
        <v>914</v>
      </c>
    </row>
    <row r="5" spans="1:10" ht="13" thickBot="1" x14ac:dyDescent="0.3">
      <c r="B5" s="597"/>
      <c r="D5" s="597"/>
      <c r="F5" t="s">
        <v>915</v>
      </c>
    </row>
    <row r="6" spans="1:10" ht="13" thickBot="1" x14ac:dyDescent="0.3"/>
    <row r="7" spans="1:10" ht="13" thickBot="1" x14ac:dyDescent="0.3">
      <c r="B7" s="597"/>
      <c r="F7" t="s">
        <v>916</v>
      </c>
    </row>
    <row r="8" spans="1:10" ht="13" thickBot="1" x14ac:dyDescent="0.3"/>
    <row r="9" spans="1:10" ht="13" thickBot="1" x14ac:dyDescent="0.3">
      <c r="B9" s="597"/>
      <c r="F9" t="s">
        <v>917</v>
      </c>
    </row>
    <row r="10" spans="1:10" ht="13" thickBot="1" x14ac:dyDescent="0.3"/>
    <row r="11" spans="1:10" ht="13" thickBot="1" x14ac:dyDescent="0.3">
      <c r="B11" s="597"/>
      <c r="F11" t="s">
        <v>918</v>
      </c>
    </row>
    <row r="12" spans="1:10" x14ac:dyDescent="0.25">
      <c r="F12" t="s">
        <v>919</v>
      </c>
    </row>
    <row r="13" spans="1:10" ht="13" thickBot="1" x14ac:dyDescent="0.3"/>
    <row r="14" spans="1:10" ht="13" thickBot="1" x14ac:dyDescent="0.3">
      <c r="B14" s="597"/>
      <c r="F14" t="s">
        <v>920</v>
      </c>
    </row>
    <row r="16" spans="1:10" ht="13" x14ac:dyDescent="0.3">
      <c r="A16" s="596" t="s">
        <v>921</v>
      </c>
      <c r="B16" s="596"/>
      <c r="C16" s="596"/>
      <c r="D16" s="596"/>
      <c r="E16" s="596"/>
    </row>
    <row r="17" spans="2:10" ht="13" thickBot="1" x14ac:dyDescent="0.3"/>
    <row r="18" spans="2:10" ht="13" thickBot="1" x14ac:dyDescent="0.3">
      <c r="B18" s="597"/>
      <c r="D18" s="597"/>
      <c r="F18" t="s">
        <v>922</v>
      </c>
    </row>
    <row r="19" spans="2:10" ht="13" thickBot="1" x14ac:dyDescent="0.3"/>
    <row r="20" spans="2:10" ht="13" thickBot="1" x14ac:dyDescent="0.3">
      <c r="B20" s="597"/>
      <c r="D20" s="597"/>
      <c r="F20" t="s">
        <v>923</v>
      </c>
    </row>
    <row r="21" spans="2:10" x14ac:dyDescent="0.25">
      <c r="F21" t="s">
        <v>924</v>
      </c>
    </row>
    <row r="22" spans="2:10" ht="13" thickBot="1" x14ac:dyDescent="0.3"/>
    <row r="23" spans="2:10" ht="13" thickBot="1" x14ac:dyDescent="0.3">
      <c r="B23" s="597"/>
      <c r="F23" t="s">
        <v>925</v>
      </c>
    </row>
    <row r="24" spans="2:10" x14ac:dyDescent="0.25">
      <c r="F24" t="s">
        <v>926</v>
      </c>
    </row>
    <row r="25" spans="2:10" ht="13" thickBot="1" x14ac:dyDescent="0.3"/>
    <row r="26" spans="2:10" ht="13" thickBot="1" x14ac:dyDescent="0.3">
      <c r="B26" s="597"/>
      <c r="F26" s="293" t="s">
        <v>927</v>
      </c>
      <c r="G26" s="293"/>
    </row>
    <row r="27" spans="2:10" ht="13" thickBot="1" x14ac:dyDescent="0.3"/>
    <row r="28" spans="2:10" ht="13" thickBot="1" x14ac:dyDescent="0.3">
      <c r="B28" s="597"/>
      <c r="F28" t="s">
        <v>928</v>
      </c>
    </row>
    <row r="30" spans="2:10" ht="13.5" thickBot="1" x14ac:dyDescent="0.35">
      <c r="F30" s="594" t="s">
        <v>929</v>
      </c>
      <c r="G30" s="594"/>
      <c r="H30" s="594"/>
      <c r="I30" s="594"/>
      <c r="J30" s="594"/>
    </row>
    <row r="31" spans="2:10" ht="13" thickBot="1" x14ac:dyDescent="0.3">
      <c r="B31" s="597"/>
      <c r="D31" s="597"/>
      <c r="F31" s="594" t="s">
        <v>930</v>
      </c>
      <c r="G31" s="594"/>
      <c r="H31" s="594"/>
      <c r="I31" s="594"/>
      <c r="J31" s="594"/>
    </row>
    <row r="32" spans="2:10" ht="13" thickBot="1" x14ac:dyDescent="0.3">
      <c r="B32" s="597"/>
      <c r="D32" s="597"/>
      <c r="F32" s="594" t="s">
        <v>931</v>
      </c>
      <c r="G32" s="594"/>
      <c r="H32" s="594"/>
      <c r="I32" s="594"/>
      <c r="J32" s="594"/>
    </row>
    <row r="33" spans="1:10" ht="13" thickBot="1" x14ac:dyDescent="0.3">
      <c r="B33" s="597"/>
      <c r="D33" s="597"/>
      <c r="F33" s="594" t="s">
        <v>932</v>
      </c>
      <c r="G33" s="594"/>
      <c r="H33" s="594"/>
      <c r="I33" s="594"/>
      <c r="J33" s="594"/>
    </row>
    <row r="34" spans="1:10" ht="13" thickBot="1" x14ac:dyDescent="0.3">
      <c r="B34" s="597"/>
      <c r="D34" s="597"/>
      <c r="F34" s="594" t="s">
        <v>416</v>
      </c>
      <c r="G34" s="594"/>
      <c r="H34" s="594"/>
      <c r="I34" s="594"/>
      <c r="J34" s="594"/>
    </row>
    <row r="35" spans="1:10" ht="13" thickBot="1" x14ac:dyDescent="0.3">
      <c r="B35" s="597"/>
      <c r="D35" s="597"/>
      <c r="F35" s="594" t="s">
        <v>933</v>
      </c>
      <c r="G35" s="594"/>
      <c r="H35" s="594"/>
      <c r="I35" s="594"/>
      <c r="J35" s="594"/>
    </row>
    <row r="36" spans="1:10" ht="13" thickBot="1" x14ac:dyDescent="0.3">
      <c r="B36" s="598"/>
      <c r="D36" s="597"/>
      <c r="F36" s="594" t="s">
        <v>934</v>
      </c>
      <c r="G36" s="594"/>
      <c r="H36" s="594"/>
      <c r="I36" s="594"/>
      <c r="J36" s="594"/>
    </row>
    <row r="37" spans="1:10" ht="13" thickBot="1" x14ac:dyDescent="0.3">
      <c r="B37" s="598"/>
      <c r="D37" s="597"/>
      <c r="F37" s="594" t="s">
        <v>935</v>
      </c>
      <c r="G37" s="594"/>
      <c r="H37" s="594"/>
      <c r="I37" s="594"/>
      <c r="J37" s="594"/>
    </row>
    <row r="39" spans="1:10" ht="13" x14ac:dyDescent="0.3">
      <c r="A39" s="596" t="s">
        <v>936</v>
      </c>
      <c r="B39" s="596"/>
      <c r="C39" s="595"/>
      <c r="D39" s="595"/>
      <c r="E39" s="595"/>
    </row>
    <row r="40" spans="1:10" ht="13" thickBot="1" x14ac:dyDescent="0.3"/>
    <row r="41" spans="1:10" ht="13" thickBot="1" x14ac:dyDescent="0.3">
      <c r="B41" s="597"/>
      <c r="D41" s="597"/>
      <c r="F41" t="s">
        <v>937</v>
      </c>
    </row>
    <row r="42" spans="1:10" ht="13" thickBot="1" x14ac:dyDescent="0.3"/>
    <row r="43" spans="1:10" ht="13" thickBot="1" x14ac:dyDescent="0.3">
      <c r="B43" s="597"/>
      <c r="F43" t="s">
        <v>930</v>
      </c>
    </row>
    <row r="44" spans="1:10" ht="13" thickBot="1" x14ac:dyDescent="0.3">
      <c r="B44" s="597"/>
      <c r="F44" t="s">
        <v>931</v>
      </c>
    </row>
    <row r="45" spans="1:10" ht="13" thickBot="1" x14ac:dyDescent="0.3">
      <c r="B45" s="597"/>
      <c r="F45" t="s">
        <v>938</v>
      </c>
    </row>
    <row r="46" spans="1:10" ht="13" thickBot="1" x14ac:dyDescent="0.3"/>
    <row r="47" spans="1:10" ht="13" thickBot="1" x14ac:dyDescent="0.3">
      <c r="B47" s="597"/>
      <c r="D47" s="597"/>
      <c r="F47" t="s">
        <v>939</v>
      </c>
    </row>
    <row r="48" spans="1:10" ht="13" thickBot="1" x14ac:dyDescent="0.3"/>
    <row r="49" spans="2:10" ht="13" thickBot="1" x14ac:dyDescent="0.3">
      <c r="B49" s="597"/>
      <c r="F49" t="s">
        <v>940</v>
      </c>
    </row>
    <row r="50" spans="2:10" x14ac:dyDescent="0.25">
      <c r="F50" t="s">
        <v>941</v>
      </c>
    </row>
    <row r="51" spans="2:10" x14ac:dyDescent="0.25">
      <c r="F51" t="s">
        <v>942</v>
      </c>
    </row>
    <row r="52" spans="2:10" x14ac:dyDescent="0.25">
      <c r="F52" t="s">
        <v>943</v>
      </c>
    </row>
    <row r="53" spans="2:10" x14ac:dyDescent="0.25">
      <c r="F53" t="s">
        <v>944</v>
      </c>
    </row>
    <row r="54" spans="2:10" ht="13" thickBot="1" x14ac:dyDescent="0.3"/>
    <row r="55" spans="2:10" ht="13" thickBot="1" x14ac:dyDescent="0.3">
      <c r="B55" s="597"/>
      <c r="F55" t="s">
        <v>945</v>
      </c>
    </row>
    <row r="56" spans="2:10" x14ac:dyDescent="0.25">
      <c r="F56" t="s">
        <v>946</v>
      </c>
    </row>
    <row r="57" spans="2:10" x14ac:dyDescent="0.25">
      <c r="F57" t="s">
        <v>947</v>
      </c>
    </row>
    <row r="58" spans="2:10" x14ac:dyDescent="0.25">
      <c r="F58" t="s">
        <v>948</v>
      </c>
    </row>
    <row r="59" spans="2:10" x14ac:dyDescent="0.25">
      <c r="F59" t="s">
        <v>949</v>
      </c>
    </row>
    <row r="60" spans="2:10" ht="13" thickBot="1" x14ac:dyDescent="0.3"/>
    <row r="61" spans="2:10" ht="13" thickBot="1" x14ac:dyDescent="0.3">
      <c r="B61" s="599"/>
      <c r="F61" t="s">
        <v>950</v>
      </c>
    </row>
    <row r="62" spans="2:10" ht="13" thickBot="1" x14ac:dyDescent="0.3">
      <c r="B62" s="597"/>
      <c r="D62" s="597"/>
      <c r="F62" t="s">
        <v>951</v>
      </c>
      <c r="I62" s="3072"/>
      <c r="J62" s="3072"/>
    </row>
    <row r="63" spans="2:10" ht="13" thickBot="1" x14ac:dyDescent="0.3">
      <c r="B63" s="597"/>
      <c r="D63" s="597"/>
      <c r="F63" t="s">
        <v>952</v>
      </c>
      <c r="I63" s="3071"/>
      <c r="J63" s="3071"/>
    </row>
    <row r="64" spans="2:10" ht="13" thickBot="1" x14ac:dyDescent="0.3">
      <c r="B64" s="597"/>
      <c r="D64" s="598"/>
      <c r="F64" t="s">
        <v>953</v>
      </c>
      <c r="I64" s="3071"/>
      <c r="J64" s="3071"/>
    </row>
    <row r="65" spans="2:13" ht="13" thickBot="1" x14ac:dyDescent="0.3"/>
    <row r="66" spans="2:13" ht="13" thickBot="1" x14ac:dyDescent="0.3">
      <c r="B66" s="597"/>
      <c r="F66" t="s">
        <v>954</v>
      </c>
    </row>
    <row r="67" spans="2:13" ht="13" thickBot="1" x14ac:dyDescent="0.3"/>
    <row r="68" spans="2:13" ht="13" thickBot="1" x14ac:dyDescent="0.3">
      <c r="B68" s="597"/>
      <c r="F68" t="s">
        <v>955</v>
      </c>
    </row>
    <row r="69" spans="2:13" x14ac:dyDescent="0.25">
      <c r="F69" s="594" t="s">
        <v>956</v>
      </c>
      <c r="G69" s="594"/>
      <c r="H69" s="594"/>
      <c r="I69" s="594"/>
      <c r="J69" s="594"/>
      <c r="K69" s="594"/>
      <c r="L69" s="594"/>
      <c r="M69" s="594"/>
    </row>
    <row r="70" spans="2:13" x14ac:dyDescent="0.25">
      <c r="F70" s="594" t="s">
        <v>957</v>
      </c>
      <c r="G70" s="594"/>
      <c r="H70" s="594"/>
      <c r="I70" s="594"/>
      <c r="J70" s="594"/>
      <c r="K70" s="594"/>
      <c r="L70" s="594"/>
      <c r="M70" s="594"/>
    </row>
    <row r="71" spans="2:13" x14ac:dyDescent="0.25">
      <c r="F71" s="594" t="s">
        <v>958</v>
      </c>
      <c r="G71" s="594"/>
      <c r="H71" s="594"/>
      <c r="I71" s="594"/>
      <c r="J71" s="594"/>
      <c r="K71" s="594"/>
      <c r="L71" s="594"/>
      <c r="M71" s="594"/>
    </row>
    <row r="72" spans="2:13" x14ac:dyDescent="0.25">
      <c r="F72" s="594" t="s">
        <v>959</v>
      </c>
      <c r="G72" s="594"/>
      <c r="H72" s="594"/>
      <c r="I72" s="594"/>
      <c r="J72" s="594"/>
      <c r="K72" s="594"/>
      <c r="L72" s="594"/>
      <c r="M72" s="594"/>
    </row>
    <row r="73" spans="2:13" x14ac:dyDescent="0.25">
      <c r="F73" s="594" t="s">
        <v>960</v>
      </c>
      <c r="G73" s="594"/>
      <c r="H73" s="594"/>
      <c r="I73" s="594"/>
      <c r="J73" s="594"/>
      <c r="K73" s="594"/>
      <c r="L73" s="594"/>
      <c r="M73" s="594"/>
    </row>
    <row r="74" spans="2:13" x14ac:dyDescent="0.25">
      <c r="F74" s="594" t="s">
        <v>961</v>
      </c>
      <c r="G74" s="594"/>
      <c r="H74" s="594"/>
      <c r="I74" s="594"/>
      <c r="J74" s="594"/>
      <c r="K74" s="594"/>
      <c r="L74" s="594"/>
      <c r="M74" s="594"/>
    </row>
    <row r="75" spans="2:13" x14ac:dyDescent="0.25">
      <c r="F75" s="594" t="s">
        <v>962</v>
      </c>
      <c r="G75" s="594"/>
      <c r="H75" s="594"/>
      <c r="I75" s="594"/>
      <c r="J75" s="594"/>
      <c r="K75" s="594"/>
      <c r="L75" s="594"/>
      <c r="M75" s="594"/>
    </row>
    <row r="76" spans="2:13" x14ac:dyDescent="0.25">
      <c r="F76" s="594" t="s">
        <v>963</v>
      </c>
      <c r="G76" s="594"/>
      <c r="H76" s="594"/>
      <c r="I76" s="594"/>
      <c r="J76" s="594"/>
      <c r="K76" s="594"/>
      <c r="L76" s="594"/>
      <c r="M76" s="594"/>
    </row>
    <row r="77" spans="2:13" x14ac:dyDescent="0.25">
      <c r="F77" s="594" t="s">
        <v>964</v>
      </c>
      <c r="G77" s="594"/>
      <c r="H77" s="594"/>
      <c r="I77" s="594"/>
      <c r="J77" s="594"/>
      <c r="K77" s="594"/>
      <c r="L77" s="594"/>
      <c r="M77" s="594"/>
    </row>
    <row r="78" spans="2:13" ht="13" thickBot="1" x14ac:dyDescent="0.3"/>
    <row r="79" spans="2:13" ht="13" thickBot="1" x14ac:dyDescent="0.3">
      <c r="B79" s="597"/>
      <c r="F79" t="s">
        <v>965</v>
      </c>
    </row>
    <row r="80" spans="2:13" x14ac:dyDescent="0.25">
      <c r="F80" t="s">
        <v>966</v>
      </c>
    </row>
    <row r="81" spans="1:13" x14ac:dyDescent="0.25">
      <c r="F81" t="s">
        <v>967</v>
      </c>
    </row>
    <row r="82" spans="1:13" ht="13" thickBot="1" x14ac:dyDescent="0.3"/>
    <row r="83" spans="1:13" ht="13" thickBot="1" x14ac:dyDescent="0.3">
      <c r="B83" s="597"/>
      <c r="F83" t="s">
        <v>968</v>
      </c>
    </row>
    <row r="84" spans="1:13" ht="13" thickBot="1" x14ac:dyDescent="0.3"/>
    <row r="85" spans="1:13" ht="13" thickBot="1" x14ac:dyDescent="0.3">
      <c r="B85" s="597"/>
      <c r="F85" t="s">
        <v>969</v>
      </c>
    </row>
    <row r="86" spans="1:13" x14ac:dyDescent="0.25">
      <c r="F86" s="594" t="s">
        <v>970</v>
      </c>
      <c r="G86" s="594"/>
      <c r="H86" s="594"/>
      <c r="I86" s="594"/>
      <c r="J86" s="594"/>
      <c r="K86" s="594"/>
      <c r="L86" s="594"/>
      <c r="M86" s="594"/>
    </row>
    <row r="87" spans="1:13" x14ac:dyDescent="0.25">
      <c r="F87" s="594" t="s">
        <v>971</v>
      </c>
      <c r="G87" s="594"/>
      <c r="H87" s="594"/>
      <c r="I87" s="594"/>
      <c r="J87" s="594"/>
      <c r="K87" s="594"/>
      <c r="L87" s="594"/>
      <c r="M87" s="594"/>
    </row>
    <row r="88" spans="1:13" x14ac:dyDescent="0.25">
      <c r="F88" s="601" t="s">
        <v>1014</v>
      </c>
      <c r="G88" s="594"/>
      <c r="H88" s="594"/>
      <c r="I88" s="594"/>
      <c r="J88" s="594"/>
      <c r="K88" s="594"/>
      <c r="L88" s="594"/>
      <c r="M88" s="594"/>
    </row>
    <row r="89" spans="1:13" ht="13" thickBot="1" x14ac:dyDescent="0.3"/>
    <row r="90" spans="1:13" ht="13" thickBot="1" x14ac:dyDescent="0.3">
      <c r="B90" s="597"/>
      <c r="F90" t="s">
        <v>972</v>
      </c>
    </row>
    <row r="91" spans="1:13" ht="13" thickBot="1" x14ac:dyDescent="0.3"/>
    <row r="92" spans="1:13" ht="13" thickBot="1" x14ac:dyDescent="0.3">
      <c r="B92" s="597"/>
      <c r="F92" t="s">
        <v>973</v>
      </c>
    </row>
    <row r="93" spans="1:13" x14ac:dyDescent="0.25">
      <c r="F93" t="s">
        <v>974</v>
      </c>
    </row>
    <row r="95" spans="1:13" ht="13" x14ac:dyDescent="0.3">
      <c r="A95" s="596" t="s">
        <v>975</v>
      </c>
      <c r="B95" s="596"/>
      <c r="C95" s="596"/>
      <c r="D95" s="596"/>
      <c r="E95" s="596"/>
    </row>
    <row r="96" spans="1:13" ht="13" thickBot="1" x14ac:dyDescent="0.3"/>
    <row r="97" spans="2:10" ht="13" thickBot="1" x14ac:dyDescent="0.3">
      <c r="B97" s="597"/>
      <c r="F97" t="s">
        <v>976</v>
      </c>
    </row>
    <row r="98" spans="2:10" ht="13" thickBot="1" x14ac:dyDescent="0.3"/>
    <row r="99" spans="2:10" ht="13" thickBot="1" x14ac:dyDescent="0.3">
      <c r="B99" s="597"/>
      <c r="F99" t="s">
        <v>977</v>
      </c>
    </row>
    <row r="100" spans="2:10" ht="13" thickBot="1" x14ac:dyDescent="0.3"/>
    <row r="101" spans="2:10" ht="13" thickBot="1" x14ac:dyDescent="0.3">
      <c r="B101" s="597"/>
      <c r="D101" s="597"/>
      <c r="F101" t="s">
        <v>978</v>
      </c>
      <c r="I101" s="3072"/>
      <c r="J101" s="3072"/>
    </row>
    <row r="102" spans="2:10" x14ac:dyDescent="0.25">
      <c r="F102" t="s">
        <v>979</v>
      </c>
      <c r="I102" s="3071"/>
      <c r="J102" s="3071"/>
    </row>
    <row r="103" spans="2:10" x14ac:dyDescent="0.25">
      <c r="F103" t="s">
        <v>980</v>
      </c>
      <c r="I103" s="3071"/>
      <c r="J103" s="3071"/>
    </row>
    <row r="104" spans="2:10" x14ac:dyDescent="0.25">
      <c r="F104" t="s">
        <v>953</v>
      </c>
      <c r="I104" s="3071"/>
      <c r="J104" s="3071"/>
    </row>
    <row r="105" spans="2:10" ht="13" thickBot="1" x14ac:dyDescent="0.3"/>
    <row r="106" spans="2:10" ht="13" thickBot="1" x14ac:dyDescent="0.3">
      <c r="B106" s="597"/>
      <c r="D106" s="597"/>
      <c r="F106" t="s">
        <v>981</v>
      </c>
    </row>
    <row r="107" spans="2:10" ht="13" thickBot="1" x14ac:dyDescent="0.3">
      <c r="B107" s="597"/>
      <c r="D107" s="597"/>
      <c r="F107" t="s">
        <v>982</v>
      </c>
    </row>
    <row r="108" spans="2:10" ht="13" thickBot="1" x14ac:dyDescent="0.3">
      <c r="B108" s="597"/>
      <c r="D108" s="597"/>
      <c r="F108" t="s">
        <v>983</v>
      </c>
    </row>
    <row r="109" spans="2:10" ht="13" thickBot="1" x14ac:dyDescent="0.3">
      <c r="B109" s="597"/>
      <c r="D109" s="597"/>
      <c r="F109" t="s">
        <v>984</v>
      </c>
    </row>
    <row r="110" spans="2:10" ht="13" thickBot="1" x14ac:dyDescent="0.3">
      <c r="B110" s="597"/>
      <c r="D110" s="597"/>
      <c r="F110" t="s">
        <v>985</v>
      </c>
    </row>
    <row r="111" spans="2:10" ht="13" thickBot="1" x14ac:dyDescent="0.3">
      <c r="B111" s="597"/>
      <c r="D111" s="597"/>
      <c r="F111" t="s">
        <v>986</v>
      </c>
    </row>
    <row r="112" spans="2:10" ht="13" thickBot="1" x14ac:dyDescent="0.3"/>
    <row r="113" spans="1:6" ht="13" thickBot="1" x14ac:dyDescent="0.3">
      <c r="B113" s="597"/>
      <c r="D113" s="597"/>
      <c r="F113" t="s">
        <v>987</v>
      </c>
    </row>
    <row r="114" spans="1:6" x14ac:dyDescent="0.25">
      <c r="F114" t="s">
        <v>988</v>
      </c>
    </row>
    <row r="115" spans="1:6" x14ac:dyDescent="0.25">
      <c r="F115" t="s">
        <v>989</v>
      </c>
    </row>
    <row r="116" spans="1:6" x14ac:dyDescent="0.25">
      <c r="F116" t="s">
        <v>990</v>
      </c>
    </row>
    <row r="117" spans="1:6" ht="13" thickBot="1" x14ac:dyDescent="0.3"/>
    <row r="118" spans="1:6" ht="13" thickBot="1" x14ac:dyDescent="0.3">
      <c r="B118" s="597"/>
      <c r="D118" s="597"/>
      <c r="F118" t="s">
        <v>991</v>
      </c>
    </row>
    <row r="119" spans="1:6" ht="13" thickBot="1" x14ac:dyDescent="0.3"/>
    <row r="120" spans="1:6" ht="13" thickBot="1" x14ac:dyDescent="0.3">
      <c r="B120" s="597"/>
      <c r="D120" s="597"/>
      <c r="F120" t="s">
        <v>992</v>
      </c>
    </row>
    <row r="121" spans="1:6" ht="13" thickBot="1" x14ac:dyDescent="0.3"/>
    <row r="122" spans="1:6" ht="13" thickBot="1" x14ac:dyDescent="0.3">
      <c r="B122" s="597"/>
      <c r="D122" s="597"/>
      <c r="F122" t="s">
        <v>993</v>
      </c>
    </row>
    <row r="124" spans="1:6" ht="13" x14ac:dyDescent="0.3">
      <c r="A124" s="596" t="s">
        <v>994</v>
      </c>
    </row>
    <row r="125" spans="1:6" ht="13" thickBot="1" x14ac:dyDescent="0.3"/>
    <row r="126" spans="1:6" ht="13" thickBot="1" x14ac:dyDescent="0.3">
      <c r="B126" s="597"/>
      <c r="F126" t="s">
        <v>995</v>
      </c>
    </row>
    <row r="127" spans="1:6" x14ac:dyDescent="0.25">
      <c r="F127" t="s">
        <v>996</v>
      </c>
    </row>
    <row r="128" spans="1:6" x14ac:dyDescent="0.25">
      <c r="F128" t="s">
        <v>997</v>
      </c>
    </row>
    <row r="129" spans="1:6" ht="13" thickBot="1" x14ac:dyDescent="0.3"/>
    <row r="130" spans="1:6" ht="13" thickBot="1" x14ac:dyDescent="0.3">
      <c r="B130" s="597"/>
      <c r="D130" s="597"/>
      <c r="F130" t="s">
        <v>998</v>
      </c>
    </row>
    <row r="131" spans="1:6" x14ac:dyDescent="0.25">
      <c r="F131" t="s">
        <v>999</v>
      </c>
    </row>
    <row r="132" spans="1:6" x14ac:dyDescent="0.25">
      <c r="F132" t="s">
        <v>1000</v>
      </c>
    </row>
    <row r="133" spans="1:6" ht="13" thickBot="1" x14ac:dyDescent="0.3"/>
    <row r="134" spans="1:6" ht="13" thickBot="1" x14ac:dyDescent="0.3">
      <c r="B134" s="597"/>
      <c r="D134" s="597"/>
      <c r="F134" t="s">
        <v>1001</v>
      </c>
    </row>
    <row r="135" spans="1:6" x14ac:dyDescent="0.25">
      <c r="F135" t="s">
        <v>1002</v>
      </c>
    </row>
    <row r="137" spans="1:6" ht="13" x14ac:dyDescent="0.3">
      <c r="A137" s="596" t="s">
        <v>1003</v>
      </c>
      <c r="B137" s="596"/>
      <c r="C137" s="596"/>
      <c r="D137" s="596"/>
      <c r="E137" s="596"/>
    </row>
    <row r="138" spans="1:6" ht="13" thickBot="1" x14ac:dyDescent="0.3"/>
    <row r="139" spans="1:6" ht="13" thickBot="1" x14ac:dyDescent="0.3">
      <c r="B139" s="597"/>
      <c r="F139" t="s">
        <v>1004</v>
      </c>
    </row>
    <row r="140" spans="1:6" ht="13" thickBot="1" x14ac:dyDescent="0.3"/>
    <row r="141" spans="1:6" ht="13" thickBot="1" x14ac:dyDescent="0.3">
      <c r="B141" s="597"/>
      <c r="F141" t="s">
        <v>1005</v>
      </c>
    </row>
    <row r="142" spans="1:6" ht="13" thickBot="1" x14ac:dyDescent="0.3"/>
    <row r="143" spans="1:6" ht="13" thickBot="1" x14ac:dyDescent="0.3">
      <c r="B143" s="597"/>
      <c r="F143" t="s">
        <v>1006</v>
      </c>
    </row>
    <row r="144" spans="1:6" ht="13" thickBot="1" x14ac:dyDescent="0.3"/>
    <row r="145" spans="1:6" ht="13" thickBot="1" x14ac:dyDescent="0.3">
      <c r="B145" s="597"/>
      <c r="F145" t="s">
        <v>1007</v>
      </c>
    </row>
    <row r="146" spans="1:6" ht="13" thickBot="1" x14ac:dyDescent="0.3"/>
    <row r="147" spans="1:6" ht="13" thickBot="1" x14ac:dyDescent="0.3">
      <c r="B147" s="597"/>
      <c r="F147" t="s">
        <v>1008</v>
      </c>
    </row>
    <row r="148" spans="1:6" ht="13" thickBot="1" x14ac:dyDescent="0.3"/>
    <row r="149" spans="1:6" ht="13" thickBot="1" x14ac:dyDescent="0.3">
      <c r="B149" s="597"/>
      <c r="F149" t="s">
        <v>1009</v>
      </c>
    </row>
    <row r="151" spans="1:6" ht="13" x14ac:dyDescent="0.3">
      <c r="A151" s="596" t="s">
        <v>1010</v>
      </c>
      <c r="B151" s="596"/>
    </row>
    <row r="152" spans="1:6" ht="13" thickBot="1" x14ac:dyDescent="0.3"/>
    <row r="153" spans="1:6" ht="13" thickBot="1" x14ac:dyDescent="0.3">
      <c r="B153" s="597"/>
      <c r="F153" t="s">
        <v>1011</v>
      </c>
    </row>
    <row r="154" spans="1:6" ht="13" thickBot="1" x14ac:dyDescent="0.3"/>
    <row r="155" spans="1:6" ht="13" thickBot="1" x14ac:dyDescent="0.3">
      <c r="B155" s="597"/>
      <c r="F155" t="s">
        <v>1012</v>
      </c>
    </row>
    <row r="156" spans="1:6" x14ac:dyDescent="0.25">
      <c r="F156" t="s">
        <v>1013</v>
      </c>
    </row>
  </sheetData>
  <mergeCells count="7">
    <mergeCell ref="I104:J104"/>
    <mergeCell ref="I62:J62"/>
    <mergeCell ref="I63:J63"/>
    <mergeCell ref="I64:J64"/>
    <mergeCell ref="I101:J101"/>
    <mergeCell ref="I102:J102"/>
    <mergeCell ref="I103:J10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IU144"/>
  <sheetViews>
    <sheetView topLeftCell="A22" zoomScale="115" zoomScaleNormal="115" workbookViewId="0">
      <selection activeCell="J55" sqref="J54:J55"/>
    </sheetView>
  </sheetViews>
  <sheetFormatPr defaultColWidth="0" defaultRowHeight="15.5" x14ac:dyDescent="0.35"/>
  <cols>
    <col min="1" max="1" width="9.453125" style="42" customWidth="1"/>
    <col min="2" max="2" width="11.1796875" style="42" customWidth="1"/>
    <col min="3" max="3" width="7" style="42" customWidth="1"/>
    <col min="4" max="4" width="7.54296875" style="42" customWidth="1"/>
    <col min="5" max="5" width="7.81640625" style="42" customWidth="1"/>
    <col min="6" max="6" width="10.7265625" style="42" customWidth="1"/>
    <col min="7" max="16" width="9.26953125" style="42" customWidth="1"/>
    <col min="17" max="17" width="10.7265625" style="7" customWidth="1"/>
    <col min="18" max="18" width="11.7265625" style="7" customWidth="1"/>
    <col min="19" max="19" width="10.81640625" style="42" customWidth="1"/>
    <col min="20" max="20" width="9.26953125" style="42" customWidth="1"/>
    <col min="21" max="21" width="9.54296875" style="42" customWidth="1"/>
    <col min="22" max="22" width="8.26953125" style="42" customWidth="1"/>
    <col min="23" max="23" width="15.7265625" style="42" customWidth="1"/>
    <col min="24" max="24" width="9.453125" hidden="1" customWidth="1"/>
    <col min="25" max="29" width="9.1796875" hidden="1" customWidth="1"/>
    <col min="30" max="30" width="14.1796875" hidden="1" customWidth="1"/>
    <col min="31" max="31" width="9.1796875" hidden="1" customWidth="1"/>
    <col min="32" max="32" width="10.453125" hidden="1" customWidth="1"/>
    <col min="33" max="34" width="9.1796875" hidden="1" customWidth="1"/>
    <col min="35" max="35" width="10.1796875" hidden="1" customWidth="1"/>
    <col min="36" max="45" width="9.1796875" hidden="1" customWidth="1"/>
    <col min="46" max="46" width="22" hidden="1" customWidth="1"/>
    <col min="47" max="47" width="15.1796875" hidden="1" customWidth="1"/>
    <col min="48" max="48" width="13.1796875" hidden="1" customWidth="1"/>
    <col min="49" max="50" width="10.26953125" hidden="1" customWidth="1"/>
    <col min="51" max="51" width="12" hidden="1" customWidth="1"/>
    <col min="52" max="52" width="12.81640625" hidden="1" customWidth="1"/>
    <col min="53" max="53" width="12" hidden="1" customWidth="1"/>
    <col min="54" max="54" width="12.7265625" hidden="1" customWidth="1"/>
    <col min="55" max="56" width="13.26953125" hidden="1" customWidth="1"/>
    <col min="57" max="57" width="18.453125" hidden="1" customWidth="1"/>
    <col min="58" max="58" width="11.54296875" hidden="1" customWidth="1"/>
    <col min="59" max="59" width="18.453125" hidden="1" customWidth="1"/>
    <col min="60" max="60" width="0.81640625" hidden="1" customWidth="1"/>
    <col min="61" max="255" width="9.1796875" hidden="1" customWidth="1"/>
    <col min="256" max="16384" width="2.81640625" style="42" hidden="1"/>
  </cols>
  <sheetData>
    <row r="1" spans="1:62" ht="16" thickBot="1" x14ac:dyDescent="0.4">
      <c r="A1" s="883" t="s">
        <v>303</v>
      </c>
      <c r="B1" s="879"/>
      <c r="C1" s="879"/>
      <c r="D1" s="879"/>
      <c r="E1" s="87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2615" t="s">
        <v>305</v>
      </c>
      <c r="U1" s="2615"/>
      <c r="V1" s="2648">
        <v>37456</v>
      </c>
      <c r="W1" s="2649"/>
      <c r="X1" s="299"/>
    </row>
    <row r="2" spans="1:62" ht="16" thickBot="1" x14ac:dyDescent="0.4">
      <c r="A2" s="2950">
        <f>Summary!C2</f>
        <v>0</v>
      </c>
      <c r="B2" s="2951"/>
      <c r="C2" s="2951"/>
      <c r="D2" s="2951"/>
      <c r="E2" s="2952"/>
      <c r="F2" s="298"/>
      <c r="G2" s="1194" t="s">
        <v>131</v>
      </c>
      <c r="H2" s="877"/>
      <c r="I2" s="879"/>
      <c r="J2" s="880" t="s">
        <v>96</v>
      </c>
      <c r="K2" s="879"/>
      <c r="L2" s="879"/>
      <c r="M2" s="879"/>
      <c r="N2" s="1950" t="s">
        <v>125</v>
      </c>
      <c r="O2" s="1950"/>
      <c r="P2" s="1950" t="s">
        <v>306</v>
      </c>
      <c r="Q2" s="1951"/>
      <c r="R2" s="298"/>
      <c r="S2" s="298"/>
      <c r="T2" s="1183" t="s">
        <v>304</v>
      </c>
      <c r="U2" s="1180"/>
      <c r="V2" s="1184" t="str">
        <f>Information!C8</f>
        <v>Chad McKinney</v>
      </c>
      <c r="W2" s="1185"/>
      <c r="X2" s="299"/>
    </row>
    <row r="3" spans="1:62" ht="20.149999999999999" customHeight="1" x14ac:dyDescent="0.35">
      <c r="A3" s="2953">
        <f>Summary!C3</f>
        <v>0</v>
      </c>
      <c r="B3" s="2954"/>
      <c r="C3" s="2954"/>
      <c r="D3" s="2954"/>
      <c r="E3" s="2955"/>
      <c r="F3" s="298"/>
      <c r="G3" s="1195" t="s">
        <v>132</v>
      </c>
      <c r="H3" s="938"/>
      <c r="I3" s="2663">
        <f>Summary!K3</f>
        <v>0</v>
      </c>
      <c r="J3" s="2664"/>
      <c r="K3" s="2664"/>
      <c r="L3" s="2664"/>
      <c r="M3" s="2665"/>
      <c r="N3" s="2666">
        <f>Summary!O3</f>
        <v>0</v>
      </c>
      <c r="O3" s="2667"/>
      <c r="P3" s="2974">
        <f>Summary!P3</f>
        <v>0</v>
      </c>
      <c r="Q3" s="2844"/>
      <c r="R3" s="298"/>
      <c r="S3" s="298"/>
      <c r="T3" s="1186"/>
      <c r="U3" s="1187"/>
      <c r="V3" s="1187"/>
      <c r="W3" s="1188"/>
      <c r="X3" s="299"/>
    </row>
    <row r="4" spans="1:62" ht="20.149999999999999" customHeight="1" thickBot="1" x14ac:dyDescent="0.4">
      <c r="A4" s="2967">
        <f>Summary!C4</f>
        <v>0</v>
      </c>
      <c r="B4" s="2968"/>
      <c r="C4" s="2968"/>
      <c r="D4" s="2968"/>
      <c r="E4" s="2969"/>
      <c r="F4" s="298"/>
      <c r="G4" s="938"/>
      <c r="H4" s="939" t="s">
        <v>133</v>
      </c>
      <c r="I4" s="2688">
        <f>Summary!K4</f>
        <v>0</v>
      </c>
      <c r="J4" s="2689"/>
      <c r="K4" s="2689"/>
      <c r="L4" s="2689"/>
      <c r="M4" s="2690"/>
      <c r="N4" s="2691">
        <f>Summary!O4</f>
        <v>0</v>
      </c>
      <c r="O4" s="2692"/>
      <c r="P4" s="2973">
        <f>Summary!P4</f>
        <v>0</v>
      </c>
      <c r="Q4" s="2846"/>
      <c r="R4" s="298"/>
      <c r="S4" s="298"/>
      <c r="T4" s="1186" t="s">
        <v>1020</v>
      </c>
      <c r="U4" s="1187"/>
      <c r="V4" s="1189"/>
      <c r="W4" s="1190"/>
      <c r="X4" s="299"/>
    </row>
    <row r="5" spans="1:62" ht="20.149999999999999" customHeight="1" x14ac:dyDescent="0.35">
      <c r="A5" s="255" t="s">
        <v>115</v>
      </c>
      <c r="C5" s="57" t="s">
        <v>125</v>
      </c>
      <c r="E5" s="298"/>
      <c r="F5" s="298"/>
      <c r="G5" s="938"/>
      <c r="H5" s="939" t="s">
        <v>134</v>
      </c>
      <c r="I5" s="2688">
        <f>Summary!K5</f>
        <v>0</v>
      </c>
      <c r="J5" s="2689"/>
      <c r="K5" s="2689"/>
      <c r="L5" s="2689"/>
      <c r="M5" s="2690"/>
      <c r="N5" s="2691">
        <f>Summary!O5</f>
        <v>0</v>
      </c>
      <c r="O5" s="2692"/>
      <c r="P5" s="2973">
        <f>Summary!P5</f>
        <v>0</v>
      </c>
      <c r="Q5" s="2846"/>
      <c r="R5" s="298"/>
      <c r="S5" s="298"/>
      <c r="T5" s="1186"/>
      <c r="U5" s="1187"/>
      <c r="V5" s="1187"/>
      <c r="W5" s="1188"/>
      <c r="X5" s="299"/>
    </row>
    <row r="6" spans="1:62" ht="20.149999999999999" customHeight="1" thickBot="1" x14ac:dyDescent="0.4">
      <c r="A6" s="1252">
        <v>0</v>
      </c>
      <c r="C6" s="2963">
        <v>0</v>
      </c>
      <c r="D6" s="2963"/>
      <c r="E6" s="298"/>
      <c r="F6" s="298"/>
      <c r="G6" s="889"/>
      <c r="H6" s="940" t="s">
        <v>135</v>
      </c>
      <c r="I6" s="2670">
        <f>Summary!K6</f>
        <v>0</v>
      </c>
      <c r="J6" s="2671"/>
      <c r="K6" s="2671"/>
      <c r="L6" s="2671"/>
      <c r="M6" s="2672"/>
      <c r="N6" s="2673">
        <f>Summary!O6</f>
        <v>0</v>
      </c>
      <c r="O6" s="2674"/>
      <c r="P6" s="2975">
        <f>Summary!P6</f>
        <v>0</v>
      </c>
      <c r="Q6" s="2853"/>
      <c r="R6" s="298"/>
      <c r="S6" s="298"/>
      <c r="T6" s="1191" t="s">
        <v>1021</v>
      </c>
      <c r="U6" s="1181"/>
      <c r="V6" s="1181"/>
      <c r="W6" s="1182"/>
      <c r="X6" s="299"/>
    </row>
    <row r="7" spans="1:62" ht="20.149999999999999" customHeight="1" thickBot="1" x14ac:dyDescent="0.4">
      <c r="A7" s="1253">
        <v>0</v>
      </c>
      <c r="C7" s="3074">
        <v>0</v>
      </c>
      <c r="D7" s="3075"/>
      <c r="E7" s="306"/>
      <c r="F7" s="1962" t="s">
        <v>308</v>
      </c>
      <c r="G7" s="1962"/>
      <c r="H7" s="1962"/>
      <c r="I7" s="2522" t="str">
        <f>Pricing!A2</f>
        <v>Martin Marrieta</v>
      </c>
      <c r="J7" s="2522"/>
      <c r="K7" s="2522"/>
      <c r="L7" s="2522"/>
      <c r="M7" s="2522"/>
      <c r="N7" s="306"/>
      <c r="O7" s="306"/>
      <c r="P7" s="306"/>
      <c r="Q7" s="306"/>
      <c r="R7" s="306"/>
      <c r="S7" s="306"/>
      <c r="T7" s="298"/>
      <c r="U7" s="298"/>
      <c r="V7" s="298"/>
      <c r="W7" s="310"/>
      <c r="X7" s="299"/>
    </row>
    <row r="8" spans="1:62" ht="39" customHeight="1" x14ac:dyDescent="0.35">
      <c r="A8" s="2510" t="s">
        <v>345</v>
      </c>
      <c r="B8" s="1975"/>
      <c r="C8" s="2513" t="s">
        <v>346</v>
      </c>
      <c r="D8" s="2514"/>
      <c r="E8" s="2501" t="s">
        <v>364</v>
      </c>
      <c r="F8" s="1866" t="s">
        <v>357</v>
      </c>
      <c r="G8" s="1866" t="s">
        <v>347</v>
      </c>
      <c r="H8" s="1975" t="s">
        <v>35</v>
      </c>
      <c r="I8" s="1866" t="s">
        <v>407</v>
      </c>
      <c r="J8" s="1866" t="s">
        <v>389</v>
      </c>
      <c r="K8" s="2508" t="s">
        <v>356</v>
      </c>
      <c r="L8" s="1933" t="s">
        <v>403</v>
      </c>
      <c r="M8" s="1934"/>
      <c r="N8" s="1933" t="s">
        <v>404</v>
      </c>
      <c r="O8" s="1934"/>
      <c r="P8" s="1975" t="s">
        <v>725</v>
      </c>
      <c r="Q8" s="2501" t="s">
        <v>352</v>
      </c>
      <c r="R8" s="2501" t="s">
        <v>351</v>
      </c>
      <c r="S8" s="2501" t="s">
        <v>349</v>
      </c>
      <c r="T8" s="2501" t="s">
        <v>106</v>
      </c>
      <c r="U8" s="2501" t="s">
        <v>410</v>
      </c>
      <c r="V8" s="3076" t="s">
        <v>350</v>
      </c>
      <c r="W8" s="3077"/>
      <c r="X8" s="299"/>
      <c r="AY8">
        <f>SUM(AX28:BA28)</f>
        <v>0</v>
      </c>
    </row>
    <row r="9" spans="1:62" ht="20.149999999999999" customHeight="1" thickBot="1" x14ac:dyDescent="0.4">
      <c r="A9" s="2640"/>
      <c r="B9" s="2961"/>
      <c r="C9" s="2964"/>
      <c r="D9" s="2965"/>
      <c r="E9" s="2638"/>
      <c r="F9" s="2962"/>
      <c r="G9" s="2962"/>
      <c r="H9" s="2961"/>
      <c r="I9" s="2962"/>
      <c r="J9" s="2962"/>
      <c r="K9" s="2966"/>
      <c r="L9" s="1054" t="s">
        <v>28</v>
      </c>
      <c r="M9" s="1055" t="s">
        <v>29</v>
      </c>
      <c r="N9" s="1054" t="s">
        <v>28</v>
      </c>
      <c r="O9" s="1055" t="s">
        <v>29</v>
      </c>
      <c r="P9" s="2961"/>
      <c r="Q9" s="2638"/>
      <c r="R9" s="2638"/>
      <c r="S9" s="2638"/>
      <c r="T9" s="2638"/>
      <c r="U9" s="2638"/>
      <c r="V9" s="2638"/>
      <c r="W9" s="2639"/>
      <c r="X9" s="299"/>
      <c r="AE9" t="s">
        <v>405</v>
      </c>
      <c r="AF9" t="s">
        <v>408</v>
      </c>
      <c r="AK9" t="s">
        <v>386</v>
      </c>
      <c r="AL9" t="s">
        <v>227</v>
      </c>
      <c r="AM9" t="s">
        <v>228</v>
      </c>
      <c r="AN9" t="s">
        <v>229</v>
      </c>
      <c r="AO9" t="s">
        <v>230</v>
      </c>
      <c r="AP9" t="s">
        <v>231</v>
      </c>
      <c r="AQ9" t="s">
        <v>232</v>
      </c>
      <c r="AR9" t="s">
        <v>114</v>
      </c>
      <c r="AS9" t="s">
        <v>358</v>
      </c>
      <c r="AV9" t="s">
        <v>106</v>
      </c>
      <c r="AW9" t="s">
        <v>82</v>
      </c>
      <c r="AX9" t="s">
        <v>353</v>
      </c>
      <c r="AY9" t="s">
        <v>355</v>
      </c>
      <c r="AZ9" t="s">
        <v>405</v>
      </c>
      <c r="BA9" t="s">
        <v>33</v>
      </c>
      <c r="BB9" t="s">
        <v>360</v>
      </c>
      <c r="BC9" t="s">
        <v>67</v>
      </c>
      <c r="BD9" t="s">
        <v>148</v>
      </c>
      <c r="BE9" t="s">
        <v>370</v>
      </c>
      <c r="BF9" t="s">
        <v>80</v>
      </c>
      <c r="BG9" t="s">
        <v>406</v>
      </c>
      <c r="BH9" t="s">
        <v>409</v>
      </c>
      <c r="BJ9" t="s">
        <v>86</v>
      </c>
    </row>
    <row r="10" spans="1:62" ht="22" customHeight="1" thickTop="1" x14ac:dyDescent="0.35">
      <c r="A10" s="1979" t="s">
        <v>902</v>
      </c>
      <c r="B10" s="1981"/>
      <c r="C10" s="3078"/>
      <c r="D10" s="3079"/>
      <c r="E10" s="121"/>
      <c r="F10" s="1449"/>
      <c r="G10" s="122"/>
      <c r="H10" s="30"/>
      <c r="I10" s="1379"/>
      <c r="J10" s="126"/>
      <c r="K10" s="123"/>
      <c r="L10" s="29"/>
      <c r="M10" s="124"/>
      <c r="N10" s="29"/>
      <c r="O10" s="124"/>
      <c r="P10" s="121"/>
      <c r="Q10" s="928">
        <f t="shared" ref="Q10:Q26" si="0">C10*K10/324*(1+J$45)</f>
        <v>0</v>
      </c>
      <c r="R10" s="929">
        <v>0</v>
      </c>
      <c r="S10" s="930">
        <f t="shared" ref="S10:S26" si="1">IF(O10=0,0,(O10/12+O10/12)/(O10/12*O10/12)*C10*((N10/16*N10/16)*10.6870154))*(1+J$41)+IF(M10=0,0,(M10/12+M10/12)/(M10/12*M10/12)*C10*((L10/16*L10/16)*10.6870154))*(1+J$41)</f>
        <v>0</v>
      </c>
      <c r="T10" s="931">
        <f>(C10*E10/324+G10/108+J10*0.5*1.5/27)*(1+J$38)</f>
        <v>0</v>
      </c>
      <c r="U10" s="1606">
        <f t="shared" ref="U10:U26" si="2">IF(C10=0,0,V10/C10)</f>
        <v>0</v>
      </c>
      <c r="V10" s="2488">
        <f>SUM(AV10:BH10)*(1+L$31+Summary!P$64)</f>
        <v>0</v>
      </c>
      <c r="W10" s="2489"/>
      <c r="X10" s="299"/>
      <c r="AE10">
        <f t="shared" ref="AE10:AE26" si="3">G10</f>
        <v>0</v>
      </c>
      <c r="AF10">
        <f t="shared" ref="AF10:AF26" si="4">IF(I10="Y",C10,0)*(1+J$43)</f>
        <v>0</v>
      </c>
      <c r="AK10">
        <f t="shared" ref="AK10:AK26" si="5">IF(X10="y",C10,0)</f>
        <v>0</v>
      </c>
      <c r="AL10">
        <f t="shared" ref="AL10:AL26" si="6">IF($H10=1,$T10,0)</f>
        <v>0</v>
      </c>
      <c r="AM10">
        <f t="shared" ref="AM10:AM26" si="7">IF($H10=2,$T10,0)</f>
        <v>0</v>
      </c>
      <c r="AN10">
        <f t="shared" ref="AN10:AN26" si="8">IF($H10=3,$T10,0)</f>
        <v>0</v>
      </c>
      <c r="AO10">
        <f t="shared" ref="AO10:AO26" si="9">IF($H10=4,$T10,0)</f>
        <v>0</v>
      </c>
      <c r="AP10">
        <f t="shared" ref="AP10:AP26" si="10">IF($H10=5,$T10,0)</f>
        <v>0</v>
      </c>
      <c r="AQ10">
        <f t="shared" ref="AQ10:AQ26" si="11">IF($H10=6,$T10,0)</f>
        <v>0</v>
      </c>
      <c r="AR10">
        <f>SUM(AL10:AQ10)</f>
        <v>0</v>
      </c>
      <c r="AS10">
        <f t="shared" ref="AS10:AS26" si="12">IF(F10="Y",0,C10)</f>
        <v>0</v>
      </c>
      <c r="AV10">
        <f>(AL10*Pricing!F$2+AM10*Pricing!G$2+AN10*Pricing!H$2+AO10*Pricing!I$2+AP10*Pricing!J$2+AQ10*Pricing!K$2)*IF(T$30="N",(1+V$30),1)</f>
        <v>0</v>
      </c>
      <c r="AW10">
        <f t="shared" ref="AW10:AW26" si="13">S10*F$41*IF(T$30="n",1+V$30,1)</f>
        <v>0</v>
      </c>
      <c r="AX10">
        <f t="shared" ref="AX10:AX26" si="14">C10*SUM(D$50:E$53)</f>
        <v>0</v>
      </c>
      <c r="AY10">
        <f t="shared" ref="AY10:AY26" si="15">J10*D$55</f>
        <v>0</v>
      </c>
      <c r="AZ10">
        <f t="shared" ref="AZ10:AZ26" si="16">AE10*D$51</f>
        <v>0</v>
      </c>
      <c r="BA10">
        <f t="shared" ref="BA10:BA26" si="17">S10/2000*D$54</f>
        <v>0</v>
      </c>
      <c r="BB10">
        <f t="shared" ref="BB10:BB26" si="18">IF(C10=0,0,SUM(N$58:O$60)/C$27*C10)</f>
        <v>0</v>
      </c>
      <c r="BC10">
        <f t="shared" ref="BC10:BC26" si="19">IF(C10=0,0,SUM(W$38:W$75)/C$27*C10)+IF(H$50=0,0,N$47/H$50*C10)</f>
        <v>0</v>
      </c>
      <c r="BD10">
        <f t="shared" ref="BD10:BD26" si="20">IF(C10=0,0,SUM(N$62:O$67)/C$27*C10)</f>
        <v>0</v>
      </c>
      <c r="BE10">
        <f t="shared" ref="BE10:BE26" si="21">IF(C10=0,0,SUM(N$69:N$72)/C$27)*C10</f>
        <v>0</v>
      </c>
      <c r="BF10">
        <f t="shared" ref="BF10:BF26" si="22">Q10*F$45*IF(T$30="N",1+V$30,1)</f>
        <v>0</v>
      </c>
      <c r="BG10">
        <f t="shared" ref="BG10:BG26" si="23">AS10*D$73</f>
        <v>0</v>
      </c>
      <c r="BH10">
        <f t="shared" ref="BH10:BH26" si="24">AF10*F$43*IF(T$30="n",(1+V$30),1)</f>
        <v>0</v>
      </c>
      <c r="BJ10">
        <f>IF(P10="Y",C10*F$42*(1+J$42)*IF(T$30="Y",1,(1+V$30)),0)</f>
        <v>0</v>
      </c>
    </row>
    <row r="11" spans="1:62" ht="22" customHeight="1" x14ac:dyDescent="0.35">
      <c r="A11" s="1979" t="s">
        <v>901</v>
      </c>
      <c r="B11" s="1981"/>
      <c r="C11" s="3078"/>
      <c r="D11" s="3079"/>
      <c r="E11" s="121"/>
      <c r="F11" s="1315"/>
      <c r="G11" s="126"/>
      <c r="H11" s="30"/>
      <c r="I11" s="777"/>
      <c r="J11" s="126"/>
      <c r="K11" s="127"/>
      <c r="L11" s="30"/>
      <c r="M11" s="121"/>
      <c r="N11" s="30"/>
      <c r="O11" s="121"/>
      <c r="P11" s="121"/>
      <c r="Q11" s="928">
        <f t="shared" si="0"/>
        <v>0</v>
      </c>
      <c r="R11" s="929">
        <v>0</v>
      </c>
      <c r="S11" s="930">
        <f t="shared" si="1"/>
        <v>0</v>
      </c>
      <c r="T11" s="931">
        <f t="shared" ref="T11:T26" si="25">(C11*E11/324+G11/108)*(1+J$38)</f>
        <v>0</v>
      </c>
      <c r="U11" s="1483">
        <f t="shared" si="2"/>
        <v>0</v>
      </c>
      <c r="V11" s="2488">
        <f>SUM(AV11:BH11)*(1+L$31+Summary!P$64)</f>
        <v>0</v>
      </c>
      <c r="W11" s="2489"/>
      <c r="X11" s="299"/>
      <c r="AE11">
        <f t="shared" si="3"/>
        <v>0</v>
      </c>
      <c r="AF11">
        <f t="shared" si="4"/>
        <v>0</v>
      </c>
      <c r="AK11">
        <f t="shared" si="5"/>
        <v>0</v>
      </c>
      <c r="AL11">
        <f t="shared" si="6"/>
        <v>0</v>
      </c>
      <c r="AM11">
        <f t="shared" si="7"/>
        <v>0</v>
      </c>
      <c r="AN11">
        <f t="shared" si="8"/>
        <v>0</v>
      </c>
      <c r="AO11">
        <f t="shared" si="9"/>
        <v>0</v>
      </c>
      <c r="AP11">
        <f t="shared" si="10"/>
        <v>0</v>
      </c>
      <c r="AQ11">
        <f t="shared" si="11"/>
        <v>0</v>
      </c>
      <c r="AR11">
        <f t="shared" ref="AR11:AR26" si="26">SUM(AL11:AQ11)</f>
        <v>0</v>
      </c>
      <c r="AS11">
        <f t="shared" si="12"/>
        <v>0</v>
      </c>
      <c r="AV11">
        <f>(AL11*Pricing!F$2+AM11*Pricing!G$2+AN11*Pricing!H$2+AO11*Pricing!I$2+AP11*Pricing!J$2+AQ11*Pricing!K$2)*IF(T$30="N",(1+V$30),1)</f>
        <v>0</v>
      </c>
      <c r="AW11">
        <f t="shared" si="13"/>
        <v>0</v>
      </c>
      <c r="AX11">
        <f t="shared" si="14"/>
        <v>0</v>
      </c>
      <c r="AY11">
        <f t="shared" si="15"/>
        <v>0</v>
      </c>
      <c r="AZ11">
        <f t="shared" si="16"/>
        <v>0</v>
      </c>
      <c r="BA11">
        <f t="shared" si="17"/>
        <v>0</v>
      </c>
      <c r="BB11">
        <f t="shared" si="18"/>
        <v>0</v>
      </c>
      <c r="BC11">
        <f t="shared" si="19"/>
        <v>0</v>
      </c>
      <c r="BD11">
        <f t="shared" si="20"/>
        <v>0</v>
      </c>
      <c r="BE11">
        <f t="shared" si="21"/>
        <v>0</v>
      </c>
      <c r="BF11">
        <f t="shared" si="22"/>
        <v>0</v>
      </c>
      <c r="BG11">
        <f t="shared" si="23"/>
        <v>0</v>
      </c>
      <c r="BH11">
        <f t="shared" si="24"/>
        <v>0</v>
      </c>
      <c r="BJ11">
        <f t="shared" ref="BJ11:BJ26" si="27">IF(P11="Y",C11*F$42*(1+J$42)*IF(T$30="Y",1,(1+V$30)),0)</f>
        <v>0</v>
      </c>
    </row>
    <row r="12" spans="1:62" ht="22" customHeight="1" x14ac:dyDescent="0.35">
      <c r="A12" s="1979" t="s">
        <v>798</v>
      </c>
      <c r="B12" s="1981"/>
      <c r="C12" s="3083"/>
      <c r="D12" s="3084"/>
      <c r="E12" s="121"/>
      <c r="F12" s="1315"/>
      <c r="G12" s="126"/>
      <c r="H12" s="30"/>
      <c r="I12" s="777"/>
      <c r="J12" s="126"/>
      <c r="K12" s="127"/>
      <c r="L12" s="30"/>
      <c r="M12" s="121"/>
      <c r="N12" s="30"/>
      <c r="O12" s="121"/>
      <c r="P12" s="121"/>
      <c r="Q12" s="928">
        <f t="shared" si="0"/>
        <v>0</v>
      </c>
      <c r="R12" s="929">
        <v>0</v>
      </c>
      <c r="S12" s="930">
        <f t="shared" si="1"/>
        <v>0</v>
      </c>
      <c r="T12" s="931">
        <f t="shared" si="25"/>
        <v>0</v>
      </c>
      <c r="U12" s="1483">
        <f t="shared" si="2"/>
        <v>0</v>
      </c>
      <c r="V12" s="2488">
        <f>SUM(AV12:BH12)*(1+L$31+Summary!P$64)</f>
        <v>0</v>
      </c>
      <c r="W12" s="2489"/>
      <c r="X12" s="299"/>
      <c r="AE12">
        <f t="shared" si="3"/>
        <v>0</v>
      </c>
      <c r="AF12">
        <f t="shared" si="4"/>
        <v>0</v>
      </c>
      <c r="AK12">
        <f t="shared" si="5"/>
        <v>0</v>
      </c>
      <c r="AL12">
        <f t="shared" si="6"/>
        <v>0</v>
      </c>
      <c r="AM12">
        <f t="shared" si="7"/>
        <v>0</v>
      </c>
      <c r="AN12">
        <f t="shared" si="8"/>
        <v>0</v>
      </c>
      <c r="AO12">
        <f t="shared" si="9"/>
        <v>0</v>
      </c>
      <c r="AP12">
        <f t="shared" si="10"/>
        <v>0</v>
      </c>
      <c r="AQ12">
        <f t="shared" si="11"/>
        <v>0</v>
      </c>
      <c r="AR12">
        <f t="shared" si="26"/>
        <v>0</v>
      </c>
      <c r="AS12">
        <f t="shared" si="12"/>
        <v>0</v>
      </c>
      <c r="AV12">
        <f>(AL12*Pricing!F$2+AM12*Pricing!G$2+AN12*Pricing!H$2+AO12*Pricing!I$2+AP12*Pricing!J$2+AQ12*Pricing!K$2)*IF(T$30="N",(1+V$30),1)</f>
        <v>0</v>
      </c>
      <c r="AW12">
        <f t="shared" si="13"/>
        <v>0</v>
      </c>
      <c r="AX12">
        <f t="shared" si="14"/>
        <v>0</v>
      </c>
      <c r="AY12">
        <f t="shared" si="15"/>
        <v>0</v>
      </c>
      <c r="AZ12">
        <f t="shared" si="16"/>
        <v>0</v>
      </c>
      <c r="BA12">
        <f t="shared" si="17"/>
        <v>0</v>
      </c>
      <c r="BB12">
        <f t="shared" si="18"/>
        <v>0</v>
      </c>
      <c r="BC12">
        <f t="shared" si="19"/>
        <v>0</v>
      </c>
      <c r="BD12">
        <f t="shared" si="20"/>
        <v>0</v>
      </c>
      <c r="BE12">
        <f t="shared" si="21"/>
        <v>0</v>
      </c>
      <c r="BF12">
        <f t="shared" si="22"/>
        <v>0</v>
      </c>
      <c r="BG12">
        <f t="shared" si="23"/>
        <v>0</v>
      </c>
      <c r="BH12">
        <f t="shared" si="24"/>
        <v>0</v>
      </c>
      <c r="BJ12">
        <f t="shared" si="27"/>
        <v>0</v>
      </c>
    </row>
    <row r="13" spans="1:62" ht="22" customHeight="1" x14ac:dyDescent="0.35">
      <c r="A13" s="1979" t="s">
        <v>799</v>
      </c>
      <c r="B13" s="1981"/>
      <c r="C13" s="3078"/>
      <c r="D13" s="3079"/>
      <c r="E13" s="121"/>
      <c r="F13" s="1315"/>
      <c r="G13" s="126"/>
      <c r="H13" s="30"/>
      <c r="I13" s="777"/>
      <c r="J13" s="126"/>
      <c r="K13" s="127"/>
      <c r="L13" s="30"/>
      <c r="M13" s="121"/>
      <c r="N13" s="30"/>
      <c r="O13" s="121"/>
      <c r="P13" s="121"/>
      <c r="Q13" s="928">
        <f t="shared" si="0"/>
        <v>0</v>
      </c>
      <c r="R13" s="929">
        <v>0</v>
      </c>
      <c r="S13" s="930">
        <f t="shared" si="1"/>
        <v>0</v>
      </c>
      <c r="T13" s="931">
        <f t="shared" si="25"/>
        <v>0</v>
      </c>
      <c r="U13" s="1483">
        <f t="shared" si="2"/>
        <v>0</v>
      </c>
      <c r="V13" s="2488">
        <f>SUM(AV13:BH13)*(1+L$31+Summary!P$64)</f>
        <v>0</v>
      </c>
      <c r="W13" s="2489"/>
      <c r="X13" s="299"/>
      <c r="AE13">
        <f t="shared" si="3"/>
        <v>0</v>
      </c>
      <c r="AF13">
        <f t="shared" si="4"/>
        <v>0</v>
      </c>
      <c r="AK13">
        <f t="shared" si="5"/>
        <v>0</v>
      </c>
      <c r="AL13">
        <f t="shared" si="6"/>
        <v>0</v>
      </c>
      <c r="AM13">
        <f t="shared" si="7"/>
        <v>0</v>
      </c>
      <c r="AN13">
        <f t="shared" si="8"/>
        <v>0</v>
      </c>
      <c r="AO13">
        <f t="shared" si="9"/>
        <v>0</v>
      </c>
      <c r="AP13">
        <f t="shared" si="10"/>
        <v>0</v>
      </c>
      <c r="AQ13">
        <f t="shared" si="11"/>
        <v>0</v>
      </c>
      <c r="AR13">
        <f t="shared" si="26"/>
        <v>0</v>
      </c>
      <c r="AS13">
        <f t="shared" si="12"/>
        <v>0</v>
      </c>
      <c r="AV13">
        <f>(AL13*Pricing!F$2+AM13*Pricing!G$2+AN13*Pricing!H$2+AO13*Pricing!I$2+AP13*Pricing!J$2+AQ13*Pricing!K$2)*IF(T$30="N",(1+V$30),1)</f>
        <v>0</v>
      </c>
      <c r="AW13">
        <f t="shared" si="13"/>
        <v>0</v>
      </c>
      <c r="AX13">
        <f t="shared" si="14"/>
        <v>0</v>
      </c>
      <c r="AY13">
        <f t="shared" si="15"/>
        <v>0</v>
      </c>
      <c r="AZ13">
        <f t="shared" si="16"/>
        <v>0</v>
      </c>
      <c r="BA13">
        <f t="shared" si="17"/>
        <v>0</v>
      </c>
      <c r="BB13">
        <f t="shared" si="18"/>
        <v>0</v>
      </c>
      <c r="BC13">
        <f t="shared" si="19"/>
        <v>0</v>
      </c>
      <c r="BD13">
        <f t="shared" si="20"/>
        <v>0</v>
      </c>
      <c r="BE13">
        <f t="shared" si="21"/>
        <v>0</v>
      </c>
      <c r="BF13">
        <f t="shared" si="22"/>
        <v>0</v>
      </c>
      <c r="BG13">
        <f t="shared" si="23"/>
        <v>0</v>
      </c>
      <c r="BH13">
        <f t="shared" si="24"/>
        <v>0</v>
      </c>
      <c r="BJ13">
        <f t="shared" si="27"/>
        <v>0</v>
      </c>
    </row>
    <row r="14" spans="1:62" ht="22" customHeight="1" x14ac:dyDescent="0.35">
      <c r="A14" s="1979" t="s">
        <v>800</v>
      </c>
      <c r="B14" s="1981"/>
      <c r="C14" s="3078"/>
      <c r="D14" s="3079"/>
      <c r="E14" s="121"/>
      <c r="F14" s="1315"/>
      <c r="G14" s="126"/>
      <c r="H14" s="30"/>
      <c r="I14" s="777"/>
      <c r="J14" s="126"/>
      <c r="K14" s="127"/>
      <c r="L14" s="30"/>
      <c r="M14" s="121"/>
      <c r="N14" s="30"/>
      <c r="O14" s="121"/>
      <c r="P14" s="121"/>
      <c r="Q14" s="928">
        <f t="shared" si="0"/>
        <v>0</v>
      </c>
      <c r="R14" s="929">
        <v>0</v>
      </c>
      <c r="S14" s="930">
        <f t="shared" si="1"/>
        <v>0</v>
      </c>
      <c r="T14" s="931">
        <f t="shared" si="25"/>
        <v>0</v>
      </c>
      <c r="U14" s="1483">
        <f t="shared" si="2"/>
        <v>0</v>
      </c>
      <c r="V14" s="2488">
        <f>SUM(AV14:BH14)*(1+L$31+Summary!P$64)</f>
        <v>0</v>
      </c>
      <c r="W14" s="2489"/>
      <c r="X14" s="299"/>
      <c r="AE14">
        <f t="shared" si="3"/>
        <v>0</v>
      </c>
      <c r="AF14">
        <f t="shared" si="4"/>
        <v>0</v>
      </c>
      <c r="AK14">
        <f t="shared" si="5"/>
        <v>0</v>
      </c>
      <c r="AL14">
        <f t="shared" si="6"/>
        <v>0</v>
      </c>
      <c r="AM14">
        <f t="shared" si="7"/>
        <v>0</v>
      </c>
      <c r="AN14">
        <f t="shared" si="8"/>
        <v>0</v>
      </c>
      <c r="AO14">
        <f t="shared" si="9"/>
        <v>0</v>
      </c>
      <c r="AP14">
        <f t="shared" si="10"/>
        <v>0</v>
      </c>
      <c r="AQ14">
        <f t="shared" si="11"/>
        <v>0</v>
      </c>
      <c r="AR14">
        <f t="shared" si="26"/>
        <v>0</v>
      </c>
      <c r="AS14">
        <f t="shared" si="12"/>
        <v>0</v>
      </c>
      <c r="AV14">
        <f>(AL14*Pricing!F$2+AM14*Pricing!G$2+AN14*Pricing!H$2+AO14*Pricing!I$2+AP14*Pricing!J$2+AQ14*Pricing!K$2)*IF(T$30="N",(1+V$30),1)</f>
        <v>0</v>
      </c>
      <c r="AW14">
        <f t="shared" si="13"/>
        <v>0</v>
      </c>
      <c r="AX14">
        <f t="shared" si="14"/>
        <v>0</v>
      </c>
      <c r="AY14">
        <f t="shared" si="15"/>
        <v>0</v>
      </c>
      <c r="AZ14">
        <f t="shared" si="16"/>
        <v>0</v>
      </c>
      <c r="BA14">
        <f t="shared" si="17"/>
        <v>0</v>
      </c>
      <c r="BB14">
        <f t="shared" si="18"/>
        <v>0</v>
      </c>
      <c r="BC14">
        <f t="shared" si="19"/>
        <v>0</v>
      </c>
      <c r="BD14">
        <f t="shared" si="20"/>
        <v>0</v>
      </c>
      <c r="BE14">
        <f t="shared" si="21"/>
        <v>0</v>
      </c>
      <c r="BF14">
        <f t="shared" si="22"/>
        <v>0</v>
      </c>
      <c r="BG14">
        <f t="shared" si="23"/>
        <v>0</v>
      </c>
      <c r="BH14">
        <f t="shared" si="24"/>
        <v>0</v>
      </c>
      <c r="BJ14">
        <f t="shared" si="27"/>
        <v>0</v>
      </c>
    </row>
    <row r="15" spans="1:62" ht="22" customHeight="1" x14ac:dyDescent="0.35">
      <c r="A15" s="1979" t="s">
        <v>800</v>
      </c>
      <c r="B15" s="1981"/>
      <c r="C15" s="3078"/>
      <c r="D15" s="3079"/>
      <c r="E15" s="121"/>
      <c r="F15" s="1315"/>
      <c r="G15" s="126"/>
      <c r="H15" s="30"/>
      <c r="I15" s="777"/>
      <c r="J15" s="126"/>
      <c r="K15" s="127"/>
      <c r="L15" s="30"/>
      <c r="M15" s="121"/>
      <c r="N15" s="30"/>
      <c r="O15" s="121"/>
      <c r="P15" s="121"/>
      <c r="Q15" s="928">
        <f t="shared" si="0"/>
        <v>0</v>
      </c>
      <c r="R15" s="929">
        <v>0</v>
      </c>
      <c r="S15" s="930">
        <f t="shared" si="1"/>
        <v>0</v>
      </c>
      <c r="T15" s="931">
        <f t="shared" si="25"/>
        <v>0</v>
      </c>
      <c r="U15" s="1483">
        <f t="shared" si="2"/>
        <v>0</v>
      </c>
      <c r="V15" s="2488">
        <f>SUM(AV15:BH15)*(1+L$31+Summary!P$64)</f>
        <v>0</v>
      </c>
      <c r="W15" s="2489"/>
      <c r="X15" s="299"/>
      <c r="AE15">
        <f t="shared" si="3"/>
        <v>0</v>
      </c>
      <c r="AF15">
        <f t="shared" si="4"/>
        <v>0</v>
      </c>
      <c r="AK15">
        <f t="shared" si="5"/>
        <v>0</v>
      </c>
      <c r="AL15">
        <f t="shared" si="6"/>
        <v>0</v>
      </c>
      <c r="AM15">
        <f t="shared" si="7"/>
        <v>0</v>
      </c>
      <c r="AN15">
        <f t="shared" si="8"/>
        <v>0</v>
      </c>
      <c r="AO15">
        <f t="shared" si="9"/>
        <v>0</v>
      </c>
      <c r="AP15">
        <f t="shared" si="10"/>
        <v>0</v>
      </c>
      <c r="AQ15">
        <f t="shared" si="11"/>
        <v>0</v>
      </c>
      <c r="AR15">
        <f t="shared" si="26"/>
        <v>0</v>
      </c>
      <c r="AS15">
        <f t="shared" si="12"/>
        <v>0</v>
      </c>
      <c r="AV15">
        <f>(AL15*Pricing!F$2+AM15*Pricing!G$2+AN15*Pricing!H$2+AO15*Pricing!I$2+AP15*Pricing!J$2+AQ15*Pricing!K$2)*IF(T$30="N",(1+V$30),1)</f>
        <v>0</v>
      </c>
      <c r="AW15">
        <f t="shared" si="13"/>
        <v>0</v>
      </c>
      <c r="AX15">
        <f t="shared" si="14"/>
        <v>0</v>
      </c>
      <c r="AY15">
        <f t="shared" si="15"/>
        <v>0</v>
      </c>
      <c r="AZ15">
        <f t="shared" si="16"/>
        <v>0</v>
      </c>
      <c r="BA15">
        <f t="shared" si="17"/>
        <v>0</v>
      </c>
      <c r="BB15">
        <f t="shared" si="18"/>
        <v>0</v>
      </c>
      <c r="BC15">
        <f t="shared" si="19"/>
        <v>0</v>
      </c>
      <c r="BD15">
        <f t="shared" si="20"/>
        <v>0</v>
      </c>
      <c r="BE15">
        <f t="shared" si="21"/>
        <v>0</v>
      </c>
      <c r="BF15">
        <f t="shared" si="22"/>
        <v>0</v>
      </c>
      <c r="BG15">
        <f t="shared" si="23"/>
        <v>0</v>
      </c>
      <c r="BH15">
        <f t="shared" si="24"/>
        <v>0</v>
      </c>
      <c r="BJ15">
        <f t="shared" si="27"/>
        <v>0</v>
      </c>
    </row>
    <row r="16" spans="1:62" ht="22" customHeight="1" x14ac:dyDescent="0.35">
      <c r="A16" s="1979" t="s">
        <v>392</v>
      </c>
      <c r="B16" s="1981"/>
      <c r="C16" s="3080"/>
      <c r="D16" s="3079"/>
      <c r="E16" s="121"/>
      <c r="F16" s="1315"/>
      <c r="G16" s="126"/>
      <c r="H16" s="30"/>
      <c r="I16" s="777"/>
      <c r="J16" s="126"/>
      <c r="K16" s="127"/>
      <c r="L16" s="30"/>
      <c r="M16" s="121"/>
      <c r="N16" s="30"/>
      <c r="O16" s="121"/>
      <c r="P16" s="121"/>
      <c r="Q16" s="928">
        <f t="shared" si="0"/>
        <v>0</v>
      </c>
      <c r="R16" s="929">
        <v>0</v>
      </c>
      <c r="S16" s="930">
        <f t="shared" si="1"/>
        <v>0</v>
      </c>
      <c r="T16" s="931">
        <f t="shared" si="25"/>
        <v>0</v>
      </c>
      <c r="U16" s="1483">
        <f t="shared" si="2"/>
        <v>0</v>
      </c>
      <c r="V16" s="2488">
        <f>SUM(AV16:BH16)*(1+L$31+Summary!P$64)</f>
        <v>0</v>
      </c>
      <c r="W16" s="2489"/>
      <c r="X16" s="299"/>
      <c r="AE16">
        <f t="shared" si="3"/>
        <v>0</v>
      </c>
      <c r="AF16">
        <f t="shared" si="4"/>
        <v>0</v>
      </c>
      <c r="AK16">
        <f t="shared" si="5"/>
        <v>0</v>
      </c>
      <c r="AL16">
        <f t="shared" si="6"/>
        <v>0</v>
      </c>
      <c r="AM16">
        <f t="shared" si="7"/>
        <v>0</v>
      </c>
      <c r="AN16">
        <f t="shared" si="8"/>
        <v>0</v>
      </c>
      <c r="AO16">
        <f t="shared" si="9"/>
        <v>0</v>
      </c>
      <c r="AP16">
        <f t="shared" si="10"/>
        <v>0</v>
      </c>
      <c r="AQ16">
        <f t="shared" si="11"/>
        <v>0</v>
      </c>
      <c r="AR16">
        <f t="shared" si="26"/>
        <v>0</v>
      </c>
      <c r="AS16">
        <f t="shared" si="12"/>
        <v>0</v>
      </c>
      <c r="AV16">
        <f>(AL16*Pricing!F$2+AM16*Pricing!G$2+AN16*Pricing!H$2+AO16*Pricing!I$2+AP16*Pricing!J$2+AQ16*Pricing!K$2)*IF(T$30="N",(1+V$30),1)</f>
        <v>0</v>
      </c>
      <c r="AW16">
        <f t="shared" si="13"/>
        <v>0</v>
      </c>
      <c r="AX16">
        <f t="shared" si="14"/>
        <v>0</v>
      </c>
      <c r="AY16">
        <f t="shared" si="15"/>
        <v>0</v>
      </c>
      <c r="AZ16">
        <f t="shared" si="16"/>
        <v>0</v>
      </c>
      <c r="BA16">
        <f t="shared" si="17"/>
        <v>0</v>
      </c>
      <c r="BB16">
        <f t="shared" si="18"/>
        <v>0</v>
      </c>
      <c r="BC16">
        <f t="shared" si="19"/>
        <v>0</v>
      </c>
      <c r="BD16">
        <f t="shared" si="20"/>
        <v>0</v>
      </c>
      <c r="BE16">
        <f t="shared" si="21"/>
        <v>0</v>
      </c>
      <c r="BF16">
        <f t="shared" si="22"/>
        <v>0</v>
      </c>
      <c r="BG16">
        <f t="shared" si="23"/>
        <v>0</v>
      </c>
      <c r="BH16">
        <f t="shared" si="24"/>
        <v>0</v>
      </c>
      <c r="BJ16">
        <f t="shared" si="27"/>
        <v>0</v>
      </c>
    </row>
    <row r="17" spans="1:62" ht="22" customHeight="1" x14ac:dyDescent="0.35">
      <c r="A17" s="1979" t="s">
        <v>393</v>
      </c>
      <c r="B17" s="1981"/>
      <c r="C17" s="3080"/>
      <c r="D17" s="3079"/>
      <c r="E17" s="121"/>
      <c r="F17" s="1315"/>
      <c r="G17" s="126"/>
      <c r="H17" s="30"/>
      <c r="I17" s="777"/>
      <c r="J17" s="126"/>
      <c r="K17" s="127"/>
      <c r="L17" s="30"/>
      <c r="M17" s="121"/>
      <c r="N17" s="30"/>
      <c r="O17" s="121"/>
      <c r="P17" s="121"/>
      <c r="Q17" s="928">
        <f t="shared" si="0"/>
        <v>0</v>
      </c>
      <c r="R17" s="929">
        <v>0</v>
      </c>
      <c r="S17" s="930">
        <f t="shared" si="1"/>
        <v>0</v>
      </c>
      <c r="T17" s="931">
        <f t="shared" si="25"/>
        <v>0</v>
      </c>
      <c r="U17" s="1483">
        <f t="shared" si="2"/>
        <v>0</v>
      </c>
      <c r="V17" s="2488">
        <f>SUM(AV17:BH17)*(1+L$31+Summary!P$64)</f>
        <v>0</v>
      </c>
      <c r="W17" s="2489"/>
      <c r="X17" s="299"/>
      <c r="AE17">
        <f t="shared" si="3"/>
        <v>0</v>
      </c>
      <c r="AF17">
        <f t="shared" si="4"/>
        <v>0</v>
      </c>
      <c r="AK17">
        <f t="shared" si="5"/>
        <v>0</v>
      </c>
      <c r="AL17">
        <f t="shared" si="6"/>
        <v>0</v>
      </c>
      <c r="AM17">
        <f t="shared" si="7"/>
        <v>0</v>
      </c>
      <c r="AN17">
        <f t="shared" si="8"/>
        <v>0</v>
      </c>
      <c r="AO17">
        <f t="shared" si="9"/>
        <v>0</v>
      </c>
      <c r="AP17">
        <f t="shared" si="10"/>
        <v>0</v>
      </c>
      <c r="AQ17">
        <f t="shared" si="11"/>
        <v>0</v>
      </c>
      <c r="AR17">
        <f t="shared" si="26"/>
        <v>0</v>
      </c>
      <c r="AS17">
        <f t="shared" si="12"/>
        <v>0</v>
      </c>
      <c r="AV17">
        <f>(AL17*Pricing!F$2+AM17*Pricing!G$2+AN17*Pricing!H$2+AO17*Pricing!I$2+AP17*Pricing!J$2+AQ17*Pricing!K$2)*IF(T$30="N",(1+V$30),1)</f>
        <v>0</v>
      </c>
      <c r="AW17">
        <f t="shared" si="13"/>
        <v>0</v>
      </c>
      <c r="AX17">
        <f t="shared" si="14"/>
        <v>0</v>
      </c>
      <c r="AY17">
        <f t="shared" si="15"/>
        <v>0</v>
      </c>
      <c r="AZ17">
        <f t="shared" si="16"/>
        <v>0</v>
      </c>
      <c r="BA17">
        <f t="shared" si="17"/>
        <v>0</v>
      </c>
      <c r="BB17">
        <f t="shared" si="18"/>
        <v>0</v>
      </c>
      <c r="BC17">
        <f t="shared" si="19"/>
        <v>0</v>
      </c>
      <c r="BD17">
        <f t="shared" si="20"/>
        <v>0</v>
      </c>
      <c r="BE17">
        <f t="shared" si="21"/>
        <v>0</v>
      </c>
      <c r="BF17">
        <f t="shared" si="22"/>
        <v>0</v>
      </c>
      <c r="BG17">
        <f t="shared" si="23"/>
        <v>0</v>
      </c>
      <c r="BH17">
        <f t="shared" si="24"/>
        <v>0</v>
      </c>
      <c r="BJ17">
        <f t="shared" si="27"/>
        <v>0</v>
      </c>
    </row>
    <row r="18" spans="1:62" ht="22" customHeight="1" x14ac:dyDescent="0.35">
      <c r="A18" s="1979" t="s">
        <v>394</v>
      </c>
      <c r="B18" s="1981"/>
      <c r="C18" s="3080"/>
      <c r="D18" s="3079"/>
      <c r="E18" s="121"/>
      <c r="F18" s="1315"/>
      <c r="G18" s="126"/>
      <c r="H18" s="30"/>
      <c r="I18" s="777"/>
      <c r="J18" s="126"/>
      <c r="K18" s="127"/>
      <c r="L18" s="30"/>
      <c r="M18" s="121"/>
      <c r="N18" s="30"/>
      <c r="O18" s="121"/>
      <c r="P18" s="121"/>
      <c r="Q18" s="928">
        <f t="shared" si="0"/>
        <v>0</v>
      </c>
      <c r="R18" s="929">
        <v>0</v>
      </c>
      <c r="S18" s="930">
        <f t="shared" si="1"/>
        <v>0</v>
      </c>
      <c r="T18" s="931">
        <f t="shared" si="25"/>
        <v>0</v>
      </c>
      <c r="U18" s="1483">
        <f t="shared" si="2"/>
        <v>0</v>
      </c>
      <c r="V18" s="2488">
        <f>SUM(AV18:BH18)*(1+L$31+Summary!P$64)</f>
        <v>0</v>
      </c>
      <c r="W18" s="2489"/>
      <c r="X18" s="299"/>
      <c r="AE18">
        <f t="shared" si="3"/>
        <v>0</v>
      </c>
      <c r="AF18">
        <f t="shared" si="4"/>
        <v>0</v>
      </c>
      <c r="AK18">
        <f t="shared" si="5"/>
        <v>0</v>
      </c>
      <c r="AL18">
        <f t="shared" si="6"/>
        <v>0</v>
      </c>
      <c r="AM18">
        <f t="shared" si="7"/>
        <v>0</v>
      </c>
      <c r="AN18">
        <f t="shared" si="8"/>
        <v>0</v>
      </c>
      <c r="AO18">
        <f t="shared" si="9"/>
        <v>0</v>
      </c>
      <c r="AP18">
        <f t="shared" si="10"/>
        <v>0</v>
      </c>
      <c r="AQ18">
        <f t="shared" si="11"/>
        <v>0</v>
      </c>
      <c r="AR18">
        <f t="shared" si="26"/>
        <v>0</v>
      </c>
      <c r="AS18">
        <f t="shared" si="12"/>
        <v>0</v>
      </c>
      <c r="AV18">
        <f>(AL18*Pricing!F$2+AM18*Pricing!G$2+AN18*Pricing!H$2+AO18*Pricing!I$2+AP18*Pricing!J$2+AQ18*Pricing!K$2)*IF(T$30="N",(1+V$30),1)</f>
        <v>0</v>
      </c>
      <c r="AW18">
        <f t="shared" si="13"/>
        <v>0</v>
      </c>
      <c r="AX18">
        <f t="shared" si="14"/>
        <v>0</v>
      </c>
      <c r="AY18">
        <f t="shared" si="15"/>
        <v>0</v>
      </c>
      <c r="AZ18">
        <f t="shared" si="16"/>
        <v>0</v>
      </c>
      <c r="BA18">
        <f t="shared" si="17"/>
        <v>0</v>
      </c>
      <c r="BB18">
        <f t="shared" si="18"/>
        <v>0</v>
      </c>
      <c r="BC18">
        <f t="shared" si="19"/>
        <v>0</v>
      </c>
      <c r="BD18">
        <f t="shared" si="20"/>
        <v>0</v>
      </c>
      <c r="BE18">
        <f t="shared" si="21"/>
        <v>0</v>
      </c>
      <c r="BF18">
        <f t="shared" si="22"/>
        <v>0</v>
      </c>
      <c r="BG18">
        <f t="shared" si="23"/>
        <v>0</v>
      </c>
      <c r="BH18">
        <f t="shared" si="24"/>
        <v>0</v>
      </c>
      <c r="BJ18">
        <f t="shared" si="27"/>
        <v>0</v>
      </c>
    </row>
    <row r="19" spans="1:62" ht="22" customHeight="1" x14ac:dyDescent="0.35">
      <c r="A19" s="1979" t="s">
        <v>395</v>
      </c>
      <c r="B19" s="1981"/>
      <c r="C19" s="3080"/>
      <c r="D19" s="3079"/>
      <c r="E19" s="121"/>
      <c r="F19" s="1315"/>
      <c r="G19" s="126"/>
      <c r="H19" s="30"/>
      <c r="I19" s="777"/>
      <c r="J19" s="126"/>
      <c r="K19" s="127"/>
      <c r="L19" s="30"/>
      <c r="M19" s="121"/>
      <c r="N19" s="30"/>
      <c r="O19" s="121"/>
      <c r="P19" s="121"/>
      <c r="Q19" s="928">
        <f t="shared" si="0"/>
        <v>0</v>
      </c>
      <c r="R19" s="929">
        <v>0</v>
      </c>
      <c r="S19" s="930">
        <f t="shared" si="1"/>
        <v>0</v>
      </c>
      <c r="T19" s="931">
        <f t="shared" si="25"/>
        <v>0</v>
      </c>
      <c r="U19" s="1483">
        <f t="shared" si="2"/>
        <v>0</v>
      </c>
      <c r="V19" s="2488">
        <f>SUM(AV19:BH19)*(1+L$31+Summary!P$64)</f>
        <v>0</v>
      </c>
      <c r="W19" s="2489"/>
      <c r="X19" s="299"/>
      <c r="AE19">
        <f t="shared" si="3"/>
        <v>0</v>
      </c>
      <c r="AF19">
        <f t="shared" si="4"/>
        <v>0</v>
      </c>
      <c r="AK19">
        <f t="shared" si="5"/>
        <v>0</v>
      </c>
      <c r="AL19">
        <f t="shared" si="6"/>
        <v>0</v>
      </c>
      <c r="AM19">
        <f t="shared" si="7"/>
        <v>0</v>
      </c>
      <c r="AN19">
        <f t="shared" si="8"/>
        <v>0</v>
      </c>
      <c r="AO19">
        <f t="shared" si="9"/>
        <v>0</v>
      </c>
      <c r="AP19">
        <f t="shared" si="10"/>
        <v>0</v>
      </c>
      <c r="AQ19">
        <f t="shared" si="11"/>
        <v>0</v>
      </c>
      <c r="AR19">
        <f t="shared" si="26"/>
        <v>0</v>
      </c>
      <c r="AS19">
        <f t="shared" si="12"/>
        <v>0</v>
      </c>
      <c r="AV19">
        <f>(AL19*Pricing!F$2+AM19*Pricing!G$2+AN19*Pricing!H$2+AO19*Pricing!I$2+AP19*Pricing!J$2+AQ19*Pricing!K$2)*IF(T$30="N",(1+V$30),1)</f>
        <v>0</v>
      </c>
      <c r="AW19">
        <f t="shared" si="13"/>
        <v>0</v>
      </c>
      <c r="AX19">
        <f t="shared" si="14"/>
        <v>0</v>
      </c>
      <c r="AY19">
        <f t="shared" si="15"/>
        <v>0</v>
      </c>
      <c r="AZ19">
        <f t="shared" si="16"/>
        <v>0</v>
      </c>
      <c r="BA19">
        <f t="shared" si="17"/>
        <v>0</v>
      </c>
      <c r="BB19">
        <f t="shared" si="18"/>
        <v>0</v>
      </c>
      <c r="BC19">
        <f t="shared" si="19"/>
        <v>0</v>
      </c>
      <c r="BD19">
        <f t="shared" si="20"/>
        <v>0</v>
      </c>
      <c r="BE19">
        <f t="shared" si="21"/>
        <v>0</v>
      </c>
      <c r="BF19">
        <f t="shared" si="22"/>
        <v>0</v>
      </c>
      <c r="BG19">
        <f t="shared" si="23"/>
        <v>0</v>
      </c>
      <c r="BH19">
        <f t="shared" si="24"/>
        <v>0</v>
      </c>
      <c r="BJ19">
        <f t="shared" si="27"/>
        <v>0</v>
      </c>
    </row>
    <row r="20" spans="1:62" ht="22" customHeight="1" x14ac:dyDescent="0.35">
      <c r="A20" s="1979" t="s">
        <v>396</v>
      </c>
      <c r="B20" s="1981"/>
      <c r="C20" s="3080">
        <v>0</v>
      </c>
      <c r="D20" s="3079"/>
      <c r="E20" s="121"/>
      <c r="F20" s="1315"/>
      <c r="G20" s="126"/>
      <c r="H20" s="30"/>
      <c r="I20" s="777"/>
      <c r="J20" s="126"/>
      <c r="K20" s="127"/>
      <c r="L20" s="30"/>
      <c r="M20" s="121"/>
      <c r="N20" s="30"/>
      <c r="O20" s="121"/>
      <c r="P20" s="121"/>
      <c r="Q20" s="928">
        <f t="shared" si="0"/>
        <v>0</v>
      </c>
      <c r="R20" s="929">
        <v>0</v>
      </c>
      <c r="S20" s="930">
        <f t="shared" si="1"/>
        <v>0</v>
      </c>
      <c r="T20" s="931">
        <f t="shared" si="25"/>
        <v>0</v>
      </c>
      <c r="U20" s="1483">
        <f t="shared" si="2"/>
        <v>0</v>
      </c>
      <c r="V20" s="2488">
        <f>SUM(AV20:BH20)*(1+L$31+Summary!P$64)</f>
        <v>0</v>
      </c>
      <c r="W20" s="2489"/>
      <c r="X20" s="299"/>
      <c r="AE20">
        <f t="shared" si="3"/>
        <v>0</v>
      </c>
      <c r="AF20">
        <f t="shared" si="4"/>
        <v>0</v>
      </c>
      <c r="AK20">
        <f t="shared" si="5"/>
        <v>0</v>
      </c>
      <c r="AL20">
        <f t="shared" si="6"/>
        <v>0</v>
      </c>
      <c r="AM20">
        <f t="shared" si="7"/>
        <v>0</v>
      </c>
      <c r="AN20">
        <f t="shared" si="8"/>
        <v>0</v>
      </c>
      <c r="AO20">
        <f t="shared" si="9"/>
        <v>0</v>
      </c>
      <c r="AP20">
        <f t="shared" si="10"/>
        <v>0</v>
      </c>
      <c r="AQ20">
        <f t="shared" si="11"/>
        <v>0</v>
      </c>
      <c r="AR20">
        <f t="shared" si="26"/>
        <v>0</v>
      </c>
      <c r="AS20">
        <f t="shared" si="12"/>
        <v>0</v>
      </c>
      <c r="AV20">
        <f>(AL20*Pricing!F$2+AM20*Pricing!G$2+AN20*Pricing!H$2+AO20*Pricing!I$2+AP20*Pricing!J$2+AQ20*Pricing!K$2)*IF(T$30="N",(1+V$30),1)</f>
        <v>0</v>
      </c>
      <c r="AW20">
        <f t="shared" si="13"/>
        <v>0</v>
      </c>
      <c r="AX20">
        <f t="shared" si="14"/>
        <v>0</v>
      </c>
      <c r="AY20">
        <f t="shared" si="15"/>
        <v>0</v>
      </c>
      <c r="AZ20">
        <f t="shared" si="16"/>
        <v>0</v>
      </c>
      <c r="BA20">
        <f t="shared" si="17"/>
        <v>0</v>
      </c>
      <c r="BB20">
        <f t="shared" si="18"/>
        <v>0</v>
      </c>
      <c r="BC20">
        <f t="shared" si="19"/>
        <v>0</v>
      </c>
      <c r="BD20">
        <f t="shared" si="20"/>
        <v>0</v>
      </c>
      <c r="BE20">
        <f t="shared" si="21"/>
        <v>0</v>
      </c>
      <c r="BF20">
        <f t="shared" si="22"/>
        <v>0</v>
      </c>
      <c r="BG20">
        <f t="shared" si="23"/>
        <v>0</v>
      </c>
      <c r="BH20">
        <f t="shared" si="24"/>
        <v>0</v>
      </c>
      <c r="BJ20">
        <f t="shared" si="27"/>
        <v>0</v>
      </c>
    </row>
    <row r="21" spans="1:62" ht="22" customHeight="1" x14ac:dyDescent="0.35">
      <c r="A21" s="1979" t="s">
        <v>397</v>
      </c>
      <c r="B21" s="1981"/>
      <c r="C21" s="3080">
        <v>0</v>
      </c>
      <c r="D21" s="3079"/>
      <c r="E21" s="121"/>
      <c r="F21" s="1315"/>
      <c r="G21" s="126"/>
      <c r="H21" s="30"/>
      <c r="I21" s="777"/>
      <c r="J21" s="126"/>
      <c r="K21" s="127"/>
      <c r="L21" s="30"/>
      <c r="M21" s="121"/>
      <c r="N21" s="30"/>
      <c r="O21" s="121"/>
      <c r="P21" s="121"/>
      <c r="Q21" s="928">
        <f t="shared" si="0"/>
        <v>0</v>
      </c>
      <c r="R21" s="929">
        <v>0</v>
      </c>
      <c r="S21" s="930">
        <f t="shared" si="1"/>
        <v>0</v>
      </c>
      <c r="T21" s="931">
        <f t="shared" si="25"/>
        <v>0</v>
      </c>
      <c r="U21" s="1483">
        <f t="shared" si="2"/>
        <v>0</v>
      </c>
      <c r="V21" s="2488">
        <f>SUM(AV21:BH21)*(1+L$31+Summary!P$64)</f>
        <v>0</v>
      </c>
      <c r="W21" s="2489"/>
      <c r="X21" s="299"/>
      <c r="AE21">
        <f t="shared" si="3"/>
        <v>0</v>
      </c>
      <c r="AF21">
        <f t="shared" si="4"/>
        <v>0</v>
      </c>
      <c r="AK21">
        <f t="shared" si="5"/>
        <v>0</v>
      </c>
      <c r="AL21">
        <f t="shared" si="6"/>
        <v>0</v>
      </c>
      <c r="AM21">
        <f t="shared" si="7"/>
        <v>0</v>
      </c>
      <c r="AN21">
        <f t="shared" si="8"/>
        <v>0</v>
      </c>
      <c r="AO21">
        <f t="shared" si="9"/>
        <v>0</v>
      </c>
      <c r="AP21">
        <f t="shared" si="10"/>
        <v>0</v>
      </c>
      <c r="AQ21">
        <f t="shared" si="11"/>
        <v>0</v>
      </c>
      <c r="AR21">
        <f t="shared" si="26"/>
        <v>0</v>
      </c>
      <c r="AS21">
        <f t="shared" si="12"/>
        <v>0</v>
      </c>
      <c r="AV21">
        <f>(AL21*Pricing!F$2+AM21*Pricing!G$2+AN21*Pricing!H$2+AO21*Pricing!I$2+AP21*Pricing!J$2+AQ21*Pricing!K$2)*IF(T$30="N",(1+V$30),1)</f>
        <v>0</v>
      </c>
      <c r="AW21">
        <f t="shared" si="13"/>
        <v>0</v>
      </c>
      <c r="AX21">
        <f t="shared" si="14"/>
        <v>0</v>
      </c>
      <c r="AY21">
        <f t="shared" si="15"/>
        <v>0</v>
      </c>
      <c r="AZ21">
        <f t="shared" si="16"/>
        <v>0</v>
      </c>
      <c r="BA21">
        <f t="shared" si="17"/>
        <v>0</v>
      </c>
      <c r="BB21">
        <f t="shared" si="18"/>
        <v>0</v>
      </c>
      <c r="BC21">
        <f t="shared" si="19"/>
        <v>0</v>
      </c>
      <c r="BD21">
        <f t="shared" si="20"/>
        <v>0</v>
      </c>
      <c r="BE21">
        <f t="shared" si="21"/>
        <v>0</v>
      </c>
      <c r="BF21">
        <f t="shared" si="22"/>
        <v>0</v>
      </c>
      <c r="BG21">
        <f t="shared" si="23"/>
        <v>0</v>
      </c>
      <c r="BH21">
        <f t="shared" si="24"/>
        <v>0</v>
      </c>
      <c r="BJ21">
        <f t="shared" si="27"/>
        <v>0</v>
      </c>
    </row>
    <row r="22" spans="1:62" ht="22" customHeight="1" x14ac:dyDescent="0.35">
      <c r="A22" s="1979" t="s">
        <v>398</v>
      </c>
      <c r="B22" s="1981"/>
      <c r="C22" s="3080">
        <v>0</v>
      </c>
      <c r="D22" s="3079"/>
      <c r="E22" s="121"/>
      <c r="F22" s="1315"/>
      <c r="G22" s="126"/>
      <c r="H22" s="30"/>
      <c r="I22" s="777"/>
      <c r="J22" s="126"/>
      <c r="K22" s="127"/>
      <c r="L22" s="30"/>
      <c r="M22" s="121"/>
      <c r="N22" s="30"/>
      <c r="O22" s="121"/>
      <c r="P22" s="121"/>
      <c r="Q22" s="928">
        <f t="shared" si="0"/>
        <v>0</v>
      </c>
      <c r="R22" s="929">
        <v>0</v>
      </c>
      <c r="S22" s="930">
        <f t="shared" si="1"/>
        <v>0</v>
      </c>
      <c r="T22" s="931">
        <f t="shared" si="25"/>
        <v>0</v>
      </c>
      <c r="U22" s="1483">
        <f t="shared" si="2"/>
        <v>0</v>
      </c>
      <c r="V22" s="2488">
        <f>SUM(AV22:BH22)*(1+L$31+Summary!P$64)</f>
        <v>0</v>
      </c>
      <c r="W22" s="2489"/>
      <c r="X22" s="299"/>
      <c r="AE22">
        <f t="shared" si="3"/>
        <v>0</v>
      </c>
      <c r="AF22">
        <f t="shared" si="4"/>
        <v>0</v>
      </c>
      <c r="AK22">
        <f t="shared" si="5"/>
        <v>0</v>
      </c>
      <c r="AL22">
        <f t="shared" si="6"/>
        <v>0</v>
      </c>
      <c r="AM22">
        <f t="shared" si="7"/>
        <v>0</v>
      </c>
      <c r="AN22">
        <f t="shared" si="8"/>
        <v>0</v>
      </c>
      <c r="AO22">
        <f t="shared" si="9"/>
        <v>0</v>
      </c>
      <c r="AP22">
        <f t="shared" si="10"/>
        <v>0</v>
      </c>
      <c r="AQ22">
        <f t="shared" si="11"/>
        <v>0</v>
      </c>
      <c r="AR22">
        <f t="shared" si="26"/>
        <v>0</v>
      </c>
      <c r="AS22">
        <f t="shared" si="12"/>
        <v>0</v>
      </c>
      <c r="AV22">
        <f>(AL22*Pricing!F$2+AM22*Pricing!G$2+AN22*Pricing!H$2+AO22*Pricing!I$2+AP22*Pricing!J$2+AQ22*Pricing!K$2)*IF(T$30="N",(1+V$30),1)</f>
        <v>0</v>
      </c>
      <c r="AW22">
        <f t="shared" si="13"/>
        <v>0</v>
      </c>
      <c r="AX22">
        <f t="shared" si="14"/>
        <v>0</v>
      </c>
      <c r="AY22">
        <f t="shared" si="15"/>
        <v>0</v>
      </c>
      <c r="AZ22">
        <f t="shared" si="16"/>
        <v>0</v>
      </c>
      <c r="BA22">
        <f t="shared" si="17"/>
        <v>0</v>
      </c>
      <c r="BB22">
        <f t="shared" si="18"/>
        <v>0</v>
      </c>
      <c r="BC22">
        <f t="shared" si="19"/>
        <v>0</v>
      </c>
      <c r="BD22">
        <f t="shared" si="20"/>
        <v>0</v>
      </c>
      <c r="BE22">
        <f t="shared" si="21"/>
        <v>0</v>
      </c>
      <c r="BF22">
        <f t="shared" si="22"/>
        <v>0</v>
      </c>
      <c r="BG22">
        <f t="shared" si="23"/>
        <v>0</v>
      </c>
      <c r="BH22">
        <f t="shared" si="24"/>
        <v>0</v>
      </c>
      <c r="BJ22">
        <f t="shared" si="27"/>
        <v>0</v>
      </c>
    </row>
    <row r="23" spans="1:62" ht="22" customHeight="1" x14ac:dyDescent="0.35">
      <c r="A23" s="1979" t="s">
        <v>399</v>
      </c>
      <c r="B23" s="1981"/>
      <c r="C23" s="3080">
        <v>0</v>
      </c>
      <c r="D23" s="3079"/>
      <c r="E23" s="121"/>
      <c r="F23" s="1315"/>
      <c r="G23" s="126"/>
      <c r="H23" s="30"/>
      <c r="I23" s="777"/>
      <c r="J23" s="126"/>
      <c r="K23" s="127"/>
      <c r="L23" s="30"/>
      <c r="M23" s="121"/>
      <c r="N23" s="30"/>
      <c r="O23" s="121"/>
      <c r="P23" s="121"/>
      <c r="Q23" s="928">
        <f t="shared" si="0"/>
        <v>0</v>
      </c>
      <c r="R23" s="929">
        <v>0</v>
      </c>
      <c r="S23" s="930">
        <f t="shared" si="1"/>
        <v>0</v>
      </c>
      <c r="T23" s="931">
        <f t="shared" si="25"/>
        <v>0</v>
      </c>
      <c r="U23" s="1483">
        <f t="shared" si="2"/>
        <v>0</v>
      </c>
      <c r="V23" s="2488">
        <f>SUM(AV23:BH23)*(1+L$31+Summary!P$64)</f>
        <v>0</v>
      </c>
      <c r="W23" s="2489"/>
      <c r="X23" s="299"/>
      <c r="AE23">
        <f t="shared" si="3"/>
        <v>0</v>
      </c>
      <c r="AF23">
        <f t="shared" si="4"/>
        <v>0</v>
      </c>
      <c r="AK23">
        <f t="shared" si="5"/>
        <v>0</v>
      </c>
      <c r="AL23">
        <f t="shared" si="6"/>
        <v>0</v>
      </c>
      <c r="AM23">
        <f t="shared" si="7"/>
        <v>0</v>
      </c>
      <c r="AN23">
        <f t="shared" si="8"/>
        <v>0</v>
      </c>
      <c r="AO23">
        <f t="shared" si="9"/>
        <v>0</v>
      </c>
      <c r="AP23">
        <f t="shared" si="10"/>
        <v>0</v>
      </c>
      <c r="AQ23">
        <f t="shared" si="11"/>
        <v>0</v>
      </c>
      <c r="AR23">
        <f t="shared" si="26"/>
        <v>0</v>
      </c>
      <c r="AS23">
        <f t="shared" si="12"/>
        <v>0</v>
      </c>
      <c r="AV23">
        <f>(AL23*Pricing!F$2+AM23*Pricing!G$2+AN23*Pricing!H$2+AO23*Pricing!I$2+AP23*Pricing!J$2+AQ23*Pricing!K$2)*IF(T$30="N",(1+V$30),1)</f>
        <v>0</v>
      </c>
      <c r="AW23">
        <f t="shared" si="13"/>
        <v>0</v>
      </c>
      <c r="AX23">
        <f t="shared" si="14"/>
        <v>0</v>
      </c>
      <c r="AY23">
        <f t="shared" si="15"/>
        <v>0</v>
      </c>
      <c r="AZ23">
        <f t="shared" si="16"/>
        <v>0</v>
      </c>
      <c r="BA23">
        <f t="shared" si="17"/>
        <v>0</v>
      </c>
      <c r="BB23">
        <f t="shared" si="18"/>
        <v>0</v>
      </c>
      <c r="BC23">
        <f t="shared" si="19"/>
        <v>0</v>
      </c>
      <c r="BD23">
        <f t="shared" si="20"/>
        <v>0</v>
      </c>
      <c r="BE23">
        <f t="shared" si="21"/>
        <v>0</v>
      </c>
      <c r="BF23">
        <f t="shared" si="22"/>
        <v>0</v>
      </c>
      <c r="BG23">
        <f t="shared" si="23"/>
        <v>0</v>
      </c>
      <c r="BH23">
        <f t="shared" si="24"/>
        <v>0</v>
      </c>
      <c r="BJ23">
        <f t="shared" si="27"/>
        <v>0</v>
      </c>
    </row>
    <row r="24" spans="1:62" ht="22" customHeight="1" x14ac:dyDescent="0.35">
      <c r="A24" s="1979" t="s">
        <v>400</v>
      </c>
      <c r="B24" s="1981"/>
      <c r="C24" s="3080">
        <v>0</v>
      </c>
      <c r="D24" s="3079"/>
      <c r="E24" s="121"/>
      <c r="F24" s="1315"/>
      <c r="G24" s="126"/>
      <c r="H24" s="30"/>
      <c r="I24" s="777"/>
      <c r="J24" s="126"/>
      <c r="K24" s="127"/>
      <c r="L24" s="30"/>
      <c r="M24" s="121"/>
      <c r="N24" s="30"/>
      <c r="O24" s="121"/>
      <c r="P24" s="121"/>
      <c r="Q24" s="928">
        <f t="shared" si="0"/>
        <v>0</v>
      </c>
      <c r="R24" s="929">
        <v>0</v>
      </c>
      <c r="S24" s="930">
        <f t="shared" si="1"/>
        <v>0</v>
      </c>
      <c r="T24" s="931">
        <f t="shared" si="25"/>
        <v>0</v>
      </c>
      <c r="U24" s="1483">
        <f t="shared" si="2"/>
        <v>0</v>
      </c>
      <c r="V24" s="2488">
        <f>SUM(AV24:BH24)*(1+L$31+Summary!P$64)</f>
        <v>0</v>
      </c>
      <c r="W24" s="2489"/>
      <c r="X24" s="299"/>
      <c r="AE24">
        <f t="shared" si="3"/>
        <v>0</v>
      </c>
      <c r="AF24">
        <f t="shared" si="4"/>
        <v>0</v>
      </c>
      <c r="AK24">
        <f t="shared" si="5"/>
        <v>0</v>
      </c>
      <c r="AL24">
        <f t="shared" si="6"/>
        <v>0</v>
      </c>
      <c r="AM24">
        <f t="shared" si="7"/>
        <v>0</v>
      </c>
      <c r="AN24">
        <f t="shared" si="8"/>
        <v>0</v>
      </c>
      <c r="AO24">
        <f t="shared" si="9"/>
        <v>0</v>
      </c>
      <c r="AP24">
        <f t="shared" si="10"/>
        <v>0</v>
      </c>
      <c r="AQ24">
        <f t="shared" si="11"/>
        <v>0</v>
      </c>
      <c r="AR24">
        <f t="shared" si="26"/>
        <v>0</v>
      </c>
      <c r="AS24">
        <f t="shared" si="12"/>
        <v>0</v>
      </c>
      <c r="AV24">
        <f>(AL24*Pricing!F$2+AM24*Pricing!G$2+AN24*Pricing!H$2+AO24*Pricing!I$2+AP24*Pricing!J$2+AQ24*Pricing!K$2)*IF(T$30="N",(1+V$30),1)</f>
        <v>0</v>
      </c>
      <c r="AW24">
        <f t="shared" si="13"/>
        <v>0</v>
      </c>
      <c r="AX24">
        <f t="shared" si="14"/>
        <v>0</v>
      </c>
      <c r="AY24">
        <f t="shared" si="15"/>
        <v>0</v>
      </c>
      <c r="AZ24">
        <f t="shared" si="16"/>
        <v>0</v>
      </c>
      <c r="BA24">
        <f t="shared" si="17"/>
        <v>0</v>
      </c>
      <c r="BB24">
        <f t="shared" si="18"/>
        <v>0</v>
      </c>
      <c r="BC24">
        <f t="shared" si="19"/>
        <v>0</v>
      </c>
      <c r="BD24">
        <f t="shared" si="20"/>
        <v>0</v>
      </c>
      <c r="BE24">
        <f t="shared" si="21"/>
        <v>0</v>
      </c>
      <c r="BF24">
        <f t="shared" si="22"/>
        <v>0</v>
      </c>
      <c r="BG24">
        <f t="shared" si="23"/>
        <v>0</v>
      </c>
      <c r="BH24">
        <f t="shared" si="24"/>
        <v>0</v>
      </c>
      <c r="BJ24">
        <f t="shared" si="27"/>
        <v>0</v>
      </c>
    </row>
    <row r="25" spans="1:62" ht="22" customHeight="1" x14ac:dyDescent="0.35">
      <c r="A25" s="1979" t="s">
        <v>401</v>
      </c>
      <c r="B25" s="1981"/>
      <c r="C25" s="3080">
        <v>0</v>
      </c>
      <c r="D25" s="3079"/>
      <c r="E25" s="121"/>
      <c r="F25" s="1315"/>
      <c r="G25" s="126"/>
      <c r="H25" s="30"/>
      <c r="I25" s="777"/>
      <c r="J25" s="126"/>
      <c r="K25" s="127"/>
      <c r="L25" s="30"/>
      <c r="M25" s="121"/>
      <c r="N25" s="30"/>
      <c r="O25" s="121"/>
      <c r="P25" s="121"/>
      <c r="Q25" s="928">
        <f t="shared" si="0"/>
        <v>0</v>
      </c>
      <c r="R25" s="929">
        <v>0</v>
      </c>
      <c r="S25" s="930">
        <f t="shared" si="1"/>
        <v>0</v>
      </c>
      <c r="T25" s="931">
        <f t="shared" si="25"/>
        <v>0</v>
      </c>
      <c r="U25" s="1483">
        <f t="shared" si="2"/>
        <v>0</v>
      </c>
      <c r="V25" s="2488">
        <f>SUM(AV25:BH25)*(1+L$31+Summary!P$64)</f>
        <v>0</v>
      </c>
      <c r="W25" s="2489"/>
      <c r="X25" s="299"/>
      <c r="AE25">
        <f t="shared" si="3"/>
        <v>0</v>
      </c>
      <c r="AF25">
        <f t="shared" si="4"/>
        <v>0</v>
      </c>
      <c r="AK25">
        <f t="shared" si="5"/>
        <v>0</v>
      </c>
      <c r="AL25">
        <f t="shared" si="6"/>
        <v>0</v>
      </c>
      <c r="AM25">
        <f t="shared" si="7"/>
        <v>0</v>
      </c>
      <c r="AN25">
        <f t="shared" si="8"/>
        <v>0</v>
      </c>
      <c r="AO25">
        <f t="shared" si="9"/>
        <v>0</v>
      </c>
      <c r="AP25">
        <f t="shared" si="10"/>
        <v>0</v>
      </c>
      <c r="AQ25">
        <f t="shared" si="11"/>
        <v>0</v>
      </c>
      <c r="AR25">
        <f t="shared" si="26"/>
        <v>0</v>
      </c>
      <c r="AS25">
        <f t="shared" si="12"/>
        <v>0</v>
      </c>
      <c r="AV25">
        <f>(AL25*Pricing!F$2+AM25*Pricing!G$2+AN25*Pricing!H$2+AO25*Pricing!I$2+AP25*Pricing!J$2+AQ25*Pricing!K$2)*IF(T$30="N",(1+V$30),1)</f>
        <v>0</v>
      </c>
      <c r="AW25">
        <f t="shared" si="13"/>
        <v>0</v>
      </c>
      <c r="AX25">
        <f t="shared" si="14"/>
        <v>0</v>
      </c>
      <c r="AY25">
        <f t="shared" si="15"/>
        <v>0</v>
      </c>
      <c r="AZ25">
        <f t="shared" si="16"/>
        <v>0</v>
      </c>
      <c r="BA25">
        <f t="shared" si="17"/>
        <v>0</v>
      </c>
      <c r="BB25">
        <f t="shared" si="18"/>
        <v>0</v>
      </c>
      <c r="BC25">
        <f t="shared" si="19"/>
        <v>0</v>
      </c>
      <c r="BD25">
        <f t="shared" si="20"/>
        <v>0</v>
      </c>
      <c r="BE25">
        <f t="shared" si="21"/>
        <v>0</v>
      </c>
      <c r="BF25">
        <f t="shared" si="22"/>
        <v>0</v>
      </c>
      <c r="BG25">
        <f t="shared" si="23"/>
        <v>0</v>
      </c>
      <c r="BH25">
        <f t="shared" si="24"/>
        <v>0</v>
      </c>
      <c r="BJ25">
        <f t="shared" si="27"/>
        <v>0</v>
      </c>
    </row>
    <row r="26" spans="1:62" ht="22" customHeight="1" thickBot="1" x14ac:dyDescent="0.4">
      <c r="A26" s="2069" t="s">
        <v>402</v>
      </c>
      <c r="B26" s="2071"/>
      <c r="C26" s="3081">
        <v>0</v>
      </c>
      <c r="D26" s="3082"/>
      <c r="E26" s="128"/>
      <c r="F26" s="780"/>
      <c r="G26" s="128"/>
      <c r="H26" s="33"/>
      <c r="I26" s="778"/>
      <c r="J26" s="181"/>
      <c r="K26" s="129"/>
      <c r="L26" s="33"/>
      <c r="M26" s="128"/>
      <c r="N26" s="33"/>
      <c r="O26" s="128"/>
      <c r="P26" s="129"/>
      <c r="Q26" s="932">
        <f t="shared" si="0"/>
        <v>0</v>
      </c>
      <c r="R26" s="933">
        <v>0</v>
      </c>
      <c r="S26" s="934">
        <f t="shared" si="1"/>
        <v>0</v>
      </c>
      <c r="T26" s="1607">
        <f t="shared" si="25"/>
        <v>0</v>
      </c>
      <c r="U26" s="1484">
        <f t="shared" si="2"/>
        <v>0</v>
      </c>
      <c r="V26" s="2474">
        <f>SUM(AV26:BH26)*(1+L$31+Summary!P$64)</f>
        <v>0</v>
      </c>
      <c r="W26" s="2475"/>
      <c r="X26" s="299"/>
      <c r="AE26">
        <f t="shared" si="3"/>
        <v>0</v>
      </c>
      <c r="AF26">
        <f t="shared" si="4"/>
        <v>0</v>
      </c>
      <c r="AK26">
        <f t="shared" si="5"/>
        <v>0</v>
      </c>
      <c r="AL26">
        <f t="shared" si="6"/>
        <v>0</v>
      </c>
      <c r="AM26">
        <f t="shared" si="7"/>
        <v>0</v>
      </c>
      <c r="AN26">
        <f t="shared" si="8"/>
        <v>0</v>
      </c>
      <c r="AO26">
        <f t="shared" si="9"/>
        <v>0</v>
      </c>
      <c r="AP26">
        <f t="shared" si="10"/>
        <v>0</v>
      </c>
      <c r="AQ26">
        <f t="shared" si="11"/>
        <v>0</v>
      </c>
      <c r="AR26">
        <f t="shared" si="26"/>
        <v>0</v>
      </c>
      <c r="AS26">
        <f t="shared" si="12"/>
        <v>0</v>
      </c>
      <c r="AV26">
        <f>(AL26*Pricing!F$2+AM26*Pricing!G$2+AN26*Pricing!H$2+AO26*Pricing!I$2+AP26*Pricing!J$2+AQ26*Pricing!K$2)*IF(T$30="N",(1+V$30),1)</f>
        <v>0</v>
      </c>
      <c r="AW26">
        <f t="shared" si="13"/>
        <v>0</v>
      </c>
      <c r="AX26">
        <f t="shared" si="14"/>
        <v>0</v>
      </c>
      <c r="AY26">
        <f t="shared" si="15"/>
        <v>0</v>
      </c>
      <c r="AZ26">
        <f t="shared" si="16"/>
        <v>0</v>
      </c>
      <c r="BA26">
        <f t="shared" si="17"/>
        <v>0</v>
      </c>
      <c r="BB26">
        <f t="shared" si="18"/>
        <v>0</v>
      </c>
      <c r="BC26">
        <f t="shared" si="19"/>
        <v>0</v>
      </c>
      <c r="BD26">
        <f t="shared" si="20"/>
        <v>0</v>
      </c>
      <c r="BE26">
        <f t="shared" si="21"/>
        <v>0</v>
      </c>
      <c r="BF26">
        <f t="shared" si="22"/>
        <v>0</v>
      </c>
      <c r="BG26">
        <f t="shared" si="23"/>
        <v>0</v>
      </c>
      <c r="BH26">
        <f t="shared" si="24"/>
        <v>0</v>
      </c>
      <c r="BJ26">
        <f t="shared" si="27"/>
        <v>0</v>
      </c>
    </row>
    <row r="27" spans="1:62" ht="22" customHeight="1" x14ac:dyDescent="0.35">
      <c r="A27" s="313"/>
      <c r="B27" s="298"/>
      <c r="C27" s="3126">
        <f>SUM(C10:D26)</f>
        <v>0</v>
      </c>
      <c r="D27" s="3127"/>
      <c r="E27" s="42" t="s">
        <v>98</v>
      </c>
      <c r="G27" s="298"/>
      <c r="H27" s="298"/>
      <c r="I27" s="298"/>
      <c r="J27" s="298"/>
      <c r="K27" s="298"/>
      <c r="L27" s="308"/>
      <c r="M27" s="308"/>
      <c r="N27" s="308"/>
      <c r="O27" s="308"/>
      <c r="P27" s="298"/>
      <c r="Q27" s="298"/>
      <c r="R27" s="298"/>
      <c r="S27" s="298"/>
      <c r="T27" s="298"/>
      <c r="U27" s="298"/>
      <c r="V27" s="298"/>
      <c r="W27" s="310"/>
      <c r="X27" s="299"/>
      <c r="AE27">
        <f>SUM(AE10:AE26)</f>
        <v>0</v>
      </c>
      <c r="AF27">
        <f>SUM(AF10:AF26)</f>
        <v>0</v>
      </c>
      <c r="AI27">
        <f>SUM(AK10:AK26)</f>
        <v>0</v>
      </c>
      <c r="AJ27">
        <f t="shared" ref="AJ27:AQ27" si="28">SUM(AL10:AL26)</f>
        <v>0</v>
      </c>
      <c r="AK27">
        <f t="shared" si="28"/>
        <v>0</v>
      </c>
      <c r="AL27">
        <f t="shared" si="28"/>
        <v>0</v>
      </c>
      <c r="AM27">
        <f t="shared" si="28"/>
        <v>0</v>
      </c>
      <c r="AN27">
        <f t="shared" si="28"/>
        <v>0</v>
      </c>
      <c r="AO27">
        <f t="shared" si="28"/>
        <v>0</v>
      </c>
      <c r="AP27">
        <f t="shared" si="28"/>
        <v>0</v>
      </c>
      <c r="AQ27">
        <f t="shared" si="28"/>
        <v>0</v>
      </c>
      <c r="AR27">
        <f>ROUNDUP(SUM(AT10:AT26),0)</f>
        <v>0</v>
      </c>
      <c r="AS27">
        <f>ROUNDUP(SUM(AU10:AU26),0)</f>
        <v>0</v>
      </c>
    </row>
    <row r="28" spans="1:62" ht="22" customHeight="1" thickBot="1" x14ac:dyDescent="0.4">
      <c r="A28" s="314"/>
      <c r="B28" s="306"/>
      <c r="C28" s="306"/>
      <c r="D28" s="306"/>
      <c r="E28" s="306"/>
      <c r="F28" s="306"/>
      <c r="G28" s="306"/>
      <c r="H28" s="306"/>
      <c r="I28" s="306"/>
      <c r="J28" s="306"/>
      <c r="K28" s="306"/>
      <c r="L28" s="316"/>
      <c r="M28" s="316"/>
      <c r="N28" s="316"/>
      <c r="O28" s="316"/>
      <c r="P28" s="306"/>
      <c r="Q28" s="306"/>
      <c r="R28" s="306"/>
      <c r="S28" s="306"/>
      <c r="T28" s="3073">
        <f>SUM(AT28:BJ28)</f>
        <v>0</v>
      </c>
      <c r="U28" s="2006"/>
      <c r="V28" s="306"/>
      <c r="W28" s="325"/>
      <c r="X28" s="299"/>
      <c r="AV28">
        <f t="shared" ref="AV28:BG28" si="29">SUM(AV10:AV27)</f>
        <v>0</v>
      </c>
      <c r="AW28">
        <f t="shared" si="29"/>
        <v>0</v>
      </c>
      <c r="AX28">
        <f t="shared" si="29"/>
        <v>0</v>
      </c>
      <c r="AY28">
        <f t="shared" si="29"/>
        <v>0</v>
      </c>
      <c r="AZ28">
        <f t="shared" si="29"/>
        <v>0</v>
      </c>
      <c r="BA28">
        <f t="shared" si="29"/>
        <v>0</v>
      </c>
      <c r="BB28">
        <f t="shared" si="29"/>
        <v>0</v>
      </c>
      <c r="BC28">
        <f t="shared" si="29"/>
        <v>0</v>
      </c>
      <c r="BD28">
        <f t="shared" si="29"/>
        <v>0</v>
      </c>
      <c r="BE28">
        <f t="shared" si="29"/>
        <v>0</v>
      </c>
      <c r="BF28">
        <f t="shared" si="29"/>
        <v>0</v>
      </c>
      <c r="BG28">
        <f t="shared" si="29"/>
        <v>0</v>
      </c>
      <c r="BH28">
        <f>SUM(BH10:BH27)</f>
        <v>0</v>
      </c>
      <c r="BI28">
        <f>SUM(BI10:BI27)</f>
        <v>0</v>
      </c>
      <c r="BJ28">
        <f>SUM(BJ10:BJ27)</f>
        <v>0</v>
      </c>
    </row>
    <row r="29" spans="1:62" ht="18" customHeight="1" thickBot="1" x14ac:dyDescent="0.4">
      <c r="A29" s="898"/>
      <c r="B29" s="899"/>
      <c r="C29" s="899"/>
      <c r="D29" s="899"/>
      <c r="E29" s="899"/>
      <c r="F29" s="899"/>
      <c r="G29" s="899"/>
      <c r="H29" s="899"/>
      <c r="I29" s="899"/>
      <c r="J29" s="899"/>
      <c r="K29" s="900"/>
      <c r="L29" s="899"/>
      <c r="M29" s="899"/>
      <c r="N29" s="899"/>
      <c r="O29" s="899"/>
      <c r="P29" s="899"/>
      <c r="Q29" s="899"/>
      <c r="R29" s="899"/>
      <c r="S29" s="899"/>
      <c r="T29" s="899"/>
      <c r="U29" s="899"/>
      <c r="V29" s="899"/>
      <c r="W29" s="1115"/>
      <c r="X29" s="299"/>
    </row>
    <row r="30" spans="1:62" ht="18" customHeight="1" x14ac:dyDescent="0.35">
      <c r="A30" s="1987" t="s">
        <v>185</v>
      </c>
      <c r="B30" s="2041"/>
      <c r="C30" s="1988"/>
      <c r="D30" s="1987" t="s">
        <v>140</v>
      </c>
      <c r="E30" s="1988"/>
      <c r="F30" s="1987" t="s">
        <v>178</v>
      </c>
      <c r="G30" s="2041"/>
      <c r="H30" s="1988"/>
      <c r="I30" s="1935" t="s">
        <v>184</v>
      </c>
      <c r="J30" s="1936"/>
      <c r="K30" s="1937"/>
      <c r="L30" s="2044" t="s">
        <v>179</v>
      </c>
      <c r="M30" s="2045"/>
      <c r="N30" s="132"/>
      <c r="O30" s="133"/>
      <c r="P30" s="897"/>
      <c r="Q30" s="43" t="s">
        <v>34</v>
      </c>
      <c r="R30" s="42"/>
      <c r="S30" s="42" t="s">
        <v>220</v>
      </c>
      <c r="T30" s="803" t="str">
        <f>Summary!P65</f>
        <v>n</v>
      </c>
      <c r="U30" s="73" t="s">
        <v>298</v>
      </c>
      <c r="V30" s="1214">
        <f>Summary!R65</f>
        <v>8.2500000000000004E-2</v>
      </c>
      <c r="W30" s="1113"/>
      <c r="X30" s="299"/>
    </row>
    <row r="31" spans="1:62" ht="18" customHeight="1" thickBot="1" x14ac:dyDescent="0.4">
      <c r="A31" s="11" t="s">
        <v>180</v>
      </c>
      <c r="B31" s="1999">
        <f>IF(C27=0,0,D31/C27)</f>
        <v>0</v>
      </c>
      <c r="C31" s="2000"/>
      <c r="D31" s="2003">
        <f>T31*(1+L31+Summary!P64)</f>
        <v>0</v>
      </c>
      <c r="E31" s="2004"/>
      <c r="F31" s="15">
        <f>IF(G31=0,0,G31/D31)</f>
        <v>0</v>
      </c>
      <c r="G31" s="2042">
        <f>D31-T31</f>
        <v>0</v>
      </c>
      <c r="H31" s="2043"/>
      <c r="I31" s="2064">
        <f>IF(C27=0,0,T31/C27)</f>
        <v>0</v>
      </c>
      <c r="J31" s="2065"/>
      <c r="K31" s="2066"/>
      <c r="L31" s="2703">
        <f>Summary!P63</f>
        <v>0.18</v>
      </c>
      <c r="M31" s="2704"/>
      <c r="N31" s="2704"/>
      <c r="O31" s="2705"/>
      <c r="P31" s="897"/>
      <c r="Q31" s="86" t="s">
        <v>50</v>
      </c>
      <c r="R31" s="42"/>
      <c r="T31" s="1932">
        <f>SUM(N38:O47)+SUM(N50:O55)+SUM(N58:O60)+SUM(N62:O67)+SUM(N69:O73)+W76+N74+N75+SUM(K50:L55)</f>
        <v>0</v>
      </c>
      <c r="U31" s="1932"/>
      <c r="W31" s="1113"/>
      <c r="X31" s="299"/>
    </row>
    <row r="32" spans="1:62" ht="18" customHeight="1" thickBot="1" x14ac:dyDescent="0.4">
      <c r="A32" s="889"/>
      <c r="B32" s="890"/>
      <c r="C32" s="890"/>
      <c r="D32" s="890"/>
      <c r="E32" s="890"/>
      <c r="F32" s="890"/>
      <c r="G32" s="890"/>
      <c r="H32" s="1628" t="s">
        <v>891</v>
      </c>
      <c r="I32" s="1627"/>
      <c r="J32" s="3106"/>
      <c r="K32" s="3107"/>
      <c r="L32" s="893"/>
      <c r="M32" s="1899">
        <f>IF(J32&gt;0,(J32-D31)/(1+L31),0)</f>
        <v>0</v>
      </c>
      <c r="N32" s="1900"/>
      <c r="O32" s="890"/>
      <c r="P32" s="894"/>
      <c r="Q32" s="895"/>
      <c r="R32" s="890"/>
      <c r="S32" s="890"/>
      <c r="T32" s="2245">
        <f>AD118</f>
        <v>0</v>
      </c>
      <c r="U32" s="2245"/>
      <c r="V32" s="890"/>
      <c r="W32" s="896"/>
    </row>
    <row r="33" spans="1:24" ht="20.25" customHeight="1" x14ac:dyDescent="0.35">
      <c r="A33" s="7" t="s">
        <v>632</v>
      </c>
      <c r="B33" s="1608"/>
      <c r="C33" s="1608"/>
      <c r="D33" s="1608"/>
      <c r="E33" s="1608"/>
      <c r="F33" s="1608"/>
      <c r="G33" s="1608"/>
      <c r="H33" s="1608"/>
      <c r="I33" s="1608"/>
      <c r="J33" s="1608"/>
      <c r="K33" s="1608"/>
      <c r="L33" s="1608"/>
      <c r="M33" s="1608"/>
      <c r="N33" s="1608"/>
      <c r="O33" s="1608"/>
      <c r="P33" s="326"/>
      <c r="Q33" s="326"/>
      <c r="R33" s="326"/>
      <c r="S33" s="298"/>
      <c r="T33" s="298"/>
      <c r="U33" s="298"/>
      <c r="V33" s="298"/>
      <c r="W33" s="298"/>
    </row>
    <row r="34" spans="1:24" ht="19" customHeight="1" x14ac:dyDescent="0.35">
      <c r="A34" s="298"/>
      <c r="B34" s="1609"/>
      <c r="C34" s="1610"/>
      <c r="D34" s="806"/>
      <c r="E34" s="806"/>
      <c r="F34" s="806"/>
      <c r="G34" s="806"/>
      <c r="H34" s="1608"/>
      <c r="I34" s="1608"/>
      <c r="J34" s="1608"/>
      <c r="K34" s="1608"/>
      <c r="L34" s="806"/>
      <c r="M34" s="806"/>
      <c r="N34" s="1608"/>
      <c r="O34" s="1608"/>
      <c r="P34" s="326"/>
      <c r="Q34" s="326"/>
      <c r="R34" s="326"/>
      <c r="S34" s="298"/>
      <c r="T34" s="298"/>
      <c r="U34" s="298"/>
      <c r="V34" s="298"/>
      <c r="W34" s="298"/>
    </row>
    <row r="35" spans="1:24" ht="19" customHeight="1" x14ac:dyDescent="0.35">
      <c r="A35" s="298"/>
      <c r="B35" s="1611"/>
      <c r="C35" s="806"/>
      <c r="D35" s="806"/>
      <c r="E35" s="806"/>
      <c r="F35" s="806"/>
      <c r="G35" s="1611"/>
      <c r="H35" s="1611"/>
      <c r="I35" s="1608"/>
      <c r="J35" s="1608"/>
      <c r="K35" s="1608"/>
      <c r="L35" s="1608"/>
      <c r="M35" s="1612"/>
      <c r="N35" s="1611"/>
      <c r="O35" s="806"/>
      <c r="P35" s="326"/>
      <c r="Q35" s="326"/>
      <c r="R35" s="326"/>
      <c r="S35" s="298"/>
      <c r="T35" s="298"/>
      <c r="U35" s="298"/>
      <c r="V35" s="298"/>
      <c r="W35" s="298"/>
    </row>
    <row r="36" spans="1:24" ht="17.25" customHeight="1" thickBot="1" x14ac:dyDescent="0.4">
      <c r="A36" s="298"/>
      <c r="B36" s="1611"/>
      <c r="C36" s="806"/>
      <c r="D36" s="806"/>
      <c r="E36" s="806"/>
      <c r="F36" s="806"/>
      <c r="G36" s="1611"/>
      <c r="H36" s="1611"/>
      <c r="I36" s="1613"/>
      <c r="J36" s="1611"/>
      <c r="K36" s="1611"/>
      <c r="L36" s="1611"/>
      <c r="M36" s="1612"/>
      <c r="N36" s="1611"/>
      <c r="O36" s="806"/>
      <c r="P36" s="298"/>
      <c r="Q36" s="298"/>
      <c r="R36" s="298"/>
      <c r="S36" s="298"/>
      <c r="T36" s="298"/>
      <c r="U36" s="298"/>
      <c r="V36" s="298"/>
      <c r="W36" s="298"/>
      <c r="X36" s="299"/>
    </row>
    <row r="37" spans="1:24" ht="32.25" customHeight="1" thickBot="1" x14ac:dyDescent="0.4">
      <c r="A37" s="926" t="s">
        <v>226</v>
      </c>
      <c r="B37" s="2370" t="s">
        <v>167</v>
      </c>
      <c r="C37" s="2370"/>
      <c r="D37" s="2370"/>
      <c r="E37" s="2370"/>
      <c r="F37" s="2370"/>
      <c r="G37" s="2370"/>
      <c r="H37" s="2370"/>
      <c r="I37" s="2370"/>
      <c r="J37" s="2370"/>
      <c r="K37" s="2370"/>
      <c r="L37" s="2370"/>
      <c r="M37" s="2370"/>
      <c r="N37" s="2370"/>
      <c r="O37" s="2371"/>
      <c r="P37" s="926" t="s">
        <v>284</v>
      </c>
      <c r="Q37" s="2250" t="s">
        <v>196</v>
      </c>
      <c r="R37" s="2251"/>
      <c r="S37" s="927" t="s">
        <v>52</v>
      </c>
      <c r="T37" s="1123"/>
      <c r="U37" s="1124" t="s">
        <v>7</v>
      </c>
      <c r="V37" s="1123"/>
      <c r="W37" s="1125"/>
      <c r="X37" s="299"/>
    </row>
    <row r="38" spans="1:24" ht="19" customHeight="1" thickTop="1" x14ac:dyDescent="0.35">
      <c r="A38" s="12">
        <v>1</v>
      </c>
      <c r="B38" s="190" t="str">
        <f>IF(A38=1,Pricing!F$1,IF(A38=2,Pricing!G$1,IF(A38=3,Pricing!H$1,IF(A38=4,Pricing!I$1,IF(A38=5,Pricing!J$1,IF(A38=6,Pricing!K$1,0))))))</f>
        <v>3000 PSI W/ ASH PIERS, SOG</v>
      </c>
      <c r="C38" s="190"/>
      <c r="D38" s="190"/>
      <c r="E38" s="190"/>
      <c r="F38" s="1622">
        <f>IF(A38=1,Pricing!F$2,IF(A38=2,Pricing!G$2,IF(A38=3,Pricing!H$2,IF(A38=4,Pricing!I$2,IF(A38=5,Pricing!J$2,IF(A38=6,Pricing!K$2,0))))))</f>
        <v>147</v>
      </c>
      <c r="G38" s="88" t="s">
        <v>168</v>
      </c>
      <c r="H38" s="2032" t="s">
        <v>323</v>
      </c>
      <c r="I38" s="2033"/>
      <c r="J38" s="2039">
        <v>0.06</v>
      </c>
      <c r="K38" s="1908">
        <f>IF(A38=1,AJ$27,IF(A38=2,AK$27,IF(A38=3,AL$27,IF(A38=4,AM$27,IF(A38=5,AN$27,IF(A38=6,AO$27))))))</f>
        <v>0</v>
      </c>
      <c r="L38" s="1909"/>
      <c r="M38" s="58" t="s">
        <v>102</v>
      </c>
      <c r="N38" s="2248">
        <f>K38*F38*(IF(T$30="N",1+V$30,1))</f>
        <v>0</v>
      </c>
      <c r="O38" s="2249"/>
      <c r="P38" s="797">
        <v>2</v>
      </c>
      <c r="Q38" s="193" t="s">
        <v>203</v>
      </c>
      <c r="R38" s="106"/>
      <c r="S38" s="194"/>
      <c r="T38" s="387" t="s">
        <v>197</v>
      </c>
      <c r="U38" s="195">
        <f>Pricing!N3</f>
        <v>0.5625</v>
      </c>
      <c r="V38" s="401" t="s">
        <v>99</v>
      </c>
      <c r="W38" s="118">
        <f>IF(T$30="Y",S38*U38,S38*U38*(1+V$30))</f>
        <v>0</v>
      </c>
      <c r="X38" s="299"/>
    </row>
    <row r="39" spans="1:24" ht="19" customHeight="1" x14ac:dyDescent="0.35">
      <c r="A39" s="13">
        <v>2</v>
      </c>
      <c r="B39" s="42" t="str">
        <f>IF(A39=1,Pricing!F$1,IF(A39=2,Pricing!G$1,IF(A39=3,Pricing!H$1,IF(A39=4,Pricing!I$1,IF(A39=5,Pricing!J$1,IF(A39=6,Pricing!K$1,0))))))</f>
        <v>3500 Psi</v>
      </c>
      <c r="F39" s="1623">
        <f>IF(A39=1,Pricing!F$2,IF(A39=2,Pricing!G$2,IF(A39=3,Pricing!H$2,IF(A39=4,Pricing!I$2,IF(A39=5,Pricing!J$2,IF(A39=6,Pricing!K$2,0))))))</f>
        <v>152</v>
      </c>
      <c r="G39" s="88" t="s">
        <v>168</v>
      </c>
      <c r="H39" s="2032"/>
      <c r="I39" s="2033"/>
      <c r="J39" s="2039"/>
      <c r="K39" s="1908">
        <f>IF(A39=1,AJ$27,IF(A39=2,AK$27,IF(A39=3,AL$27,IF(A39=4,AM$27,IF(A39=5,AN$27,IF(A39=6,AO$27))))))</f>
        <v>0</v>
      </c>
      <c r="L39" s="1909"/>
      <c r="M39" s="58" t="s">
        <v>102</v>
      </c>
      <c r="N39" s="2248">
        <f>K39*F39*(IF(T$30="N",1+V$30,1))</f>
        <v>0</v>
      </c>
      <c r="O39" s="2249"/>
      <c r="P39" s="797">
        <v>2</v>
      </c>
      <c r="Q39" s="193" t="s">
        <v>204</v>
      </c>
      <c r="R39" s="106"/>
      <c r="S39" s="194">
        <f>C27*0.025</f>
        <v>0</v>
      </c>
      <c r="T39" s="387" t="s">
        <v>197</v>
      </c>
      <c r="U39" s="195">
        <f>Pricing!N4</f>
        <v>0.65625</v>
      </c>
      <c r="V39" s="401" t="s">
        <v>99</v>
      </c>
      <c r="W39" s="118">
        <f>IF(T$30="Y",S39*U39,S39*U39*(1+V$30))</f>
        <v>0</v>
      </c>
      <c r="X39" s="299"/>
    </row>
    <row r="40" spans="1:24" ht="19" customHeight="1" thickBot="1" x14ac:dyDescent="0.4">
      <c r="A40" s="14">
        <v>3</v>
      </c>
      <c r="B40" s="75" t="str">
        <f>IF(A40=1,Pricing!F$1,IF(A40=2,Pricing!G$1,IF(A40=3,Pricing!H$1,IF(A40=4,Pricing!I$1,IF(A40=5,Pricing!J$1,IF(A40=6,Pricing!K$1,0))))))</f>
        <v>4000 psi</v>
      </c>
      <c r="C40" s="75"/>
      <c r="D40" s="75"/>
      <c r="E40" s="75"/>
      <c r="F40" s="1624">
        <f>IF(A40=1,Pricing!F$2,IF(A40=2,Pricing!G$2,IF(A40=3,Pricing!H$2,IF(A40=4,Pricing!I$2,IF(A40=5,Pricing!J$2,IF(A40=6,Pricing!K$2,0))))))</f>
        <v>157</v>
      </c>
      <c r="G40" s="90" t="s">
        <v>168</v>
      </c>
      <c r="H40" s="2034"/>
      <c r="I40" s="2035"/>
      <c r="J40" s="2040"/>
      <c r="K40" s="1908">
        <f>IF(A40=1,AJ$27,IF(A40=2,AK$27,IF(A40=3,AL$27,IF(A40=4,AM$27,IF(A40=5,AN$27,IF(A40=6,AO$27))))))</f>
        <v>0</v>
      </c>
      <c r="L40" s="1909"/>
      <c r="M40" s="91" t="s">
        <v>102</v>
      </c>
      <c r="N40" s="2248">
        <f>K40*F40*(IF(T$30="N",1+V$30,1))</f>
        <v>0</v>
      </c>
      <c r="O40" s="2249"/>
      <c r="P40" s="797">
        <v>2</v>
      </c>
      <c r="Q40" s="193" t="s">
        <v>206</v>
      </c>
      <c r="R40" s="106"/>
      <c r="S40" s="194">
        <f>BM42+AJ33</f>
        <v>0</v>
      </c>
      <c r="T40" s="387" t="s">
        <v>197</v>
      </c>
      <c r="U40" s="195">
        <f>Pricing!N5</f>
        <v>1</v>
      </c>
      <c r="V40" s="401" t="s">
        <v>99</v>
      </c>
      <c r="W40" s="118">
        <f>IF(T$30="Y",S40*U40,S40*U40*(1+V$30))</f>
        <v>0</v>
      </c>
      <c r="X40" s="299"/>
    </row>
    <row r="41" spans="1:24" ht="19" customHeight="1" thickTop="1" x14ac:dyDescent="0.35">
      <c r="A41" s="94"/>
      <c r="B41" s="58" t="s">
        <v>104</v>
      </c>
      <c r="F41" s="1623">
        <f>Pricing!D23</f>
        <v>0.55000000000000004</v>
      </c>
      <c r="G41" s="88" t="s">
        <v>88</v>
      </c>
      <c r="H41" s="2246" t="s">
        <v>202</v>
      </c>
      <c r="I41" s="2247"/>
      <c r="J41" s="826">
        <v>0.1</v>
      </c>
      <c r="K41" s="2062">
        <f>SUM(S10:S26)</f>
        <v>0</v>
      </c>
      <c r="L41" s="2063"/>
      <c r="M41" s="42" t="s">
        <v>32</v>
      </c>
      <c r="N41" s="2366">
        <f>F41*K41*(IF(T30="N",1+V30,1))</f>
        <v>0</v>
      </c>
      <c r="O41" s="2367"/>
      <c r="P41" s="797">
        <v>2</v>
      </c>
      <c r="Q41" s="193" t="s">
        <v>205</v>
      </c>
      <c r="R41" s="106"/>
      <c r="S41" s="194">
        <f>SUM(G10:G26)*0.4</f>
        <v>0</v>
      </c>
      <c r="T41" s="387" t="s">
        <v>197</v>
      </c>
      <c r="U41" s="195">
        <f>Pricing!N6</f>
        <v>1.25</v>
      </c>
      <c r="V41" s="401" t="s">
        <v>99</v>
      </c>
      <c r="W41" s="118">
        <f>IF(T$30="Y",S41*U41,S41*U41*(1+V$30))</f>
        <v>0</v>
      </c>
      <c r="X41" s="299"/>
    </row>
    <row r="42" spans="1:24" ht="19" customHeight="1" x14ac:dyDescent="0.35">
      <c r="A42" s="94"/>
      <c r="B42" s="58" t="s">
        <v>86</v>
      </c>
      <c r="F42" s="1623">
        <f>Pricing!D27</f>
        <v>0.4</v>
      </c>
      <c r="G42" s="88" t="s">
        <v>69</v>
      </c>
      <c r="H42" s="2008" t="s">
        <v>202</v>
      </c>
      <c r="I42" s="2009"/>
      <c r="J42" s="748">
        <v>0.05</v>
      </c>
      <c r="K42" s="1908">
        <f>IF(P10="Y",C10,0)+IF(P11="Y",C11,0)+IF(P12="Y",C12,0)+IF(P13="Y",C13,0)+IF(P14="Y",C14,0)+IF(P15="Y",C15,0)+IF(P16="Y",C16,0)+IF(P17="Y",C17,0)+IF(P18="Y",C18,0)+IF(P19="Y",C19,0)+IF(P20="Y",C20,0)+IF(P21="Y",C21,0)+IF(P22="Y",C22,0)+IF(P23="Y",C23,0)+IF(P24="Y",C24,0)+IF(P25="Y",C25,0)+IF(P26="Y",C26,0)</f>
        <v>0</v>
      </c>
      <c r="L42" s="1909"/>
      <c r="M42" s="42" t="s">
        <v>95</v>
      </c>
      <c r="N42" s="2248">
        <f>K42*F42*(IF(T30="N",1+V30,1))*(J42+1)</f>
        <v>0</v>
      </c>
      <c r="O42" s="2249"/>
      <c r="P42" s="797">
        <v>2</v>
      </c>
      <c r="Q42" s="193" t="s">
        <v>375</v>
      </c>
      <c r="R42" s="106"/>
      <c r="S42" s="106">
        <f>ROUNDUP(SUM(G10:G26)*0.03/16,0)</f>
        <v>0</v>
      </c>
      <c r="T42" s="106" t="s">
        <v>376</v>
      </c>
      <c r="U42" s="195">
        <f>Pricing!N8</f>
        <v>19</v>
      </c>
      <c r="V42" s="401" t="s">
        <v>294</v>
      </c>
      <c r="W42" s="118">
        <f>U42*S42</f>
        <v>0</v>
      </c>
      <c r="X42" s="299"/>
    </row>
    <row r="43" spans="1:24" ht="19" customHeight="1" x14ac:dyDescent="0.35">
      <c r="A43" s="94"/>
      <c r="B43" s="42" t="s">
        <v>66</v>
      </c>
      <c r="F43" s="106">
        <v>0.85</v>
      </c>
      <c r="G43" s="88" t="s">
        <v>69</v>
      </c>
      <c r="H43" s="2008" t="s">
        <v>202</v>
      </c>
      <c r="I43" s="2009"/>
      <c r="J43" s="826">
        <v>0.05</v>
      </c>
      <c r="K43" s="2021">
        <f>AF27</f>
        <v>0</v>
      </c>
      <c r="L43" s="2015"/>
      <c r="N43" s="2248">
        <f>K43*F43*(IF(T30="N",1+V30,1))</f>
        <v>0</v>
      </c>
      <c r="O43" s="2249"/>
      <c r="P43" s="797">
        <v>2</v>
      </c>
      <c r="Q43" s="193" t="s">
        <v>207</v>
      </c>
      <c r="R43" s="106"/>
      <c r="S43" s="194"/>
      <c r="T43" s="106" t="s">
        <v>209</v>
      </c>
      <c r="U43" s="195">
        <v>40</v>
      </c>
      <c r="V43" s="401" t="s">
        <v>290</v>
      </c>
      <c r="W43" s="118">
        <f t="shared" ref="W43:W49" si="30">IF(T$30="Y",S43*U43,S43*U43*(1+V$30))</f>
        <v>0</v>
      </c>
      <c r="X43" s="299"/>
    </row>
    <row r="44" spans="1:24" ht="19" customHeight="1" thickBot="1" x14ac:dyDescent="0.4">
      <c r="A44" s="94"/>
      <c r="B44" s="75" t="s">
        <v>302</v>
      </c>
      <c r="C44" s="75"/>
      <c r="D44" s="75"/>
      <c r="E44" s="75"/>
      <c r="F44" s="1624">
        <v>0.35</v>
      </c>
      <c r="G44" s="90" t="s">
        <v>69</v>
      </c>
      <c r="H44" s="75" t="s">
        <v>199</v>
      </c>
      <c r="I44" s="2375">
        <v>0</v>
      </c>
      <c r="J44" s="2375"/>
      <c r="K44" s="3130"/>
      <c r="L44" s="3130"/>
      <c r="M44" s="75" t="s">
        <v>95</v>
      </c>
      <c r="N44" s="2373">
        <f>IF(I44=0,K44*F44,I44)</f>
        <v>0</v>
      </c>
      <c r="O44" s="2374"/>
      <c r="P44" s="797">
        <v>2</v>
      </c>
      <c r="Q44" s="193" t="s">
        <v>225</v>
      </c>
      <c r="R44" s="106"/>
      <c r="S44" s="194">
        <f>ROUND(S39/25,0)</f>
        <v>0</v>
      </c>
      <c r="T44" s="106" t="s">
        <v>224</v>
      </c>
      <c r="U44" s="195">
        <f>Pricing!N14</f>
        <v>18</v>
      </c>
      <c r="V44" s="401" t="s">
        <v>291</v>
      </c>
      <c r="W44" s="118">
        <f t="shared" si="30"/>
        <v>0</v>
      </c>
      <c r="X44" s="299"/>
    </row>
    <row r="45" spans="1:24" ht="19" customHeight="1" thickTop="1" x14ac:dyDescent="0.35">
      <c r="A45" s="94"/>
      <c r="B45" s="58" t="s">
        <v>103</v>
      </c>
      <c r="F45" s="1625">
        <f>Pricing!D18</f>
        <v>25</v>
      </c>
      <c r="G45" s="88" t="s">
        <v>169</v>
      </c>
      <c r="H45" s="2444" t="s">
        <v>202</v>
      </c>
      <c r="I45" s="2445"/>
      <c r="J45" s="2603">
        <v>0.05</v>
      </c>
      <c r="K45" s="1909">
        <f>SUM(Q10:Q26)</f>
        <v>0</v>
      </c>
      <c r="L45" s="1909"/>
      <c r="M45" s="42" t="s">
        <v>102</v>
      </c>
      <c r="N45" s="2366">
        <f>K45*F45*(IF(T30="N",(1+V30),1))</f>
        <v>0</v>
      </c>
      <c r="O45" s="2367"/>
      <c r="P45" s="797">
        <v>2</v>
      </c>
      <c r="Q45" s="193" t="s">
        <v>0</v>
      </c>
      <c r="R45" s="106"/>
      <c r="S45" s="197">
        <f>ROUNDUP(SUM(S38:S41)*1.25/1500,0)</f>
        <v>0</v>
      </c>
      <c r="T45" s="106" t="s">
        <v>6</v>
      </c>
      <c r="U45" s="195">
        <f>Pricing!N7</f>
        <v>50</v>
      </c>
      <c r="V45" s="401" t="s">
        <v>292</v>
      </c>
      <c r="W45" s="118">
        <f t="shared" si="30"/>
        <v>0</v>
      </c>
      <c r="X45" s="299"/>
    </row>
    <row r="46" spans="1:24" ht="19" customHeight="1" thickBot="1" x14ac:dyDescent="0.4">
      <c r="A46" s="94"/>
      <c r="B46" s="91" t="s">
        <v>362</v>
      </c>
      <c r="C46" s="75"/>
      <c r="D46" s="95"/>
      <c r="E46" s="75"/>
      <c r="F46" s="1626">
        <v>15</v>
      </c>
      <c r="G46" s="90" t="s">
        <v>124</v>
      </c>
      <c r="H46" s="2446"/>
      <c r="I46" s="2447"/>
      <c r="J46" s="2604"/>
      <c r="K46" s="2061"/>
      <c r="L46" s="2061"/>
      <c r="M46" s="75" t="s">
        <v>102</v>
      </c>
      <c r="N46" s="2300">
        <f>K46*F46*(IF(T30="N",(1+V30),1))</f>
        <v>0</v>
      </c>
      <c r="O46" s="2301"/>
      <c r="P46" s="797">
        <v>2</v>
      </c>
      <c r="Q46" s="193" t="s">
        <v>2</v>
      </c>
      <c r="R46" s="106"/>
      <c r="S46" s="194">
        <f>ROUNDUP(SUM(S38:S41)*1.25/3000,0)</f>
        <v>0</v>
      </c>
      <c r="T46" s="106" t="s">
        <v>6</v>
      </c>
      <c r="U46" s="195">
        <f>Pricing!N14</f>
        <v>18</v>
      </c>
      <c r="V46" s="401" t="s">
        <v>292</v>
      </c>
      <c r="W46" s="118">
        <f t="shared" si="30"/>
        <v>0</v>
      </c>
      <c r="X46" s="299"/>
    </row>
    <row r="47" spans="1:24" ht="19" customHeight="1" thickTop="1" thickBot="1" x14ac:dyDescent="0.4">
      <c r="A47" s="175"/>
      <c r="B47" s="49" t="s">
        <v>70</v>
      </c>
      <c r="C47" s="49"/>
      <c r="D47" s="49"/>
      <c r="E47" s="49"/>
      <c r="F47" s="1257">
        <v>0.65</v>
      </c>
      <c r="G47" s="96" t="s">
        <v>193</v>
      </c>
      <c r="H47" s="2360" t="s">
        <v>195</v>
      </c>
      <c r="I47" s="2361"/>
      <c r="J47" s="828">
        <v>0</v>
      </c>
      <c r="K47" s="3128">
        <v>500</v>
      </c>
      <c r="L47" s="3129"/>
      <c r="M47" s="49" t="s">
        <v>42</v>
      </c>
      <c r="N47" s="2351">
        <f>F47*J47*K47</f>
        <v>0</v>
      </c>
      <c r="O47" s="2352"/>
      <c r="P47" s="797">
        <v>2</v>
      </c>
      <c r="Q47" s="193" t="s">
        <v>1</v>
      </c>
      <c r="R47" s="106"/>
      <c r="S47" s="194">
        <f>S46</f>
        <v>0</v>
      </c>
      <c r="T47" s="106" t="s">
        <v>6</v>
      </c>
      <c r="U47" s="195">
        <f>Pricing!N15</f>
        <v>42</v>
      </c>
      <c r="V47" s="401" t="s">
        <v>292</v>
      </c>
      <c r="W47" s="118">
        <f t="shared" si="30"/>
        <v>0</v>
      </c>
      <c r="X47" s="299"/>
    </row>
    <row r="48" spans="1:24" ht="19" customHeight="1" thickBot="1" x14ac:dyDescent="0.4">
      <c r="A48" s="314"/>
      <c r="B48" s="306"/>
      <c r="C48" s="306"/>
      <c r="D48" s="306"/>
      <c r="E48" s="306"/>
      <c r="F48" s="306"/>
      <c r="G48" s="315"/>
      <c r="H48" s="316"/>
      <c r="I48" s="316"/>
      <c r="J48" s="317"/>
      <c r="K48" s="318"/>
      <c r="L48" s="318"/>
      <c r="M48" s="306"/>
      <c r="N48" s="319"/>
      <c r="O48" s="320"/>
      <c r="P48" s="797">
        <v>2</v>
      </c>
      <c r="Q48" s="193" t="s">
        <v>210</v>
      </c>
      <c r="R48" s="106"/>
      <c r="S48" s="194"/>
      <c r="T48" s="106" t="s">
        <v>6</v>
      </c>
      <c r="U48" s="195">
        <f>Pricing!N16</f>
        <v>42</v>
      </c>
      <c r="V48" s="401" t="s">
        <v>292</v>
      </c>
      <c r="W48" s="118">
        <f t="shared" si="30"/>
        <v>0</v>
      </c>
      <c r="X48" s="299"/>
    </row>
    <row r="49" spans="1:30" ht="19" customHeight="1" thickBot="1" x14ac:dyDescent="0.4">
      <c r="A49" s="835" t="s">
        <v>221</v>
      </c>
      <c r="B49" s="834"/>
      <c r="C49" s="834" t="s">
        <v>299</v>
      </c>
      <c r="D49" s="834"/>
      <c r="E49" s="834"/>
      <c r="F49" s="834"/>
      <c r="G49" s="834"/>
      <c r="H49" s="834"/>
      <c r="I49" s="834"/>
      <c r="J49" s="834"/>
      <c r="K49" s="2306" t="s">
        <v>45</v>
      </c>
      <c r="L49" s="2306"/>
      <c r="M49" s="2306" t="s">
        <v>300</v>
      </c>
      <c r="N49" s="2306"/>
      <c r="O49" s="2307"/>
      <c r="P49" s="797">
        <v>2</v>
      </c>
      <c r="Q49" s="193" t="s">
        <v>236</v>
      </c>
      <c r="R49" s="106"/>
      <c r="S49" s="194">
        <f>BL48+AI48</f>
        <v>0</v>
      </c>
      <c r="T49" s="106" t="s">
        <v>197</v>
      </c>
      <c r="U49" s="195">
        <f>Pricing!N17</f>
        <v>42</v>
      </c>
      <c r="V49" s="401" t="s">
        <v>99</v>
      </c>
      <c r="W49" s="118">
        <f t="shared" si="30"/>
        <v>0</v>
      </c>
      <c r="X49" s="299"/>
    </row>
    <row r="50" spans="1:30" ht="19" customHeight="1" x14ac:dyDescent="0.35">
      <c r="A50" s="250" t="s">
        <v>329</v>
      </c>
      <c r="B50" s="78"/>
      <c r="C50" s="246" t="s">
        <v>200</v>
      </c>
      <c r="D50" s="2027">
        <v>0.05</v>
      </c>
      <c r="E50" s="2028"/>
      <c r="F50" s="116" t="s">
        <v>191</v>
      </c>
      <c r="G50" s="3103">
        <f>SUM(D50:E53)</f>
        <v>1</v>
      </c>
      <c r="H50" s="3104">
        <f>C27</f>
        <v>0</v>
      </c>
      <c r="I50" s="3105"/>
      <c r="J50" s="48" t="s">
        <v>95</v>
      </c>
      <c r="K50" s="2359">
        <f t="shared" ref="K50:K55" si="31">IF(C50="N",D50*H50,0)</f>
        <v>0</v>
      </c>
      <c r="L50" s="2359"/>
      <c r="M50" s="247"/>
      <c r="N50" s="2732">
        <f>IF(C50="y",H$50*D50,0)</f>
        <v>0</v>
      </c>
      <c r="O50" s="2733"/>
      <c r="P50" s="797">
        <v>2</v>
      </c>
      <c r="Q50" s="193" t="s">
        <v>119</v>
      </c>
      <c r="R50" s="106"/>
      <c r="S50" s="194"/>
      <c r="T50" s="106" t="s">
        <v>197</v>
      </c>
      <c r="U50" s="195">
        <f>Pricing!N33</f>
        <v>25.5</v>
      </c>
      <c r="V50" s="401" t="s">
        <v>99</v>
      </c>
      <c r="W50" s="118">
        <f>IF(T$30="Y",S50*U50,S50*U50*(1+V$30))</f>
        <v>0</v>
      </c>
      <c r="X50" s="299"/>
    </row>
    <row r="51" spans="1:30" ht="19" customHeight="1" x14ac:dyDescent="0.35">
      <c r="A51" s="196" t="s">
        <v>445</v>
      </c>
      <c r="B51" s="69"/>
      <c r="C51" s="98" t="s">
        <v>200</v>
      </c>
      <c r="D51" s="1844">
        <v>0.05</v>
      </c>
      <c r="E51" s="1845"/>
      <c r="F51" s="88" t="s">
        <v>118</v>
      </c>
      <c r="G51" s="2816"/>
      <c r="H51" s="2934"/>
      <c r="I51" s="2819"/>
      <c r="J51" s="69" t="s">
        <v>95</v>
      </c>
      <c r="K51" s="2231">
        <f>IF(C51="N",D51*H51,0)</f>
        <v>0</v>
      </c>
      <c r="L51" s="2231"/>
      <c r="M51"/>
      <c r="N51" s="2730">
        <f>IF(C51="y",H$50*D51,0)</f>
        <v>0</v>
      </c>
      <c r="O51" s="2731"/>
      <c r="P51" s="797">
        <v>2</v>
      </c>
      <c r="Q51" s="193" t="s">
        <v>363</v>
      </c>
      <c r="R51" s="106"/>
      <c r="S51" s="194"/>
      <c r="T51" s="106" t="s">
        <v>42</v>
      </c>
      <c r="U51" s="195">
        <f>Pricing!N11</f>
        <v>1.25</v>
      </c>
      <c r="V51" s="401" t="s">
        <v>292</v>
      </c>
      <c r="W51" s="118">
        <f>IF(T$30="Y",S51*U51,S51*U51*(1+V$30))</f>
        <v>0</v>
      </c>
      <c r="X51" s="299"/>
    </row>
    <row r="52" spans="1:30" ht="19" customHeight="1" x14ac:dyDescent="0.35">
      <c r="A52" s="196" t="s">
        <v>162</v>
      </c>
      <c r="B52" s="57"/>
      <c r="C52" s="98" t="s">
        <v>200</v>
      </c>
      <c r="D52" s="1844">
        <v>0.9</v>
      </c>
      <c r="E52" s="1845"/>
      <c r="F52" s="88" t="s">
        <v>191</v>
      </c>
      <c r="G52" s="2816"/>
      <c r="H52" s="2934"/>
      <c r="I52" s="2819"/>
      <c r="J52" s="42" t="s">
        <v>95</v>
      </c>
      <c r="K52" s="2231">
        <f t="shared" si="31"/>
        <v>0</v>
      </c>
      <c r="L52" s="2231"/>
      <c r="M52"/>
      <c r="N52" s="2730">
        <f>IF(C52="y",H$50*D52,0)</f>
        <v>0</v>
      </c>
      <c r="O52" s="2731"/>
      <c r="P52" s="797">
        <v>2</v>
      </c>
      <c r="Q52" s="193" t="s">
        <v>367</v>
      </c>
      <c r="R52" s="106"/>
      <c r="S52" s="194"/>
      <c r="T52" s="106" t="s">
        <v>42</v>
      </c>
      <c r="U52" s="195">
        <f>Pricing!N12</f>
        <v>0.9</v>
      </c>
      <c r="V52" s="106"/>
      <c r="W52" s="118">
        <f>U52*S52</f>
        <v>0</v>
      </c>
      <c r="X52" s="299"/>
    </row>
    <row r="53" spans="1:30" ht="19" customHeight="1" x14ac:dyDescent="0.35">
      <c r="A53" s="196" t="s">
        <v>84</v>
      </c>
      <c r="B53" s="57"/>
      <c r="C53" s="98" t="s">
        <v>200</v>
      </c>
      <c r="D53" s="1844">
        <v>0</v>
      </c>
      <c r="E53" s="1845"/>
      <c r="F53" s="88" t="s">
        <v>191</v>
      </c>
      <c r="G53" s="2817"/>
      <c r="H53" s="2935"/>
      <c r="I53" s="2936"/>
      <c r="J53" s="7" t="s">
        <v>95</v>
      </c>
      <c r="K53" s="2231">
        <f t="shared" si="31"/>
        <v>0</v>
      </c>
      <c r="L53" s="2231"/>
      <c r="M53"/>
      <c r="N53" s="2730">
        <f>IF(C53="y",H$50*D53,0)</f>
        <v>0</v>
      </c>
      <c r="O53" s="2731"/>
      <c r="P53" s="1437">
        <v>2</v>
      </c>
      <c r="Q53" s="405" t="s">
        <v>368</v>
      </c>
      <c r="R53" s="149"/>
      <c r="S53" s="406"/>
      <c r="T53" s="149" t="s">
        <v>42</v>
      </c>
      <c r="U53" s="68">
        <f>Pricing!N9</f>
        <v>0.15</v>
      </c>
      <c r="V53" s="149"/>
      <c r="W53" s="224">
        <f>U53*S53</f>
        <v>0</v>
      </c>
      <c r="X53" s="299"/>
    </row>
    <row r="54" spans="1:30" ht="19" customHeight="1" x14ac:dyDescent="0.35">
      <c r="A54" s="388" t="s">
        <v>33</v>
      </c>
      <c r="B54" s="35"/>
      <c r="C54" s="16" t="s">
        <v>200</v>
      </c>
      <c r="D54" s="2930">
        <v>200</v>
      </c>
      <c r="E54" s="2931"/>
      <c r="F54" s="17" t="s">
        <v>89</v>
      </c>
      <c r="G54" s="7"/>
      <c r="H54" s="1909">
        <f>SUM(S10:S26)/2000</f>
        <v>0</v>
      </c>
      <c r="I54" s="1909"/>
      <c r="J54" s="7" t="s">
        <v>183</v>
      </c>
      <c r="K54" s="2231">
        <f t="shared" si="31"/>
        <v>0</v>
      </c>
      <c r="L54" s="2231"/>
      <c r="M54"/>
      <c r="N54" s="2730">
        <f>IF(C54="y",H54*D54,0)</f>
        <v>0</v>
      </c>
      <c r="O54" s="2731"/>
      <c r="P54" s="1437">
        <v>2</v>
      </c>
      <c r="Q54" s="405" t="s">
        <v>653</v>
      </c>
      <c r="R54" s="149"/>
      <c r="S54" s="406">
        <f>C27/2700</f>
        <v>0</v>
      </c>
      <c r="T54" s="149" t="s">
        <v>498</v>
      </c>
      <c r="U54" s="68">
        <f>Pricing!N41</f>
        <v>100</v>
      </c>
      <c r="V54" s="149"/>
      <c r="W54" s="224">
        <f t="shared" ref="W54:W62" si="32">S54*U54</f>
        <v>0</v>
      </c>
      <c r="X54" s="299"/>
    </row>
    <row r="55" spans="1:30" ht="19" customHeight="1" x14ac:dyDescent="0.35">
      <c r="A55" s="432" t="s">
        <v>354</v>
      </c>
      <c r="B55" s="138"/>
      <c r="C55" s="16" t="s">
        <v>200</v>
      </c>
      <c r="D55" s="2926">
        <v>2</v>
      </c>
      <c r="E55" s="2927"/>
      <c r="F55" s="225" t="s">
        <v>42</v>
      </c>
      <c r="G55" s="24"/>
      <c r="H55" s="2928">
        <f>SUM(J10:J26)</f>
        <v>0</v>
      </c>
      <c r="I55" s="2928"/>
      <c r="J55" s="24" t="s">
        <v>42</v>
      </c>
      <c r="K55" s="2258">
        <f t="shared" si="31"/>
        <v>0</v>
      </c>
      <c r="L55" s="2258"/>
      <c r="M55"/>
      <c r="N55" s="2737">
        <f>IF(C55="y",H55*D55,0)</f>
        <v>0</v>
      </c>
      <c r="O55" s="2738"/>
      <c r="P55" s="1437">
        <v>2</v>
      </c>
      <c r="Q55" s="405"/>
      <c r="R55" s="149"/>
      <c r="S55" s="406"/>
      <c r="T55" s="149"/>
      <c r="U55" s="68">
        <v>0</v>
      </c>
      <c r="V55" s="149"/>
      <c r="W55" s="224">
        <f t="shared" si="32"/>
        <v>0</v>
      </c>
      <c r="X55" s="299"/>
    </row>
    <row r="56" spans="1:30" ht="19" customHeight="1" thickBot="1" x14ac:dyDescent="0.4">
      <c r="A56" s="6" t="s">
        <v>223</v>
      </c>
      <c r="B56" s="4"/>
      <c r="C56" s="5"/>
      <c r="D56" s="2726">
        <f>IF(H50=0,0,(N56+K56)/H50)</f>
        <v>0</v>
      </c>
      <c r="E56" s="2727"/>
      <c r="F56" s="76"/>
      <c r="G56" s="49"/>
      <c r="H56" s="2017" t="s">
        <v>50</v>
      </c>
      <c r="I56" s="2017"/>
      <c r="J56" s="2017"/>
      <c r="K56" s="2232">
        <f>SUM(K50:L55)</f>
        <v>0</v>
      </c>
      <c r="L56" s="2232"/>
      <c r="M56" s="248"/>
      <c r="N56" s="2728">
        <f>SUM(N50:O55)</f>
        <v>0</v>
      </c>
      <c r="O56" s="2729"/>
      <c r="P56" s="1437">
        <v>2</v>
      </c>
      <c r="Q56" s="405"/>
      <c r="R56" s="149"/>
      <c r="S56" s="406">
        <f>BL53+BT53</f>
        <v>0</v>
      </c>
      <c r="T56" s="149"/>
      <c r="U56" s="68">
        <f>BO53</f>
        <v>0</v>
      </c>
      <c r="V56" s="149"/>
      <c r="W56" s="224">
        <f t="shared" si="32"/>
        <v>0</v>
      </c>
      <c r="X56" s="299"/>
    </row>
    <row r="57" spans="1:30" ht="19" customHeight="1" thickBot="1" x14ac:dyDescent="0.4">
      <c r="A57" s="3089" t="s">
        <v>374</v>
      </c>
      <c r="B57" s="3089"/>
      <c r="C57" s="3089"/>
      <c r="D57" s="3089"/>
      <c r="E57" s="3089"/>
      <c r="F57" s="3089"/>
      <c r="G57" s="3089"/>
      <c r="H57" s="3089"/>
      <c r="I57" s="3089"/>
      <c r="J57" s="3089"/>
      <c r="K57" s="3089"/>
      <c r="L57" s="3089"/>
      <c r="M57" s="3089"/>
      <c r="N57" s="3089"/>
      <c r="O57" s="3089"/>
      <c r="P57" s="1437">
        <v>2</v>
      </c>
      <c r="Q57" s="405"/>
      <c r="R57" s="149"/>
      <c r="S57" s="406">
        <f>BL55+BT55</f>
        <v>0</v>
      </c>
      <c r="T57" s="149"/>
      <c r="U57" s="68">
        <f>BO55</f>
        <v>0</v>
      </c>
      <c r="V57" s="149"/>
      <c r="W57" s="224">
        <f t="shared" si="32"/>
        <v>0</v>
      </c>
      <c r="X57" s="299"/>
    </row>
    <row r="58" spans="1:30" ht="19" customHeight="1" x14ac:dyDescent="0.35">
      <c r="A58" s="433" t="s">
        <v>173</v>
      </c>
      <c r="B58" s="40"/>
      <c r="C58" s="144"/>
      <c r="D58" s="1614">
        <v>0</v>
      </c>
      <c r="E58" s="40" t="s">
        <v>187</v>
      </c>
      <c r="F58" s="1617">
        <v>390</v>
      </c>
      <c r="G58" s="145" t="s">
        <v>68</v>
      </c>
      <c r="H58" s="40"/>
      <c r="I58" s="40"/>
      <c r="J58" s="40"/>
      <c r="K58" s="40"/>
      <c r="L58" s="3087">
        <f>IF(D31=0,0,(SUM(N58:O60))/D31)</f>
        <v>0</v>
      </c>
      <c r="M58" s="3088"/>
      <c r="N58" s="2349">
        <f>D58*F58</f>
        <v>0</v>
      </c>
      <c r="O58" s="2350"/>
      <c r="P58" s="1437">
        <v>2</v>
      </c>
      <c r="Q58" s="405"/>
      <c r="R58" s="149"/>
      <c r="S58" s="406">
        <f>BL56+BT56</f>
        <v>0</v>
      </c>
      <c r="T58" s="407"/>
      <c r="U58" s="68">
        <f>BO56</f>
        <v>0</v>
      </c>
      <c r="V58" s="149"/>
      <c r="W58" s="224">
        <f t="shared" si="32"/>
        <v>0</v>
      </c>
      <c r="X58" s="299"/>
    </row>
    <row r="59" spans="1:30" ht="19" customHeight="1" x14ac:dyDescent="0.35">
      <c r="A59" s="388" t="s">
        <v>158</v>
      </c>
      <c r="B59" s="7"/>
      <c r="C59" s="7"/>
      <c r="D59" s="1461">
        <f>D58</f>
        <v>0</v>
      </c>
      <c r="E59" s="146" t="s">
        <v>187</v>
      </c>
      <c r="F59" s="1471">
        <v>295</v>
      </c>
      <c r="G59" s="147" t="s">
        <v>68</v>
      </c>
      <c r="H59" s="7"/>
      <c r="I59" s="7"/>
      <c r="J59" s="7"/>
      <c r="K59" s="7"/>
      <c r="L59" s="2920">
        <f>SUM(N58:O60)</f>
        <v>0</v>
      </c>
      <c r="M59" s="2921"/>
      <c r="N59" s="2261">
        <f>D59*F59</f>
        <v>0</v>
      </c>
      <c r="O59" s="2262"/>
      <c r="P59" s="1437">
        <v>2</v>
      </c>
      <c r="Q59" s="405"/>
      <c r="R59" s="149"/>
      <c r="S59" s="406"/>
      <c r="T59" s="149"/>
      <c r="U59" s="68"/>
      <c r="V59" s="149"/>
      <c r="W59" s="224">
        <f t="shared" si="32"/>
        <v>0</v>
      </c>
      <c r="X59" s="299"/>
      <c r="Y59" t="s">
        <v>237</v>
      </c>
    </row>
    <row r="60" spans="1:30" ht="19" customHeight="1" thickBot="1" x14ac:dyDescent="0.4">
      <c r="A60" s="434" t="s">
        <v>188</v>
      </c>
      <c r="B60" s="10"/>
      <c r="C60" s="10"/>
      <c r="D60" s="1615">
        <f>D58</f>
        <v>0</v>
      </c>
      <c r="E60" s="10" t="s">
        <v>187</v>
      </c>
      <c r="F60" s="1618">
        <v>100</v>
      </c>
      <c r="G60" s="148" t="s">
        <v>68</v>
      </c>
      <c r="H60" s="10"/>
      <c r="I60" s="10"/>
      <c r="J60" s="10"/>
      <c r="K60" s="10"/>
      <c r="L60" s="10"/>
      <c r="M60" s="10"/>
      <c r="N60" s="2335">
        <f>D60*F60</f>
        <v>0</v>
      </c>
      <c r="O60" s="2336"/>
      <c r="P60" s="1437">
        <v>2</v>
      </c>
      <c r="Q60" s="405"/>
      <c r="R60" s="149"/>
      <c r="S60" s="406"/>
      <c r="T60" s="149"/>
      <c r="U60" s="68"/>
      <c r="V60" s="149"/>
      <c r="W60" s="224">
        <f t="shared" si="32"/>
        <v>0</v>
      </c>
      <c r="X60" s="299"/>
      <c r="Y60" t="s">
        <v>126</v>
      </c>
      <c r="Z60">
        <v>0</v>
      </c>
    </row>
    <row r="61" spans="1:30" ht="19" customHeight="1" thickBot="1" x14ac:dyDescent="0.4">
      <c r="A61" s="2236" t="s">
        <v>44</v>
      </c>
      <c r="B61" s="2236"/>
      <c r="C61" s="2236"/>
      <c r="D61" s="2236"/>
      <c r="E61" s="2236"/>
      <c r="F61" s="2236"/>
      <c r="G61" s="2236"/>
      <c r="H61" s="2236"/>
      <c r="I61" s="2236"/>
      <c r="J61" s="2236"/>
      <c r="K61" s="2236"/>
      <c r="L61" s="2236"/>
      <c r="M61" s="2236"/>
      <c r="N61" s="2236"/>
      <c r="O61" s="2236"/>
      <c r="P61" s="1437">
        <v>2</v>
      </c>
      <c r="Q61" s="405"/>
      <c r="R61" s="149"/>
      <c r="S61" s="406"/>
      <c r="T61" s="149"/>
      <c r="U61" s="68"/>
      <c r="V61" s="408"/>
      <c r="W61" s="224">
        <f t="shared" si="32"/>
        <v>0</v>
      </c>
      <c r="X61" s="299"/>
      <c r="Y61" t="s">
        <v>238</v>
      </c>
      <c r="Z61">
        <v>0</v>
      </c>
    </row>
    <row r="62" spans="1:30" ht="19" customHeight="1" x14ac:dyDescent="0.35">
      <c r="A62" s="3090" t="s">
        <v>90</v>
      </c>
      <c r="B62" s="3091"/>
      <c r="C62" s="3092"/>
      <c r="D62" s="1614">
        <v>0</v>
      </c>
      <c r="E62" s="435" t="s">
        <v>107</v>
      </c>
      <c r="F62" s="1617">
        <f>Pricing!D31</f>
        <v>385</v>
      </c>
      <c r="G62" s="436" t="s">
        <v>68</v>
      </c>
      <c r="H62" s="40"/>
      <c r="I62" s="40"/>
      <c r="J62" s="40"/>
      <c r="K62" s="40"/>
      <c r="L62" s="40"/>
      <c r="M62" s="40"/>
      <c r="N62" s="2349">
        <f>(IF(AND(D62&gt;0,D62&lt;4),D62*F62,0)+IF(AND(D62&gt;3,D62&lt;8),F62*3,0)+IF(AND(D62&gt;7,D62&lt;21),D62/7*F62*3,0)+IF(AND(D62&gt;20,D62&lt;30),F62*9,0)+IF(D62&gt;29,D62/30*F62*9,0))*(1+V$30+I$64)</f>
        <v>0</v>
      </c>
      <c r="O62" s="2350"/>
      <c r="P62" s="1437">
        <v>2</v>
      </c>
      <c r="Q62" s="405"/>
      <c r="R62" s="149"/>
      <c r="S62" s="406">
        <f>BL55+BT55</f>
        <v>0</v>
      </c>
      <c r="T62" s="149"/>
      <c r="U62" s="68">
        <f>BO55</f>
        <v>0</v>
      </c>
      <c r="V62" s="149"/>
      <c r="W62" s="224">
        <f t="shared" si="32"/>
        <v>0</v>
      </c>
      <c r="X62" s="299"/>
      <c r="Y62" t="s">
        <v>283</v>
      </c>
      <c r="Z62">
        <v>0</v>
      </c>
    </row>
    <row r="63" spans="1:30" ht="19" customHeight="1" thickBot="1" x14ac:dyDescent="0.4">
      <c r="A63" s="2886" t="s">
        <v>837</v>
      </c>
      <c r="B63" s="2887"/>
      <c r="C63" s="3099"/>
      <c r="D63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3" s="149" t="s">
        <v>107</v>
      </c>
      <c r="F63" s="1471">
        <f>Pricing!D33</f>
        <v>350</v>
      </c>
      <c r="G63" s="408" t="s">
        <v>68</v>
      </c>
      <c r="H63" s="7"/>
      <c r="I63" s="3100" t="s">
        <v>469</v>
      </c>
      <c r="J63" s="3101"/>
      <c r="K63" s="7"/>
      <c r="L63" s="3085">
        <f>IF(D31=0,0,(SUM(N62:O67))/D31)</f>
        <v>0</v>
      </c>
      <c r="M63" s="3086"/>
      <c r="N63" s="2261">
        <f>(IF(AND(D63&gt;0,D63&lt;4),D63*F63,0)+IF(AND(D63&gt;3,D63&lt;8),F63*3,0)+IF(AND(D63&gt;7,D63&lt;21),D63/7*F63*3,0)+IF(AND(D63&gt;20,D63&lt;30),F63*9,0)+IF(D63&gt;29,D63/30*F63*9,0))*(1+V$30+I$64)</f>
        <v>0</v>
      </c>
      <c r="O63" s="2262"/>
      <c r="P63" s="1437">
        <v>2</v>
      </c>
      <c r="Q63" s="1619" t="s">
        <v>892</v>
      </c>
      <c r="R63" s="1620"/>
      <c r="S63" s="1619"/>
      <c r="T63" s="1621"/>
      <c r="U63" s="3108"/>
      <c r="V63" s="3109"/>
      <c r="W63" s="952">
        <f>U63</f>
        <v>0</v>
      </c>
      <c r="X63" s="299"/>
      <c r="Y63" t="s">
        <v>239</v>
      </c>
      <c r="Z63" t="s">
        <v>240</v>
      </c>
      <c r="AD63" t="s">
        <v>92</v>
      </c>
    </row>
    <row r="64" spans="1:30" ht="19" customHeight="1" thickTop="1" x14ac:dyDescent="0.35">
      <c r="A64" s="2886" t="s">
        <v>801</v>
      </c>
      <c r="B64" s="2887"/>
      <c r="C64" s="3099"/>
      <c r="D64" s="1460"/>
      <c r="E64" s="149" t="s">
        <v>107</v>
      </c>
      <c r="F64" s="1471">
        <v>300</v>
      </c>
      <c r="G64" s="408" t="s">
        <v>68</v>
      </c>
      <c r="H64" s="7"/>
      <c r="I64" s="3095">
        <v>0.5</v>
      </c>
      <c r="J64" s="3096"/>
      <c r="K64" s="7"/>
      <c r="L64" s="2920">
        <f>SUM(N62:O67)</f>
        <v>0</v>
      </c>
      <c r="M64" s="2921"/>
      <c r="N64" s="2261">
        <f>(IF(AND(D64&gt;0,D64&lt;4),D64*F64,0)+IF(AND(D64&gt;3,D64&lt;8),F64*3,0)+IF(AND(D64&gt;7,D64&lt;21),D64/7*F64*3,0)+IF(AND(D64&gt;20,D64&lt;30),F64*9,0)+IF(D64&gt;29,D64/30*F64*9,0))*(1+V$30+I$64)</f>
        <v>0</v>
      </c>
      <c r="O64" s="2262"/>
      <c r="P64" s="1437">
        <v>6</v>
      </c>
      <c r="Q64" s="405" t="s">
        <v>287</v>
      </c>
      <c r="R64" s="149"/>
      <c r="S64" s="412">
        <f>ROUNDUP(C27/15000,0)</f>
        <v>0</v>
      </c>
      <c r="T64" s="149" t="s">
        <v>288</v>
      </c>
      <c r="U64" s="68">
        <f>Pricing!N37</f>
        <v>35</v>
      </c>
      <c r="V64" s="408" t="s">
        <v>293</v>
      </c>
      <c r="W64" s="38">
        <f>S64*U64</f>
        <v>0</v>
      </c>
      <c r="X64" s="299"/>
    </row>
    <row r="65" spans="1:30" ht="19" customHeight="1" x14ac:dyDescent="0.35">
      <c r="A65" s="2886" t="s">
        <v>160</v>
      </c>
      <c r="B65" s="2887"/>
      <c r="C65" s="3099"/>
      <c r="D65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5" s="149" t="s">
        <v>107</v>
      </c>
      <c r="F65" s="1471">
        <f>Pricing!D35</f>
        <v>50</v>
      </c>
      <c r="G65" s="408" t="s">
        <v>68</v>
      </c>
      <c r="H65" s="7"/>
      <c r="I65" s="3097"/>
      <c r="J65" s="3098"/>
      <c r="K65" s="7"/>
      <c r="L65" s="7"/>
      <c r="M65" s="7"/>
      <c r="N65" s="2261">
        <f>(IF(AND(D65&gt;0,D65&lt;4),D65*F65,0)+IF(AND(D65&gt;3,D65&lt;8),F65*3,0)+IF(AND(D65&gt;7,D65&lt;21),D65/7*F65*3,0)+IF(AND(D65&gt;20,D65&lt;30),F65*9,0)+IF(D65&gt;29,D65/30*F65*9,0))*(1+V$30+I$64)</f>
        <v>0</v>
      </c>
      <c r="O65" s="2262"/>
      <c r="P65" s="1437">
        <v>6</v>
      </c>
      <c r="Q65" s="405" t="s">
        <v>361</v>
      </c>
      <c r="R65" s="149"/>
      <c r="S65" s="412">
        <f>ROUNDUP(K41/14000,0)</f>
        <v>0</v>
      </c>
      <c r="T65" s="149" t="s">
        <v>498</v>
      </c>
      <c r="U65" s="68">
        <f>Pricing!N34</f>
        <v>4</v>
      </c>
      <c r="V65" s="408" t="s">
        <v>294</v>
      </c>
      <c r="W65" s="224">
        <f t="shared" ref="W65:W72" si="33">U65*S65</f>
        <v>0</v>
      </c>
      <c r="X65" s="299"/>
      <c r="Y65">
        <v>0</v>
      </c>
      <c r="Z65" t="s">
        <v>241</v>
      </c>
    </row>
    <row r="66" spans="1:30" ht="19" customHeight="1" x14ac:dyDescent="0.35">
      <c r="A66" s="2886" t="s">
        <v>108</v>
      </c>
      <c r="B66" s="2887"/>
      <c r="C66" s="3099"/>
      <c r="D66" s="1460">
        <f>IF(D$58&gt;0,IF(D$58&lt;=3,D$58,7),0)+IF(D$58&gt;5,IF(D$58&lt;=10,7,0),0)+IF(D$58&gt;10,IF(D$58&lt;=15,14,0),0)+IF(D$58&gt;15,IF(D$58&lt;=20,23,0),0)+IF(D$58&gt;20,IF(D$58&lt;=40,53,0),0)+IF(D$58&gt;40,IF(D$58&lt;=60,83,0),0)+IF(D$58&gt;60,IF(D$58&lt;=80,113,0),0)+IF(D$58&gt;80,IF(D$58&lt;=100,143,0),0)</f>
        <v>0</v>
      </c>
      <c r="E66" s="149" t="s">
        <v>107</v>
      </c>
      <c r="F66" s="1471">
        <v>35</v>
      </c>
      <c r="G66" s="408" t="s">
        <v>68</v>
      </c>
      <c r="H66" s="7"/>
      <c r="I66" s="7"/>
      <c r="J66" s="7"/>
      <c r="K66" s="7"/>
      <c r="L66" s="7"/>
      <c r="M66" s="7"/>
      <c r="N66" s="2261">
        <f>(IF(AND(D66&gt;0,D66&lt;4),D66*F66,0)+IF(AND(D66&gt;3,D66&lt;8),F66*3,0)+IF(AND(D66&gt;7,D66&lt;21),D66/7*F66*3,0)+IF(AND(D66&gt;20,D66&lt;30),F66*9,0)+IF(D66&gt;29,D66/30*F66*9,0))</f>
        <v>0</v>
      </c>
      <c r="O66" s="2262"/>
      <c r="P66" s="1437">
        <v>6</v>
      </c>
      <c r="Q66" s="405" t="s">
        <v>285</v>
      </c>
      <c r="R66" s="149"/>
      <c r="S66" s="413">
        <f>K41</f>
        <v>0</v>
      </c>
      <c r="T66" s="149" t="s">
        <v>32</v>
      </c>
      <c r="U66" s="68">
        <v>0.02</v>
      </c>
      <c r="V66" s="408" t="s">
        <v>88</v>
      </c>
      <c r="W66" s="224">
        <f>U66*S66</f>
        <v>0</v>
      </c>
      <c r="X66" s="299"/>
      <c r="Y66">
        <v>1</v>
      </c>
      <c r="Z66" t="s">
        <v>242</v>
      </c>
    </row>
    <row r="67" spans="1:30" ht="19" customHeight="1" thickBot="1" x14ac:dyDescent="0.4">
      <c r="A67" s="3112" t="s">
        <v>383</v>
      </c>
      <c r="B67" s="3113"/>
      <c r="C67" s="3121"/>
      <c r="D67" s="1615">
        <v>0</v>
      </c>
      <c r="E67" s="437" t="s">
        <v>387</v>
      </c>
      <c r="F67" s="1618">
        <v>1200</v>
      </c>
      <c r="G67" s="438" t="s">
        <v>388</v>
      </c>
      <c r="H67" s="10"/>
      <c r="I67" s="10"/>
      <c r="J67" s="10"/>
      <c r="K67" s="10"/>
      <c r="L67" s="253"/>
      <c r="M67" s="10"/>
      <c r="N67" s="2335">
        <f>D67*F67</f>
        <v>0</v>
      </c>
      <c r="O67" s="2336"/>
      <c r="P67" s="1437">
        <v>6</v>
      </c>
      <c r="Q67" s="405"/>
      <c r="R67" s="149"/>
      <c r="S67" s="149"/>
      <c r="T67" s="149" t="s">
        <v>288</v>
      </c>
      <c r="U67" s="68">
        <v>0</v>
      </c>
      <c r="V67" s="149"/>
      <c r="W67" s="224">
        <f>U67*S67</f>
        <v>0</v>
      </c>
      <c r="X67" s="299"/>
      <c r="Y67">
        <v>2</v>
      </c>
      <c r="Z67" t="s">
        <v>243</v>
      </c>
      <c r="AD67" s="261">
        <f>SUM(W38:W62)+N47</f>
        <v>0</v>
      </c>
    </row>
    <row r="68" spans="1:30" ht="19" customHeight="1" thickBot="1" x14ac:dyDescent="0.4">
      <c r="A68" s="2236" t="s">
        <v>174</v>
      </c>
      <c r="B68" s="2236"/>
      <c r="C68" s="2236"/>
      <c r="D68" s="2236"/>
      <c r="E68" s="2236"/>
      <c r="F68" s="2236"/>
      <c r="G68" s="2236"/>
      <c r="H68" s="2236"/>
      <c r="I68" s="2236"/>
      <c r="J68" s="2236"/>
      <c r="K68" s="2236"/>
      <c r="L68" s="2236"/>
      <c r="M68" s="2236"/>
      <c r="N68" s="2236"/>
      <c r="O68" s="2236"/>
      <c r="P68" s="1437">
        <v>6</v>
      </c>
      <c r="Q68" s="405"/>
      <c r="R68" s="149"/>
      <c r="S68" s="149"/>
      <c r="T68" s="149"/>
      <c r="U68" s="68">
        <v>0</v>
      </c>
      <c r="V68" s="149"/>
      <c r="W68" s="224">
        <f>U68*S68</f>
        <v>0</v>
      </c>
      <c r="X68" s="299"/>
      <c r="Y68">
        <v>3</v>
      </c>
      <c r="Z68" t="s">
        <v>244</v>
      </c>
      <c r="AD68">
        <f>N45</f>
        <v>0</v>
      </c>
    </row>
    <row r="69" spans="1:30" ht="19" customHeight="1" thickBot="1" x14ac:dyDescent="0.4">
      <c r="A69" s="3090" t="s">
        <v>189</v>
      </c>
      <c r="B69" s="3091"/>
      <c r="C69" s="3092"/>
      <c r="D69" s="1616">
        <v>0.55000000000000004</v>
      </c>
      <c r="E69" s="439" t="s">
        <v>118</v>
      </c>
      <c r="F69" s="3093"/>
      <c r="G69" s="3094"/>
      <c r="H69" s="40" t="s">
        <v>95</v>
      </c>
      <c r="I69" s="40"/>
      <c r="J69" s="40"/>
      <c r="K69" s="40"/>
      <c r="L69" s="40"/>
      <c r="M69" s="40"/>
      <c r="N69" s="2312">
        <f>D69*F69</f>
        <v>0</v>
      </c>
      <c r="O69" s="2340"/>
      <c r="P69" s="1437">
        <v>6</v>
      </c>
      <c r="Q69" s="409"/>
      <c r="R69" s="410"/>
      <c r="S69" s="410"/>
      <c r="T69" s="410"/>
      <c r="U69" s="411">
        <v>0</v>
      </c>
      <c r="V69" s="410"/>
      <c r="W69" s="226">
        <f t="shared" si="33"/>
        <v>0</v>
      </c>
      <c r="X69" s="299"/>
      <c r="Y69">
        <v>4</v>
      </c>
      <c r="Z69" t="s">
        <v>245</v>
      </c>
      <c r="AD69">
        <f>N46</f>
        <v>0</v>
      </c>
    </row>
    <row r="70" spans="1:30" ht="19" customHeight="1" thickTop="1" x14ac:dyDescent="0.35">
      <c r="A70" s="2886" t="s">
        <v>176</v>
      </c>
      <c r="B70" s="2887"/>
      <c r="C70" s="3099"/>
      <c r="D70" s="1464">
        <v>0.4</v>
      </c>
      <c r="E70" s="408" t="s">
        <v>118</v>
      </c>
      <c r="F70" s="3122">
        <f>ROUNDUP(C27/K70*2-F69,0)</f>
        <v>0</v>
      </c>
      <c r="G70" s="3123"/>
      <c r="H70" s="17" t="s">
        <v>42</v>
      </c>
      <c r="I70" s="3135" t="s">
        <v>382</v>
      </c>
      <c r="J70" s="3136"/>
      <c r="K70" s="3102">
        <v>12</v>
      </c>
      <c r="L70" s="7"/>
      <c r="M70" s="7"/>
      <c r="N70" s="2316">
        <f>D70*F70</f>
        <v>0</v>
      </c>
      <c r="O70" s="2317"/>
      <c r="P70" s="1437">
        <v>10</v>
      </c>
      <c r="Q70" s="405"/>
      <c r="R70" s="149"/>
      <c r="S70" s="149"/>
      <c r="T70" s="149"/>
      <c r="U70" s="68">
        <f>BI65</f>
        <v>0</v>
      </c>
      <c r="V70" s="149"/>
      <c r="W70" s="38">
        <f t="shared" si="33"/>
        <v>0</v>
      </c>
      <c r="X70" s="299"/>
      <c r="Y70">
        <v>5</v>
      </c>
      <c r="Z70" t="s">
        <v>246</v>
      </c>
      <c r="AD70">
        <f>N41+N42</f>
        <v>0</v>
      </c>
    </row>
    <row r="71" spans="1:30" ht="19" customHeight="1" x14ac:dyDescent="0.35">
      <c r="A71" s="2886" t="s">
        <v>442</v>
      </c>
      <c r="B71" s="2887"/>
      <c r="C71" s="3099"/>
      <c r="D71" s="1465">
        <f>Pricing!D41</f>
        <v>16</v>
      </c>
      <c r="E71" s="440" t="s">
        <v>443</v>
      </c>
      <c r="F71" s="3122">
        <f>SUM(T10:T26)</f>
        <v>0</v>
      </c>
      <c r="G71" s="3123"/>
      <c r="H71" s="7" t="s">
        <v>444</v>
      </c>
      <c r="I71" s="3135"/>
      <c r="J71" s="3136"/>
      <c r="K71" s="3102"/>
      <c r="L71" s="7"/>
      <c r="M71" s="7"/>
      <c r="N71" s="2316">
        <f>D71*F71</f>
        <v>0</v>
      </c>
      <c r="O71" s="2317"/>
      <c r="P71" s="1437">
        <v>10</v>
      </c>
      <c r="Q71" s="405" t="s">
        <v>211</v>
      </c>
      <c r="R71" s="149"/>
      <c r="S71" s="412">
        <f>ROUNDUP(H50/300/55,0)</f>
        <v>0</v>
      </c>
      <c r="T71" s="149" t="s">
        <v>213</v>
      </c>
      <c r="U71" s="68">
        <f>Pricing!N42</f>
        <v>540</v>
      </c>
      <c r="V71" s="408" t="s">
        <v>295</v>
      </c>
      <c r="W71" s="224">
        <f>U71*S71</f>
        <v>0</v>
      </c>
      <c r="X71" s="299"/>
      <c r="Y71">
        <v>6</v>
      </c>
      <c r="Z71" t="s">
        <v>248</v>
      </c>
      <c r="AD71">
        <f>SUM(W64:W69)</f>
        <v>0</v>
      </c>
    </row>
    <row r="72" spans="1:30" ht="19" customHeight="1" thickBot="1" x14ac:dyDescent="0.4">
      <c r="A72" s="2886" t="s">
        <v>307</v>
      </c>
      <c r="B72" s="2887"/>
      <c r="C72" s="2887"/>
      <c r="D72" s="1466">
        <v>4</v>
      </c>
      <c r="E72" s="441" t="s">
        <v>124</v>
      </c>
      <c r="F72" s="3133"/>
      <c r="G72" s="3134"/>
      <c r="H72" s="7" t="s">
        <v>31</v>
      </c>
      <c r="I72" s="7"/>
      <c r="J72" s="7"/>
      <c r="K72" s="7"/>
      <c r="L72" s="7"/>
      <c r="M72" s="7"/>
      <c r="N72" s="2316">
        <f>D72*F72</f>
        <v>0</v>
      </c>
      <c r="O72" s="2317"/>
      <c r="P72" s="1437">
        <v>10</v>
      </c>
      <c r="Q72" s="409" t="s">
        <v>212</v>
      </c>
      <c r="R72" s="410"/>
      <c r="S72" s="410"/>
      <c r="T72" s="410" t="s">
        <v>213</v>
      </c>
      <c r="U72" s="414">
        <f>BO61</f>
        <v>0</v>
      </c>
      <c r="V72" s="415" t="s">
        <v>295</v>
      </c>
      <c r="W72" s="226">
        <f t="shared" si="33"/>
        <v>0</v>
      </c>
      <c r="X72" s="299"/>
      <c r="Y72">
        <v>7</v>
      </c>
      <c r="Z72" t="s">
        <v>247</v>
      </c>
      <c r="AD72">
        <f>N44</f>
        <v>0</v>
      </c>
    </row>
    <row r="73" spans="1:30" ht="18" customHeight="1" thickTop="1" x14ac:dyDescent="0.35">
      <c r="A73" s="2886" t="s">
        <v>406</v>
      </c>
      <c r="B73" s="2887"/>
      <c r="C73" s="2887"/>
      <c r="D73" s="1467">
        <v>0</v>
      </c>
      <c r="E73" s="408" t="s">
        <v>191</v>
      </c>
      <c r="F73" s="3116">
        <f>AQ27</f>
        <v>0</v>
      </c>
      <c r="G73" s="3117"/>
      <c r="H73" s="7" t="s">
        <v>95</v>
      </c>
      <c r="J73" s="7"/>
      <c r="K73" s="7"/>
      <c r="L73" s="7"/>
      <c r="M73" s="252"/>
      <c r="N73" s="2419">
        <f>IF(D73=0,0,D73*F73)</f>
        <v>0</v>
      </c>
      <c r="O73" s="2890"/>
      <c r="P73" s="1437"/>
      <c r="Q73" s="8"/>
      <c r="S73" s="7"/>
      <c r="T73" s="7"/>
      <c r="U73" s="7"/>
      <c r="V73" s="7"/>
      <c r="W73" s="38"/>
      <c r="X73" s="299"/>
      <c r="Y73">
        <v>8</v>
      </c>
      <c r="Z73" t="s">
        <v>249</v>
      </c>
      <c r="AD73">
        <f>SUM(N38:O40)</f>
        <v>0</v>
      </c>
    </row>
    <row r="74" spans="1:30" ht="24.75" customHeight="1" x14ac:dyDescent="0.4">
      <c r="A74" s="2886" t="s">
        <v>186</v>
      </c>
      <c r="B74" s="2887"/>
      <c r="C74" s="2887"/>
      <c r="D74" s="1468">
        <v>0</v>
      </c>
      <c r="E74" s="441" t="s">
        <v>97</v>
      </c>
      <c r="F74" s="3131">
        <v>250</v>
      </c>
      <c r="G74" s="3132"/>
      <c r="H74" s="17" t="s">
        <v>68</v>
      </c>
      <c r="I74" s="7"/>
      <c r="J74" s="7"/>
      <c r="K74" s="7"/>
      <c r="L74" s="7"/>
      <c r="M74" s="7"/>
      <c r="N74" s="2316">
        <f>D74*F74</f>
        <v>0</v>
      </c>
      <c r="O74" s="2317"/>
      <c r="P74" s="1437"/>
      <c r="Q74" s="2879" t="s">
        <v>216</v>
      </c>
      <c r="R74" s="2880"/>
      <c r="S74" s="979">
        <v>18</v>
      </c>
      <c r="T74" s="7" t="s">
        <v>217</v>
      </c>
      <c r="U74" s="7"/>
      <c r="V74" s="7"/>
      <c r="W74" s="63"/>
      <c r="X74" s="299"/>
      <c r="Y74">
        <v>9</v>
      </c>
      <c r="Z74" t="s">
        <v>234</v>
      </c>
      <c r="AD74">
        <f>SUM(N43)</f>
        <v>0</v>
      </c>
    </row>
    <row r="75" spans="1:30" ht="19" customHeight="1" thickBot="1" x14ac:dyDescent="0.4">
      <c r="A75" s="3112" t="s">
        <v>108</v>
      </c>
      <c r="B75" s="3113"/>
      <c r="C75" s="3113"/>
      <c r="D75" s="1469"/>
      <c r="E75" s="437"/>
      <c r="F75" s="3114">
        <v>1000</v>
      </c>
      <c r="G75" s="3115"/>
      <c r="H75" s="10" t="s">
        <v>177</v>
      </c>
      <c r="I75" s="10"/>
      <c r="J75" s="10"/>
      <c r="K75" s="10"/>
      <c r="L75" s="10"/>
      <c r="M75" s="10"/>
      <c r="N75" s="2319">
        <f>D75*F75</f>
        <v>0</v>
      </c>
      <c r="O75" s="2320"/>
      <c r="P75" s="797"/>
      <c r="Q75" s="9" t="s">
        <v>214</v>
      </c>
      <c r="R75" s="10"/>
      <c r="S75" s="10">
        <f>ROUNDUP((S49+S51+S52)*12/S74,0)</f>
        <v>0</v>
      </c>
      <c r="T75" s="10" t="s">
        <v>215</v>
      </c>
      <c r="U75" s="2874">
        <f>Pricing!D24</f>
        <v>2</v>
      </c>
      <c r="V75" s="2874"/>
      <c r="W75" s="227">
        <f>U75*S75</f>
        <v>0</v>
      </c>
      <c r="X75" s="299"/>
      <c r="Y75">
        <v>10</v>
      </c>
      <c r="Z75" t="s">
        <v>250</v>
      </c>
      <c r="AD75">
        <f>SUM(W70:W72)</f>
        <v>0</v>
      </c>
    </row>
    <row r="76" spans="1:30" ht="19" customHeight="1" thickBot="1" x14ac:dyDescent="0.4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298"/>
      <c r="Q76" s="326"/>
      <c r="R76" s="326"/>
      <c r="S76" s="326"/>
      <c r="T76" s="326"/>
      <c r="U76" s="326"/>
      <c r="V76" s="326"/>
      <c r="W76" s="228">
        <f>SUM(W38:W75)</f>
        <v>0</v>
      </c>
      <c r="X76" s="299"/>
      <c r="Y76">
        <v>11</v>
      </c>
      <c r="Z76" t="s">
        <v>251</v>
      </c>
    </row>
    <row r="77" spans="1:30" ht="16" thickBot="1" x14ac:dyDescent="0.4">
      <c r="A77" s="1602"/>
      <c r="B77" s="1600"/>
      <c r="C77" s="1600"/>
      <c r="D77" s="1600"/>
      <c r="E77" s="1600"/>
      <c r="F77" s="1600"/>
      <c r="G77" s="1600"/>
      <c r="H77" s="1600"/>
      <c r="I77" s="1600"/>
      <c r="J77" s="1600"/>
      <c r="K77" s="1603"/>
      <c r="L77" s="1600"/>
      <c r="M77" s="1600"/>
      <c r="N77" s="1600"/>
      <c r="O77" s="1600"/>
      <c r="P77" s="1600"/>
      <c r="Q77" s="1600"/>
      <c r="R77" s="1600"/>
      <c r="S77" s="1600"/>
      <c r="T77" s="1600"/>
      <c r="U77" s="1600"/>
      <c r="V77" s="1600"/>
      <c r="W77" s="1601"/>
      <c r="X77" s="299"/>
      <c r="Y77">
        <v>12</v>
      </c>
      <c r="Z77" t="s">
        <v>252</v>
      </c>
    </row>
    <row r="78" spans="1:30" ht="27" x14ac:dyDescent="0.4">
      <c r="A78" s="3118" t="s">
        <v>185</v>
      </c>
      <c r="B78" s="3119"/>
      <c r="C78" s="3120"/>
      <c r="D78" s="3118" t="s">
        <v>140</v>
      </c>
      <c r="E78" s="3120"/>
      <c r="F78" s="3118" t="s">
        <v>178</v>
      </c>
      <c r="G78" s="3119"/>
      <c r="H78" s="3120"/>
      <c r="I78" s="18" t="s">
        <v>184</v>
      </c>
      <c r="J78" s="19"/>
      <c r="K78" s="20"/>
      <c r="L78" s="3124" t="s">
        <v>179</v>
      </c>
      <c r="M78" s="3125"/>
      <c r="N78" s="229"/>
      <c r="O78" s="230"/>
      <c r="P78" s="1604"/>
      <c r="Q78" s="43" t="s">
        <v>34</v>
      </c>
      <c r="R78" s="42"/>
      <c r="S78" s="42" t="s">
        <v>220</v>
      </c>
      <c r="T78" s="728" t="s">
        <v>200</v>
      </c>
      <c r="U78" s="73" t="s">
        <v>298</v>
      </c>
      <c r="V78" s="729">
        <f>V30</f>
        <v>8.2500000000000004E-2</v>
      </c>
      <c r="W78" s="1604"/>
      <c r="X78" s="299"/>
      <c r="Y78">
        <v>15</v>
      </c>
      <c r="Z78" t="s">
        <v>253</v>
      </c>
    </row>
    <row r="79" spans="1:30" ht="16" thickBot="1" x14ac:dyDescent="0.4">
      <c r="A79" s="11" t="s">
        <v>180</v>
      </c>
      <c r="B79" s="1999">
        <f>B31</f>
        <v>0</v>
      </c>
      <c r="C79" s="2000"/>
      <c r="D79" s="2003">
        <f>D31</f>
        <v>0</v>
      </c>
      <c r="E79" s="2004"/>
      <c r="F79" s="15">
        <f>F31</f>
        <v>0</v>
      </c>
      <c r="G79" s="2042">
        <f>G31</f>
        <v>0</v>
      </c>
      <c r="H79" s="2043"/>
      <c r="I79" s="2064">
        <f>I31</f>
        <v>0</v>
      </c>
      <c r="J79" s="2065"/>
      <c r="K79" s="2066"/>
      <c r="L79" s="725">
        <f>L31</f>
        <v>0.18</v>
      </c>
      <c r="M79" s="726"/>
      <c r="N79" s="726"/>
      <c r="O79" s="727"/>
      <c r="P79" s="1605"/>
      <c r="Q79" s="3" t="s">
        <v>50</v>
      </c>
      <c r="S79" s="7"/>
      <c r="T79" s="2885">
        <f>T31</f>
        <v>0</v>
      </c>
      <c r="U79" s="2885"/>
      <c r="W79" s="1604"/>
      <c r="X79" s="299"/>
      <c r="Y79">
        <v>16</v>
      </c>
      <c r="Z79" t="s">
        <v>841</v>
      </c>
    </row>
    <row r="80" spans="1:30" x14ac:dyDescent="0.35">
      <c r="A80" s="1604"/>
      <c r="B80" s="1604"/>
      <c r="C80" s="1604"/>
      <c r="D80" s="1604"/>
      <c r="E80" s="1604"/>
      <c r="F80" s="1604"/>
      <c r="G80" s="1604"/>
      <c r="H80" s="1604"/>
      <c r="I80" s="1604"/>
      <c r="J80" s="1604"/>
      <c r="K80" s="1604"/>
      <c r="L80" s="1604"/>
      <c r="M80" s="1604"/>
      <c r="N80" s="1604"/>
      <c r="O80" s="1604"/>
      <c r="P80" s="1604"/>
      <c r="Q80" s="1604"/>
      <c r="R80" s="1604"/>
      <c r="S80" s="1604"/>
      <c r="T80" s="3110">
        <f>AD118</f>
        <v>0</v>
      </c>
      <c r="U80" s="3111"/>
      <c r="V80" s="1604"/>
      <c r="W80" s="1604"/>
      <c r="X80" s="299"/>
      <c r="Y80">
        <v>17</v>
      </c>
      <c r="Z80" t="s">
        <v>842</v>
      </c>
    </row>
    <row r="81" spans="1:30" hidden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Y81">
        <v>18</v>
      </c>
      <c r="Z81" t="s">
        <v>844</v>
      </c>
    </row>
    <row r="82" spans="1:30" hidden="1" x14ac:dyDescent="0.35">
      <c r="B82" s="67"/>
      <c r="G82" s="67"/>
      <c r="H82" s="67"/>
      <c r="I82" s="2"/>
      <c r="J82" s="67"/>
      <c r="K82" s="67"/>
      <c r="L82" s="67"/>
      <c r="M82" s="174"/>
      <c r="N82" s="67"/>
      <c r="Q82" s="42"/>
      <c r="R82" s="42"/>
      <c r="Y82">
        <v>20</v>
      </c>
      <c r="Z82" t="s">
        <v>93</v>
      </c>
      <c r="AD82">
        <f>SUM(N58:O59)</f>
        <v>0</v>
      </c>
    </row>
    <row r="83" spans="1:30" hidden="1" x14ac:dyDescent="0.35">
      <c r="B83" s="67"/>
      <c r="G83" s="67"/>
      <c r="H83" s="67"/>
      <c r="I83" s="2"/>
      <c r="J83" s="67"/>
      <c r="K83" s="67"/>
      <c r="L83" s="67"/>
      <c r="M83" s="174"/>
      <c r="N83" s="67"/>
      <c r="Q83" s="42"/>
      <c r="R83" s="42"/>
      <c r="Y83">
        <v>21</v>
      </c>
      <c r="Z83" t="s">
        <v>254</v>
      </c>
      <c r="AD83">
        <f>N60</f>
        <v>0</v>
      </c>
    </row>
    <row r="84" spans="1:30" hidden="1" x14ac:dyDescent="0.35">
      <c r="B84" s="67"/>
      <c r="G84" s="67"/>
      <c r="H84" s="67"/>
      <c r="I84" s="2"/>
      <c r="J84" s="67"/>
      <c r="K84" s="67"/>
      <c r="L84" s="67"/>
      <c r="M84" s="174"/>
      <c r="N84" s="67"/>
      <c r="Q84" s="42"/>
      <c r="R84" s="42"/>
      <c r="Y84">
        <v>22</v>
      </c>
      <c r="Z84" t="s">
        <v>255</v>
      </c>
      <c r="AD84">
        <f>SUM(K50:L55)</f>
        <v>0</v>
      </c>
    </row>
    <row r="85" spans="1:30" hidden="1" x14ac:dyDescent="0.35">
      <c r="B85" s="67"/>
      <c r="G85" s="67"/>
      <c r="H85" s="67"/>
      <c r="I85" s="2"/>
      <c r="J85" s="67"/>
      <c r="K85" s="67"/>
      <c r="L85" s="67"/>
      <c r="M85" s="174"/>
      <c r="N85" s="67"/>
      <c r="Q85" s="42"/>
      <c r="R85" s="42"/>
      <c r="Y85">
        <v>23</v>
      </c>
      <c r="Z85" t="s">
        <v>256</v>
      </c>
      <c r="AD85">
        <f>N74</f>
        <v>0</v>
      </c>
    </row>
    <row r="86" spans="1:30" hidden="1" x14ac:dyDescent="0.35">
      <c r="G86" s="67"/>
      <c r="H86" s="67"/>
      <c r="I86" s="2"/>
      <c r="J86" s="67"/>
      <c r="K86" s="67"/>
      <c r="L86" s="67"/>
      <c r="M86" s="174"/>
      <c r="N86" s="67"/>
      <c r="Q86" s="42"/>
      <c r="R86" s="42"/>
      <c r="Y86">
        <v>24</v>
      </c>
      <c r="Z86" t="s">
        <v>257</v>
      </c>
    </row>
    <row r="87" spans="1:30" hidden="1" x14ac:dyDescent="0.35">
      <c r="G87" s="67"/>
      <c r="H87" s="67"/>
      <c r="I87" s="2"/>
      <c r="J87" s="67"/>
      <c r="K87" s="67"/>
      <c r="L87" s="67"/>
      <c r="M87" s="174"/>
      <c r="N87" s="67"/>
      <c r="Q87" s="42"/>
      <c r="R87" s="42"/>
      <c r="Y87">
        <v>25</v>
      </c>
      <c r="Z87" t="s">
        <v>258</v>
      </c>
    </row>
    <row r="88" spans="1:30" hidden="1" x14ac:dyDescent="0.35">
      <c r="G88" s="67"/>
      <c r="I88" s="2"/>
      <c r="J88" s="67"/>
      <c r="K88" s="67"/>
      <c r="L88" s="67"/>
      <c r="M88" s="174"/>
      <c r="N88" s="67"/>
      <c r="Q88" s="42"/>
      <c r="R88" s="42"/>
      <c r="Y88">
        <v>30</v>
      </c>
      <c r="Z88" t="s">
        <v>259</v>
      </c>
      <c r="AD88">
        <f>N71</f>
        <v>0</v>
      </c>
    </row>
    <row r="89" spans="1:30" hidden="1" x14ac:dyDescent="0.35">
      <c r="G89" s="67"/>
      <c r="I89" s="2"/>
      <c r="J89" s="67"/>
      <c r="K89" s="67"/>
      <c r="L89" s="67"/>
      <c r="M89" s="174"/>
      <c r="N89" s="67"/>
      <c r="Q89" s="42"/>
      <c r="R89" s="42"/>
      <c r="Y89">
        <v>31</v>
      </c>
      <c r="Z89" t="s">
        <v>744</v>
      </c>
    </row>
    <row r="90" spans="1:30" hidden="1" x14ac:dyDescent="0.35">
      <c r="G90" s="67"/>
      <c r="I90" s="2"/>
      <c r="J90" s="67"/>
      <c r="K90" s="67"/>
      <c r="L90" s="67"/>
      <c r="M90" s="174"/>
      <c r="N90" s="67"/>
      <c r="Q90" s="42"/>
      <c r="R90" s="42"/>
      <c r="Y90">
        <v>32</v>
      </c>
      <c r="Z90" t="s">
        <v>260</v>
      </c>
    </row>
    <row r="91" spans="1:30" hidden="1" x14ac:dyDescent="0.35">
      <c r="G91" s="67"/>
      <c r="I91" s="2"/>
      <c r="J91" s="67"/>
      <c r="K91" s="67"/>
      <c r="L91" s="67"/>
      <c r="M91" s="174"/>
      <c r="N91" s="67"/>
      <c r="Q91" s="42"/>
      <c r="R91" s="42"/>
      <c r="Y91">
        <v>33</v>
      </c>
      <c r="Z91" t="s">
        <v>261</v>
      </c>
      <c r="AD91">
        <f>K82</f>
        <v>0</v>
      </c>
    </row>
    <row r="92" spans="1:30" hidden="1" x14ac:dyDescent="0.35">
      <c r="G92" s="67"/>
      <c r="I92" s="2"/>
      <c r="J92" s="67"/>
      <c r="K92" s="67"/>
      <c r="L92" s="67"/>
      <c r="M92" s="174"/>
      <c r="N92" s="67"/>
      <c r="Q92" s="42"/>
      <c r="R92" s="42"/>
      <c r="Y92">
        <v>34</v>
      </c>
      <c r="Z92" t="s">
        <v>262</v>
      </c>
      <c r="AD92">
        <f>N70+N69</f>
        <v>0</v>
      </c>
    </row>
    <row r="93" spans="1:30" hidden="1" x14ac:dyDescent="0.35">
      <c r="G93" s="67"/>
      <c r="I93" s="2"/>
      <c r="J93" s="67"/>
      <c r="K93" s="67"/>
      <c r="L93" s="67"/>
      <c r="M93" s="174"/>
      <c r="N93" s="67"/>
      <c r="Q93" s="42"/>
      <c r="R93" s="42"/>
      <c r="Y93">
        <v>35</v>
      </c>
      <c r="Z93" t="s">
        <v>263</v>
      </c>
    </row>
    <row r="94" spans="1:30" hidden="1" x14ac:dyDescent="0.35">
      <c r="G94" s="67"/>
      <c r="H94" s="67"/>
      <c r="I94" s="2"/>
      <c r="J94" s="67"/>
      <c r="K94" s="67"/>
      <c r="L94" s="67"/>
      <c r="M94" s="174"/>
      <c r="Q94" s="42"/>
      <c r="R94" s="42"/>
      <c r="Y94">
        <v>36</v>
      </c>
      <c r="Z94" t="s">
        <v>745</v>
      </c>
    </row>
    <row r="95" spans="1:30" hidden="1" x14ac:dyDescent="0.35">
      <c r="F95" s="67"/>
      <c r="G95" s="67"/>
      <c r="H95" s="67"/>
      <c r="I95" s="2"/>
      <c r="J95" s="67"/>
      <c r="K95" s="67"/>
      <c r="L95" s="67"/>
      <c r="M95" s="174"/>
      <c r="Q95" s="42"/>
      <c r="R95" s="42"/>
      <c r="Y95">
        <v>39</v>
      </c>
      <c r="Z95" t="s">
        <v>264</v>
      </c>
    </row>
    <row r="96" spans="1:30" hidden="1" x14ac:dyDescent="0.35">
      <c r="A96" s="67"/>
      <c r="B96" s="67"/>
      <c r="C96" s="67"/>
      <c r="D96" s="67"/>
      <c r="E96" s="67"/>
      <c r="F96" s="67"/>
      <c r="G96" s="67"/>
      <c r="J96" s="67"/>
      <c r="K96" s="67"/>
      <c r="L96" s="67"/>
      <c r="M96" s="174"/>
      <c r="Q96" s="42"/>
      <c r="R96" s="42"/>
      <c r="Y96">
        <v>40</v>
      </c>
      <c r="Z96" t="s">
        <v>222</v>
      </c>
    </row>
    <row r="97" spans="1:30" hidden="1" x14ac:dyDescent="0.35">
      <c r="A97" s="67"/>
      <c r="B97" s="67"/>
      <c r="C97" s="67"/>
      <c r="D97" s="67"/>
      <c r="E97" s="67"/>
      <c r="F97" s="7"/>
      <c r="G97" s="67"/>
      <c r="H97" s="67"/>
      <c r="I97" s="67"/>
      <c r="L97" s="67"/>
      <c r="M97" s="174"/>
      <c r="Q97" s="42"/>
      <c r="R97" s="42"/>
      <c r="Y97">
        <v>41</v>
      </c>
      <c r="Z97" t="s">
        <v>265</v>
      </c>
    </row>
    <row r="98" spans="1:30" hidden="1" x14ac:dyDescent="0.35">
      <c r="A98" s="7"/>
      <c r="B98" s="7"/>
      <c r="C98" s="7"/>
      <c r="D98" s="7"/>
      <c r="E98" s="7"/>
      <c r="F98" s="7"/>
      <c r="G98" s="7"/>
      <c r="J98" s="67"/>
      <c r="K98" s="67"/>
      <c r="L98" s="67"/>
      <c r="M98" s="174"/>
      <c r="Y98">
        <v>42</v>
      </c>
      <c r="Z98" t="s">
        <v>266</v>
      </c>
    </row>
    <row r="99" spans="1:30" hidden="1" x14ac:dyDescent="0.35">
      <c r="A99" s="7"/>
      <c r="B99" s="7"/>
      <c r="C99" s="7"/>
      <c r="D99" s="7"/>
      <c r="E99" s="7"/>
      <c r="F99" s="7"/>
      <c r="G99" s="7"/>
      <c r="M99" s="67"/>
      <c r="Y99">
        <v>44</v>
      </c>
      <c r="Z99" t="s">
        <v>267</v>
      </c>
    </row>
    <row r="100" spans="1:30" hidden="1" x14ac:dyDescent="0.35">
      <c r="A100" s="7"/>
      <c r="B100" s="7"/>
      <c r="C100" s="7"/>
      <c r="D100" s="7"/>
      <c r="E100" s="7"/>
      <c r="F100" s="7"/>
      <c r="G100" s="7"/>
      <c r="L100" s="67"/>
      <c r="M100" s="67"/>
      <c r="Y100">
        <v>45</v>
      </c>
      <c r="Z100" t="s">
        <v>268</v>
      </c>
    </row>
    <row r="101" spans="1:30" hidden="1" x14ac:dyDescent="0.35">
      <c r="A101" s="7"/>
      <c r="B101" s="7"/>
      <c r="C101" s="7"/>
      <c r="D101" s="7"/>
      <c r="E101" s="7"/>
      <c r="G101" s="7"/>
      <c r="Y101">
        <v>46</v>
      </c>
      <c r="Z101" t="s">
        <v>269</v>
      </c>
    </row>
    <row r="102" spans="1:30" hidden="1" x14ac:dyDescent="0.35">
      <c r="Y102">
        <v>47</v>
      </c>
      <c r="Z102" t="s">
        <v>270</v>
      </c>
    </row>
    <row r="103" spans="1:30" hidden="1" x14ac:dyDescent="0.35">
      <c r="Y103">
        <v>48</v>
      </c>
      <c r="Z103" t="s">
        <v>271</v>
      </c>
    </row>
    <row r="104" spans="1:30" hidden="1" x14ac:dyDescent="0.35">
      <c r="Y104">
        <v>49</v>
      </c>
      <c r="Z104" t="s">
        <v>272</v>
      </c>
      <c r="AD104" s="382">
        <f>SUM(N50:O55)-N54</f>
        <v>0</v>
      </c>
    </row>
    <row r="105" spans="1:30" hidden="1" x14ac:dyDescent="0.35">
      <c r="Y105">
        <v>50</v>
      </c>
      <c r="Z105" t="s">
        <v>711</v>
      </c>
    </row>
    <row r="106" spans="1:30" hidden="1" x14ac:dyDescent="0.35">
      <c r="Y106">
        <v>51</v>
      </c>
      <c r="Z106" t="s">
        <v>712</v>
      </c>
    </row>
    <row r="107" spans="1:30" hidden="1" x14ac:dyDescent="0.35">
      <c r="Y107">
        <v>52</v>
      </c>
      <c r="Z107" t="s">
        <v>273</v>
      </c>
    </row>
    <row r="108" spans="1:30" hidden="1" x14ac:dyDescent="0.35">
      <c r="Y108">
        <v>53</v>
      </c>
      <c r="Z108" t="s">
        <v>274</v>
      </c>
    </row>
    <row r="109" spans="1:30" hidden="1" x14ac:dyDescent="0.35">
      <c r="Y109">
        <v>54</v>
      </c>
      <c r="Z109" t="s">
        <v>275</v>
      </c>
    </row>
    <row r="110" spans="1:30" hidden="1" x14ac:dyDescent="0.35">
      <c r="Y110">
        <v>55</v>
      </c>
      <c r="Z110" t="s">
        <v>276</v>
      </c>
    </row>
    <row r="111" spans="1:30" hidden="1" x14ac:dyDescent="0.35">
      <c r="Y111">
        <v>56</v>
      </c>
      <c r="Z111" t="s">
        <v>277</v>
      </c>
    </row>
    <row r="112" spans="1:30" hidden="1" x14ac:dyDescent="0.35">
      <c r="Y112">
        <v>57</v>
      </c>
      <c r="Z112" t="s">
        <v>716</v>
      </c>
    </row>
    <row r="113" spans="25:30" hidden="1" x14ac:dyDescent="0.35">
      <c r="Y113">
        <v>58</v>
      </c>
      <c r="Z113" t="s">
        <v>279</v>
      </c>
      <c r="AD113">
        <f>N73</f>
        <v>0</v>
      </c>
    </row>
    <row r="114" spans="25:30" hidden="1" x14ac:dyDescent="0.35">
      <c r="Y114">
        <v>54</v>
      </c>
      <c r="Z114" t="s">
        <v>280</v>
      </c>
      <c r="AD114">
        <f>N54</f>
        <v>0</v>
      </c>
    </row>
    <row r="115" spans="25:30" hidden="1" x14ac:dyDescent="0.35">
      <c r="Y115">
        <v>60</v>
      </c>
      <c r="Z115" t="s">
        <v>281</v>
      </c>
      <c r="AD115">
        <f>SUM(N62:O67)-N66</f>
        <v>0</v>
      </c>
    </row>
    <row r="116" spans="25:30" hidden="1" x14ac:dyDescent="0.35">
      <c r="Y116">
        <v>65</v>
      </c>
      <c r="Z116" t="s">
        <v>282</v>
      </c>
      <c r="AD116">
        <f>N66</f>
        <v>0</v>
      </c>
    </row>
    <row r="117" spans="25:30" hidden="1" x14ac:dyDescent="0.35">
      <c r="Y117">
        <v>99</v>
      </c>
      <c r="Z117" t="s">
        <v>894</v>
      </c>
      <c r="AD117" s="382">
        <f>W63</f>
        <v>0</v>
      </c>
    </row>
    <row r="118" spans="25:30" hidden="1" x14ac:dyDescent="0.35">
      <c r="AD118">
        <f>SUM(AD65:AD117)</f>
        <v>0</v>
      </c>
    </row>
    <row r="119" spans="25:30" hidden="1" x14ac:dyDescent="0.35"/>
    <row r="120" spans="25:30" hidden="1" x14ac:dyDescent="0.35"/>
    <row r="121" spans="25:30" hidden="1" x14ac:dyDescent="0.35"/>
    <row r="122" spans="25:30" hidden="1" x14ac:dyDescent="0.35"/>
    <row r="123" spans="25:30" hidden="1" x14ac:dyDescent="0.35"/>
    <row r="124" spans="25:30" hidden="1" x14ac:dyDescent="0.35"/>
    <row r="125" spans="25:30" hidden="1" x14ac:dyDescent="0.35"/>
    <row r="126" spans="25:30" hidden="1" x14ac:dyDescent="0.35"/>
    <row r="127" spans="25:30" hidden="1" x14ac:dyDescent="0.35"/>
    <row r="128" spans="25:30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</sheetData>
  <mergeCells count="227">
    <mergeCell ref="D78:E78"/>
    <mergeCell ref="F78:H78"/>
    <mergeCell ref="L78:M78"/>
    <mergeCell ref="N70:O70"/>
    <mergeCell ref="H47:I47"/>
    <mergeCell ref="H43:I43"/>
    <mergeCell ref="H42:I42"/>
    <mergeCell ref="C27:D27"/>
    <mergeCell ref="A30:C30"/>
    <mergeCell ref="K47:L47"/>
    <mergeCell ref="I44:J44"/>
    <mergeCell ref="K44:L44"/>
    <mergeCell ref="H45:I46"/>
    <mergeCell ref="K46:L46"/>
    <mergeCell ref="D31:E31"/>
    <mergeCell ref="B31:C31"/>
    <mergeCell ref="F71:G71"/>
    <mergeCell ref="A74:C74"/>
    <mergeCell ref="F74:G74"/>
    <mergeCell ref="A72:C72"/>
    <mergeCell ref="F72:G72"/>
    <mergeCell ref="N72:O72"/>
    <mergeCell ref="A70:C70"/>
    <mergeCell ref="I70:J71"/>
    <mergeCell ref="A26:B26"/>
    <mergeCell ref="A19:B19"/>
    <mergeCell ref="U63:V63"/>
    <mergeCell ref="T80:U80"/>
    <mergeCell ref="N43:O43"/>
    <mergeCell ref="N41:O41"/>
    <mergeCell ref="N42:O42"/>
    <mergeCell ref="T79:U79"/>
    <mergeCell ref="N69:O69"/>
    <mergeCell ref="N71:O71"/>
    <mergeCell ref="A68:O68"/>
    <mergeCell ref="A62:C62"/>
    <mergeCell ref="U75:V75"/>
    <mergeCell ref="A75:C75"/>
    <mergeCell ref="F75:G75"/>
    <mergeCell ref="N75:O75"/>
    <mergeCell ref="F73:G73"/>
    <mergeCell ref="N73:O73"/>
    <mergeCell ref="Q74:R74"/>
    <mergeCell ref="N74:O74"/>
    <mergeCell ref="A73:C73"/>
    <mergeCell ref="A78:C78"/>
    <mergeCell ref="A67:C67"/>
    <mergeCell ref="F70:G70"/>
    <mergeCell ref="K70:K71"/>
    <mergeCell ref="A71:C71"/>
    <mergeCell ref="V21:W21"/>
    <mergeCell ref="A20:B20"/>
    <mergeCell ref="C20:D20"/>
    <mergeCell ref="K49:L49"/>
    <mergeCell ref="M49:O49"/>
    <mergeCell ref="J45:J46"/>
    <mergeCell ref="N50:O50"/>
    <mergeCell ref="K45:L45"/>
    <mergeCell ref="N45:O45"/>
    <mergeCell ref="N46:O46"/>
    <mergeCell ref="K50:L50"/>
    <mergeCell ref="N47:O47"/>
    <mergeCell ref="G50:G53"/>
    <mergeCell ref="H50:I53"/>
    <mergeCell ref="D53:E53"/>
    <mergeCell ref="K51:L51"/>
    <mergeCell ref="D50:E50"/>
    <mergeCell ref="L31:O31"/>
    <mergeCell ref="K41:L41"/>
    <mergeCell ref="H41:I41"/>
    <mergeCell ref="J32:K32"/>
    <mergeCell ref="M32:N32"/>
    <mergeCell ref="N38:O38"/>
    <mergeCell ref="K39:L39"/>
    <mergeCell ref="B79:C79"/>
    <mergeCell ref="D79:E79"/>
    <mergeCell ref="G79:H79"/>
    <mergeCell ref="I79:K79"/>
    <mergeCell ref="Q37:R37"/>
    <mergeCell ref="H38:I40"/>
    <mergeCell ref="J38:J40"/>
    <mergeCell ref="K38:L38"/>
    <mergeCell ref="N65:O65"/>
    <mergeCell ref="A69:C69"/>
    <mergeCell ref="F69:G69"/>
    <mergeCell ref="I64:J65"/>
    <mergeCell ref="A66:C66"/>
    <mergeCell ref="N66:O66"/>
    <mergeCell ref="A65:C65"/>
    <mergeCell ref="A64:C64"/>
    <mergeCell ref="N64:O64"/>
    <mergeCell ref="L64:M64"/>
    <mergeCell ref="N67:O67"/>
    <mergeCell ref="A63:C63"/>
    <mergeCell ref="N63:O63"/>
    <mergeCell ref="I63:J63"/>
    <mergeCell ref="L63:M63"/>
    <mergeCell ref="N60:O60"/>
    <mergeCell ref="N59:O59"/>
    <mergeCell ref="L58:M58"/>
    <mergeCell ref="K53:L53"/>
    <mergeCell ref="D55:E55"/>
    <mergeCell ref="A61:O61"/>
    <mergeCell ref="N62:O62"/>
    <mergeCell ref="L59:M59"/>
    <mergeCell ref="H55:I55"/>
    <mergeCell ref="K55:L55"/>
    <mergeCell ref="D56:E56"/>
    <mergeCell ref="N58:O58"/>
    <mergeCell ref="N53:O53"/>
    <mergeCell ref="N54:O54"/>
    <mergeCell ref="N55:O55"/>
    <mergeCell ref="N56:O56"/>
    <mergeCell ref="A57:O57"/>
    <mergeCell ref="D54:E54"/>
    <mergeCell ref="H56:J56"/>
    <mergeCell ref="K56:L56"/>
    <mergeCell ref="H54:I54"/>
    <mergeCell ref="K54:L54"/>
    <mergeCell ref="N51:O51"/>
    <mergeCell ref="N52:O52"/>
    <mergeCell ref="C15:D15"/>
    <mergeCell ref="A24:B24"/>
    <mergeCell ref="F30:H30"/>
    <mergeCell ref="I30:K30"/>
    <mergeCell ref="C12:D12"/>
    <mergeCell ref="A11:B11"/>
    <mergeCell ref="A12:B12"/>
    <mergeCell ref="C14:D14"/>
    <mergeCell ref="C16:D16"/>
    <mergeCell ref="C17:D17"/>
    <mergeCell ref="A23:B23"/>
    <mergeCell ref="C23:D23"/>
    <mergeCell ref="A22:B22"/>
    <mergeCell ref="C22:D22"/>
    <mergeCell ref="A21:B21"/>
    <mergeCell ref="C21:D21"/>
    <mergeCell ref="D51:E51"/>
    <mergeCell ref="D52:E52"/>
    <mergeCell ref="K52:L52"/>
    <mergeCell ref="A14:B14"/>
    <mergeCell ref="B37:O37"/>
    <mergeCell ref="N39:O39"/>
    <mergeCell ref="C10:D10"/>
    <mergeCell ref="A10:B10"/>
    <mergeCell ref="I8:I9"/>
    <mergeCell ref="A13:B13"/>
    <mergeCell ref="N44:O44"/>
    <mergeCell ref="C24:D24"/>
    <mergeCell ref="C13:D13"/>
    <mergeCell ref="C18:D18"/>
    <mergeCell ref="D30:E30"/>
    <mergeCell ref="G31:H31"/>
    <mergeCell ref="K42:L42"/>
    <mergeCell ref="C11:D11"/>
    <mergeCell ref="K43:L43"/>
    <mergeCell ref="K40:L40"/>
    <mergeCell ref="N40:O40"/>
    <mergeCell ref="A17:B17"/>
    <mergeCell ref="A18:B18"/>
    <mergeCell ref="A15:B15"/>
    <mergeCell ref="A16:B16"/>
    <mergeCell ref="C26:D26"/>
    <mergeCell ref="L30:M30"/>
    <mergeCell ref="A25:B25"/>
    <mergeCell ref="C25:D25"/>
    <mergeCell ref="C19:D19"/>
    <mergeCell ref="V1:W1"/>
    <mergeCell ref="N2:O2"/>
    <mergeCell ref="C7:D7"/>
    <mergeCell ref="F7:H7"/>
    <mergeCell ref="I7:M7"/>
    <mergeCell ref="G8:G9"/>
    <mergeCell ref="H8:H9"/>
    <mergeCell ref="F8:F9"/>
    <mergeCell ref="J8:J9"/>
    <mergeCell ref="E8:E9"/>
    <mergeCell ref="V8:W9"/>
    <mergeCell ref="Q8:Q9"/>
    <mergeCell ref="T1:U1"/>
    <mergeCell ref="A2:E2"/>
    <mergeCell ref="A3:E3"/>
    <mergeCell ref="A4:E4"/>
    <mergeCell ref="C6:D6"/>
    <mergeCell ref="A8:B9"/>
    <mergeCell ref="C8:D9"/>
    <mergeCell ref="V10:W10"/>
    <mergeCell ref="V11:W11"/>
    <mergeCell ref="V12:W12"/>
    <mergeCell ref="K8:K9"/>
    <mergeCell ref="V25:W25"/>
    <mergeCell ref="V24:W24"/>
    <mergeCell ref="T31:U31"/>
    <mergeCell ref="P2:Q2"/>
    <mergeCell ref="I3:M3"/>
    <mergeCell ref="N3:O3"/>
    <mergeCell ref="P3:Q3"/>
    <mergeCell ref="P4:Q4"/>
    <mergeCell ref="V13:W13"/>
    <mergeCell ref="V14:W14"/>
    <mergeCell ref="V18:W18"/>
    <mergeCell ref="V15:W15"/>
    <mergeCell ref="V19:W19"/>
    <mergeCell ref="V16:W16"/>
    <mergeCell ref="V17:W17"/>
    <mergeCell ref="V22:W22"/>
    <mergeCell ref="V23:W23"/>
    <mergeCell ref="V26:W26"/>
    <mergeCell ref="T28:U28"/>
    <mergeCell ref="V20:W20"/>
    <mergeCell ref="T32:U32"/>
    <mergeCell ref="I6:M6"/>
    <mergeCell ref="N6:O6"/>
    <mergeCell ref="N4:O4"/>
    <mergeCell ref="I5:M5"/>
    <mergeCell ref="N5:O5"/>
    <mergeCell ref="P5:Q5"/>
    <mergeCell ref="P6:Q6"/>
    <mergeCell ref="P8:P9"/>
    <mergeCell ref="L8:M8"/>
    <mergeCell ref="U8:U9"/>
    <mergeCell ref="T8:T9"/>
    <mergeCell ref="S8:S9"/>
    <mergeCell ref="N8:O8"/>
    <mergeCell ref="I4:M4"/>
    <mergeCell ref="R8:R9"/>
    <mergeCell ref="I31:K31"/>
  </mergeCells>
  <printOptions gridLines="1"/>
  <pageMargins left="1.07" right="0.46" top="0.52" bottom="0.17" header="0.24" footer="0.17"/>
  <pageSetup paperSize="5" scale="65" orientation="landscape" horizontalDpi="4294967293" verticalDpi="1200" r:id="rId1"/>
  <headerFooter alignWithMargins="0">
    <oddHeader>&amp;L&amp;16               &amp;A&amp;C&amp;20&amp;F&amp;R&amp;16&amp;D</oddHeader>
  </headerFooter>
  <rowBreaks count="1" manualBreakCount="1">
    <brk id="3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I64"/>
  <sheetViews>
    <sheetView topLeftCell="A9" zoomScale="75" workbookViewId="0">
      <selection activeCell="F51" sqref="F51"/>
    </sheetView>
  </sheetViews>
  <sheetFormatPr defaultRowHeight="12.5" x14ac:dyDescent="0.25"/>
  <cols>
    <col min="6" max="6" width="10.26953125" customWidth="1"/>
    <col min="9" max="9" width="18.7265625" customWidth="1"/>
  </cols>
  <sheetData>
    <row r="1" spans="1:9" ht="13" x14ac:dyDescent="0.3">
      <c r="A1" s="3143" t="s">
        <v>439</v>
      </c>
      <c r="B1" s="3143"/>
      <c r="C1" s="3143"/>
      <c r="D1" s="3143"/>
      <c r="E1" s="3143"/>
      <c r="F1" s="3143"/>
      <c r="G1" s="3143"/>
      <c r="H1" s="3143"/>
      <c r="I1" s="3143"/>
    </row>
    <row r="2" spans="1:9" ht="13" x14ac:dyDescent="0.3">
      <c r="A2" s="3144" t="s">
        <v>748</v>
      </c>
      <c r="B2" s="3144"/>
      <c r="C2" s="3145">
        <f>Information!C2</f>
        <v>0</v>
      </c>
      <c r="D2" s="3145"/>
      <c r="E2" s="3145"/>
      <c r="F2" s="3145"/>
      <c r="G2" s="3145"/>
      <c r="H2" s="3145"/>
      <c r="I2" s="3145"/>
    </row>
    <row r="3" spans="1:9" ht="13.5" thickBot="1" x14ac:dyDescent="0.35">
      <c r="A3" s="3144" t="s">
        <v>749</v>
      </c>
      <c r="B3" s="3144"/>
      <c r="C3" s="3142"/>
      <c r="D3" s="3142"/>
      <c r="E3" s="3142"/>
      <c r="F3" s="3142"/>
      <c r="G3" s="3142"/>
      <c r="H3" s="3142"/>
      <c r="I3" s="3142"/>
    </row>
    <row r="4" spans="1:9" ht="13" x14ac:dyDescent="0.3">
      <c r="A4" s="3137"/>
      <c r="B4" s="3138"/>
      <c r="C4" s="3139"/>
      <c r="D4" s="3140"/>
      <c r="E4" s="3140"/>
      <c r="F4" s="3140"/>
      <c r="G4" s="3140"/>
      <c r="H4" s="3140"/>
      <c r="I4" s="3141"/>
    </row>
    <row r="5" spans="1:9" ht="13.5" thickBot="1" x14ac:dyDescent="0.35">
      <c r="A5" s="3146" t="s">
        <v>863</v>
      </c>
      <c r="B5" s="3147"/>
      <c r="C5" s="3148"/>
      <c r="D5" s="3149"/>
      <c r="E5" s="3149"/>
      <c r="F5" s="3149"/>
      <c r="G5" s="3149"/>
      <c r="H5" s="3149"/>
      <c r="I5" s="3150"/>
    </row>
    <row r="6" spans="1:9" ht="13.5" thickBot="1" x14ac:dyDescent="0.35">
      <c r="A6" s="3161"/>
      <c r="B6" s="3161"/>
      <c r="C6" s="3162"/>
      <c r="D6" s="3163"/>
      <c r="E6" s="3163"/>
      <c r="F6" s="3163"/>
      <c r="G6" s="3163"/>
      <c r="H6" s="3163"/>
      <c r="I6" s="3164"/>
    </row>
    <row r="7" spans="1:9" ht="13" x14ac:dyDescent="0.3">
      <c r="A7" s="3165"/>
      <c r="B7" s="3166"/>
      <c r="C7" s="3167"/>
      <c r="D7" s="3168"/>
      <c r="E7" s="3168"/>
      <c r="F7" s="3169"/>
    </row>
    <row r="8" spans="1:9" ht="13.5" thickBot="1" x14ac:dyDescent="0.35">
      <c r="A8" s="3146" t="s">
        <v>864</v>
      </c>
      <c r="B8" s="3147"/>
      <c r="C8" s="3170"/>
      <c r="D8" s="3171"/>
      <c r="E8" s="3171"/>
      <c r="F8" s="3172"/>
    </row>
    <row r="9" spans="1:9" ht="23.25" customHeight="1" x14ac:dyDescent="0.3">
      <c r="A9" s="560"/>
      <c r="B9" s="560"/>
      <c r="C9" s="516"/>
      <c r="D9" s="516"/>
      <c r="E9" s="516"/>
      <c r="F9" s="516"/>
      <c r="G9" s="516"/>
      <c r="H9" s="516" t="s">
        <v>865</v>
      </c>
      <c r="I9" s="561">
        <f>I17+I25+I33+I39+I45+I50+I55+I63</f>
        <v>0</v>
      </c>
    </row>
    <row r="10" spans="1:9" ht="13.5" thickBot="1" x14ac:dyDescent="0.35">
      <c r="A10" s="562" t="s">
        <v>866</v>
      </c>
      <c r="B10" s="562" t="s">
        <v>52</v>
      </c>
      <c r="C10" s="3151" t="s">
        <v>866</v>
      </c>
      <c r="D10" s="3151"/>
      <c r="E10" s="3151"/>
      <c r="F10" s="563" t="s">
        <v>867</v>
      </c>
      <c r="G10" s="563"/>
      <c r="H10" s="563"/>
      <c r="I10" s="564"/>
    </row>
    <row r="11" spans="1:9" ht="20.149999999999999" customHeight="1" thickTop="1" x14ac:dyDescent="0.25">
      <c r="A11" s="3152" t="s">
        <v>868</v>
      </c>
      <c r="B11" s="565"/>
      <c r="C11" s="3155"/>
      <c r="D11" s="3156"/>
      <c r="E11" s="3157"/>
      <c r="F11" s="566"/>
      <c r="G11" s="383" t="s">
        <v>556</v>
      </c>
      <c r="I11" s="567">
        <f t="shared" ref="I11:I16" si="0">B11*F11</f>
        <v>0</v>
      </c>
    </row>
    <row r="12" spans="1:9" ht="20.149999999999999" customHeight="1" x14ac:dyDescent="0.25">
      <c r="A12" s="3153"/>
      <c r="B12" s="565"/>
      <c r="C12" s="3158"/>
      <c r="D12" s="3159"/>
      <c r="E12" s="3160"/>
      <c r="F12" s="566"/>
      <c r="G12" s="383" t="s">
        <v>869</v>
      </c>
      <c r="I12" s="567">
        <f t="shared" si="0"/>
        <v>0</v>
      </c>
    </row>
    <row r="13" spans="1:9" ht="20.149999999999999" customHeight="1" x14ac:dyDescent="0.35">
      <c r="A13" s="3153"/>
      <c r="B13" s="565"/>
      <c r="C13" s="2708"/>
      <c r="D13" s="2015"/>
      <c r="E13" s="2016"/>
      <c r="F13" s="566"/>
      <c r="G13" s="383" t="s">
        <v>870</v>
      </c>
      <c r="I13" s="567">
        <f t="shared" si="0"/>
        <v>0</v>
      </c>
    </row>
    <row r="14" spans="1:9" ht="20.149999999999999" customHeight="1" x14ac:dyDescent="0.25">
      <c r="A14" s="3153"/>
      <c r="B14" s="565"/>
      <c r="C14" s="2876"/>
      <c r="D14" s="2876"/>
      <c r="E14" s="2876"/>
      <c r="F14" s="566"/>
      <c r="I14" s="567">
        <f t="shared" si="0"/>
        <v>0</v>
      </c>
    </row>
    <row r="15" spans="1:9" ht="20.149999999999999" customHeight="1" x14ac:dyDescent="0.25">
      <c r="A15" s="3153"/>
      <c r="B15" s="565"/>
      <c r="C15" s="2876"/>
      <c r="D15" s="2876"/>
      <c r="E15" s="2876"/>
      <c r="F15" s="566"/>
      <c r="I15" s="567">
        <f t="shared" si="0"/>
        <v>0</v>
      </c>
    </row>
    <row r="16" spans="1:9" ht="20.149999999999999" customHeight="1" thickBot="1" x14ac:dyDescent="0.3">
      <c r="A16" s="3154"/>
      <c r="B16" s="568"/>
      <c r="C16" s="3173"/>
      <c r="D16" s="3174"/>
      <c r="E16" s="3174"/>
      <c r="F16" s="569"/>
      <c r="G16" s="248"/>
      <c r="H16" s="248"/>
      <c r="I16" s="567">
        <f t="shared" si="0"/>
        <v>0</v>
      </c>
    </row>
    <row r="17" spans="1:9" ht="20.149999999999999" customHeight="1" thickBot="1" x14ac:dyDescent="0.3">
      <c r="A17" s="570"/>
      <c r="B17" s="571"/>
      <c r="C17" s="3184"/>
      <c r="D17" s="3184"/>
      <c r="E17" s="3185"/>
      <c r="F17" s="572"/>
      <c r="G17" s="573"/>
      <c r="H17" s="573"/>
      <c r="I17" s="574">
        <f>SUM(I11:I16)</f>
        <v>0</v>
      </c>
    </row>
    <row r="18" spans="1:9" ht="16" customHeight="1" thickTop="1" thickBot="1" x14ac:dyDescent="0.3">
      <c r="A18" s="3152" t="s">
        <v>871</v>
      </c>
      <c r="B18" s="565"/>
      <c r="C18" s="3181"/>
      <c r="D18" s="3182"/>
      <c r="E18" s="3183"/>
      <c r="F18" s="566"/>
      <c r="G18" s="383" t="s">
        <v>872</v>
      </c>
      <c r="I18" s="567">
        <f t="shared" ref="I18:I24" si="1">B18*F18</f>
        <v>0</v>
      </c>
    </row>
    <row r="19" spans="1:9" ht="16" customHeight="1" thickTop="1" x14ac:dyDescent="0.25">
      <c r="A19" s="3153"/>
      <c r="B19" s="565"/>
      <c r="C19" s="3181"/>
      <c r="D19" s="3182"/>
      <c r="E19" s="3183"/>
      <c r="F19" s="566"/>
      <c r="G19" s="383" t="s">
        <v>872</v>
      </c>
      <c r="I19" s="567">
        <f t="shared" si="1"/>
        <v>0</v>
      </c>
    </row>
    <row r="20" spans="1:9" ht="16" customHeight="1" x14ac:dyDescent="0.35">
      <c r="A20" s="3153"/>
      <c r="B20" s="565"/>
      <c r="C20" s="559"/>
      <c r="D20" s="58"/>
      <c r="E20" s="58"/>
      <c r="F20" s="575"/>
      <c r="G20" s="383" t="s">
        <v>872</v>
      </c>
      <c r="I20" s="567">
        <f t="shared" si="1"/>
        <v>0</v>
      </c>
    </row>
    <row r="21" spans="1:9" ht="16" customHeight="1" x14ac:dyDescent="0.35">
      <c r="A21" s="3153"/>
      <c r="B21" s="565"/>
      <c r="C21" s="559"/>
      <c r="D21" s="58"/>
      <c r="E21" s="58"/>
      <c r="F21" s="566"/>
      <c r="G21" s="383" t="s">
        <v>872</v>
      </c>
      <c r="I21" s="567">
        <f t="shared" si="1"/>
        <v>0</v>
      </c>
    </row>
    <row r="22" spans="1:9" ht="16" customHeight="1" x14ac:dyDescent="0.25">
      <c r="A22" s="3153"/>
      <c r="B22" s="565"/>
      <c r="C22" s="559"/>
      <c r="D22" s="37"/>
      <c r="E22" s="37"/>
      <c r="F22" s="566"/>
      <c r="G22" s="383" t="s">
        <v>873</v>
      </c>
      <c r="I22" s="567">
        <f t="shared" si="1"/>
        <v>0</v>
      </c>
    </row>
    <row r="23" spans="1:9" ht="16" customHeight="1" x14ac:dyDescent="0.25">
      <c r="A23" s="3153"/>
      <c r="B23" s="565"/>
      <c r="C23" s="388"/>
      <c r="D23" s="37"/>
      <c r="E23" s="37"/>
      <c r="F23" s="566"/>
      <c r="G23" s="383" t="s">
        <v>874</v>
      </c>
      <c r="I23" s="567">
        <f t="shared" si="1"/>
        <v>0</v>
      </c>
    </row>
    <row r="24" spans="1:9" ht="16" customHeight="1" thickBot="1" x14ac:dyDescent="0.3">
      <c r="A24" s="3154"/>
      <c r="B24" s="568"/>
      <c r="C24" s="3173"/>
      <c r="D24" s="3174"/>
      <c r="E24" s="3174"/>
      <c r="F24" s="569"/>
      <c r="G24" s="248"/>
      <c r="H24" s="248"/>
      <c r="I24" s="576">
        <f t="shared" si="1"/>
        <v>0</v>
      </c>
    </row>
    <row r="25" spans="1:9" ht="20.149999999999999" customHeight="1" thickBot="1" x14ac:dyDescent="0.3">
      <c r="A25" s="570"/>
      <c r="B25" s="577"/>
      <c r="C25" s="558"/>
      <c r="D25" s="558"/>
      <c r="E25" s="558"/>
      <c r="F25" s="578"/>
      <c r="G25" s="262"/>
      <c r="H25" s="262"/>
      <c r="I25" s="579">
        <f>SUM(I18:I24)</f>
        <v>0</v>
      </c>
    </row>
    <row r="26" spans="1:9" ht="16" customHeight="1" thickTop="1" x14ac:dyDescent="0.35">
      <c r="A26" s="3152" t="s">
        <v>875</v>
      </c>
      <c r="B26" s="580"/>
      <c r="C26" s="149"/>
      <c r="D26" s="42"/>
      <c r="E26" s="42"/>
      <c r="F26" s="581"/>
      <c r="G26" s="383" t="s">
        <v>872</v>
      </c>
      <c r="I26" s="567">
        <f t="shared" ref="I26:I32" si="2">B26*F26</f>
        <v>0</v>
      </c>
    </row>
    <row r="27" spans="1:9" ht="16" customHeight="1" x14ac:dyDescent="0.35">
      <c r="A27" s="3153"/>
      <c r="B27" s="565"/>
      <c r="C27" s="149"/>
      <c r="D27" s="58"/>
      <c r="E27" s="58"/>
      <c r="F27" s="566"/>
      <c r="G27" s="383" t="s">
        <v>872</v>
      </c>
      <c r="I27" s="567">
        <f t="shared" si="2"/>
        <v>0</v>
      </c>
    </row>
    <row r="28" spans="1:9" ht="16" customHeight="1" x14ac:dyDescent="0.35">
      <c r="A28" s="3153"/>
      <c r="B28" s="565"/>
      <c r="C28" s="559"/>
      <c r="D28" s="58"/>
      <c r="E28" s="58"/>
      <c r="F28" s="566"/>
      <c r="G28" s="383" t="s">
        <v>872</v>
      </c>
      <c r="I28" s="567">
        <f t="shared" si="2"/>
        <v>0</v>
      </c>
    </row>
    <row r="29" spans="1:9" ht="16" customHeight="1" x14ac:dyDescent="0.35">
      <c r="A29" s="3153"/>
      <c r="B29" s="565"/>
      <c r="C29" s="559"/>
      <c r="D29" s="58"/>
      <c r="E29" s="58"/>
      <c r="F29" s="575"/>
      <c r="G29" s="383" t="s">
        <v>873</v>
      </c>
      <c r="I29" s="567">
        <f t="shared" si="2"/>
        <v>0</v>
      </c>
    </row>
    <row r="30" spans="1:9" ht="16" customHeight="1" x14ac:dyDescent="0.35">
      <c r="A30" s="3153"/>
      <c r="B30" s="565"/>
      <c r="C30" s="559"/>
      <c r="D30" s="58"/>
      <c r="E30" s="58"/>
      <c r="F30" s="566"/>
      <c r="G30" s="383"/>
      <c r="I30" s="567">
        <f t="shared" si="2"/>
        <v>0</v>
      </c>
    </row>
    <row r="31" spans="1:9" ht="16" customHeight="1" x14ac:dyDescent="0.25">
      <c r="A31" s="3153"/>
      <c r="B31" s="565"/>
      <c r="C31" s="388"/>
      <c r="D31" s="37"/>
      <c r="E31" s="37"/>
      <c r="F31" s="566"/>
      <c r="G31" s="383"/>
      <c r="I31" s="567">
        <f t="shared" si="2"/>
        <v>0</v>
      </c>
    </row>
    <row r="32" spans="1:9" ht="16" customHeight="1" thickBot="1" x14ac:dyDescent="0.3">
      <c r="A32" s="3154"/>
      <c r="B32" s="568"/>
      <c r="C32" s="3173"/>
      <c r="D32" s="3174"/>
      <c r="E32" s="3174"/>
      <c r="F32" s="569"/>
      <c r="G32" s="248"/>
      <c r="H32" s="248"/>
      <c r="I32" s="576">
        <f t="shared" si="2"/>
        <v>0</v>
      </c>
    </row>
    <row r="33" spans="1:9" ht="20.149999999999999" customHeight="1" thickBot="1" x14ac:dyDescent="0.3">
      <c r="A33" s="262"/>
      <c r="B33" s="573"/>
      <c r="C33" s="573"/>
      <c r="D33" s="573"/>
      <c r="E33" s="573"/>
      <c r="F33" s="582"/>
      <c r="G33" s="573"/>
      <c r="H33" s="573"/>
      <c r="I33" s="574">
        <f>SUM(I26:I32)</f>
        <v>0</v>
      </c>
    </row>
    <row r="34" spans="1:9" ht="16" customHeight="1" thickTop="1" x14ac:dyDescent="0.35">
      <c r="A34" s="3152" t="s">
        <v>876</v>
      </c>
      <c r="B34" s="580"/>
      <c r="C34" s="149"/>
      <c r="D34" s="42"/>
      <c r="E34" s="42"/>
      <c r="F34" s="581"/>
      <c r="G34" s="383" t="s">
        <v>872</v>
      </c>
      <c r="I34" s="567">
        <f>B34*F34</f>
        <v>0</v>
      </c>
    </row>
    <row r="35" spans="1:9" ht="16" customHeight="1" x14ac:dyDescent="0.35">
      <c r="A35" s="3153"/>
      <c r="B35" s="565"/>
      <c r="C35" s="149"/>
      <c r="D35" s="58"/>
      <c r="E35" s="58"/>
      <c r="F35" s="566"/>
      <c r="G35" s="383" t="s">
        <v>873</v>
      </c>
      <c r="I35" s="567">
        <f>B35*F35</f>
        <v>0</v>
      </c>
    </row>
    <row r="36" spans="1:9" ht="16" customHeight="1" x14ac:dyDescent="0.35">
      <c r="A36" s="3153"/>
      <c r="B36" s="565"/>
      <c r="C36" s="559"/>
      <c r="D36" s="58"/>
      <c r="E36" s="58"/>
      <c r="F36" s="566"/>
      <c r="G36" s="383"/>
      <c r="I36" s="567">
        <f>B36*F36</f>
        <v>0</v>
      </c>
    </row>
    <row r="37" spans="1:9" ht="16" customHeight="1" x14ac:dyDescent="0.35">
      <c r="A37" s="3153"/>
      <c r="B37" s="565"/>
      <c r="C37" s="559"/>
      <c r="D37" s="58"/>
      <c r="E37" s="58"/>
      <c r="F37" s="575"/>
      <c r="G37" s="383"/>
      <c r="I37" s="567">
        <f>B37*F37</f>
        <v>0</v>
      </c>
    </row>
    <row r="38" spans="1:9" ht="16" customHeight="1" thickBot="1" x14ac:dyDescent="0.3">
      <c r="A38" s="3154"/>
      <c r="B38" s="568"/>
      <c r="C38" s="3173"/>
      <c r="D38" s="3174"/>
      <c r="E38" s="3174"/>
      <c r="F38" s="569"/>
      <c r="G38" s="248"/>
      <c r="H38" s="248"/>
      <c r="I38" s="576">
        <f>B38*F38</f>
        <v>0</v>
      </c>
    </row>
    <row r="39" spans="1:9" ht="20.149999999999999" customHeight="1" thickBot="1" x14ac:dyDescent="0.3">
      <c r="A39" s="262"/>
      <c r="B39" s="573"/>
      <c r="C39" s="573"/>
      <c r="D39" s="573"/>
      <c r="E39" s="573"/>
      <c r="F39" s="582"/>
      <c r="G39" s="573"/>
      <c r="H39" s="573"/>
      <c r="I39" s="574">
        <f>SUM(I34:I38)</f>
        <v>0</v>
      </c>
    </row>
    <row r="40" spans="1:9" ht="16" customHeight="1" thickTop="1" x14ac:dyDescent="0.35">
      <c r="A40" s="3152" t="s">
        <v>673</v>
      </c>
      <c r="B40" s="580"/>
      <c r="C40" s="149"/>
      <c r="D40" s="42"/>
      <c r="E40" s="42"/>
      <c r="F40" s="581"/>
      <c r="G40" s="383" t="s">
        <v>18</v>
      </c>
      <c r="I40" s="567">
        <f>B40*F40</f>
        <v>0</v>
      </c>
    </row>
    <row r="41" spans="1:9" ht="16" customHeight="1" x14ac:dyDescent="0.35">
      <c r="A41" s="3153"/>
      <c r="B41" s="565"/>
      <c r="C41" s="149"/>
      <c r="D41" s="58"/>
      <c r="E41" s="58"/>
      <c r="F41" s="566"/>
      <c r="G41" s="383"/>
      <c r="I41" s="567">
        <f>B41*F41</f>
        <v>0</v>
      </c>
    </row>
    <row r="42" spans="1:9" ht="16" customHeight="1" x14ac:dyDescent="0.35">
      <c r="A42" s="3153"/>
      <c r="B42" s="565"/>
      <c r="C42" s="559"/>
      <c r="D42" s="58"/>
      <c r="E42" s="58"/>
      <c r="F42" s="566"/>
      <c r="G42" s="383"/>
      <c r="I42" s="567">
        <f>B42*F42</f>
        <v>0</v>
      </c>
    </row>
    <row r="43" spans="1:9" ht="16" customHeight="1" x14ac:dyDescent="0.25">
      <c r="A43" s="3153"/>
      <c r="B43" s="565"/>
      <c r="C43" s="388"/>
      <c r="D43" s="37"/>
      <c r="E43" s="37"/>
      <c r="F43" s="566"/>
      <c r="G43" s="383"/>
      <c r="I43" s="567">
        <f>B43*F43</f>
        <v>0</v>
      </c>
    </row>
    <row r="44" spans="1:9" ht="16" customHeight="1" thickBot="1" x14ac:dyDescent="0.3">
      <c r="A44" s="3154"/>
      <c r="B44" s="568"/>
      <c r="C44" s="3173"/>
      <c r="D44" s="3174"/>
      <c r="E44" s="3174"/>
      <c r="F44" s="569"/>
      <c r="G44" s="248"/>
      <c r="H44" s="248"/>
      <c r="I44" s="576">
        <f>B44*F44</f>
        <v>0</v>
      </c>
    </row>
    <row r="45" spans="1:9" ht="20.149999999999999" customHeight="1" thickBot="1" x14ac:dyDescent="0.3">
      <c r="A45" s="262"/>
      <c r="B45" s="573"/>
      <c r="C45" s="573"/>
      <c r="D45" s="573"/>
      <c r="E45" s="573"/>
      <c r="F45" s="582"/>
      <c r="G45" s="573"/>
      <c r="H45" s="573"/>
      <c r="I45" s="574">
        <f>SUM(I40:I44)</f>
        <v>0</v>
      </c>
    </row>
    <row r="46" spans="1:9" ht="16" customHeight="1" thickTop="1" x14ac:dyDescent="0.35">
      <c r="A46" s="3175" t="s">
        <v>877</v>
      </c>
      <c r="B46" s="580"/>
      <c r="C46" s="149"/>
      <c r="D46" s="42"/>
      <c r="E46" s="42"/>
      <c r="F46" s="581"/>
      <c r="G46" s="383" t="s">
        <v>872</v>
      </c>
      <c r="I46" s="567">
        <f>B46*F46</f>
        <v>0</v>
      </c>
    </row>
    <row r="47" spans="1:9" ht="16" customHeight="1" x14ac:dyDescent="0.35">
      <c r="A47" s="3176"/>
      <c r="B47" s="565"/>
      <c r="C47" s="149"/>
      <c r="D47" s="58"/>
      <c r="E47" s="58"/>
      <c r="F47" s="566"/>
      <c r="G47" s="383" t="s">
        <v>872</v>
      </c>
      <c r="I47" s="567">
        <f>B47*F47</f>
        <v>0</v>
      </c>
    </row>
    <row r="48" spans="1:9" ht="16" customHeight="1" x14ac:dyDescent="0.35">
      <c r="A48" s="3176"/>
      <c r="B48" s="565"/>
      <c r="C48" s="559"/>
      <c r="D48" s="58"/>
      <c r="E48" s="58"/>
      <c r="F48" s="566"/>
      <c r="G48" s="383"/>
      <c r="I48" s="567">
        <f>B48*F48</f>
        <v>0</v>
      </c>
    </row>
    <row r="49" spans="1:9" ht="16" customHeight="1" thickBot="1" x14ac:dyDescent="0.3">
      <c r="A49" s="3177"/>
      <c r="B49" s="568"/>
      <c r="C49" s="3173"/>
      <c r="D49" s="3174"/>
      <c r="E49" s="3174"/>
      <c r="F49" s="569"/>
      <c r="G49" s="248"/>
      <c r="H49" s="248"/>
      <c r="I49" s="576">
        <f>B49*F49</f>
        <v>0</v>
      </c>
    </row>
    <row r="50" spans="1:9" ht="20.149999999999999" customHeight="1" thickBot="1" x14ac:dyDescent="0.3">
      <c r="A50" s="262"/>
      <c r="B50" s="573"/>
      <c r="C50" s="573"/>
      <c r="D50" s="573"/>
      <c r="E50" s="573"/>
      <c r="F50" s="582"/>
      <c r="G50" s="573"/>
      <c r="H50" s="573"/>
      <c r="I50" s="574">
        <f>SUM(I46:I49)</f>
        <v>0</v>
      </c>
    </row>
    <row r="51" spans="1:9" ht="16" customHeight="1" thickTop="1" x14ac:dyDescent="0.35">
      <c r="A51" s="3178" t="s">
        <v>878</v>
      </c>
      <c r="B51" s="583"/>
      <c r="C51" s="149"/>
      <c r="D51" s="42"/>
      <c r="E51" s="42"/>
      <c r="F51" s="581">
        <v>1.25</v>
      </c>
      <c r="G51" s="383" t="s">
        <v>872</v>
      </c>
      <c r="I51" s="567">
        <f>B51*F51</f>
        <v>0</v>
      </c>
    </row>
    <row r="52" spans="1:9" ht="16" customHeight="1" x14ac:dyDescent="0.35">
      <c r="A52" s="3179"/>
      <c r="B52" s="565"/>
      <c r="C52" s="149"/>
      <c r="D52" s="58"/>
      <c r="E52" s="58"/>
      <c r="F52" s="566"/>
      <c r="G52" s="383"/>
      <c r="I52" s="567">
        <f>B52*F52</f>
        <v>0</v>
      </c>
    </row>
    <row r="53" spans="1:9" ht="16" customHeight="1" x14ac:dyDescent="0.35">
      <c r="A53" s="3179"/>
      <c r="B53" s="565"/>
      <c r="C53" s="559"/>
      <c r="D53" s="58"/>
      <c r="E53" s="58"/>
      <c r="F53" s="566"/>
      <c r="G53" s="383"/>
      <c r="I53" s="567">
        <f>B53*F53</f>
        <v>0</v>
      </c>
    </row>
    <row r="54" spans="1:9" ht="16" customHeight="1" thickBot="1" x14ac:dyDescent="0.3">
      <c r="A54" s="3180"/>
      <c r="B54" s="568"/>
      <c r="C54" s="3173"/>
      <c r="D54" s="3174"/>
      <c r="E54" s="3174"/>
      <c r="F54" s="569"/>
      <c r="G54" s="248"/>
      <c r="H54" s="248"/>
      <c r="I54" s="576">
        <f>B54*F54</f>
        <v>0</v>
      </c>
    </row>
    <row r="55" spans="1:9" ht="13" thickBot="1" x14ac:dyDescent="0.3">
      <c r="A55" s="262"/>
      <c r="B55" s="573"/>
      <c r="C55" s="573"/>
      <c r="D55" s="573"/>
      <c r="E55" s="573"/>
      <c r="F55" s="582"/>
      <c r="G55" s="573"/>
      <c r="H55" s="573"/>
      <c r="I55" s="574">
        <f>SUM(I51:I54)</f>
        <v>0</v>
      </c>
    </row>
    <row r="56" spans="1:9" ht="16" customHeight="1" thickTop="1" x14ac:dyDescent="0.35">
      <c r="A56" s="3152" t="s">
        <v>879</v>
      </c>
      <c r="B56" s="580"/>
      <c r="C56" s="149" t="s">
        <v>880</v>
      </c>
      <c r="D56" s="42"/>
      <c r="E56" s="42"/>
      <c r="F56" s="581">
        <v>50</v>
      </c>
      <c r="G56" s="383" t="s">
        <v>881</v>
      </c>
      <c r="I56" s="567">
        <f t="shared" ref="I56:I62" si="3">B56*F56</f>
        <v>0</v>
      </c>
    </row>
    <row r="57" spans="1:9" ht="16" customHeight="1" x14ac:dyDescent="0.35">
      <c r="A57" s="3153"/>
      <c r="B57" s="565"/>
      <c r="C57" s="149" t="s">
        <v>882</v>
      </c>
      <c r="D57" s="58"/>
      <c r="E57" s="58"/>
      <c r="F57" s="566">
        <v>1200</v>
      </c>
      <c r="G57" s="383" t="s">
        <v>881</v>
      </c>
      <c r="I57" s="567">
        <f t="shared" si="3"/>
        <v>0</v>
      </c>
    </row>
    <row r="58" spans="1:9" ht="16" customHeight="1" x14ac:dyDescent="0.35">
      <c r="A58" s="3153"/>
      <c r="B58" s="565"/>
      <c r="C58" s="559" t="s">
        <v>883</v>
      </c>
      <c r="D58" s="58"/>
      <c r="E58" s="58"/>
      <c r="F58" s="566">
        <v>600</v>
      </c>
      <c r="G58" s="383" t="s">
        <v>881</v>
      </c>
      <c r="I58" s="567">
        <f t="shared" si="3"/>
        <v>0</v>
      </c>
    </row>
    <row r="59" spans="1:9" ht="16" customHeight="1" x14ac:dyDescent="0.35">
      <c r="A59" s="3153"/>
      <c r="B59" s="565"/>
      <c r="C59" s="559" t="s">
        <v>884</v>
      </c>
      <c r="D59" s="58"/>
      <c r="E59" s="58"/>
      <c r="F59" s="575">
        <v>10</v>
      </c>
      <c r="G59" s="383" t="s">
        <v>855</v>
      </c>
      <c r="I59" s="567">
        <f t="shared" si="3"/>
        <v>0</v>
      </c>
    </row>
    <row r="60" spans="1:9" ht="16" customHeight="1" x14ac:dyDescent="0.35">
      <c r="A60" s="3153"/>
      <c r="B60" s="565"/>
      <c r="C60" s="559" t="s">
        <v>885</v>
      </c>
      <c r="D60" s="58"/>
      <c r="E60" s="58"/>
      <c r="F60" s="566">
        <v>35</v>
      </c>
      <c r="G60" s="383"/>
      <c r="I60" s="567">
        <f t="shared" si="3"/>
        <v>0</v>
      </c>
    </row>
    <row r="61" spans="1:9" ht="16" customHeight="1" x14ac:dyDescent="0.25">
      <c r="A61" s="3153"/>
      <c r="B61" s="565"/>
      <c r="C61" s="388" t="s">
        <v>886</v>
      </c>
      <c r="D61" s="37"/>
      <c r="E61" s="37"/>
      <c r="F61" s="566">
        <v>150</v>
      </c>
      <c r="G61" s="383"/>
      <c r="I61" s="567">
        <f t="shared" si="3"/>
        <v>0</v>
      </c>
    </row>
    <row r="62" spans="1:9" ht="16" customHeight="1" thickBot="1" x14ac:dyDescent="0.3">
      <c r="A62" s="3154"/>
      <c r="B62" s="568"/>
      <c r="C62" s="3173" t="s">
        <v>887</v>
      </c>
      <c r="D62" s="3174"/>
      <c r="E62" s="3174"/>
      <c r="F62" s="569">
        <v>100</v>
      </c>
      <c r="G62" s="248"/>
      <c r="H62" s="248"/>
      <c r="I62" s="576">
        <f t="shared" si="3"/>
        <v>0</v>
      </c>
    </row>
    <row r="63" spans="1:9" ht="20.149999999999999" customHeight="1" thickBot="1" x14ac:dyDescent="0.3">
      <c r="A63" s="573"/>
      <c r="B63" s="573"/>
      <c r="C63" s="573"/>
      <c r="D63" s="573"/>
      <c r="E63" s="573"/>
      <c r="F63" s="573"/>
      <c r="G63" s="573"/>
      <c r="H63" s="573"/>
      <c r="I63" s="574">
        <f>SUM(I56:I62)</f>
        <v>0</v>
      </c>
    </row>
    <row r="64" spans="1:9" ht="13" thickTop="1" x14ac:dyDescent="0.25"/>
  </sheetData>
  <mergeCells count="39">
    <mergeCell ref="C18:E18"/>
    <mergeCell ref="C19:E19"/>
    <mergeCell ref="A34:A38"/>
    <mergeCell ref="C38:E38"/>
    <mergeCell ref="C15:E15"/>
    <mergeCell ref="C16:E16"/>
    <mergeCell ref="C17:E17"/>
    <mergeCell ref="A18:A24"/>
    <mergeCell ref="C24:E24"/>
    <mergeCell ref="A26:A32"/>
    <mergeCell ref="C32:E32"/>
    <mergeCell ref="A56:A62"/>
    <mergeCell ref="C62:E62"/>
    <mergeCell ref="A40:A44"/>
    <mergeCell ref="C44:E44"/>
    <mergeCell ref="A46:A49"/>
    <mergeCell ref="C49:E49"/>
    <mergeCell ref="A51:A54"/>
    <mergeCell ref="C54:E54"/>
    <mergeCell ref="A5:B5"/>
    <mergeCell ref="C5:I5"/>
    <mergeCell ref="C10:E10"/>
    <mergeCell ref="A11:A16"/>
    <mergeCell ref="C11:E11"/>
    <mergeCell ref="C12:E12"/>
    <mergeCell ref="A6:B6"/>
    <mergeCell ref="C6:I6"/>
    <mergeCell ref="C13:E13"/>
    <mergeCell ref="C14:E14"/>
    <mergeCell ref="A7:B7"/>
    <mergeCell ref="C7:F8"/>
    <mergeCell ref="A8:B8"/>
    <mergeCell ref="A4:B4"/>
    <mergeCell ref="C4:I4"/>
    <mergeCell ref="C3:I3"/>
    <mergeCell ref="A1:I1"/>
    <mergeCell ref="A2:B2"/>
    <mergeCell ref="C2:I2"/>
    <mergeCell ref="A3:B3"/>
  </mergeCells>
  <pageMargins left="0.75" right="0.43" top="0.49" bottom="0.53" header="0.32" footer="0.5"/>
  <pageSetup paperSize="5" scale="75" orientation="portrait" horizontalDpi="204" verticalDpi="192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N37"/>
  <sheetViews>
    <sheetView workbookViewId="0"/>
  </sheetViews>
  <sheetFormatPr defaultRowHeight="12.5" x14ac:dyDescent="0.25"/>
  <cols>
    <col min="1" max="1" width="20.26953125" style="545" customWidth="1"/>
    <col min="2" max="11" width="10.7265625" customWidth="1"/>
  </cols>
  <sheetData>
    <row r="1" spans="1:14" ht="64.5" customHeight="1" thickBot="1" x14ac:dyDescent="0.3">
      <c r="C1" s="546"/>
      <c r="D1" s="546"/>
      <c r="E1" s="546"/>
      <c r="F1" s="547"/>
    </row>
    <row r="2" spans="1:14" ht="18.75" customHeight="1" x14ac:dyDescent="0.25">
      <c r="A2" s="548"/>
      <c r="B2" s="549" t="s">
        <v>816</v>
      </c>
      <c r="C2" s="549" t="s">
        <v>817</v>
      </c>
      <c r="D2" s="549" t="s">
        <v>818</v>
      </c>
      <c r="E2" s="549" t="s">
        <v>819</v>
      </c>
      <c r="F2" s="549" t="s">
        <v>820</v>
      </c>
      <c r="G2" s="549" t="s">
        <v>821</v>
      </c>
      <c r="H2" s="549" t="s">
        <v>822</v>
      </c>
      <c r="I2" s="549" t="s">
        <v>823</v>
      </c>
      <c r="J2" s="549" t="s">
        <v>824</v>
      </c>
      <c r="K2" s="550"/>
      <c r="L2" s="550"/>
      <c r="M2" s="550"/>
      <c r="N2" s="551"/>
    </row>
    <row r="3" spans="1:14" ht="35.15" customHeight="1" x14ac:dyDescent="0.25">
      <c r="A3" s="553" t="s">
        <v>93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</row>
    <row r="4" spans="1:14" ht="35.15" customHeight="1" x14ac:dyDescent="0.25">
      <c r="A4" s="553" t="s">
        <v>26</v>
      </c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</row>
    <row r="5" spans="1:14" ht="35.15" customHeight="1" x14ac:dyDescent="0.25">
      <c r="A5" s="553" t="s">
        <v>683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</row>
    <row r="6" spans="1:14" ht="35.15" customHeight="1" x14ac:dyDescent="0.25">
      <c r="A6" s="553" t="s">
        <v>825</v>
      </c>
      <c r="B6" s="552"/>
      <c r="C6" s="552"/>
      <c r="D6" s="552"/>
      <c r="E6" s="552"/>
      <c r="F6" s="552"/>
      <c r="G6" s="552"/>
      <c r="H6" s="552"/>
      <c r="I6" s="552"/>
      <c r="J6" s="552"/>
      <c r="K6" s="552"/>
      <c r="L6" s="552"/>
      <c r="M6" s="552"/>
      <c r="N6" s="552"/>
    </row>
    <row r="7" spans="1:14" ht="35.15" customHeight="1" x14ac:dyDescent="0.25">
      <c r="A7" s="553" t="s">
        <v>673</v>
      </c>
      <c r="B7" s="552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552"/>
      <c r="N7" s="552"/>
    </row>
    <row r="8" spans="1:14" ht="35.15" customHeight="1" x14ac:dyDescent="0.25">
      <c r="A8" s="553" t="s">
        <v>826</v>
      </c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</row>
    <row r="9" spans="1:14" ht="35.15" customHeight="1" x14ac:dyDescent="0.25">
      <c r="A9" s="553" t="s">
        <v>827</v>
      </c>
      <c r="B9" s="552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552"/>
      <c r="N9" s="552"/>
    </row>
    <row r="10" spans="1:14" ht="35.15" customHeight="1" x14ac:dyDescent="0.25">
      <c r="A10" s="553" t="s">
        <v>828</v>
      </c>
      <c r="B10" s="552"/>
      <c r="C10" s="552"/>
      <c r="D10" s="552"/>
      <c r="E10" s="552"/>
      <c r="F10" s="552"/>
      <c r="G10" s="552"/>
      <c r="H10" s="552"/>
      <c r="I10" s="552"/>
      <c r="J10" s="552"/>
      <c r="K10" s="552"/>
      <c r="L10" s="552"/>
      <c r="M10" s="552"/>
      <c r="N10" s="552"/>
    </row>
    <row r="11" spans="1:14" ht="35.15" customHeight="1" x14ac:dyDescent="0.25">
      <c r="A11" s="553" t="s">
        <v>829</v>
      </c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 ht="35.15" customHeight="1" x14ac:dyDescent="0.25">
      <c r="A12" s="553" t="s">
        <v>830</v>
      </c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 ht="35.15" customHeight="1" x14ac:dyDescent="0.25">
      <c r="A13" s="553" t="s">
        <v>831</v>
      </c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 ht="35.15" customHeight="1" x14ac:dyDescent="0.25">
      <c r="A14" s="553" t="s">
        <v>832</v>
      </c>
      <c r="B14" s="552"/>
      <c r="C14" s="552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</row>
    <row r="15" spans="1:14" ht="35.15" customHeight="1" thickBot="1" x14ac:dyDescent="0.3">
      <c r="A15" s="584" t="s">
        <v>833</v>
      </c>
      <c r="B15" s="552"/>
      <c r="C15" s="552"/>
      <c r="D15" s="552"/>
      <c r="E15" s="552"/>
      <c r="F15" s="552"/>
      <c r="G15" s="552"/>
      <c r="H15" s="552"/>
      <c r="I15" s="552"/>
      <c r="J15" s="552"/>
      <c r="K15" s="552"/>
      <c r="L15" s="552"/>
      <c r="M15" s="552"/>
      <c r="N15" s="552"/>
    </row>
    <row r="16" spans="1:14" x14ac:dyDescent="0.25">
      <c r="B16" s="547"/>
      <c r="C16" s="547"/>
      <c r="D16" s="547"/>
      <c r="E16" s="547"/>
      <c r="F16" s="547"/>
      <c r="G16" s="547"/>
      <c r="H16" s="547"/>
      <c r="I16" s="547"/>
      <c r="J16" s="547"/>
      <c r="K16" s="547"/>
    </row>
    <row r="17" spans="2:11" x14ac:dyDescent="0.25">
      <c r="B17" s="547"/>
      <c r="C17" s="547"/>
      <c r="D17" s="547"/>
      <c r="E17" s="547"/>
      <c r="F17" s="547"/>
      <c r="G17" s="547"/>
      <c r="I17" s="547"/>
      <c r="J17" s="547"/>
      <c r="K17" s="547"/>
    </row>
    <row r="18" spans="2:11" x14ac:dyDescent="0.25">
      <c r="B18" s="547"/>
      <c r="C18" s="547"/>
      <c r="D18" s="547"/>
      <c r="E18" s="547"/>
      <c r="F18" s="547"/>
      <c r="G18" s="547"/>
      <c r="H18" s="547"/>
      <c r="I18" s="547"/>
      <c r="J18" s="547"/>
      <c r="K18" s="547"/>
    </row>
    <row r="19" spans="2:11" x14ac:dyDescent="0.25">
      <c r="B19" s="547"/>
      <c r="C19" s="547"/>
      <c r="D19" s="547"/>
      <c r="E19" s="547"/>
      <c r="F19" s="547"/>
      <c r="G19" s="547"/>
      <c r="I19" s="547"/>
      <c r="J19" s="547"/>
      <c r="K19" s="547"/>
    </row>
    <row r="20" spans="2:11" x14ac:dyDescent="0.25">
      <c r="B20" s="547"/>
      <c r="C20" s="547"/>
      <c r="D20" s="547"/>
      <c r="E20" s="547"/>
      <c r="F20" s="547"/>
      <c r="G20" s="547"/>
      <c r="H20" s="547"/>
      <c r="I20" s="547"/>
      <c r="J20" s="547"/>
      <c r="K20" s="547"/>
    </row>
    <row r="21" spans="2:11" x14ac:dyDescent="0.25">
      <c r="B21" s="547"/>
      <c r="C21" s="547"/>
      <c r="D21" s="547"/>
      <c r="E21" s="547"/>
      <c r="F21" s="547"/>
      <c r="G21" s="547"/>
      <c r="I21" s="547"/>
      <c r="J21" s="547"/>
      <c r="K21" s="547"/>
    </row>
    <row r="22" spans="2:11" x14ac:dyDescent="0.25">
      <c r="B22" s="547"/>
      <c r="C22" s="547"/>
      <c r="D22" s="547"/>
      <c r="E22" s="547"/>
      <c r="F22" s="547"/>
      <c r="G22" s="547"/>
      <c r="H22" s="547"/>
      <c r="I22" s="547"/>
      <c r="J22" s="547"/>
      <c r="K22" s="547"/>
    </row>
    <row r="23" spans="2:11" x14ac:dyDescent="0.25">
      <c r="B23" s="547"/>
      <c r="C23" s="547"/>
      <c r="D23" s="547"/>
      <c r="E23" s="547"/>
      <c r="F23" s="547"/>
      <c r="G23" s="547"/>
      <c r="I23" s="547"/>
      <c r="J23" s="547"/>
      <c r="K23" s="547"/>
    </row>
    <row r="24" spans="2:11" x14ac:dyDescent="0.25">
      <c r="B24" s="547"/>
      <c r="C24" s="547"/>
      <c r="D24" s="547"/>
      <c r="E24" s="547"/>
      <c r="F24" s="547"/>
      <c r="G24" s="547"/>
      <c r="H24" s="547"/>
      <c r="I24" s="547"/>
      <c r="J24" s="547"/>
      <c r="K24" s="547"/>
    </row>
    <row r="25" spans="2:11" x14ac:dyDescent="0.25">
      <c r="B25" s="547"/>
      <c r="C25" s="547"/>
      <c r="D25" s="547"/>
      <c r="E25" s="547"/>
      <c r="F25" s="547"/>
      <c r="G25" s="547"/>
      <c r="H25" s="547"/>
      <c r="I25" s="547"/>
      <c r="J25" s="547"/>
      <c r="K25" s="547"/>
    </row>
    <row r="26" spans="2:11" x14ac:dyDescent="0.25">
      <c r="B26" s="547"/>
      <c r="C26" s="547"/>
      <c r="D26" s="547"/>
      <c r="E26" s="547"/>
      <c r="F26" s="547"/>
      <c r="G26" s="547"/>
      <c r="H26" s="547"/>
      <c r="I26" s="547"/>
      <c r="J26" s="547"/>
      <c r="K26" s="547"/>
    </row>
    <row r="27" spans="2:11" x14ac:dyDescent="0.25">
      <c r="B27" s="547"/>
      <c r="C27" s="547"/>
      <c r="D27" s="547"/>
      <c r="E27" s="547"/>
      <c r="F27" s="547"/>
      <c r="G27" s="547"/>
      <c r="H27" s="547"/>
      <c r="I27" s="547"/>
      <c r="J27" s="547"/>
      <c r="K27" s="547"/>
    </row>
    <row r="28" spans="2:11" x14ac:dyDescent="0.25">
      <c r="B28" s="547"/>
      <c r="C28" s="547"/>
      <c r="D28" s="547"/>
      <c r="E28" s="547"/>
      <c r="F28" s="547"/>
      <c r="G28" s="547"/>
      <c r="H28" s="547"/>
      <c r="I28" s="547"/>
      <c r="J28" s="547"/>
      <c r="K28" s="547"/>
    </row>
    <row r="29" spans="2:11" x14ac:dyDescent="0.25">
      <c r="B29" s="547"/>
      <c r="C29" s="547"/>
      <c r="D29" s="547"/>
      <c r="E29" s="547"/>
      <c r="F29" s="547"/>
      <c r="G29" s="547"/>
      <c r="H29" s="547"/>
      <c r="I29" s="547"/>
      <c r="J29" s="547"/>
      <c r="K29" s="547"/>
    </row>
    <row r="30" spans="2:11" x14ac:dyDescent="0.25">
      <c r="B30" s="547"/>
      <c r="C30" s="547"/>
      <c r="D30" s="547"/>
      <c r="E30" s="547"/>
      <c r="F30" s="547"/>
      <c r="G30" s="547"/>
      <c r="H30" s="547"/>
      <c r="I30" s="547"/>
      <c r="J30" s="547"/>
      <c r="K30" s="547"/>
    </row>
    <row r="31" spans="2:11" x14ac:dyDescent="0.25">
      <c r="B31" s="547"/>
      <c r="C31" s="547"/>
      <c r="D31" s="547"/>
      <c r="E31" s="547"/>
      <c r="F31" s="547"/>
      <c r="G31" s="547"/>
      <c r="H31" s="547"/>
      <c r="I31" s="547"/>
      <c r="J31" s="547"/>
      <c r="K31" s="547"/>
    </row>
    <row r="32" spans="2:11" x14ac:dyDescent="0.25">
      <c r="B32" s="547"/>
      <c r="C32" s="547"/>
      <c r="D32" s="547"/>
      <c r="E32" s="547"/>
      <c r="F32" s="547"/>
      <c r="G32" s="547"/>
      <c r="H32" s="547"/>
      <c r="I32" s="547"/>
      <c r="J32" s="547"/>
      <c r="K32" s="547"/>
    </row>
    <row r="33" spans="2:11" x14ac:dyDescent="0.25">
      <c r="B33" s="547"/>
      <c r="C33" s="547"/>
      <c r="D33" s="547"/>
      <c r="E33" s="547"/>
      <c r="F33" s="547"/>
      <c r="G33" s="547"/>
      <c r="H33" s="547"/>
      <c r="I33" s="547"/>
      <c r="J33" s="547"/>
      <c r="K33" s="547"/>
    </row>
    <row r="34" spans="2:11" x14ac:dyDescent="0.25">
      <c r="B34" s="547"/>
      <c r="C34" s="547"/>
      <c r="D34" s="547"/>
      <c r="E34" s="547"/>
      <c r="F34" s="547"/>
      <c r="G34" s="547"/>
      <c r="H34" s="547"/>
      <c r="I34" s="547"/>
      <c r="J34" s="547"/>
      <c r="K34" s="547"/>
    </row>
    <row r="35" spans="2:11" x14ac:dyDescent="0.25">
      <c r="B35" s="547"/>
      <c r="C35" s="547"/>
      <c r="D35" s="547"/>
      <c r="E35" s="547"/>
      <c r="F35" s="547"/>
      <c r="G35" s="547"/>
      <c r="H35" s="547"/>
      <c r="I35" s="547"/>
      <c r="J35" s="547"/>
      <c r="K35" s="547"/>
    </row>
    <row r="36" spans="2:11" x14ac:dyDescent="0.25">
      <c r="B36" s="547"/>
      <c r="C36" s="547"/>
      <c r="D36" s="547"/>
      <c r="E36" s="547"/>
      <c r="F36" s="547"/>
      <c r="G36" s="547"/>
      <c r="H36" s="547"/>
      <c r="I36" s="547"/>
      <c r="J36" s="547"/>
      <c r="K36" s="547"/>
    </row>
    <row r="37" spans="2:11" x14ac:dyDescent="0.25">
      <c r="B37" s="547"/>
      <c r="C37" s="547"/>
      <c r="D37" s="547"/>
      <c r="E37" s="547"/>
      <c r="F37" s="547"/>
      <c r="G37" s="547"/>
      <c r="H37" s="547"/>
      <c r="I37" s="547"/>
      <c r="J37" s="547"/>
      <c r="K37" s="547"/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IU168"/>
  <sheetViews>
    <sheetView zoomScale="130" zoomScaleNormal="130" workbookViewId="0">
      <selection activeCell="J1" sqref="J1:XFD1048576"/>
    </sheetView>
  </sheetViews>
  <sheetFormatPr defaultColWidth="0" defaultRowHeight="12.5" x14ac:dyDescent="0.25"/>
  <cols>
    <col min="1" max="1" width="4" customWidth="1"/>
    <col min="2" max="2" width="20" customWidth="1"/>
    <col min="3" max="3" width="12" customWidth="1"/>
    <col min="4" max="4" width="9.1796875" customWidth="1"/>
    <col min="5" max="5" width="5.81640625" customWidth="1"/>
    <col min="6" max="6" width="21.7265625" customWidth="1"/>
    <col min="7" max="8" width="9.1796875" customWidth="1"/>
    <col min="9" max="9" width="3.7265625" customWidth="1"/>
    <col min="10" max="10" width="20.26953125" hidden="1" customWidth="1"/>
    <col min="11" max="12" width="9.1796875" hidden="1" customWidth="1"/>
    <col min="13" max="13" width="6.81640625" hidden="1" customWidth="1"/>
    <col min="14" max="14" width="21.453125" hidden="1" customWidth="1"/>
    <col min="15" max="15" width="11.36328125" hidden="1" customWidth="1"/>
    <col min="16" max="17" width="9.1796875" hidden="1" customWidth="1"/>
    <col min="18" max="18" width="18.54296875" hidden="1" customWidth="1"/>
    <col min="19" max="20" width="9.1796875" hidden="1" customWidth="1"/>
    <col min="21" max="21" width="8.453125" hidden="1" customWidth="1"/>
    <col min="22" max="23" width="9.1796875" hidden="1" customWidth="1"/>
    <col min="24" max="24" width="21.7265625" hidden="1" customWidth="1"/>
    <col min="25" max="255" width="9.1796875" hidden="1" customWidth="1"/>
    <col min="256" max="16384" width="13.453125" hidden="1"/>
  </cols>
  <sheetData>
    <row r="1" spans="1:16" s="42" customFormat="1" ht="16" thickBot="1" x14ac:dyDescent="0.4">
      <c r="A1" s="485"/>
      <c r="B1" s="485"/>
      <c r="C1" s="485"/>
      <c r="D1" s="485"/>
      <c r="E1" s="485"/>
      <c r="F1" s="485"/>
      <c r="G1" s="485"/>
      <c r="H1" s="2213"/>
      <c r="I1" s="2876"/>
      <c r="J1" s="299"/>
    </row>
    <row r="2" spans="1:16" s="42" customFormat="1" ht="16" thickTop="1" x14ac:dyDescent="0.35">
      <c r="A2" s="486"/>
      <c r="B2" s="298"/>
      <c r="C2" s="298"/>
      <c r="D2" s="298"/>
      <c r="E2" s="298"/>
      <c r="F2" s="298"/>
      <c r="G2" s="298"/>
      <c r="H2" s="298"/>
      <c r="I2" s="298"/>
      <c r="J2" s="298"/>
    </row>
    <row r="3" spans="1:16" s="42" customFormat="1" ht="15.5" x14ac:dyDescent="0.35">
      <c r="A3" s="486"/>
      <c r="B3" s="298" t="s">
        <v>1040</v>
      </c>
      <c r="C3" s="298"/>
      <c r="D3" s="298"/>
      <c r="E3" s="298"/>
      <c r="F3" s="298"/>
      <c r="G3" s="298"/>
      <c r="H3" s="298"/>
      <c r="I3" s="298"/>
      <c r="J3" s="298"/>
    </row>
    <row r="4" spans="1:16" s="42" customFormat="1" ht="15.5" x14ac:dyDescent="0.35">
      <c r="A4" s="298"/>
      <c r="B4" s="487" t="s">
        <v>693</v>
      </c>
      <c r="C4" s="298"/>
      <c r="D4" s="298"/>
      <c r="E4" s="487" t="s">
        <v>694</v>
      </c>
      <c r="F4" s="298"/>
      <c r="G4" s="487" t="s">
        <v>695</v>
      </c>
      <c r="H4" s="298"/>
      <c r="I4" s="298"/>
      <c r="J4" s="298"/>
    </row>
    <row r="5" spans="1:16" s="42" customFormat="1" ht="19.5" customHeight="1" x14ac:dyDescent="0.35">
      <c r="A5" s="298"/>
      <c r="B5" s="2208">
        <f>Information!C2</f>
        <v>0</v>
      </c>
      <c r="C5" s="2208"/>
      <c r="D5" s="2208"/>
      <c r="E5" s="2208">
        <f>Information!C4</f>
        <v>0</v>
      </c>
      <c r="F5" s="2208"/>
      <c r="G5" s="3186">
        <f>Information!C1</f>
        <v>0</v>
      </c>
      <c r="H5" s="3186"/>
      <c r="I5" s="1630"/>
      <c r="J5" s="298"/>
      <c r="L5" s="614"/>
      <c r="M5" s="614"/>
      <c r="N5" s="614"/>
      <c r="O5" s="614"/>
      <c r="P5" s="615"/>
    </row>
    <row r="6" spans="1:16" s="42" customFormat="1" ht="15.5" x14ac:dyDescent="0.35">
      <c r="A6" s="298"/>
      <c r="B6" s="488"/>
      <c r="C6" s="298"/>
      <c r="D6" s="298"/>
      <c r="E6" s="478" t="s">
        <v>439</v>
      </c>
      <c r="F6" s="298"/>
      <c r="G6" s="1630"/>
      <c r="H6" s="1630"/>
      <c r="I6" s="1630"/>
      <c r="J6" s="298"/>
    </row>
    <row r="7" spans="1:16" ht="15.5" x14ac:dyDescent="0.35">
      <c r="B7" s="77" t="s">
        <v>1023</v>
      </c>
      <c r="C7" s="77"/>
      <c r="D7" s="77"/>
      <c r="E7" s="77"/>
      <c r="F7" s="77" t="s">
        <v>1024</v>
      </c>
      <c r="G7" s="77"/>
      <c r="H7" s="77"/>
      <c r="I7" s="77"/>
    </row>
    <row r="8" spans="1:16" x14ac:dyDescent="0.25">
      <c r="B8" s="605" t="str">
        <f>PIERS!Q49</f>
        <v>2 X 4  X 16'</v>
      </c>
      <c r="C8" s="606">
        <f>(PIERS!S49)/16</f>
        <v>0</v>
      </c>
      <c r="D8" s="613" t="s">
        <v>18</v>
      </c>
      <c r="F8" s="605" t="str">
        <f>'Mono Slab on Grade Building 1'!Y72</f>
        <v>2 X 4  X 16'</v>
      </c>
      <c r="G8" s="606">
        <f>('Mono Slab on Grade Building 1'!AB72)/16</f>
        <v>0</v>
      </c>
      <c r="H8" s="613" t="s">
        <v>18</v>
      </c>
    </row>
    <row r="9" spans="1:16" x14ac:dyDescent="0.25">
      <c r="B9" s="605" t="str">
        <f>PIERS!Q50</f>
        <v>2 X 6 X 16'</v>
      </c>
      <c r="C9" s="606">
        <f>(PIERS!S50)/16</f>
        <v>0</v>
      </c>
      <c r="D9" s="613" t="s">
        <v>18</v>
      </c>
      <c r="F9" s="605" t="str">
        <f>'Mono Slab on Grade Building 1'!Y73</f>
        <v>2 X 6 X 16'</v>
      </c>
      <c r="G9" s="606">
        <f>('Mono Slab on Grade Building 1'!AB73)/16</f>
        <v>0</v>
      </c>
      <c r="H9" s="613" t="s">
        <v>18</v>
      </c>
    </row>
    <row r="10" spans="1:16" x14ac:dyDescent="0.25">
      <c r="B10" s="605" t="str">
        <f>PIERS!Q51</f>
        <v>2 X 8 X 16'</v>
      </c>
      <c r="C10" s="606">
        <f>(PIERS!S51)/16</f>
        <v>0</v>
      </c>
      <c r="D10" s="613" t="s">
        <v>18</v>
      </c>
      <c r="F10" s="605" t="str">
        <f>'Mono Slab on Grade Building 1'!Y74</f>
        <v>2 X 8 X 16'</v>
      </c>
      <c r="G10" s="606">
        <f>('Mono Slab on Grade Building 1'!AB74)/16</f>
        <v>0</v>
      </c>
      <c r="H10" s="613" t="s">
        <v>18</v>
      </c>
    </row>
    <row r="11" spans="1:16" x14ac:dyDescent="0.25">
      <c r="B11" s="605" t="str">
        <f>PIERS!Q52</f>
        <v>2 X 10 X 16'</v>
      </c>
      <c r="C11" s="606">
        <f>(PIERS!S52)/16</f>
        <v>0</v>
      </c>
      <c r="D11" s="613" t="s">
        <v>18</v>
      </c>
      <c r="F11" s="605" t="str">
        <f>'Mono Slab on Grade Building 1'!Y75</f>
        <v>2 X 10 X 16'</v>
      </c>
      <c r="G11" s="606">
        <f>('Mono Slab on Grade Building 1'!AB75)/16</f>
        <v>0</v>
      </c>
      <c r="H11" s="613" t="s">
        <v>18</v>
      </c>
    </row>
    <row r="12" spans="1:16" x14ac:dyDescent="0.25">
      <c r="B12" s="605" t="str">
        <f>PIERS!Q53</f>
        <v>3/8" X 12" X 16' SIDING</v>
      </c>
      <c r="C12" s="606">
        <f>PIERS!S53</f>
        <v>0</v>
      </c>
      <c r="D12" s="607" t="str">
        <f>PIERS!T53</f>
        <v>SHEET</v>
      </c>
      <c r="F12" s="605" t="str">
        <f>'Mono Slab on Grade Building 1'!Y76</f>
        <v>3/8" X 12" X 16' SIDING</v>
      </c>
      <c r="G12" s="606">
        <f>'Mono Slab on Grade Building 1'!AB76</f>
        <v>0</v>
      </c>
      <c r="H12" s="607" t="str">
        <f>'Mono Slab on Grade Building 1'!AC76</f>
        <v>LNGT</v>
      </c>
    </row>
    <row r="13" spans="1:16" x14ac:dyDescent="0.25">
      <c r="B13" s="605" t="str">
        <f>PIERS!Q54</f>
        <v>3/4 " FORMING PLY</v>
      </c>
      <c r="C13" s="606">
        <f>PIERS!S54</f>
        <v>0</v>
      </c>
      <c r="D13" s="607" t="str">
        <f>PIERS!T54</f>
        <v>SHEET</v>
      </c>
      <c r="F13" s="605" t="str">
        <f>'Mono Slab on Grade Building 1'!Y77</f>
        <v>3/4 " FORMING PLY</v>
      </c>
      <c r="G13" s="606">
        <f>'Mono Slab on Grade Building 1'!AB77</f>
        <v>0</v>
      </c>
      <c r="H13" s="607" t="str">
        <f>'Mono Slab on Grade Building 1'!AC77</f>
        <v>SHT</v>
      </c>
    </row>
    <row r="14" spans="1:16" x14ac:dyDescent="0.25">
      <c r="B14" s="605" t="str">
        <f>PIERS!Q55</f>
        <v>2 x 2 x 30 STAKES</v>
      </c>
      <c r="C14" s="606">
        <f>PIERS!S55</f>
        <v>0</v>
      </c>
      <c r="D14" s="607" t="str">
        <f>PIERS!T55</f>
        <v>BNDLS</v>
      </c>
      <c r="F14" s="605" t="str">
        <f>'Mono Slab on Grade Building 1'!Y78</f>
        <v>2 x 2 x 30 STAKES</v>
      </c>
      <c r="G14" s="606">
        <f>'Mono Slab on Grade Building 1'!AB78</f>
        <v>0</v>
      </c>
      <c r="H14" s="607" t="str">
        <f>'Mono Slab on Grade Building 1'!AC78</f>
        <v>BNDLS</v>
      </c>
    </row>
    <row r="15" spans="1:16" x14ac:dyDescent="0.25">
      <c r="B15" s="605" t="str">
        <f>PIERS!Q56</f>
        <v>16p NAILS DUPLEX</v>
      </c>
      <c r="C15" s="606">
        <f>PIERS!S56</f>
        <v>0</v>
      </c>
      <c r="D15" s="607" t="str">
        <f>PIERS!T56</f>
        <v>BOX</v>
      </c>
      <c r="F15" s="605" t="str">
        <f>'Mono Slab on Grade Building 1'!Y79</f>
        <v>16p NAILS DUPLEX</v>
      </c>
      <c r="G15" s="606">
        <f>'Mono Slab on Grade Building 1'!AB79</f>
        <v>0</v>
      </c>
      <c r="H15" s="607" t="str">
        <f>'Mono Slab on Grade Building 1'!AC79</f>
        <v>BOX</v>
      </c>
    </row>
    <row r="16" spans="1:16" x14ac:dyDescent="0.25">
      <c r="B16" s="605" t="str">
        <f>PIERS!Q57</f>
        <v>8p DUPLEX</v>
      </c>
      <c r="C16" s="606">
        <f>PIERS!S57</f>
        <v>0</v>
      </c>
      <c r="D16" s="607" t="str">
        <f>PIERS!T57</f>
        <v>BOX</v>
      </c>
      <c r="F16" s="605" t="str">
        <f>'Mono Slab on Grade Building 1'!Y80</f>
        <v>8p DUPLEX</v>
      </c>
      <c r="G16" s="606">
        <f>'Mono Slab on Grade Building 1'!AB80</f>
        <v>0</v>
      </c>
      <c r="H16" s="607" t="str">
        <f>'Mono Slab on Grade Building 1'!AC80</f>
        <v>BOX</v>
      </c>
    </row>
    <row r="17" spans="2:8" x14ac:dyDescent="0.25">
      <c r="B17" s="605" t="str">
        <f>PIERS!Q58</f>
        <v>6p NAILS</v>
      </c>
      <c r="C17" s="606">
        <f>PIERS!S58</f>
        <v>0</v>
      </c>
      <c r="D17" s="607" t="str">
        <f>PIERS!T58</f>
        <v>BOX</v>
      </c>
      <c r="F17" s="605" t="str">
        <f>'Mono Slab on Grade Building 1'!Y81</f>
        <v>20p NAILS</v>
      </c>
      <c r="G17" s="606">
        <f>'Mono Slab on Grade Building 1'!AB81</f>
        <v>0</v>
      </c>
      <c r="H17" s="607" t="str">
        <f>'Mono Slab on Grade Building 1'!AC81</f>
        <v>BOX</v>
      </c>
    </row>
    <row r="18" spans="2:8" x14ac:dyDescent="0.25">
      <c r="B18" s="605" t="str">
        <f>PIERS!Q59</f>
        <v>ANCHOR BOLTS</v>
      </c>
      <c r="C18" s="606">
        <f>PIERS!S59</f>
        <v>0</v>
      </c>
      <c r="D18" s="607" t="str">
        <f>PIERS!T59</f>
        <v>BOX</v>
      </c>
      <c r="F18" s="605" t="str">
        <f>'Mono Slab on Grade Building 1'!Y82</f>
        <v>ANCHOR BOLTS</v>
      </c>
      <c r="G18" s="606">
        <f>'Mono Slab on Grade Building 1'!AB82</f>
        <v>0</v>
      </c>
      <c r="H18" s="607" t="str">
        <f>'Mono Slab on Grade Building 1'!AC82</f>
        <v>BOX</v>
      </c>
    </row>
    <row r="19" spans="2:8" x14ac:dyDescent="0.25">
      <c r="B19" s="605" t="str">
        <f>PIERS!Q60</f>
        <v>KEYWAY</v>
      </c>
      <c r="C19" s="606">
        <f>PIERS!S60</f>
        <v>0</v>
      </c>
      <c r="D19" s="607" t="str">
        <f>PIERS!T60</f>
        <v>LN FT</v>
      </c>
      <c r="F19" s="605" t="str">
        <f>'Mono Slab on Grade Building 1'!Y83</f>
        <v>KEYWAY</v>
      </c>
      <c r="G19" s="606">
        <f>'Mono Slab on Grade Building 1'!AB83</f>
        <v>0</v>
      </c>
      <c r="H19" s="607" t="str">
        <f>'Mono Slab on Grade Building 1'!AC83</f>
        <v>LN FT</v>
      </c>
    </row>
    <row r="20" spans="2:8" x14ac:dyDescent="0.25">
      <c r="B20" s="605" t="str">
        <f>PIERS!Q61</f>
        <v>CHAMFER</v>
      </c>
      <c r="C20" s="606">
        <f>PIERS!S61</f>
        <v>0</v>
      </c>
      <c r="D20" s="607" t="str">
        <f>PIERS!T61</f>
        <v>LN FT</v>
      </c>
      <c r="F20" s="605" t="str">
        <f>'Mono Slab on Grade Building 1'!Y84</f>
        <v>CHAMFER</v>
      </c>
      <c r="G20" s="606">
        <f>'Mono Slab on Grade Building 1'!AB84</f>
        <v>0</v>
      </c>
      <c r="H20" s="607" t="str">
        <f>'Mono Slab on Grade Building 1'!AC84</f>
        <v>LN FT</v>
      </c>
    </row>
    <row r="21" spans="2:8" x14ac:dyDescent="0.25">
      <c r="B21" s="605" t="str">
        <f>PIERS!Q62</f>
        <v>1 X 6 RED WOOD</v>
      </c>
      <c r="C21" s="606">
        <f>PIERS!S62</f>
        <v>0</v>
      </c>
      <c r="D21" s="607" t="str">
        <f>PIERS!T62</f>
        <v>LN FT</v>
      </c>
      <c r="F21" s="605" t="str">
        <f>'Mono Slab on Grade Building 1'!Y85</f>
        <v>1 X 6 RED WOOD</v>
      </c>
      <c r="G21" s="606">
        <f>'Mono Slab on Grade Building 1'!AB85</f>
        <v>0</v>
      </c>
      <c r="H21" s="607" t="str">
        <f>'Mono Slab on Grade Building 1'!AC85</f>
        <v>LN FT</v>
      </c>
    </row>
    <row r="22" spans="2:8" x14ac:dyDescent="0.25">
      <c r="B22" s="605" t="str">
        <f>PIERS!Q63</f>
        <v>1 X 8 RED WOOD</v>
      </c>
      <c r="C22" s="606">
        <f>PIERS!S63</f>
        <v>0</v>
      </c>
      <c r="D22" s="607" t="str">
        <f>PIERS!T63</f>
        <v>LN FT</v>
      </c>
      <c r="F22" s="605" t="str">
        <f>'Mono Slab on Grade Building 1'!Y86</f>
        <v>1 X 8 RED WOOD</v>
      </c>
      <c r="G22" s="606">
        <f>'Mono Slab on Grade Building 1'!AB86</f>
        <v>0</v>
      </c>
      <c r="H22" s="607" t="str">
        <f>'Mono Slab on Grade Building 1'!AC86</f>
        <v>LN FT</v>
      </c>
    </row>
    <row r="23" spans="2:8" x14ac:dyDescent="0.25">
      <c r="B23" s="605" t="str">
        <f>PIERS!Q64</f>
        <v>TACK STRIPS</v>
      </c>
      <c r="C23" s="606">
        <f>PIERS!S64</f>
        <v>0</v>
      </c>
      <c r="D23" s="607" t="str">
        <f>PIERS!T64</f>
        <v>LN FT</v>
      </c>
      <c r="F23" s="605" t="str">
        <f>'Mono Slab on Grade Building 1'!Y87</f>
        <v>TACK STRIPS</v>
      </c>
      <c r="G23" s="606">
        <f>'Mono Slab on Grade Building 1'!AB87</f>
        <v>0</v>
      </c>
      <c r="H23" s="607" t="str">
        <f>'Mono Slab on Grade Building 1'!AC87</f>
        <v>LN FT</v>
      </c>
    </row>
    <row r="24" spans="2:8" x14ac:dyDescent="0.25">
      <c r="B24" s="605" t="str">
        <f>PIERS!Q71</f>
        <v>PIER SLEDS</v>
      </c>
      <c r="C24" s="606">
        <f>PIERS!S71</f>
        <v>0</v>
      </c>
      <c r="D24" s="607" t="str">
        <f>PIERS!T71</f>
        <v>EACH</v>
      </c>
      <c r="F24" s="605" t="str">
        <f>'Mono Slab on Grade Building 1'!Y89</f>
        <v>10 MIL Class A Vapor Barrier</v>
      </c>
      <c r="G24" s="606">
        <f>'Mono Slab on Grade Building 1'!AB89</f>
        <v>0</v>
      </c>
      <c r="H24" s="607" t="str">
        <f>'Mono Slab on Grade Building 1'!AC89</f>
        <v>ROLLS</v>
      </c>
    </row>
    <row r="25" spans="2:8" x14ac:dyDescent="0.25">
      <c r="B25" s="605" t="str">
        <f>PIERS!Q72</f>
        <v>PIER BOOTS</v>
      </c>
      <c r="C25" s="606">
        <f>PIERS!S72</f>
        <v>0</v>
      </c>
      <c r="D25" s="607" t="str">
        <f>PIERS!T72</f>
        <v>EACH</v>
      </c>
      <c r="F25" s="605" t="str">
        <f>'Mono Slab on Grade Building 1'!Y100</f>
        <v>SLAB CHAIRS</v>
      </c>
      <c r="G25" s="606">
        <f>'Mono Slab on Grade Building 1'!AB100</f>
        <v>0</v>
      </c>
      <c r="H25" s="607" t="str">
        <f>'Mono Slab on Grade Building 1'!AC100</f>
        <v>BAGS</v>
      </c>
    </row>
    <row r="26" spans="2:8" x14ac:dyDescent="0.25">
      <c r="B26" s="605" t="str">
        <f>PIERS!Q73</f>
        <v>ACCESSORIES</v>
      </c>
      <c r="C26" s="606">
        <f>PIERS!S73</f>
        <v>0</v>
      </c>
      <c r="D26" s="607" t="str">
        <f>PIERS!T73</f>
        <v>LBS</v>
      </c>
      <c r="F26" s="605" t="str">
        <f>'Mono Slab on Grade Building 1'!Y101</f>
        <v>TIE WIRE</v>
      </c>
      <c r="G26" s="606">
        <f>'Mono Slab on Grade Building 1'!AB101</f>
        <v>0</v>
      </c>
      <c r="H26" s="607" t="str">
        <f>'Mono Slab on Grade Building 1'!AC101</f>
        <v>ROLL</v>
      </c>
    </row>
    <row r="27" spans="2:8" x14ac:dyDescent="0.25">
      <c r="B27" s="605" t="str">
        <f>PIERS!Q78</f>
        <v>SLAB CURE</v>
      </c>
      <c r="C27" s="606">
        <f>PIERS!S78</f>
        <v>0</v>
      </c>
      <c r="D27" s="607" t="str">
        <f>PIERS!T78</f>
        <v>DRUMS</v>
      </c>
      <c r="F27" s="605" t="str">
        <f>'Mono Slab on Grade Building 1'!Y102</f>
        <v>ACCESSORIES</v>
      </c>
      <c r="G27" s="606">
        <f>'Mono Slab on Grade Building 1'!AB102</f>
        <v>0</v>
      </c>
      <c r="H27" s="607" t="str">
        <f>'Mono Slab on Grade Building 1'!AC102</f>
        <v>LBS</v>
      </c>
    </row>
    <row r="28" spans="2:8" x14ac:dyDescent="0.25">
      <c r="B28" s="605" t="str">
        <f>PIERS!Q79</f>
        <v>FORM RELEASE</v>
      </c>
      <c r="C28" s="606">
        <f>PIERS!S79</f>
        <v>0</v>
      </c>
      <c r="D28" s="607" t="str">
        <f>PIERS!T79</f>
        <v>DRUMS</v>
      </c>
      <c r="F28" s="605" t="str">
        <f>'Mono Slab on Grade Building 1'!Y107</f>
        <v>SLAB CURE</v>
      </c>
      <c r="G28" s="606">
        <f>'Mono Slab on Grade Building 1'!AB107</f>
        <v>0</v>
      </c>
      <c r="H28" s="607" t="str">
        <f>'Mono Slab on Grade Building 1'!AC107</f>
        <v>DRMS</v>
      </c>
    </row>
    <row r="29" spans="2:8" x14ac:dyDescent="0.25">
      <c r="B29" s="605" t="str">
        <f>PIERS!Q82</f>
        <v>1/2" Smooth Dowels</v>
      </c>
      <c r="C29" s="606">
        <f>PIERS!S82</f>
        <v>0</v>
      </c>
      <c r="D29" s="607" t="str">
        <f>PIERS!T82</f>
        <v>PCS</v>
      </c>
      <c r="F29" s="605" t="str">
        <f>'Mono Slab on Grade Building 1'!Y108</f>
        <v>FORM RELEASE</v>
      </c>
      <c r="G29" s="606">
        <f>'Mono Slab on Grade Building 1'!AB108</f>
        <v>0</v>
      </c>
      <c r="H29" s="607" t="str">
        <f>'Mono Slab on Grade Building 1'!AC108</f>
        <v>DRMS</v>
      </c>
    </row>
    <row r="30" spans="2:8" x14ac:dyDescent="0.25">
      <c r="F30" s="605" t="str">
        <f>'Mono Slab on Grade Building 1'!Y111</f>
        <v>1/2" Smooth Dowels</v>
      </c>
      <c r="G30" s="606">
        <f>'Mono Slab on Grade Building 1'!AA111</f>
        <v>0</v>
      </c>
      <c r="H30" s="607" t="str">
        <f>'Mono Slab on Grade Building 1'!AB111</f>
        <v>PCS</v>
      </c>
    </row>
    <row r="32" spans="2:8" ht="15.5" x14ac:dyDescent="0.35">
      <c r="B32" s="77" t="s">
        <v>1028</v>
      </c>
      <c r="F32" s="77" t="s">
        <v>1029</v>
      </c>
    </row>
    <row r="33" spans="2:20" x14ac:dyDescent="0.25">
      <c r="B33" s="605" t="str">
        <f>COLUMNS!R51</f>
        <v>2 X 4  X 16'</v>
      </c>
      <c r="C33" s="606">
        <f>(COLUMNS!T51)/16</f>
        <v>0</v>
      </c>
      <c r="D33" s="613" t="s">
        <v>18</v>
      </c>
      <c r="F33" s="605" t="str">
        <f>'CIP EL. DECK'!R60</f>
        <v>2 X 4  X 16'</v>
      </c>
      <c r="G33" s="606">
        <f>('CIP EL. DECK'!T60)/16</f>
        <v>0</v>
      </c>
      <c r="H33" s="613" t="s">
        <v>18</v>
      </c>
      <c r="S33" s="604"/>
      <c r="T33" s="604"/>
    </row>
    <row r="34" spans="2:20" x14ac:dyDescent="0.25">
      <c r="B34" s="605" t="str">
        <f>COLUMNS!R52</f>
        <v>2 X 6 X 16'</v>
      </c>
      <c r="C34" s="606">
        <f>(COLUMNS!T52)/16</f>
        <v>0</v>
      </c>
      <c r="D34" s="613" t="s">
        <v>18</v>
      </c>
      <c r="F34" s="605" t="str">
        <f>'CIP EL. DECK'!R61</f>
        <v>2 X 6 X 16'</v>
      </c>
      <c r="G34" s="606">
        <f>('CIP EL. DECK'!T61)/16</f>
        <v>0</v>
      </c>
      <c r="H34" s="613" t="s">
        <v>18</v>
      </c>
      <c r="S34" s="604"/>
      <c r="T34" s="604"/>
    </row>
    <row r="35" spans="2:20" x14ac:dyDescent="0.25">
      <c r="B35" s="605" t="str">
        <f>COLUMNS!R53</f>
        <v>2 X 8 X 16'</v>
      </c>
      <c r="C35" s="606">
        <f>(COLUMNS!T53)/16</f>
        <v>0</v>
      </c>
      <c r="D35" s="613" t="s">
        <v>18</v>
      </c>
      <c r="F35" s="605" t="str">
        <f>'CIP EL. DECK'!R62</f>
        <v>2 X 8 X 16'</v>
      </c>
      <c r="G35" s="606">
        <f>('CIP EL. DECK'!T62)/16</f>
        <v>0</v>
      </c>
      <c r="H35" s="613" t="s">
        <v>18</v>
      </c>
      <c r="S35" s="604"/>
      <c r="T35" s="604"/>
    </row>
    <row r="36" spans="2:20" x14ac:dyDescent="0.25">
      <c r="B36" s="605" t="str">
        <f>COLUMNS!R54</f>
        <v>2 X 10 X 16'</v>
      </c>
      <c r="C36" s="606">
        <f>(COLUMNS!T54)/16</f>
        <v>0</v>
      </c>
      <c r="D36" s="613" t="s">
        <v>18</v>
      </c>
      <c r="F36" s="605" t="str">
        <f>'CIP EL. DECK'!R63</f>
        <v>2 X 10 X 16'</v>
      </c>
      <c r="G36" s="606">
        <f>('CIP EL. DECK'!T63)/16</f>
        <v>0</v>
      </c>
      <c r="H36" s="613" t="s">
        <v>18</v>
      </c>
      <c r="S36" s="604"/>
      <c r="T36" s="604"/>
    </row>
    <row r="37" spans="2:20" x14ac:dyDescent="0.25">
      <c r="B37" s="605" t="str">
        <f>COLUMNS!R55</f>
        <v>3/4 " FORMING PLY</v>
      </c>
      <c r="C37" s="606">
        <f>COLUMNS!T55</f>
        <v>0</v>
      </c>
      <c r="D37" s="607" t="str">
        <f>COLUMNS!U55</f>
        <v>SHT</v>
      </c>
      <c r="F37" s="605" t="str">
        <f>'CIP EL. DECK'!R64</f>
        <v>3/8" X 12" X 16' SIDING</v>
      </c>
      <c r="G37" s="606">
        <f>'CIP EL. DECK'!T64</f>
        <v>0</v>
      </c>
      <c r="H37" s="607" t="str">
        <f>'CIP EL. DECK'!U64</f>
        <v>SHEET</v>
      </c>
    </row>
    <row r="38" spans="2:20" x14ac:dyDescent="0.25">
      <c r="B38" s="605" t="str">
        <f>COLUMNS!R56</f>
        <v xml:space="preserve">2 x 2 x 30 stakes </v>
      </c>
      <c r="C38" s="606">
        <f>COLUMNS!T56</f>
        <v>0</v>
      </c>
      <c r="D38" s="607" t="str">
        <f>COLUMNS!U56</f>
        <v>bndls</v>
      </c>
      <c r="F38" s="605" t="str">
        <f>'CIP EL. DECK'!R65</f>
        <v>3/4 " FORMING PLY</v>
      </c>
      <c r="G38" s="606">
        <f>'CIP EL. DECK'!T65</f>
        <v>0</v>
      </c>
      <c r="H38" s="607" t="str">
        <f>'CIP EL. DECK'!U65</f>
        <v>SHEET</v>
      </c>
    </row>
    <row r="39" spans="2:20" x14ac:dyDescent="0.25">
      <c r="B39" s="605" t="str">
        <f>COLUMNS!R57</f>
        <v>16p NAILS DUPLEX</v>
      </c>
      <c r="C39" s="606">
        <f>COLUMNS!T57</f>
        <v>0</v>
      </c>
      <c r="D39" s="607" t="str">
        <f>COLUMNS!U57</f>
        <v>Box</v>
      </c>
      <c r="F39" s="605" t="str">
        <f>'CIP EL. DECK'!R66</f>
        <v xml:space="preserve">2 x 2 x 30 stakes </v>
      </c>
      <c r="G39" s="606">
        <f>'CIP EL. DECK'!T66</f>
        <v>0</v>
      </c>
      <c r="H39" s="607" t="str">
        <f>'CIP EL. DECK'!U66</f>
        <v>BUNDL</v>
      </c>
      <c r="S39" s="604"/>
      <c r="T39" s="604"/>
    </row>
    <row r="40" spans="2:20" x14ac:dyDescent="0.25">
      <c r="B40" s="605" t="str">
        <f>COLUMNS!R58</f>
        <v>8p DUPLEX</v>
      </c>
      <c r="C40" s="606">
        <f>COLUMNS!T58</f>
        <v>0</v>
      </c>
      <c r="D40" s="607" t="str">
        <f>COLUMNS!U58</f>
        <v>Box</v>
      </c>
      <c r="F40" s="605" t="str">
        <f>'CIP EL. DECK'!R67</f>
        <v>16p NAILS DUPLEX</v>
      </c>
      <c r="G40" s="606">
        <f>'CIP EL. DECK'!T67</f>
        <v>0</v>
      </c>
      <c r="H40" s="607" t="str">
        <f>'CIP EL. DECK'!U67</f>
        <v>BOX</v>
      </c>
    </row>
    <row r="41" spans="2:20" x14ac:dyDescent="0.25">
      <c r="B41" s="605" t="str">
        <f>COLUMNS!R59</f>
        <v>6p NAILS</v>
      </c>
      <c r="C41" s="606">
        <f>COLUMNS!T59</f>
        <v>0</v>
      </c>
      <c r="D41" s="607" t="str">
        <f>COLUMNS!U59</f>
        <v>Box</v>
      </c>
      <c r="F41" s="605" t="str">
        <f>'CIP EL. DECK'!R68</f>
        <v>8p DUPLEX</v>
      </c>
      <c r="G41" s="606">
        <f>'CIP EL. DECK'!T68</f>
        <v>0</v>
      </c>
      <c r="H41" s="607" t="str">
        <f>'CIP EL. DECK'!U68</f>
        <v>BOX</v>
      </c>
    </row>
    <row r="42" spans="2:20" x14ac:dyDescent="0.25">
      <c r="B42" s="605" t="str">
        <f>COLUMNS!R60</f>
        <v>ANCHOR BOLTS</v>
      </c>
      <c r="C42" s="606">
        <f>COLUMNS!T60</f>
        <v>0</v>
      </c>
      <c r="D42" s="607" t="str">
        <f>COLUMNS!U60</f>
        <v>Box</v>
      </c>
      <c r="F42" s="605" t="str">
        <f>'CIP EL. DECK'!R69</f>
        <v>6p NAILS</v>
      </c>
      <c r="G42" s="606">
        <f>'CIP EL. DECK'!T69</f>
        <v>0</v>
      </c>
      <c r="H42" s="607" t="str">
        <f>'CIP EL. DECK'!U69</f>
        <v>BOX</v>
      </c>
    </row>
    <row r="43" spans="2:20" x14ac:dyDescent="0.25">
      <c r="B43" s="605" t="str">
        <f>COLUMNS!R61</f>
        <v>KEYWAY</v>
      </c>
      <c r="C43" s="606">
        <f>COLUMNS!T61</f>
        <v>0</v>
      </c>
      <c r="D43" s="607" t="str">
        <f>COLUMNS!U61</f>
        <v>Ln ft</v>
      </c>
      <c r="F43" s="605" t="str">
        <f>'CIP EL. DECK'!R70</f>
        <v>ANCHOR BOLTS</v>
      </c>
      <c r="G43" s="606">
        <f>'CIP EL. DECK'!T70</f>
        <v>0</v>
      </c>
      <c r="H43" s="607" t="str">
        <f>'CIP EL. DECK'!U70</f>
        <v>BOX</v>
      </c>
    </row>
    <row r="44" spans="2:20" x14ac:dyDescent="0.25">
      <c r="B44" s="605" t="str">
        <f>COLUMNS!R62</f>
        <v>CHAMFER</v>
      </c>
      <c r="C44" s="606">
        <f>COLUMNS!T62</f>
        <v>0</v>
      </c>
      <c r="D44" s="607" t="str">
        <f>COLUMNS!U62</f>
        <v>Ln ft</v>
      </c>
      <c r="F44" s="605" t="str">
        <f>'CIP EL. DECK'!R71</f>
        <v>KEYWAY</v>
      </c>
      <c r="G44" s="606">
        <f>'CIP EL. DECK'!T71</f>
        <v>0</v>
      </c>
      <c r="H44" s="607" t="str">
        <f>'CIP EL. DECK'!U71</f>
        <v>LN FT</v>
      </c>
    </row>
    <row r="45" spans="2:20" x14ac:dyDescent="0.25">
      <c r="B45" s="605" t="str">
        <f>COLUMNS!R63</f>
        <v>WALL TIES</v>
      </c>
      <c r="C45" s="606">
        <f>COLUMNS!T63</f>
        <v>0</v>
      </c>
      <c r="D45" s="607" t="str">
        <f>COLUMNS!U63</f>
        <v>Box</v>
      </c>
      <c r="F45" s="605" t="str">
        <f>'CIP EL. DECK'!R72</f>
        <v>CHAMFER</v>
      </c>
      <c r="G45" s="606">
        <f>'CIP EL. DECK'!T72</f>
        <v>0</v>
      </c>
      <c r="H45" s="607" t="str">
        <f>'CIP EL. DECK'!U72</f>
        <v>LN FT</v>
      </c>
    </row>
    <row r="46" spans="2:20" x14ac:dyDescent="0.25">
      <c r="B46" s="605" t="str">
        <f>COLUMNS!R65</f>
        <v>POLY 6 mill</v>
      </c>
      <c r="C46" s="606">
        <f>COLUMNS!T65</f>
        <v>0</v>
      </c>
      <c r="D46" s="607" t="str">
        <f>COLUMNS!U65</f>
        <v>Rolls</v>
      </c>
      <c r="F46" s="605" t="str">
        <f>'CIP EL. DECK'!R73</f>
        <v>1 X 6 RED WOOD</v>
      </c>
      <c r="G46" s="606">
        <f>'CIP EL. DECK'!T73</f>
        <v>0</v>
      </c>
      <c r="H46" s="607" t="str">
        <f>'CIP EL. DECK'!U73</f>
        <v>LN FT</v>
      </c>
    </row>
    <row r="47" spans="2:20" x14ac:dyDescent="0.25">
      <c r="B47" s="605" t="str">
        <f>COLUMNS!R71</f>
        <v>CAMLOCKS</v>
      </c>
      <c r="C47" s="606">
        <f>COLUMNS!T71</f>
        <v>0</v>
      </c>
      <c r="D47" s="607">
        <f>COLUMNS!U71</f>
        <v>0</v>
      </c>
      <c r="F47" s="605" t="str">
        <f>'CIP EL. DECK'!R74</f>
        <v>1 X 8 RED WOOD</v>
      </c>
      <c r="G47" s="606">
        <f>'CIP EL. DECK'!T74</f>
        <v>0</v>
      </c>
      <c r="H47" s="607" t="str">
        <f>'CIP EL. DECK'!U74</f>
        <v>LN FT</v>
      </c>
    </row>
    <row r="48" spans="2:20" x14ac:dyDescent="0.25">
      <c r="B48" s="605" t="str">
        <f>COLUMNS!R72</f>
        <v>TURNBUCKLES</v>
      </c>
      <c r="C48" s="606">
        <f>COLUMNS!T72</f>
        <v>0</v>
      </c>
      <c r="D48" s="607">
        <f>COLUMNS!U72</f>
        <v>0</v>
      </c>
      <c r="F48" s="605" t="str">
        <f>'CIP EL. DECK'!R75</f>
        <v>TACK STRIPS</v>
      </c>
      <c r="G48" s="606">
        <f>'CIP EL. DECK'!T75</f>
        <v>0</v>
      </c>
      <c r="H48" s="607" t="str">
        <f>'CIP EL. DECK'!U75</f>
        <v>LN FT</v>
      </c>
    </row>
    <row r="49" spans="2:16" x14ac:dyDescent="0.25">
      <c r="B49" s="605" t="str">
        <f>COLUMNS!R73</f>
        <v>PATCH MATERIAL</v>
      </c>
      <c r="C49" s="606">
        <f>COLUMNS!T73</f>
        <v>0</v>
      </c>
      <c r="D49" s="607" t="str">
        <f>COLUMNS!U73</f>
        <v>BAGS</v>
      </c>
      <c r="F49" s="605" t="str">
        <f>'CIP EL. DECK'!R76</f>
        <v>POLY 6 MILL</v>
      </c>
      <c r="G49" s="606">
        <f>'CIP EL. DECK'!T76</f>
        <v>0</v>
      </c>
      <c r="H49" s="607" t="str">
        <f>'CIP EL. DECK'!U76</f>
        <v>ROLLS</v>
      </c>
    </row>
    <row r="50" spans="2:16" x14ac:dyDescent="0.25">
      <c r="B50" s="605" t="str">
        <f>COLUMNS!R76</f>
        <v>SLAB CHAIRS</v>
      </c>
      <c r="C50" s="606">
        <f>COLUMNS!T76</f>
        <v>0</v>
      </c>
      <c r="D50" s="607" t="str">
        <f>COLUMNS!U76</f>
        <v>BAGS</v>
      </c>
      <c r="F50" s="605" t="str">
        <f>'CIP EL. DECK'!R82</f>
        <v>PAVECRETE</v>
      </c>
      <c r="G50" s="606">
        <f>'CIP EL. DECK'!T82</f>
        <v>0</v>
      </c>
      <c r="H50" s="607" t="str">
        <f>'CIP EL. DECK'!U82</f>
        <v>BAGS</v>
      </c>
    </row>
    <row r="51" spans="2:16" x14ac:dyDescent="0.25">
      <c r="B51" s="605" t="str">
        <f>COLUMNS!R77</f>
        <v>POLSTERS</v>
      </c>
      <c r="C51" s="606">
        <f>COLUMNS!T77</f>
        <v>0</v>
      </c>
      <c r="D51" s="607">
        <f>COLUMNS!U77</f>
        <v>0</v>
      </c>
      <c r="F51" s="605" t="str">
        <f>'CIP EL. DECK'!R90</f>
        <v>SLAB CHAIRS</v>
      </c>
      <c r="G51" s="606">
        <f>'CIP EL. DECK'!T90</f>
        <v>0</v>
      </c>
      <c r="H51" s="607" t="str">
        <f>'CIP EL. DECK'!U90</f>
        <v>BAGS</v>
      </c>
    </row>
    <row r="52" spans="2:16" x14ac:dyDescent="0.25">
      <c r="B52" s="605" t="str">
        <f>COLUMNS!R78</f>
        <v>ACCESSORIES</v>
      </c>
      <c r="C52" s="606">
        <f>COLUMNS!T78</f>
        <v>0</v>
      </c>
      <c r="D52" s="607" t="str">
        <f>COLUMNS!U78</f>
        <v>LBS</v>
      </c>
      <c r="F52" s="605" t="str">
        <f>'CIP EL. DECK'!R91</f>
        <v>TIE WIRE</v>
      </c>
      <c r="G52" s="606">
        <f>'CIP EL. DECK'!T91</f>
        <v>0</v>
      </c>
      <c r="H52" s="607" t="str">
        <f>'CIP EL. DECK'!U91</f>
        <v>ROLL</v>
      </c>
    </row>
    <row r="53" spans="2:16" x14ac:dyDescent="0.25">
      <c r="B53" s="605" t="str">
        <f>COLUMNS!R83</f>
        <v>SLAB CURE</v>
      </c>
      <c r="C53" s="606">
        <f>COLUMNS!T83</f>
        <v>0</v>
      </c>
      <c r="D53" s="607" t="str">
        <f>COLUMNS!U83</f>
        <v>drms</v>
      </c>
      <c r="F53" s="605" t="str">
        <f>'CIP EL. DECK'!R92</f>
        <v>ACCESSORIES</v>
      </c>
      <c r="G53" s="606">
        <f>'CIP EL. DECK'!T92</f>
        <v>0</v>
      </c>
      <c r="H53" s="607" t="str">
        <f>'CIP EL. DECK'!U92</f>
        <v>LBS</v>
      </c>
    </row>
    <row r="54" spans="2:16" x14ac:dyDescent="0.25">
      <c r="B54" s="605" t="str">
        <f>COLUMNS!R84</f>
        <v>FORM RELEASE</v>
      </c>
      <c r="C54" s="606">
        <f>COLUMNS!T84</f>
        <v>0</v>
      </c>
      <c r="D54" s="607" t="str">
        <f>COLUMNS!U84</f>
        <v>drms</v>
      </c>
      <c r="F54" s="605" t="str">
        <f>'CIP EL. DECK'!R93</f>
        <v>SLAB BOLSTERS</v>
      </c>
      <c r="G54" s="606">
        <f>'CIP EL. DECK'!T93</f>
        <v>0</v>
      </c>
      <c r="H54" s="607" t="str">
        <f>'CIP EL. DECK'!U93</f>
        <v>PCS</v>
      </c>
    </row>
    <row r="55" spans="2:16" x14ac:dyDescent="0.25">
      <c r="B55" s="605" t="str">
        <f>COLUMNS!R86</f>
        <v>Spacing</v>
      </c>
      <c r="C55" s="606">
        <f>COLUMNS!T86</f>
        <v>18</v>
      </c>
      <c r="D55" s="607" t="str">
        <f>COLUMNS!U86</f>
        <v>C . C</v>
      </c>
      <c r="K55" s="604"/>
      <c r="L55" s="604"/>
      <c r="O55" s="604"/>
      <c r="P55" s="604"/>
    </row>
    <row r="56" spans="2:16" x14ac:dyDescent="0.25">
      <c r="B56" s="605" t="str">
        <f>COLUMNS!R87</f>
        <v>1/2" Smooth Dowels</v>
      </c>
      <c r="C56" s="606">
        <f>COLUMNS!T87</f>
        <v>0</v>
      </c>
      <c r="D56" s="607" t="str">
        <f>COLUMNS!U87</f>
        <v>PCS</v>
      </c>
      <c r="G56" s="604"/>
      <c r="H56" s="604"/>
      <c r="K56" s="604"/>
      <c r="L56" s="604"/>
      <c r="O56" s="604"/>
      <c r="P56" s="604"/>
    </row>
    <row r="57" spans="2:16" x14ac:dyDescent="0.25">
      <c r="C57" s="604"/>
      <c r="D57" s="604"/>
      <c r="G57" s="604"/>
      <c r="H57" s="604"/>
      <c r="K57" s="604"/>
      <c r="L57" s="604"/>
      <c r="O57" s="604"/>
      <c r="P57" s="604"/>
    </row>
    <row r="58" spans="2:16" ht="15.5" x14ac:dyDescent="0.35">
      <c r="B58" s="77" t="s">
        <v>1025</v>
      </c>
      <c r="F58" s="77" t="s">
        <v>1026</v>
      </c>
      <c r="K58" s="604"/>
      <c r="L58" s="604"/>
      <c r="N58" s="605" t="str">
        <f>COLUMNS!R51</f>
        <v>2 X 4  X 16'</v>
      </c>
      <c r="O58" s="606">
        <f>C8+G8+C59+G59+C112+C33+G33+G114+C138+C86+G86</f>
        <v>0</v>
      </c>
      <c r="P58" s="552" t="str">
        <f>COLUMNS!U51</f>
        <v>Ln ft</v>
      </c>
    </row>
    <row r="59" spans="2:16" x14ac:dyDescent="0.25">
      <c r="B59" s="605" t="str">
        <f>'Private Paving'!Q40</f>
        <v>2 X 4  X 16'</v>
      </c>
      <c r="C59" s="606">
        <f>('Private Paving'!S40)/16</f>
        <v>0</v>
      </c>
      <c r="D59" s="613" t="s">
        <v>18</v>
      </c>
      <c r="F59" s="605" t="str">
        <f>'Site Walls'!R58</f>
        <v>2 X 4  X 16'</v>
      </c>
      <c r="G59" s="606">
        <f>('Site Walls'!T58)/16</f>
        <v>0</v>
      </c>
      <c r="H59" s="613" t="s">
        <v>18</v>
      </c>
      <c r="N59" s="605" t="str">
        <f>COLUMNS!R52</f>
        <v>2 X 6 X 16'</v>
      </c>
      <c r="O59" s="606">
        <f>C9+G9+C60+G60+C113+C34+G34+G115+C139+C87+G87</f>
        <v>0</v>
      </c>
      <c r="P59" s="552" t="str">
        <f>COLUMNS!U52</f>
        <v>Ln ft</v>
      </c>
    </row>
    <row r="60" spans="2:16" x14ac:dyDescent="0.25">
      <c r="B60" s="605" t="str">
        <f>'Private Paving'!Q41</f>
        <v>2 X 6 X 16'</v>
      </c>
      <c r="C60" s="606">
        <f>('Private Paving'!S41)/16</f>
        <v>0</v>
      </c>
      <c r="D60" s="613" t="s">
        <v>18</v>
      </c>
      <c r="F60" s="605" t="str">
        <f>'Site Walls'!R59</f>
        <v>2 X 6 X 16'</v>
      </c>
      <c r="G60" s="606">
        <f>('Site Walls'!T59)/16</f>
        <v>0</v>
      </c>
      <c r="H60" s="613" t="s">
        <v>18</v>
      </c>
      <c r="N60" s="605" t="str">
        <f>COLUMNS!R53</f>
        <v>2 X 8 X 16'</v>
      </c>
      <c r="O60" s="606">
        <f>C10+G10+C61+G61+C114+C35+G35+G116+C140+C88+G88</f>
        <v>0</v>
      </c>
      <c r="P60" s="552" t="str">
        <f>COLUMNS!U53</f>
        <v>Ln ft</v>
      </c>
    </row>
    <row r="61" spans="2:16" x14ac:dyDescent="0.25">
      <c r="B61" s="605" t="str">
        <f>'Private Paving'!Q42</f>
        <v>2 X 8 X 16'</v>
      </c>
      <c r="C61" s="606">
        <f>('Private Paving'!S42)/16</f>
        <v>0</v>
      </c>
      <c r="D61" s="613" t="s">
        <v>18</v>
      </c>
      <c r="F61" s="605" t="str">
        <f>'Site Walls'!R60</f>
        <v>2 X 8 X 16'</v>
      </c>
      <c r="G61" s="606">
        <f>('Site Walls'!T60)/16</f>
        <v>0</v>
      </c>
      <c r="H61" s="613" t="s">
        <v>18</v>
      </c>
      <c r="N61" s="605" t="str">
        <f>COLUMNS!R54</f>
        <v>2 X 10 X 16'</v>
      </c>
      <c r="O61" s="606">
        <f>C11+G11+C62+G62+C115+C36+G36+G117+C141+C89+G89</f>
        <v>0</v>
      </c>
      <c r="P61" s="552" t="str">
        <f>COLUMNS!U54</f>
        <v>Ln ft</v>
      </c>
    </row>
    <row r="62" spans="2:16" x14ac:dyDescent="0.25">
      <c r="B62" s="605" t="str">
        <f>'Private Paving'!Q43</f>
        <v>2 X 10 X 16'</v>
      </c>
      <c r="C62" s="606">
        <f>('Private Paving'!S43)/16</f>
        <v>0</v>
      </c>
      <c r="D62" s="613" t="s">
        <v>18</v>
      </c>
      <c r="F62" s="605" t="str">
        <f>'Site Walls'!R61</f>
        <v>2 X 10 X 16'</v>
      </c>
      <c r="G62" s="606">
        <f>('Site Walls'!T61)/16</f>
        <v>0</v>
      </c>
      <c r="H62" s="613" t="s">
        <v>18</v>
      </c>
      <c r="K62" s="604"/>
      <c r="L62" s="604"/>
      <c r="N62" s="605" t="str">
        <f>COLUMNS!R55</f>
        <v>3/4 " FORMING PLY</v>
      </c>
      <c r="O62" s="606">
        <f>C13+G13+C64+G63+C116+C37+G38+G119+C143+C90+G90</f>
        <v>0</v>
      </c>
      <c r="P62" s="552" t="str">
        <f>COLUMNS!U55</f>
        <v>SHT</v>
      </c>
    </row>
    <row r="63" spans="2:16" x14ac:dyDescent="0.25">
      <c r="B63" s="605" t="str">
        <f>'Private Paving'!Q44</f>
        <v>3/8" X 12" X 16' SIDING</v>
      </c>
      <c r="C63" s="606">
        <f>'Private Paving'!S44</f>
        <v>0</v>
      </c>
      <c r="D63" s="607" t="str">
        <f>'Private Paving'!T44</f>
        <v>SHEET</v>
      </c>
      <c r="F63" s="605" t="str">
        <f>'Site Walls'!R62</f>
        <v>3/4 " FORMING PLY</v>
      </c>
      <c r="G63" s="606">
        <f>'Site Walls'!T62</f>
        <v>0</v>
      </c>
      <c r="H63" s="607" t="str">
        <f>'Site Walls'!U62</f>
        <v>SHT</v>
      </c>
      <c r="K63" s="604"/>
      <c r="L63" s="604"/>
      <c r="N63" s="605" t="str">
        <f>COLUMNS!R56</f>
        <v xml:space="preserve">2 x 2 x 30 stakes </v>
      </c>
      <c r="O63" s="606">
        <f>C14+G14+C65+G64+C117+C38+G39+G120+C144+C91+G91</f>
        <v>0</v>
      </c>
      <c r="P63" s="552" t="str">
        <f>COLUMNS!U56</f>
        <v>bndls</v>
      </c>
    </row>
    <row r="64" spans="2:16" x14ac:dyDescent="0.25">
      <c r="B64" s="605" t="str">
        <f>'Private Paving'!Q45</f>
        <v>3/4 " FORMING PLY</v>
      </c>
      <c r="C64" s="606">
        <f>'Private Paving'!S45</f>
        <v>0</v>
      </c>
      <c r="D64" s="607" t="str">
        <f>'Private Paving'!T45</f>
        <v>SHEET</v>
      </c>
      <c r="F64" s="605" t="str">
        <f>'Site Walls'!R63</f>
        <v>2 x 2 x 30 STAKES</v>
      </c>
      <c r="G64" s="606">
        <f>'Site Walls'!T63</f>
        <v>0</v>
      </c>
      <c r="H64" s="607" t="str">
        <f>'Site Walls'!U63</f>
        <v>BUNDL</v>
      </c>
      <c r="K64" s="604"/>
      <c r="L64" s="604"/>
      <c r="N64" s="605" t="str">
        <f>COLUMNS!R57</f>
        <v>16p NAILS DUPLEX</v>
      </c>
      <c r="O64" s="606">
        <f>C15+G15+C66+G65+C118+C39+G40+G121+C145+C92+G92</f>
        <v>0</v>
      </c>
      <c r="P64" s="552" t="str">
        <f>COLUMNS!U57</f>
        <v>Box</v>
      </c>
    </row>
    <row r="65" spans="2:16" x14ac:dyDescent="0.25">
      <c r="B65" s="605" t="str">
        <f>'Private Paving'!Q46</f>
        <v>2 x 2 x 30 STAKES</v>
      </c>
      <c r="C65" s="606">
        <f>'Private Paving'!S46</f>
        <v>0</v>
      </c>
      <c r="D65" s="607" t="str">
        <f>'Private Paving'!T46</f>
        <v>BUNDLS</v>
      </c>
      <c r="F65" s="605" t="str">
        <f>'Site Walls'!R64</f>
        <v>16p NAILS DUPLEX</v>
      </c>
      <c r="G65" s="606">
        <f>'Site Walls'!T64</f>
        <v>0</v>
      </c>
      <c r="H65" s="607" t="str">
        <f>'Site Walls'!U64</f>
        <v>BOX</v>
      </c>
      <c r="K65" s="604"/>
      <c r="L65" s="604"/>
      <c r="N65" s="605" t="str">
        <f>COLUMNS!R58</f>
        <v>8p DUPLEX</v>
      </c>
      <c r="O65" s="606">
        <f>C16+G15+C67+G66+C119+C40+G41+G122+C146+C93+G93</f>
        <v>0</v>
      </c>
      <c r="P65" s="552" t="str">
        <f>COLUMNS!U58</f>
        <v>Box</v>
      </c>
    </row>
    <row r="66" spans="2:16" x14ac:dyDescent="0.25">
      <c r="B66" s="605" t="str">
        <f>'Private Paving'!Q47</f>
        <v>16p NAILS DUPLEX</v>
      </c>
      <c r="C66" s="606">
        <f>'Private Paving'!S47</f>
        <v>0</v>
      </c>
      <c r="D66" s="607" t="str">
        <f>'Private Paving'!T47</f>
        <v>BOX</v>
      </c>
      <c r="F66" s="605" t="str">
        <f>'Site Walls'!R65</f>
        <v>8p DUPLEX</v>
      </c>
      <c r="G66" s="606">
        <f>'Site Walls'!T65</f>
        <v>0</v>
      </c>
      <c r="H66" s="607" t="str">
        <f>'Site Walls'!U65</f>
        <v>BOX</v>
      </c>
      <c r="N66" s="605" t="str">
        <f>COLUMNS!R59</f>
        <v>6p NAILS</v>
      </c>
      <c r="O66" s="606">
        <f>C17+C68+C120+C41+G42+G123+C147+G67+C94+G94</f>
        <v>0</v>
      </c>
      <c r="P66" s="552" t="str">
        <f>COLUMNS!U59</f>
        <v>Box</v>
      </c>
    </row>
    <row r="67" spans="2:16" x14ac:dyDescent="0.25">
      <c r="B67" s="605" t="str">
        <f>'Private Paving'!Q48</f>
        <v>8p DUPLEX</v>
      </c>
      <c r="C67" s="606">
        <f>'Private Paving'!S48</f>
        <v>0</v>
      </c>
      <c r="D67" s="607" t="str">
        <f>'Private Paving'!T48</f>
        <v>BOX</v>
      </c>
      <c r="F67" s="605" t="str">
        <f>'Site Walls'!R66</f>
        <v>6p NAILS</v>
      </c>
      <c r="G67" s="606">
        <f>'Site Walls'!T66</f>
        <v>0</v>
      </c>
      <c r="H67" s="607" t="str">
        <f>'Site Walls'!U66</f>
        <v>BOX</v>
      </c>
      <c r="N67" s="605" t="str">
        <f>COLUMNS!R60</f>
        <v>ANCHOR BOLTS</v>
      </c>
      <c r="O67" s="606">
        <f>C18+G17+C69+G68+C121+C42+G43+G124+C148+C95+G95</f>
        <v>0</v>
      </c>
      <c r="P67" s="552" t="str">
        <f>COLUMNS!U60</f>
        <v>Box</v>
      </c>
    </row>
    <row r="68" spans="2:16" x14ac:dyDescent="0.25">
      <c r="B68" s="605" t="str">
        <f>'Private Paving'!Q49</f>
        <v>6p NAILS</v>
      </c>
      <c r="C68" s="606">
        <f>'Private Paving'!S49</f>
        <v>0</v>
      </c>
      <c r="D68" s="607" t="str">
        <f>'Private Paving'!T49</f>
        <v>BOX</v>
      </c>
      <c r="F68" s="605" t="str">
        <f>'Site Walls'!R67</f>
        <v>ANCHOR BOLTS</v>
      </c>
      <c r="G68" s="606">
        <f>'Site Walls'!T67</f>
        <v>0</v>
      </c>
      <c r="H68" s="607" t="str">
        <f>'Site Walls'!U67</f>
        <v>BOX</v>
      </c>
      <c r="N68" s="605" t="str">
        <f>COLUMNS!R61</f>
        <v>KEYWAY</v>
      </c>
      <c r="O68" s="606">
        <f>C19+G19+C70+G69+C122+C43+G44+G125+C149+C96+G96</f>
        <v>0</v>
      </c>
      <c r="P68" s="552" t="str">
        <f>COLUMNS!U61</f>
        <v>Ln ft</v>
      </c>
    </row>
    <row r="69" spans="2:16" x14ac:dyDescent="0.25">
      <c r="B69" s="605" t="str">
        <f>'Private Paving'!Q50</f>
        <v>ANCHOR BOLTS</v>
      </c>
      <c r="C69" s="606">
        <f>'Private Paving'!S50</f>
        <v>0</v>
      </c>
      <c r="D69" s="607" t="str">
        <f>'Private Paving'!T50</f>
        <v>BOX</v>
      </c>
      <c r="F69" s="605" t="str">
        <f>'Site Walls'!R68</f>
        <v>KEYWAY</v>
      </c>
      <c r="G69" s="606">
        <f>'Site Walls'!T68</f>
        <v>0</v>
      </c>
      <c r="H69" s="607" t="str">
        <f>'Site Walls'!U68</f>
        <v>LNFT</v>
      </c>
      <c r="N69" s="605" t="str">
        <f>COLUMNS!R62</f>
        <v>CHAMFER</v>
      </c>
      <c r="O69" s="606">
        <f>C20+G19+C71+G70+C123+C44+G45+G126+C150+C97+G97</f>
        <v>0</v>
      </c>
      <c r="P69" s="552" t="str">
        <f>COLUMNS!U62</f>
        <v>Ln ft</v>
      </c>
    </row>
    <row r="70" spans="2:16" x14ac:dyDescent="0.25">
      <c r="B70" s="605" t="str">
        <f>'Private Paving'!Q51</f>
        <v>KEYWAY</v>
      </c>
      <c r="C70" s="606">
        <f>'Private Paving'!S51</f>
        <v>0</v>
      </c>
      <c r="D70" s="607" t="str">
        <f>'Private Paving'!T51</f>
        <v>LN FT</v>
      </c>
      <c r="F70" s="605" t="str">
        <f>'Site Walls'!R69</f>
        <v>CHAMFER</v>
      </c>
      <c r="G70" s="606">
        <f>'Site Walls'!T69</f>
        <v>0</v>
      </c>
      <c r="H70" s="607" t="str">
        <f>'Site Walls'!U69</f>
        <v>LNFT</v>
      </c>
      <c r="N70" s="605" t="str">
        <f>COLUMNS!R63</f>
        <v>WALL TIES</v>
      </c>
      <c r="O70" s="606">
        <f>C45+G71+C124+C98</f>
        <v>0</v>
      </c>
      <c r="P70" s="552" t="str">
        <f>COLUMNS!U63</f>
        <v>Box</v>
      </c>
    </row>
    <row r="71" spans="2:16" x14ac:dyDescent="0.25">
      <c r="B71" s="605" t="str">
        <f>'Private Paving'!Q52</f>
        <v>CHAMFER</v>
      </c>
      <c r="C71" s="606">
        <f>'Private Paving'!S52</f>
        <v>0</v>
      </c>
      <c r="D71" s="607" t="str">
        <f>'Private Paving'!T52</f>
        <v>LN FT</v>
      </c>
      <c r="F71" s="605" t="str">
        <f>'Site Walls'!R70</f>
        <v>WALL TIES</v>
      </c>
      <c r="G71" s="606">
        <f>'Site Walls'!T70</f>
        <v>0</v>
      </c>
      <c r="H71" s="607" t="str">
        <f>'Site Walls'!U70</f>
        <v>50/BOX</v>
      </c>
      <c r="N71" s="605" t="str">
        <f>'CIP EL. DECK'!R64</f>
        <v>3/8" X 12" X 16' SIDING</v>
      </c>
      <c r="O71" s="606">
        <f>C12+G12+C63+G37+G118+C142</f>
        <v>0</v>
      </c>
      <c r="P71" s="552">
        <f>COLUMNS!U64</f>
        <v>0</v>
      </c>
    </row>
    <row r="72" spans="2:16" x14ac:dyDescent="0.25">
      <c r="B72" s="605" t="str">
        <f>'Private Paving'!Q53</f>
        <v>1 X 6 RED WOOD</v>
      </c>
      <c r="C72" s="606">
        <f>'Private Paving'!S53</f>
        <v>0</v>
      </c>
      <c r="D72" s="607" t="str">
        <f>'Private Paving'!T53</f>
        <v>LN FT</v>
      </c>
      <c r="F72" s="605" t="str">
        <f>'Site Walls'!R71</f>
        <v>WATER STOP</v>
      </c>
      <c r="G72" s="606">
        <f>'Site Walls'!T71</f>
        <v>0</v>
      </c>
      <c r="H72" s="607" t="str">
        <f>'Site Walls'!U71</f>
        <v>LN FT</v>
      </c>
      <c r="N72" s="53" t="s">
        <v>1034</v>
      </c>
      <c r="O72" s="606">
        <f>G24+C125+G49+C46+G130+C99</f>
        <v>0</v>
      </c>
      <c r="P72" s="552" t="str">
        <f>COLUMNS!U65</f>
        <v>Rolls</v>
      </c>
    </row>
    <row r="73" spans="2:16" x14ac:dyDescent="0.25">
      <c r="B73" s="605" t="str">
        <f>'Private Paving'!Q54</f>
        <v>1 X 8 RED WOOD</v>
      </c>
      <c r="C73" s="606">
        <f>'Private Paving'!S54</f>
        <v>0</v>
      </c>
      <c r="D73" s="607" t="str">
        <f>'Private Paving'!T54</f>
        <v>LN FT</v>
      </c>
      <c r="F73" s="605" t="str">
        <f>'Site Walls'!R72</f>
        <v>POLY 6 mill</v>
      </c>
      <c r="G73" s="606">
        <f>'Site Walls'!T72</f>
        <v>0</v>
      </c>
      <c r="H73" s="607" t="str">
        <f>'Site Walls'!U72</f>
        <v>ROLLS</v>
      </c>
      <c r="N73" s="605" t="str">
        <f>COLUMNS!R71</f>
        <v>CAMLOCKS</v>
      </c>
      <c r="O73" s="606">
        <f>G75+C126+C47</f>
        <v>0</v>
      </c>
      <c r="P73" s="552" t="str">
        <f>COLUMNS!U73</f>
        <v>BAGS</v>
      </c>
    </row>
    <row r="74" spans="2:16" x14ac:dyDescent="0.25">
      <c r="B74" s="605" t="str">
        <f>'Private Paving'!Q55</f>
        <v>1 X 1 TACK STRIPS</v>
      </c>
      <c r="C74" s="606">
        <f>'Private Paving'!S55</f>
        <v>0</v>
      </c>
      <c r="D74" s="607" t="str">
        <f>'Private Paving'!T55</f>
        <v>LN FT</v>
      </c>
      <c r="F74" s="605" t="str">
        <f>'Site Walls'!R73</f>
        <v>FRENCH DRAIN</v>
      </c>
      <c r="G74" s="606">
        <f>'Site Walls'!T73</f>
        <v>0</v>
      </c>
      <c r="H74" s="607">
        <f>'Site Walls'!U73</f>
        <v>0</v>
      </c>
      <c r="N74" s="605" t="str">
        <f>COLUMNS!R72</f>
        <v>TURNBUCKLES</v>
      </c>
      <c r="O74" s="606">
        <f>G76+C127+C48</f>
        <v>0</v>
      </c>
      <c r="P74" s="552">
        <f>COLUMNS!U67</f>
        <v>0</v>
      </c>
    </row>
    <row r="75" spans="2:16" ht="12" customHeight="1" x14ac:dyDescent="0.25">
      <c r="B75" s="605" t="str">
        <f>'Private Paving'!Q57</f>
        <v>TEXTURE COMB</v>
      </c>
      <c r="C75" s="606">
        <f>'Private Paving'!S57</f>
        <v>0</v>
      </c>
      <c r="D75" s="607" t="str">
        <f>'Private Paving'!T57</f>
        <v>UNITS</v>
      </c>
      <c r="F75" s="605" t="str">
        <f>'Site Walls'!R78</f>
        <v>CAMLOCKS</v>
      </c>
      <c r="G75" s="606">
        <f>'Site Walls'!T78</f>
        <v>0</v>
      </c>
      <c r="H75" s="607" t="str">
        <f>'Site Walls'!U78</f>
        <v>EACH</v>
      </c>
      <c r="N75" s="605" t="str">
        <f>COLUMNS!R73</f>
        <v>PATCH MATERIAL</v>
      </c>
      <c r="O75" s="606">
        <f>G77+C128+C49+G50</f>
        <v>0</v>
      </c>
      <c r="P75" s="552" t="str">
        <f>COLUMNS!U76</f>
        <v>BAGS</v>
      </c>
    </row>
    <row r="76" spans="2:16" ht="12" customHeight="1" x14ac:dyDescent="0.25">
      <c r="B76" s="605" t="str">
        <f>'Private Paving'!Q66</f>
        <v>3-1/4 Paving Chairs</v>
      </c>
      <c r="C76" s="606">
        <f>'Private Paving'!S66</f>
        <v>0</v>
      </c>
      <c r="D76" s="607" t="str">
        <f>'Private Paving'!T66</f>
        <v>BAGS</v>
      </c>
      <c r="F76" s="605" t="str">
        <f>'Site Walls'!R79</f>
        <v>TURNBUCKLES</v>
      </c>
      <c r="G76" s="606">
        <f>'Site Walls'!T79</f>
        <v>0</v>
      </c>
      <c r="H76" s="607" t="str">
        <f>'Site Walls'!U79</f>
        <v>EACH</v>
      </c>
      <c r="N76" s="605" t="str">
        <f>COLUMNS!R76</f>
        <v>SLAB CHAIRS</v>
      </c>
      <c r="O76" s="606">
        <f>C50+G25+G51+G78+C103+G105+C129+G131</f>
        <v>0</v>
      </c>
      <c r="P76" s="552">
        <f>COLUMNS!U69</f>
        <v>0</v>
      </c>
    </row>
    <row r="77" spans="2:16" ht="12" customHeight="1" x14ac:dyDescent="0.25">
      <c r="B77" s="605" t="str">
        <f>'Private Paving'!Q67</f>
        <v>TIE WIRE</v>
      </c>
      <c r="C77" s="606">
        <f>'Private Paving'!S67</f>
        <v>0</v>
      </c>
      <c r="D77" s="607" t="str">
        <f>'Private Paving'!T67</f>
        <v>ROLL</v>
      </c>
      <c r="F77" s="605" t="str">
        <f>'Site Walls'!R80</f>
        <v>Patch Material</v>
      </c>
      <c r="G77" s="606">
        <f>'Site Walls'!T80</f>
        <v>0</v>
      </c>
      <c r="H77" s="607" t="str">
        <f>'Site Walls'!U80</f>
        <v>BAGS</v>
      </c>
      <c r="N77" s="605" t="str">
        <f>COLUMNS!R77</f>
        <v>POLSTERS</v>
      </c>
      <c r="O77" s="606">
        <f>C51+G79+C104+G106+C130</f>
        <v>0</v>
      </c>
      <c r="P77" s="552">
        <f>COLUMNS!U70</f>
        <v>0</v>
      </c>
    </row>
    <row r="78" spans="2:16" x14ac:dyDescent="0.25">
      <c r="B78" s="605" t="str">
        <f>'Private Paving'!Q68</f>
        <v>ACCESSORIES</v>
      </c>
      <c r="C78" s="606">
        <f>'Private Paving'!S68</f>
        <v>0</v>
      </c>
      <c r="D78" s="607" t="str">
        <f>'Private Paving'!T68</f>
        <v>LBS</v>
      </c>
      <c r="F78" s="605" t="str">
        <f>'Site Walls'!R85</f>
        <v>SLAB CHAIRS</v>
      </c>
      <c r="G78" s="606">
        <f>'Site Walls'!T85</f>
        <v>0</v>
      </c>
      <c r="H78" s="607" t="str">
        <f>'Site Walls'!U85</f>
        <v>BAGS</v>
      </c>
      <c r="N78" s="605" t="str">
        <f>COLUMNS!R78</f>
        <v>ACCESSORIES</v>
      </c>
      <c r="O78" s="1629">
        <f>C26+G27+C52+G53+C78+G80+C105+G107+C131+G133+C157</f>
        <v>0</v>
      </c>
      <c r="P78" s="552">
        <f>COLUMNS!U71</f>
        <v>0</v>
      </c>
    </row>
    <row r="79" spans="2:16" x14ac:dyDescent="0.25">
      <c r="B79" s="605" t="str">
        <f>'Private Paving'!Q69</f>
        <v>DOWEL BASKETS</v>
      </c>
      <c r="C79" s="606">
        <f>'Private Paving'!S69</f>
        <v>0</v>
      </c>
      <c r="D79" s="607" t="str">
        <f>'Private Paving'!T69</f>
        <v>LN FT</v>
      </c>
      <c r="F79" s="605" t="str">
        <f>'Site Walls'!R86</f>
        <v>POLSTERS</v>
      </c>
      <c r="G79" s="606">
        <f>'Site Walls'!T86</f>
        <v>0</v>
      </c>
      <c r="H79" s="607" t="str">
        <f>'Site Walls'!U86</f>
        <v>FT</v>
      </c>
      <c r="N79" s="605" t="s">
        <v>1031</v>
      </c>
      <c r="O79" s="606">
        <f>C27+G28+C80+G81+C132+C53+G134+G53+C158+C106+G108</f>
        <v>0</v>
      </c>
      <c r="P79" s="552" t="s">
        <v>1032</v>
      </c>
    </row>
    <row r="80" spans="2:16" x14ac:dyDescent="0.25">
      <c r="B80" s="605" t="str">
        <f>'Private Paving'!Q74</f>
        <v>SLAB CURE</v>
      </c>
      <c r="C80" s="606">
        <f>'Private Paving'!S74</f>
        <v>0</v>
      </c>
      <c r="D80" s="607" t="str">
        <f>'Private Paving'!T74</f>
        <v>DRMS</v>
      </c>
      <c r="F80" s="605" t="str">
        <f>'Site Walls'!R87</f>
        <v>ACCESSORIES</v>
      </c>
      <c r="G80" s="606">
        <f>'Site Walls'!T87</f>
        <v>0</v>
      </c>
      <c r="H80" s="607" t="str">
        <f>'Site Walls'!U87</f>
        <v>LBS</v>
      </c>
      <c r="N80" t="str">
        <f>F12</f>
        <v>3/8" X 12" X 16' SIDING</v>
      </c>
      <c r="O80" s="604">
        <f>G12+C63+G37+G118+C142</f>
        <v>0</v>
      </c>
      <c r="P80" s="7" t="s">
        <v>1038</v>
      </c>
    </row>
    <row r="81" spans="2:16" x14ac:dyDescent="0.25">
      <c r="B81" s="605" t="str">
        <f>'Private Paving'!Q75</f>
        <v>FORM RELEASE</v>
      </c>
      <c r="C81" s="606">
        <f>'Private Paving'!S75</f>
        <v>0</v>
      </c>
      <c r="D81" s="607" t="str">
        <f>'Private Paving'!T75</f>
        <v>DRMS</v>
      </c>
      <c r="F81" s="605" t="str">
        <f>'Site Walls'!R92</f>
        <v>SLAB CURE</v>
      </c>
      <c r="G81" s="606">
        <f>'Site Walls'!T92</f>
        <v>0</v>
      </c>
      <c r="H81" s="607" t="str">
        <f>'Site Walls'!U92</f>
        <v>DRUM</v>
      </c>
      <c r="N81" t="str">
        <f>F21</f>
        <v>1 X 6 RED WOOD</v>
      </c>
      <c r="O81" s="604">
        <f>G21+C72+G46+G127+C151</f>
        <v>0</v>
      </c>
      <c r="P81" t="str">
        <f>H21</f>
        <v>LN FT</v>
      </c>
    </row>
    <row r="82" spans="2:16" x14ac:dyDescent="0.25">
      <c r="B82" s="605" t="str">
        <f>'Private Paving'!Q78</f>
        <v>3/4" Smooth Dowels</v>
      </c>
      <c r="C82" s="606">
        <f>'Private Paving'!S78</f>
        <v>0</v>
      </c>
      <c r="D82" s="607" t="str">
        <f>'Private Paving'!T78</f>
        <v>PCS</v>
      </c>
      <c r="F82" s="605" t="str">
        <f>'Site Walls'!R93</f>
        <v>FORM RELEASE</v>
      </c>
      <c r="G82" s="606">
        <f>'Site Walls'!T93</f>
        <v>0</v>
      </c>
      <c r="H82" s="607" t="str">
        <f>'Site Walls'!U93</f>
        <v>DRUM</v>
      </c>
      <c r="N82" t="str">
        <f>F22</f>
        <v>1 X 8 RED WOOD</v>
      </c>
      <c r="O82" s="604">
        <f>G22+C73+G47+G128+C152</f>
        <v>0</v>
      </c>
      <c r="P82" t="str">
        <f>H22</f>
        <v>LN FT</v>
      </c>
    </row>
    <row r="83" spans="2:16" x14ac:dyDescent="0.25">
      <c r="F83" s="605" t="str">
        <f>'Site Walls'!R96</f>
        <v>1/2" Smooth Dowels</v>
      </c>
      <c r="G83" s="606">
        <f>'Site Walls'!T96</f>
        <v>0</v>
      </c>
      <c r="H83" s="607" t="str">
        <f>'Site Walls'!U96</f>
        <v>PCS</v>
      </c>
      <c r="N83" t="str">
        <f>F23</f>
        <v>TACK STRIPS</v>
      </c>
      <c r="O83" s="604">
        <f>G23+C74+G48+G129+C153</f>
        <v>0</v>
      </c>
      <c r="P83" t="str">
        <f>H23</f>
        <v>LN FT</v>
      </c>
    </row>
    <row r="85" spans="2:16" ht="15.5" x14ac:dyDescent="0.35">
      <c r="B85" s="77" t="s">
        <v>1071</v>
      </c>
      <c r="F85" s="77" t="s">
        <v>1070</v>
      </c>
      <c r="K85" s="604"/>
      <c r="L85" s="604"/>
      <c r="O85" s="604"/>
    </row>
    <row r="86" spans="2:16" x14ac:dyDescent="0.25">
      <c r="B86" s="605" t="str">
        <f>'Gd Beams or Cont Footings'!R50</f>
        <v>2 X 4  X 16'</v>
      </c>
      <c r="C86" s="606">
        <f>('Gd Beams or Cont Footings'!T50)/16</f>
        <v>0</v>
      </c>
      <c r="D86" s="613" t="s">
        <v>18</v>
      </c>
      <c r="F86" s="605" t="str">
        <f>Footings!R52</f>
        <v>2 X 4  X 16'</v>
      </c>
      <c r="G86" s="606">
        <f>(Footings!T52)/16</f>
        <v>0</v>
      </c>
      <c r="H86" s="613" t="s">
        <v>18</v>
      </c>
    </row>
    <row r="87" spans="2:16" x14ac:dyDescent="0.25">
      <c r="B87" s="605" t="str">
        <f>'Gd Beams or Cont Footings'!R51</f>
        <v>2 X 6 X 16'</v>
      </c>
      <c r="C87" s="606">
        <f>('Gd Beams or Cont Footings'!T51)/16</f>
        <v>0</v>
      </c>
      <c r="D87" s="613" t="s">
        <v>18</v>
      </c>
      <c r="F87" s="605" t="str">
        <f>Footings!R53</f>
        <v>2 X 6 X 16'</v>
      </c>
      <c r="G87" s="606">
        <f>(Footings!T53)/16</f>
        <v>0</v>
      </c>
      <c r="H87" s="613" t="s">
        <v>18</v>
      </c>
    </row>
    <row r="88" spans="2:16" x14ac:dyDescent="0.25">
      <c r="B88" s="605" t="str">
        <f>'Gd Beams or Cont Footings'!R52</f>
        <v>2 X 8 X 16'</v>
      </c>
      <c r="C88" s="606">
        <f>('Gd Beams or Cont Footings'!T52)/16</f>
        <v>0</v>
      </c>
      <c r="D88" s="613" t="s">
        <v>18</v>
      </c>
      <c r="F88" s="605" t="str">
        <f>Footings!R54</f>
        <v>2 X 8 X 16'</v>
      </c>
      <c r="G88" s="606">
        <f>(Footings!T54)/16</f>
        <v>0</v>
      </c>
      <c r="H88" s="613" t="s">
        <v>18</v>
      </c>
    </row>
    <row r="89" spans="2:16" x14ac:dyDescent="0.25">
      <c r="B89" s="605" t="str">
        <f>'Gd Beams or Cont Footings'!R53</f>
        <v>2 X 10 X 16'</v>
      </c>
      <c r="C89" s="606">
        <f>('Gd Beams or Cont Footings'!T53)/16</f>
        <v>0</v>
      </c>
      <c r="D89" s="613" t="s">
        <v>18</v>
      </c>
      <c r="F89" s="605" t="str">
        <f>Footings!R55</f>
        <v>2 X 10 X 16'</v>
      </c>
      <c r="G89" s="606">
        <f>(Footings!T55)/16</f>
        <v>0</v>
      </c>
      <c r="H89" s="613" t="s">
        <v>18</v>
      </c>
      <c r="K89" s="604"/>
      <c r="L89" s="604"/>
    </row>
    <row r="90" spans="2:16" x14ac:dyDescent="0.25">
      <c r="B90" s="605" t="str">
        <f>'Gd Beams or Cont Footings'!R54</f>
        <v>3/4 " FORMING PLY</v>
      </c>
      <c r="C90" s="606">
        <f>'Gd Beams or Cont Footings'!T54</f>
        <v>0</v>
      </c>
      <c r="D90" s="607" t="str">
        <f>'Gd Beams or Cont Footings'!U54</f>
        <v>SHT</v>
      </c>
      <c r="F90" s="605" t="str">
        <f>Footings!R56</f>
        <v>3/4 " FORMING PLY</v>
      </c>
      <c r="G90" s="606">
        <f>Footings!T56</f>
        <v>0</v>
      </c>
      <c r="H90" s="607" t="str">
        <f>Footings!U56</f>
        <v>SHT</v>
      </c>
      <c r="K90" s="604"/>
      <c r="L90" s="604"/>
    </row>
    <row r="91" spans="2:16" x14ac:dyDescent="0.25">
      <c r="B91" s="605" t="str">
        <f>'Gd Beams or Cont Footings'!R55</f>
        <v xml:space="preserve">2 x 2 x 30 stakes </v>
      </c>
      <c r="C91" s="606">
        <f>'Gd Beams or Cont Footings'!T55</f>
        <v>0</v>
      </c>
      <c r="D91" s="607" t="str">
        <f>'Gd Beams or Cont Footings'!U55</f>
        <v>bndls</v>
      </c>
      <c r="F91" s="605" t="str">
        <f>Footings!R57</f>
        <v>2 x 2 x 30 STAKES</v>
      </c>
      <c r="G91" s="606">
        <f>Footings!T57</f>
        <v>0</v>
      </c>
      <c r="H91" s="607" t="str">
        <f>Footings!U57</f>
        <v>BUNDL</v>
      </c>
      <c r="K91" s="604"/>
      <c r="L91" s="604"/>
    </row>
    <row r="92" spans="2:16" x14ac:dyDescent="0.25">
      <c r="B92" s="605" t="str">
        <f>'Gd Beams or Cont Footings'!R56</f>
        <v>16p NAILS DUPLEX</v>
      </c>
      <c r="C92" s="606">
        <f>'Gd Beams or Cont Footings'!T56</f>
        <v>0</v>
      </c>
      <c r="D92" s="607" t="str">
        <f>'Gd Beams or Cont Footings'!U56</f>
        <v>Box</v>
      </c>
      <c r="F92" s="605" t="str">
        <f>Footings!R58</f>
        <v>16p NAILS DUPLEX</v>
      </c>
      <c r="G92" s="606">
        <f>Footings!T58</f>
        <v>0</v>
      </c>
      <c r="H92" s="607" t="str">
        <f>Footings!U58</f>
        <v>BOX</v>
      </c>
      <c r="K92" s="604"/>
      <c r="L92" s="604"/>
    </row>
    <row r="93" spans="2:16" x14ac:dyDescent="0.25">
      <c r="B93" s="605" t="str">
        <f>'Gd Beams or Cont Footings'!R57</f>
        <v>8p DUPLEX</v>
      </c>
      <c r="C93" s="606">
        <f>'Gd Beams or Cont Footings'!T57</f>
        <v>0</v>
      </c>
      <c r="D93" s="607" t="str">
        <f>'Gd Beams or Cont Footings'!U57</f>
        <v>Box</v>
      </c>
      <c r="F93" s="605" t="str">
        <f>Footings!R59</f>
        <v>8p DUPLEX</v>
      </c>
      <c r="G93" s="606">
        <f>Footings!T59</f>
        <v>0</v>
      </c>
      <c r="H93" s="607" t="str">
        <f>Footings!U59</f>
        <v>BOX</v>
      </c>
    </row>
    <row r="94" spans="2:16" x14ac:dyDescent="0.25">
      <c r="B94" s="605" t="str">
        <f>'Gd Beams or Cont Footings'!R58</f>
        <v>6p NAILS</v>
      </c>
      <c r="C94" s="606">
        <f>'Gd Beams or Cont Footings'!T58</f>
        <v>0</v>
      </c>
      <c r="D94" s="607" t="str">
        <f>'Gd Beams or Cont Footings'!U58</f>
        <v>Box</v>
      </c>
      <c r="F94" s="605" t="str">
        <f>Footings!R60</f>
        <v>6p NAILS</v>
      </c>
      <c r="G94" s="606">
        <f>Footings!T60</f>
        <v>0</v>
      </c>
      <c r="H94" s="607" t="str">
        <f>Footings!U60</f>
        <v>BOX</v>
      </c>
    </row>
    <row r="95" spans="2:16" x14ac:dyDescent="0.25">
      <c r="B95" s="605" t="str">
        <f>'Gd Beams or Cont Footings'!R59</f>
        <v>ANCHOR BOLTS</v>
      </c>
      <c r="C95" s="606">
        <f>'Gd Beams or Cont Footings'!T59</f>
        <v>0</v>
      </c>
      <c r="D95" s="607" t="str">
        <f>'Gd Beams or Cont Footings'!U59</f>
        <v>Box</v>
      </c>
      <c r="F95" s="605" t="str">
        <f>Footings!R61</f>
        <v>ANCHOR BOLTS</v>
      </c>
      <c r="G95" s="606">
        <f>Footings!T61</f>
        <v>0</v>
      </c>
      <c r="H95" s="607" t="str">
        <f>Footings!U61</f>
        <v>BOX</v>
      </c>
    </row>
    <row r="96" spans="2:16" x14ac:dyDescent="0.25">
      <c r="B96" s="605" t="str">
        <f>'Gd Beams or Cont Footings'!R60</f>
        <v>KEYWAY</v>
      </c>
      <c r="C96" s="606">
        <f>'Gd Beams or Cont Footings'!T60</f>
        <v>0</v>
      </c>
      <c r="D96" s="607" t="str">
        <f>'Gd Beams or Cont Footings'!U60</f>
        <v>Ln ft</v>
      </c>
      <c r="F96" s="605" t="str">
        <f>Footings!R62</f>
        <v>KEYWAY</v>
      </c>
      <c r="G96" s="606">
        <f>Footings!T62</f>
        <v>0</v>
      </c>
      <c r="H96" s="607" t="str">
        <f>Footings!U62</f>
        <v>LNFT</v>
      </c>
    </row>
    <row r="97" spans="2:8" x14ac:dyDescent="0.25">
      <c r="B97" s="605" t="str">
        <f>'Gd Beams or Cont Footings'!R61</f>
        <v>CHAMFER</v>
      </c>
      <c r="C97" s="606">
        <f>'Gd Beams or Cont Footings'!T61</f>
        <v>0</v>
      </c>
      <c r="D97" s="607" t="str">
        <f>'Gd Beams or Cont Footings'!U61</f>
        <v>Ln ft</v>
      </c>
      <c r="F97" s="605" t="str">
        <f>Footings!R63</f>
        <v>CHAMFER</v>
      </c>
      <c r="G97" s="606">
        <f>Footings!T63</f>
        <v>0</v>
      </c>
      <c r="H97" s="607" t="str">
        <f>Footings!U63</f>
        <v>LNFT</v>
      </c>
    </row>
    <row r="98" spans="2:8" x14ac:dyDescent="0.25">
      <c r="B98" s="605" t="str">
        <f>'Gd Beams or Cont Footings'!R62</f>
        <v>WALL TIES</v>
      </c>
      <c r="C98" s="606">
        <f>'Gd Beams or Cont Footings'!T62</f>
        <v>0</v>
      </c>
      <c r="D98" s="607" t="str">
        <f>'Gd Beams or Cont Footings'!U62</f>
        <v>Box</v>
      </c>
      <c r="F98" s="605" t="str">
        <f>Footings!R64</f>
        <v>WALL TIES</v>
      </c>
      <c r="G98" s="606">
        <f>Footings!T64</f>
        <v>0</v>
      </c>
      <c r="H98" s="607" t="str">
        <f>Footings!U64</f>
        <v>50/BOX</v>
      </c>
    </row>
    <row r="99" spans="2:8" x14ac:dyDescent="0.25">
      <c r="B99" s="605" t="str">
        <f>'Gd Beams or Cont Footings'!R64</f>
        <v>POLY 6 mill</v>
      </c>
      <c r="C99" s="606">
        <f>'Gd Beams or Cont Footings'!T64</f>
        <v>0</v>
      </c>
      <c r="D99" s="607" t="str">
        <f>'Gd Beams or Cont Footings'!U64</f>
        <v>Rolls</v>
      </c>
      <c r="F99" s="605" t="str">
        <f>Footings!R65</f>
        <v>WATER STOP</v>
      </c>
      <c r="G99" s="606">
        <f>Footings!T65</f>
        <v>0</v>
      </c>
      <c r="H99" s="607" t="str">
        <f>Footings!U65</f>
        <v>LN FT</v>
      </c>
    </row>
    <row r="100" spans="2:8" x14ac:dyDescent="0.25">
      <c r="B100" s="605" t="str">
        <f>'Gd Beams or Cont Footings'!R70</f>
        <v>CAMLOCKS</v>
      </c>
      <c r="C100" s="606">
        <f>'Gd Beams or Cont Footings'!T70</f>
        <v>0</v>
      </c>
      <c r="D100" s="607">
        <f>'Gd Beams or Cont Footings'!U70</f>
        <v>0</v>
      </c>
      <c r="F100" s="605" t="str">
        <f>Footings!R66</f>
        <v>POLY 6 mill</v>
      </c>
      <c r="G100" s="606">
        <f>Footings!T66</f>
        <v>0</v>
      </c>
      <c r="H100" s="607" t="str">
        <f>Footings!U66</f>
        <v>ROLLS</v>
      </c>
    </row>
    <row r="101" spans="2:8" x14ac:dyDescent="0.25">
      <c r="B101" s="605" t="str">
        <f>'Gd Beams or Cont Footings'!R71</f>
        <v>TURNBUCKLES</v>
      </c>
      <c r="C101" s="606">
        <f>'Gd Beams or Cont Footings'!T71</f>
        <v>0</v>
      </c>
      <c r="D101" s="607">
        <f>'Gd Beams or Cont Footings'!U71</f>
        <v>0</v>
      </c>
      <c r="F101" s="605" t="str">
        <f>Footings!R67</f>
        <v>FRENCH DRAIN</v>
      </c>
      <c r="G101" s="606">
        <f>Footings!T67</f>
        <v>0</v>
      </c>
      <c r="H101" s="607">
        <f>Footings!U67</f>
        <v>0</v>
      </c>
    </row>
    <row r="102" spans="2:8" ht="12" customHeight="1" x14ac:dyDescent="0.25">
      <c r="B102" s="605" t="str">
        <f>'Gd Beams or Cont Footings'!R72</f>
        <v>PATCH MATERIAL</v>
      </c>
      <c r="C102" s="606">
        <f>'Gd Beams or Cont Footings'!T72</f>
        <v>0</v>
      </c>
      <c r="D102" s="607" t="str">
        <f>'Gd Beams or Cont Footings'!U72</f>
        <v>BAGS</v>
      </c>
      <c r="F102" s="605" t="str">
        <f>Footings!R72</f>
        <v>CAMLOCKS</v>
      </c>
      <c r="G102" s="606">
        <f>Footings!T72</f>
        <v>0</v>
      </c>
      <c r="H102" s="607" t="str">
        <f>Footings!U72</f>
        <v>EACH</v>
      </c>
    </row>
    <row r="103" spans="2:8" ht="12" customHeight="1" x14ac:dyDescent="0.25">
      <c r="B103" s="605" t="str">
        <f>'Gd Beams or Cont Footings'!R75</f>
        <v>SLAB CHAIRS</v>
      </c>
      <c r="C103" s="606">
        <f>'Gd Beams or Cont Footings'!T75</f>
        <v>0</v>
      </c>
      <c r="D103" s="607" t="str">
        <f>'Gd Beams or Cont Footings'!U75</f>
        <v>BAGS</v>
      </c>
      <c r="F103" s="605" t="str">
        <f>Footings!R73</f>
        <v>TURNBUCKLES</v>
      </c>
      <c r="G103" s="606">
        <f>Footings!T73</f>
        <v>0</v>
      </c>
      <c r="H103" s="607" t="str">
        <f>Footings!U73</f>
        <v>EACH</v>
      </c>
    </row>
    <row r="104" spans="2:8" ht="12" customHeight="1" x14ac:dyDescent="0.25">
      <c r="B104" s="605" t="str">
        <f>'Gd Beams or Cont Footings'!R76</f>
        <v>POLSTERS</v>
      </c>
      <c r="C104" s="606">
        <f>'Gd Beams or Cont Footings'!T76</f>
        <v>0</v>
      </c>
      <c r="D104" s="607">
        <f>'Gd Beams or Cont Footings'!U76</f>
        <v>0</v>
      </c>
      <c r="F104" s="605" t="str">
        <f>Footings!R74</f>
        <v>Patch Material</v>
      </c>
      <c r="G104" s="606">
        <f>Footings!T74</f>
        <v>0</v>
      </c>
      <c r="H104" s="607" t="str">
        <f>Footings!U74</f>
        <v>BAGS</v>
      </c>
    </row>
    <row r="105" spans="2:8" x14ac:dyDescent="0.25">
      <c r="B105" s="605" t="str">
        <f>'Gd Beams or Cont Footings'!R77</f>
        <v>ACCESSORIES</v>
      </c>
      <c r="C105" s="606">
        <f>'Gd Beams or Cont Footings'!T77</f>
        <v>0</v>
      </c>
      <c r="D105" s="607" t="str">
        <f>'Gd Beams or Cont Footings'!U77</f>
        <v>LBS</v>
      </c>
      <c r="F105" s="605" t="str">
        <f>Footings!R79</f>
        <v>SLAB CHAIRS</v>
      </c>
      <c r="G105" s="606">
        <f>Footings!T79</f>
        <v>0</v>
      </c>
      <c r="H105" s="607" t="str">
        <f>Footings!U79</f>
        <v>BAGS</v>
      </c>
    </row>
    <row r="106" spans="2:8" x14ac:dyDescent="0.25">
      <c r="B106" s="605" t="str">
        <f>'Gd Beams or Cont Footings'!R82</f>
        <v>SLAB CURE</v>
      </c>
      <c r="C106" s="606">
        <f>'Gd Beams or Cont Footings'!T82</f>
        <v>0</v>
      </c>
      <c r="D106" s="607" t="str">
        <f>'Gd Beams or Cont Footings'!U82</f>
        <v>drms</v>
      </c>
      <c r="F106" s="605" t="str">
        <f>Footings!R80</f>
        <v>POLSTERS</v>
      </c>
      <c r="G106" s="606">
        <f>Footings!T80</f>
        <v>0</v>
      </c>
      <c r="H106" s="607" t="str">
        <f>Footings!U80</f>
        <v>FT</v>
      </c>
    </row>
    <row r="107" spans="2:8" x14ac:dyDescent="0.25">
      <c r="B107" s="605" t="str">
        <f>'Gd Beams or Cont Footings'!R83</f>
        <v>FORM RELEASE</v>
      </c>
      <c r="C107" s="606">
        <f>'Gd Beams or Cont Footings'!T83</f>
        <v>0</v>
      </c>
      <c r="D107" s="607" t="str">
        <f>'Gd Beams or Cont Footings'!U83</f>
        <v>drms</v>
      </c>
      <c r="F107" s="605" t="str">
        <f>Footings!R81</f>
        <v>ACCESSORIES</v>
      </c>
      <c r="G107" s="606">
        <f>Footings!T781</f>
        <v>0</v>
      </c>
      <c r="H107" s="607">
        <f>Footings!U781</f>
        <v>0</v>
      </c>
    </row>
    <row r="108" spans="2:8" x14ac:dyDescent="0.25">
      <c r="B108" s="605" t="str">
        <f>'Gd Beams or Cont Footings'!R85</f>
        <v>Spacing</v>
      </c>
      <c r="C108" s="606">
        <f>'Gd Beams or Cont Footings'!T85</f>
        <v>18</v>
      </c>
      <c r="D108" s="607" t="str">
        <f>'Gd Beams or Cont Footings'!U85</f>
        <v>C . C</v>
      </c>
      <c r="F108" s="605" t="str">
        <f>Footings!R86</f>
        <v>SLAB CURE</v>
      </c>
      <c r="G108" s="606">
        <f>Footings!T86</f>
        <v>0</v>
      </c>
      <c r="H108" s="607" t="str">
        <f>Footings!U86</f>
        <v>DRUM</v>
      </c>
    </row>
    <row r="109" spans="2:8" x14ac:dyDescent="0.25">
      <c r="B109" s="605" t="str">
        <f>'Gd Beams or Cont Footings'!R86</f>
        <v>1/2" Smooth Dowels</v>
      </c>
      <c r="C109" s="606">
        <f>'Gd Beams or Cont Footings'!T86</f>
        <v>0</v>
      </c>
      <c r="D109" s="607" t="str">
        <f>'Gd Beams or Cont Footings'!U86</f>
        <v>PCS</v>
      </c>
      <c r="F109" s="605" t="str">
        <f>Footings!R87</f>
        <v>FORM RELEASE</v>
      </c>
      <c r="G109" s="606">
        <f>Footings!T87</f>
        <v>0</v>
      </c>
      <c r="H109" s="607" t="str">
        <f>Footings!U87</f>
        <v>DRUM</v>
      </c>
    </row>
    <row r="110" spans="2:8" x14ac:dyDescent="0.25">
      <c r="F110" s="605" t="str">
        <f>Footings!R90</f>
        <v>1/2" Smooth Dowels</v>
      </c>
      <c r="G110" s="606">
        <f>Footings!T90</f>
        <v>0</v>
      </c>
      <c r="H110" s="607" t="str">
        <f>Footings!U90</f>
        <v>PCS</v>
      </c>
    </row>
    <row r="111" spans="2:8" ht="15.5" x14ac:dyDescent="0.35">
      <c r="B111" s="77" t="s">
        <v>1027</v>
      </c>
    </row>
    <row r="112" spans="2:8" x14ac:dyDescent="0.25">
      <c r="B112" s="605" t="str">
        <f>'Gd Beams'!R50</f>
        <v>2 X 4  X 16'</v>
      </c>
      <c r="C112" s="606">
        <f>('Gd Beams'!T50)/16</f>
        <v>0</v>
      </c>
      <c r="D112" s="613" t="s">
        <v>18</v>
      </c>
    </row>
    <row r="113" spans="2:8" ht="15.5" x14ac:dyDescent="0.35">
      <c r="B113" s="605" t="str">
        <f>'Gd Beams'!R51</f>
        <v>2 X 6 X 16'</v>
      </c>
      <c r="C113" s="606">
        <f>('Gd Beams'!T51)/16</f>
        <v>0</v>
      </c>
      <c r="D113" s="613" t="s">
        <v>18</v>
      </c>
      <c r="F113" s="77" t="s">
        <v>1030</v>
      </c>
    </row>
    <row r="114" spans="2:8" x14ac:dyDescent="0.25">
      <c r="B114" s="605" t="str">
        <f>'Gd Beams'!R52</f>
        <v>2 X 8 X 16'</v>
      </c>
      <c r="C114" s="606">
        <f>('Gd Beams'!T52)/16</f>
        <v>0</v>
      </c>
      <c r="D114" s="613" t="s">
        <v>18</v>
      </c>
      <c r="F114" s="605" t="str">
        <f>'SLAB ON GRADE'!Q38</f>
        <v>2 X 4  X 16'</v>
      </c>
      <c r="G114" s="606">
        <f>('SLAB ON GRADE'!S38)/16</f>
        <v>0</v>
      </c>
      <c r="H114" s="613" t="s">
        <v>18</v>
      </c>
    </row>
    <row r="115" spans="2:8" x14ac:dyDescent="0.25">
      <c r="B115" s="605" t="str">
        <f>'Gd Beams'!R53</f>
        <v>2 X 10 X 16'</v>
      </c>
      <c r="C115" s="606">
        <f>('Gd Beams'!T53)/16</f>
        <v>0</v>
      </c>
      <c r="D115" s="613" t="s">
        <v>18</v>
      </c>
      <c r="F115" s="605" t="str">
        <f>'SLAB ON GRADE'!Q39</f>
        <v>2 X 6 X 16'</v>
      </c>
      <c r="G115" s="606">
        <f>('SLAB ON GRADE'!S39)/16</f>
        <v>0</v>
      </c>
      <c r="H115" s="613" t="s">
        <v>18</v>
      </c>
    </row>
    <row r="116" spans="2:8" x14ac:dyDescent="0.25">
      <c r="B116" s="605" t="str">
        <f>'Gd Beams'!R54</f>
        <v>3/4 " FORMING PLY</v>
      </c>
      <c r="C116" s="606">
        <f>'Gd Beams'!T54</f>
        <v>0</v>
      </c>
      <c r="D116" s="608" t="str">
        <f>'Gd Beams'!U54</f>
        <v>SHT</v>
      </c>
      <c r="F116" s="605" t="str">
        <f>'SLAB ON GRADE'!Q40</f>
        <v>2 X 8 X 16'</v>
      </c>
      <c r="G116" s="606">
        <f>('SLAB ON GRADE'!S40)/16</f>
        <v>0</v>
      </c>
      <c r="H116" s="613" t="s">
        <v>18</v>
      </c>
    </row>
    <row r="117" spans="2:8" x14ac:dyDescent="0.25">
      <c r="B117" s="605" t="str">
        <f>'Gd Beams'!R55</f>
        <v xml:space="preserve">2 x 2 x 30 stakes </v>
      </c>
      <c r="C117" s="606">
        <f>'Gd Beams'!T55</f>
        <v>0</v>
      </c>
      <c r="D117" s="608" t="str">
        <f>'Gd Beams'!U55</f>
        <v>bndls</v>
      </c>
      <c r="F117" s="605" t="str">
        <f>'SLAB ON GRADE'!Q41</f>
        <v>2 X 10 X 16'</v>
      </c>
      <c r="G117" s="606">
        <f>('SLAB ON GRADE'!S41)/16</f>
        <v>0</v>
      </c>
      <c r="H117" s="613" t="s">
        <v>18</v>
      </c>
    </row>
    <row r="118" spans="2:8" x14ac:dyDescent="0.25">
      <c r="B118" s="605" t="str">
        <f>'Gd Beams'!R56</f>
        <v>16p NAILS DUPLEX</v>
      </c>
      <c r="C118" s="606">
        <f>'Gd Beams'!T56</f>
        <v>0</v>
      </c>
      <c r="D118" s="608" t="str">
        <f>'Gd Beams'!U56</f>
        <v>Box</v>
      </c>
      <c r="F118" s="605" t="str">
        <f>'SLAB ON GRADE'!Q42</f>
        <v>3/8" X 12" X 16' SIDING</v>
      </c>
      <c r="G118" s="606">
        <f>'SLAB ON GRADE'!S42</f>
        <v>0</v>
      </c>
      <c r="H118" s="607" t="str">
        <f>'SLAB ON GRADE'!T42</f>
        <v>LNGT</v>
      </c>
    </row>
    <row r="119" spans="2:8" x14ac:dyDescent="0.25">
      <c r="B119" s="605" t="str">
        <f>'Gd Beams'!R57</f>
        <v>8p DUPLEX</v>
      </c>
      <c r="C119" s="606">
        <f>'Gd Beams'!T57</f>
        <v>0</v>
      </c>
      <c r="D119" s="608" t="str">
        <f>'Gd Beams'!U57</f>
        <v>Box</v>
      </c>
      <c r="F119" s="605" t="str">
        <f>'SLAB ON GRADE'!Q43</f>
        <v>3/4 " FORMING PLY</v>
      </c>
      <c r="G119" s="606">
        <f>'SLAB ON GRADE'!S43</f>
        <v>0</v>
      </c>
      <c r="H119" s="607" t="str">
        <f>'SLAB ON GRADE'!T43</f>
        <v>SHT</v>
      </c>
    </row>
    <row r="120" spans="2:8" x14ac:dyDescent="0.25">
      <c r="B120" s="605" t="str">
        <f>'Gd Beams'!R58</f>
        <v>6p NAILS</v>
      </c>
      <c r="C120" s="606">
        <f>'Gd Beams'!T58</f>
        <v>0</v>
      </c>
      <c r="D120" s="608" t="str">
        <f>'Gd Beams'!U58</f>
        <v>Box</v>
      </c>
      <c r="F120" s="605" t="str">
        <f>'SLAB ON GRADE'!Q44</f>
        <v xml:space="preserve">2 x 2 x 30 stakes </v>
      </c>
      <c r="G120" s="606">
        <f>'SLAB ON GRADE'!S44</f>
        <v>0</v>
      </c>
      <c r="H120" s="607" t="str">
        <f>'SLAB ON GRADE'!T44</f>
        <v>bndls</v>
      </c>
    </row>
    <row r="121" spans="2:8" x14ac:dyDescent="0.25">
      <c r="B121" s="605" t="str">
        <f>'Gd Beams'!R59</f>
        <v>ANCHOR BOLTS</v>
      </c>
      <c r="C121" s="606">
        <f>'Gd Beams'!T59</f>
        <v>0</v>
      </c>
      <c r="D121" s="608" t="str">
        <f>'Gd Beams'!U59</f>
        <v>Box</v>
      </c>
      <c r="F121" s="605" t="str">
        <f>'SLAB ON GRADE'!Q45</f>
        <v>16p NAILS DUPLEX</v>
      </c>
      <c r="G121" s="606">
        <f>'SLAB ON GRADE'!S45</f>
        <v>0</v>
      </c>
      <c r="H121" s="607" t="str">
        <f>'SLAB ON GRADE'!T45</f>
        <v>Box</v>
      </c>
    </row>
    <row r="122" spans="2:8" x14ac:dyDescent="0.25">
      <c r="B122" s="605" t="str">
        <f>'Gd Beams'!R60</f>
        <v>KEYWAY</v>
      </c>
      <c r="C122" s="606">
        <f>'Gd Beams'!T60</f>
        <v>0</v>
      </c>
      <c r="D122" s="608" t="str">
        <f>'Gd Beams'!U60</f>
        <v>Ln ft</v>
      </c>
      <c r="F122" s="605" t="str">
        <f>'SLAB ON GRADE'!Q46</f>
        <v>8p DUPLEX</v>
      </c>
      <c r="G122" s="606">
        <f>'SLAB ON GRADE'!S46</f>
        <v>0</v>
      </c>
      <c r="H122" s="607" t="str">
        <f>'SLAB ON GRADE'!T46</f>
        <v>Box</v>
      </c>
    </row>
    <row r="123" spans="2:8" x14ac:dyDescent="0.25">
      <c r="B123" s="605" t="str">
        <f>'Gd Beams'!R61</f>
        <v>CHAMFER</v>
      </c>
      <c r="C123" s="606">
        <f>'Gd Beams'!T61</f>
        <v>0</v>
      </c>
      <c r="D123" s="608" t="str">
        <f>'Gd Beams'!U61</f>
        <v>Ln ft</v>
      </c>
      <c r="F123" s="605" t="str">
        <f>'SLAB ON GRADE'!Q47</f>
        <v>6p NAILS</v>
      </c>
      <c r="G123" s="606">
        <f>'SLAB ON GRADE'!S47</f>
        <v>0</v>
      </c>
      <c r="H123" s="607" t="str">
        <f>'SLAB ON GRADE'!T47</f>
        <v>Box</v>
      </c>
    </row>
    <row r="124" spans="2:8" x14ac:dyDescent="0.25">
      <c r="B124" s="605" t="str">
        <f>'Gd Beams'!R62</f>
        <v>WALL TIES</v>
      </c>
      <c r="C124" s="606">
        <f>'Gd Beams'!T62</f>
        <v>0</v>
      </c>
      <c r="D124" s="608" t="str">
        <f>'Gd Beams'!U62</f>
        <v>Box</v>
      </c>
      <c r="F124" s="605" t="str">
        <f>'SLAB ON GRADE'!Q48</f>
        <v>ANCHOR BOLTS</v>
      </c>
      <c r="G124" s="606">
        <f>'SLAB ON GRADE'!S48</f>
        <v>0</v>
      </c>
      <c r="H124" s="607" t="str">
        <f>'SLAB ON GRADE'!T48</f>
        <v>Box</v>
      </c>
    </row>
    <row r="125" spans="2:8" x14ac:dyDescent="0.25">
      <c r="B125" s="605" t="str">
        <f>'Gd Beams'!R64</f>
        <v>POLY 6 mill</v>
      </c>
      <c r="C125" s="606">
        <f>'Gd Beams'!T64</f>
        <v>0</v>
      </c>
      <c r="D125" s="608" t="str">
        <f>'Gd Beams'!U64</f>
        <v>Rolls</v>
      </c>
      <c r="F125" s="605" t="str">
        <f>'SLAB ON GRADE'!Q49</f>
        <v>KEYWAY</v>
      </c>
      <c r="G125" s="606">
        <f>'SLAB ON GRADE'!S49</f>
        <v>0</v>
      </c>
      <c r="H125" s="607" t="str">
        <f>'SLAB ON GRADE'!T49</f>
        <v>Ln ft</v>
      </c>
    </row>
    <row r="126" spans="2:8" x14ac:dyDescent="0.25">
      <c r="B126" s="605" t="str">
        <f>'Gd Beams'!R70</f>
        <v>CAMLOCKS</v>
      </c>
      <c r="C126" s="606">
        <f>'Gd Beams'!T70</f>
        <v>0</v>
      </c>
      <c r="D126" s="608">
        <f>'Gd Beams'!U70</f>
        <v>0</v>
      </c>
      <c r="F126" s="605" t="str">
        <f>'SLAB ON GRADE'!Q50</f>
        <v>CHAMFER</v>
      </c>
      <c r="G126" s="606">
        <f>'SLAB ON GRADE'!S50</f>
        <v>0</v>
      </c>
      <c r="H126" s="607" t="str">
        <f>'SLAB ON GRADE'!T50</f>
        <v>Ln ft</v>
      </c>
    </row>
    <row r="127" spans="2:8" x14ac:dyDescent="0.25">
      <c r="B127" s="605" t="str">
        <f>'Gd Beams'!R71</f>
        <v>TURNBUCKLES</v>
      </c>
      <c r="C127" s="606">
        <f>'Gd Beams'!T71</f>
        <v>0</v>
      </c>
      <c r="D127" s="608">
        <f>'Gd Beams'!U71</f>
        <v>0</v>
      </c>
      <c r="F127" s="605" t="str">
        <f>'SLAB ON GRADE'!Q51</f>
        <v>1 X 6 RED WOOD</v>
      </c>
      <c r="G127" s="606">
        <f>'SLAB ON GRADE'!S51</f>
        <v>0</v>
      </c>
      <c r="H127" s="607" t="str">
        <f>'SLAB ON GRADE'!T51</f>
        <v>LN FT</v>
      </c>
    </row>
    <row r="128" spans="2:8" x14ac:dyDescent="0.25">
      <c r="B128" s="605" t="str">
        <f>'Gd Beams'!R72</f>
        <v>PATCH MATERIAL</v>
      </c>
      <c r="C128" s="606">
        <f>'Gd Beams'!T72</f>
        <v>0</v>
      </c>
      <c r="D128" s="608" t="str">
        <f>'Gd Beams'!U72</f>
        <v>BAGS</v>
      </c>
      <c r="F128" s="605" t="str">
        <f>'SLAB ON GRADE'!Q52</f>
        <v>1 X 8 RED WOOD</v>
      </c>
      <c r="G128" s="606">
        <f>'SLAB ON GRADE'!S52</f>
        <v>0</v>
      </c>
      <c r="H128" s="607" t="str">
        <f>'SLAB ON GRADE'!T52</f>
        <v>LN FT</v>
      </c>
    </row>
    <row r="129" spans="2:8" x14ac:dyDescent="0.25">
      <c r="B129" s="605" t="str">
        <f>'Gd Beams'!R75</f>
        <v>SLAB CHAIRS</v>
      </c>
      <c r="C129" s="606">
        <f>'Gd Beams'!T75</f>
        <v>0</v>
      </c>
      <c r="D129" s="608" t="str">
        <f>'Gd Beams'!U75</f>
        <v>BAGS</v>
      </c>
      <c r="F129" s="605" t="str">
        <f>'SLAB ON GRADE'!Q53</f>
        <v>TACK STRIPS</v>
      </c>
      <c r="G129" s="606">
        <f>'SLAB ON GRADE'!S53</f>
        <v>0</v>
      </c>
      <c r="H129" s="607" t="str">
        <f>'SLAB ON GRADE'!T53</f>
        <v>LN FT</v>
      </c>
    </row>
    <row r="130" spans="2:8" x14ac:dyDescent="0.25">
      <c r="B130" s="605" t="str">
        <f>'Gd Beams'!R76</f>
        <v>POLSTERS</v>
      </c>
      <c r="C130" s="606">
        <f>'Gd Beams'!T76</f>
        <v>0</v>
      </c>
      <c r="D130" s="608">
        <f>'Gd Beams'!U76</f>
        <v>0</v>
      </c>
      <c r="F130" s="605" t="str">
        <f>'SLAB ON GRADE'!Q54</f>
        <v>10 MIL POLY</v>
      </c>
      <c r="G130" s="606">
        <f>'SLAB ON GRADE'!S54</f>
        <v>0</v>
      </c>
      <c r="H130" s="607" t="str">
        <f>'SLAB ON GRADE'!T54</f>
        <v>ROLLS</v>
      </c>
    </row>
    <row r="131" spans="2:8" x14ac:dyDescent="0.25">
      <c r="B131" s="605" t="str">
        <f>'Gd Beams'!R77</f>
        <v>ACCESSORIES</v>
      </c>
      <c r="C131" s="606">
        <f>'Gd Beams'!T77</f>
        <v>0</v>
      </c>
      <c r="D131" s="608" t="str">
        <f>'Gd Beams'!U77</f>
        <v>LBS</v>
      </c>
      <c r="F131" s="605" t="str">
        <f>'SLAB ON GRADE'!Q64</f>
        <v>SLAB CHAIRS</v>
      </c>
      <c r="G131" s="606">
        <f>'SLAB ON GRADE'!S64</f>
        <v>0</v>
      </c>
      <c r="H131" s="607" t="str">
        <f>'SLAB ON GRADE'!T64</f>
        <v>BAGS</v>
      </c>
    </row>
    <row r="132" spans="2:8" x14ac:dyDescent="0.25">
      <c r="B132" s="605" t="str">
        <f>'Gd Beams'!R82</f>
        <v>SLAB CURE</v>
      </c>
      <c r="C132" s="606">
        <f>'Gd Beams'!T82</f>
        <v>0</v>
      </c>
      <c r="D132" s="608" t="str">
        <f>'Gd Beams'!U82</f>
        <v>drms</v>
      </c>
      <c r="F132" s="605" t="str">
        <f>'SLAB ON GRADE'!Q65</f>
        <v>TIE WIRE</v>
      </c>
      <c r="G132" s="606">
        <f>'SLAB ON GRADE'!S65</f>
        <v>0</v>
      </c>
      <c r="H132" s="607" t="str">
        <f>'SLAB ON GRADE'!T65</f>
        <v>ROLLS</v>
      </c>
    </row>
    <row r="133" spans="2:8" x14ac:dyDescent="0.25">
      <c r="B133" s="605" t="str">
        <f>'Gd Beams'!R83</f>
        <v>FORM RELEASE</v>
      </c>
      <c r="C133" s="606">
        <f>'Gd Beams'!T83</f>
        <v>0</v>
      </c>
      <c r="D133" s="608" t="str">
        <f>'Gd Beams'!U83</f>
        <v>drms</v>
      </c>
      <c r="F133" s="605" t="str">
        <f>'SLAB ON GRADE'!Q66</f>
        <v>ACCESSORIES</v>
      </c>
      <c r="G133" s="606">
        <f>'SLAB ON GRADE'!S66</f>
        <v>0</v>
      </c>
      <c r="H133" s="607" t="str">
        <f>'SLAB ON GRADE'!T66</f>
        <v>LBS</v>
      </c>
    </row>
    <row r="134" spans="2:8" x14ac:dyDescent="0.25">
      <c r="B134" s="605" t="str">
        <f>'Gd Beams'!R85</f>
        <v>Spacing</v>
      </c>
      <c r="C134" s="606">
        <f>'Gd Beams'!T85</f>
        <v>18</v>
      </c>
      <c r="D134" s="608" t="str">
        <f>'Gd Beams'!U85</f>
        <v>C . C</v>
      </c>
      <c r="F134" s="605" t="str">
        <f>'SLAB ON GRADE'!Q71</f>
        <v>SLAB CURE</v>
      </c>
      <c r="G134" s="606">
        <f>'SLAB ON GRADE'!S71</f>
        <v>0</v>
      </c>
      <c r="H134" s="607" t="str">
        <f>'SLAB ON GRADE'!T71</f>
        <v>drms</v>
      </c>
    </row>
    <row r="135" spans="2:8" x14ac:dyDescent="0.25">
      <c r="B135" s="605" t="str">
        <f>'Gd Beams'!R86</f>
        <v>1/2" Smooth Dowels</v>
      </c>
      <c r="C135" s="606">
        <f>'Gd Beams'!T86</f>
        <v>0</v>
      </c>
      <c r="D135" s="608" t="str">
        <f>'Gd Beams'!U86</f>
        <v>PCS</v>
      </c>
      <c r="F135" s="605" t="str">
        <f>'SLAB ON GRADE'!Q72</f>
        <v>FORM RELEASE</v>
      </c>
      <c r="G135" s="606">
        <f>'SLAB ON GRADE'!S72</f>
        <v>0</v>
      </c>
      <c r="H135" s="607" t="str">
        <f>'SLAB ON GRADE'!T72</f>
        <v>drms</v>
      </c>
    </row>
    <row r="136" spans="2:8" x14ac:dyDescent="0.25">
      <c r="G136" s="604"/>
      <c r="H136" s="604"/>
    </row>
    <row r="137" spans="2:8" ht="15.5" x14ac:dyDescent="0.35">
      <c r="B137" s="77" t="s">
        <v>878</v>
      </c>
      <c r="F137" s="77" t="s">
        <v>92</v>
      </c>
      <c r="G137" s="604"/>
      <c r="H137" s="604"/>
    </row>
    <row r="138" spans="2:8" x14ac:dyDescent="0.25">
      <c r="B138" s="605" t="str">
        <f>SIDEWALKS!S38</f>
        <v>2 X 4  X 16'</v>
      </c>
      <c r="C138" s="606">
        <f>(SIDEWALKS!U38)/16</f>
        <v>0</v>
      </c>
      <c r="D138" s="613" t="s">
        <v>18</v>
      </c>
      <c r="F138" s="605" t="str">
        <f t="shared" ref="F138:F146" si="0">N58</f>
        <v>2 X 4  X 16'</v>
      </c>
      <c r="G138" s="606">
        <f t="shared" ref="G138:G146" si="1">O58</f>
        <v>0</v>
      </c>
      <c r="H138" s="613" t="s">
        <v>1033</v>
      </c>
    </row>
    <row r="139" spans="2:8" x14ac:dyDescent="0.25">
      <c r="B139" s="605" t="str">
        <f>SIDEWALKS!S39</f>
        <v>2 X 6 X 16'</v>
      </c>
      <c r="C139" s="606">
        <f>(SIDEWALKS!U39)/16</f>
        <v>0</v>
      </c>
      <c r="D139" s="613" t="s">
        <v>18</v>
      </c>
      <c r="F139" s="605" t="str">
        <f t="shared" si="0"/>
        <v>2 X 6 X 16'</v>
      </c>
      <c r="G139" s="606">
        <f t="shared" si="1"/>
        <v>0</v>
      </c>
      <c r="H139" s="613" t="s">
        <v>1033</v>
      </c>
    </row>
    <row r="140" spans="2:8" x14ac:dyDescent="0.25">
      <c r="B140" s="605" t="str">
        <f>SIDEWALKS!S40</f>
        <v>2 X 8 X 16'</v>
      </c>
      <c r="C140" s="606">
        <f>(SIDEWALKS!U40)/16</f>
        <v>0</v>
      </c>
      <c r="D140" s="613" t="s">
        <v>18</v>
      </c>
      <c r="F140" s="605" t="str">
        <f t="shared" si="0"/>
        <v>2 X 8 X 16'</v>
      </c>
      <c r="G140" s="606">
        <f t="shared" si="1"/>
        <v>0</v>
      </c>
      <c r="H140" s="613" t="s">
        <v>1033</v>
      </c>
    </row>
    <row r="141" spans="2:8" x14ac:dyDescent="0.25">
      <c r="B141" s="605" t="str">
        <f>SIDEWALKS!S41</f>
        <v>2 X 10 X 16'</v>
      </c>
      <c r="C141" s="606">
        <f>(SIDEWALKS!U41)/16</f>
        <v>0</v>
      </c>
      <c r="D141" s="613" t="s">
        <v>18</v>
      </c>
      <c r="F141" s="605" t="str">
        <f t="shared" si="0"/>
        <v>2 X 10 X 16'</v>
      </c>
      <c r="G141" s="606">
        <f t="shared" si="1"/>
        <v>0</v>
      </c>
      <c r="H141" s="613" t="s">
        <v>1033</v>
      </c>
    </row>
    <row r="142" spans="2:8" x14ac:dyDescent="0.25">
      <c r="B142" s="605" t="str">
        <f>SIDEWALKS!S42</f>
        <v>3/8" X 12" X 16' Siding</v>
      </c>
      <c r="C142" s="606">
        <f>SIDEWALKS!U42</f>
        <v>0</v>
      </c>
      <c r="D142" s="607" t="str">
        <f>SIDEWALKS!V42</f>
        <v>LNGT</v>
      </c>
      <c r="F142" s="605" t="str">
        <f t="shared" si="0"/>
        <v>3/4 " FORMING PLY</v>
      </c>
      <c r="G142" s="606">
        <f t="shared" si="1"/>
        <v>0</v>
      </c>
      <c r="H142" s="608" t="str">
        <f>P62</f>
        <v>SHT</v>
      </c>
    </row>
    <row r="143" spans="2:8" x14ac:dyDescent="0.25">
      <c r="B143" s="605" t="str">
        <f>SIDEWALKS!S43</f>
        <v>3/4 " FORMING PLY</v>
      </c>
      <c r="C143" s="606">
        <f>SIDEWALKS!U43</f>
        <v>0</v>
      </c>
      <c r="D143" s="607" t="str">
        <f>SIDEWALKS!V43</f>
        <v>SHEET</v>
      </c>
      <c r="F143" s="605" t="str">
        <f t="shared" si="0"/>
        <v xml:space="preserve">2 x 2 x 30 stakes </v>
      </c>
      <c r="G143" s="606">
        <f t="shared" si="1"/>
        <v>0</v>
      </c>
      <c r="H143" s="608" t="str">
        <f>P63</f>
        <v>bndls</v>
      </c>
    </row>
    <row r="144" spans="2:8" x14ac:dyDescent="0.25">
      <c r="B144" s="605" t="str">
        <f>SIDEWALKS!S44</f>
        <v>2 X 2 X 18 STAKES</v>
      </c>
      <c r="C144" s="606">
        <f>SIDEWALKS!U44</f>
        <v>0</v>
      </c>
      <c r="D144" s="607" t="str">
        <f>SIDEWALKS!V44</f>
        <v>BUNDLS</v>
      </c>
      <c r="F144" s="605" t="str">
        <f t="shared" si="0"/>
        <v>16p NAILS DUPLEX</v>
      </c>
      <c r="G144" s="606">
        <f t="shared" si="1"/>
        <v>0</v>
      </c>
      <c r="H144" s="608" t="str">
        <f>P64</f>
        <v>Box</v>
      </c>
    </row>
    <row r="145" spans="2:8" x14ac:dyDescent="0.25">
      <c r="B145" s="605" t="str">
        <f>SIDEWALKS!S45</f>
        <v>16p NAILS DUPLEX</v>
      </c>
      <c r="C145" s="606">
        <f>SIDEWALKS!U45</f>
        <v>0</v>
      </c>
      <c r="D145" s="607" t="str">
        <f>SIDEWALKS!V45</f>
        <v>BOX</v>
      </c>
      <c r="F145" s="605" t="str">
        <f t="shared" si="0"/>
        <v>8p DUPLEX</v>
      </c>
      <c r="G145" s="606">
        <f t="shared" si="1"/>
        <v>0</v>
      </c>
      <c r="H145" s="608" t="str">
        <f>P65</f>
        <v>Box</v>
      </c>
    </row>
    <row r="146" spans="2:8" x14ac:dyDescent="0.25">
      <c r="B146" s="605" t="str">
        <f>SIDEWALKS!S46</f>
        <v>8p DUPLEX</v>
      </c>
      <c r="C146" s="606">
        <f>SIDEWALKS!U46</f>
        <v>0</v>
      </c>
      <c r="D146" s="607" t="str">
        <f>SIDEWALKS!V46</f>
        <v>BOX</v>
      </c>
      <c r="F146" s="605" t="str">
        <f t="shared" si="0"/>
        <v>6p NAILS</v>
      </c>
      <c r="G146" s="606">
        <f t="shared" si="1"/>
        <v>0</v>
      </c>
      <c r="H146" s="608" t="str">
        <f>P66</f>
        <v>Box</v>
      </c>
    </row>
    <row r="147" spans="2:8" x14ac:dyDescent="0.25">
      <c r="B147" s="605" t="str">
        <f>SIDEWALKS!S47</f>
        <v>6p NAILS</v>
      </c>
      <c r="C147" s="606">
        <f>SIDEWALKS!U47</f>
        <v>0</v>
      </c>
      <c r="D147" s="607" t="str">
        <f>SIDEWALKS!V47</f>
        <v>BOX</v>
      </c>
      <c r="F147" s="605" t="str">
        <f>F17</f>
        <v>20p NAILS</v>
      </c>
      <c r="G147" s="609">
        <f>G17</f>
        <v>0</v>
      </c>
      <c r="H147" s="608" t="str">
        <f>H17</f>
        <v>BOX</v>
      </c>
    </row>
    <row r="148" spans="2:8" x14ac:dyDescent="0.25">
      <c r="B148" s="605" t="str">
        <f>SIDEWALKS!S48</f>
        <v>ANCHOR BOLTS</v>
      </c>
      <c r="C148" s="606">
        <f>SIDEWALKS!U48</f>
        <v>0</v>
      </c>
      <c r="D148" s="607" t="str">
        <f>SIDEWALKS!V48</f>
        <v>BOX</v>
      </c>
      <c r="F148" s="605" t="str">
        <f t="shared" ref="F148:H151" si="2">N67</f>
        <v>ANCHOR BOLTS</v>
      </c>
      <c r="G148" s="606">
        <f t="shared" si="2"/>
        <v>0</v>
      </c>
      <c r="H148" s="608" t="str">
        <f t="shared" si="2"/>
        <v>Box</v>
      </c>
    </row>
    <row r="149" spans="2:8" x14ac:dyDescent="0.25">
      <c r="B149" s="605" t="str">
        <f>SIDEWALKS!S49</f>
        <v>KEYWAY</v>
      </c>
      <c r="C149" s="606">
        <f>SIDEWALKS!U49</f>
        <v>0</v>
      </c>
      <c r="D149" s="607" t="str">
        <f>SIDEWALKS!V49</f>
        <v>LN FT</v>
      </c>
      <c r="F149" s="605" t="str">
        <f t="shared" si="2"/>
        <v>KEYWAY</v>
      </c>
      <c r="G149" s="606">
        <f t="shared" si="2"/>
        <v>0</v>
      </c>
      <c r="H149" s="608" t="str">
        <f t="shared" si="2"/>
        <v>Ln ft</v>
      </c>
    </row>
    <row r="150" spans="2:8" x14ac:dyDescent="0.25">
      <c r="B150" s="605" t="str">
        <f>SIDEWALKS!S50</f>
        <v>CHAMFER</v>
      </c>
      <c r="C150" s="606">
        <f>SIDEWALKS!U50</f>
        <v>0</v>
      </c>
      <c r="D150" s="607" t="str">
        <f>SIDEWALKS!V50</f>
        <v>LN FT</v>
      </c>
      <c r="F150" s="605" t="str">
        <f t="shared" si="2"/>
        <v>CHAMFER</v>
      </c>
      <c r="G150" s="606">
        <f t="shared" si="2"/>
        <v>0</v>
      </c>
      <c r="H150" s="608" t="str">
        <f t="shared" si="2"/>
        <v>Ln ft</v>
      </c>
    </row>
    <row r="151" spans="2:8" x14ac:dyDescent="0.25">
      <c r="B151" s="605" t="str">
        <f>SIDEWALKS!S51</f>
        <v>1 X 4 RED WOOD</v>
      </c>
      <c r="C151" s="606">
        <f>SIDEWALKS!U51</f>
        <v>0</v>
      </c>
      <c r="D151" s="607" t="str">
        <f>SIDEWALKS!V51</f>
        <v>LN FT</v>
      </c>
      <c r="F151" s="605" t="str">
        <f t="shared" si="2"/>
        <v>WALL TIES</v>
      </c>
      <c r="G151" s="606">
        <f t="shared" si="2"/>
        <v>0</v>
      </c>
      <c r="H151" s="608" t="str">
        <f t="shared" si="2"/>
        <v>Box</v>
      </c>
    </row>
    <row r="152" spans="2:8" x14ac:dyDescent="0.25">
      <c r="B152" s="605" t="str">
        <f>SIDEWALKS!S52</f>
        <v>1 X 8 RED WOOD</v>
      </c>
      <c r="C152" s="606">
        <f>SIDEWALKS!U52</f>
        <v>0</v>
      </c>
      <c r="D152" s="607" t="str">
        <f>SIDEWALKS!V52</f>
        <v>LN FT</v>
      </c>
      <c r="F152" s="605" t="str">
        <f t="shared" ref="F152:F161" si="3">N71</f>
        <v>3/8" X 12" X 16' SIDING</v>
      </c>
      <c r="G152" s="606">
        <f t="shared" ref="G152:G161" si="4">O71</f>
        <v>0</v>
      </c>
      <c r="H152" s="608"/>
    </row>
    <row r="153" spans="2:8" x14ac:dyDescent="0.25">
      <c r="B153" s="605" t="str">
        <f>SIDEWALKS!S54</f>
        <v>1 X 1 TACT STRIP</v>
      </c>
      <c r="C153" s="606">
        <f>SIDEWALKS!U54</f>
        <v>0</v>
      </c>
      <c r="D153" s="607" t="str">
        <f>SIDEWALKS!V54</f>
        <v>LN FT</v>
      </c>
      <c r="F153" s="605" t="str">
        <f t="shared" si="3"/>
        <v>Poly 10 mil</v>
      </c>
      <c r="G153" s="606">
        <f t="shared" si="4"/>
        <v>0</v>
      </c>
      <c r="H153" s="608" t="str">
        <f>P72</f>
        <v>Rolls</v>
      </c>
    </row>
    <row r="154" spans="2:8" x14ac:dyDescent="0.25">
      <c r="B154" s="605" t="str">
        <f>SIDEWALKS!S55</f>
        <v>ADA BRICKS</v>
      </c>
      <c r="C154" s="606">
        <f>SIDEWALKS!U55</f>
        <v>0</v>
      </c>
      <c r="D154" s="607" t="str">
        <f>SIDEWALKS!V55</f>
        <v>EACH</v>
      </c>
      <c r="F154" s="605" t="str">
        <f t="shared" si="3"/>
        <v>CAMLOCKS</v>
      </c>
      <c r="G154" s="606">
        <f t="shared" si="4"/>
        <v>0</v>
      </c>
      <c r="H154" s="608" t="str">
        <f>P73</f>
        <v>BAGS</v>
      </c>
    </row>
    <row r="155" spans="2:8" x14ac:dyDescent="0.25">
      <c r="B155" s="605" t="str">
        <f>SIDEWALKS!S65</f>
        <v>3-1/4 Paving Chairs</v>
      </c>
      <c r="C155" s="606">
        <f>SIDEWALKS!U65</f>
        <v>0</v>
      </c>
      <c r="D155" s="607" t="str">
        <f>SIDEWALKS!V65</f>
        <v>BAGS</v>
      </c>
      <c r="F155" s="605" t="str">
        <f t="shared" si="3"/>
        <v>TURNBUCKLES</v>
      </c>
      <c r="G155" s="606">
        <f t="shared" si="4"/>
        <v>0</v>
      </c>
      <c r="H155" s="608"/>
    </row>
    <row r="156" spans="2:8" x14ac:dyDescent="0.25">
      <c r="B156" s="605" t="str">
        <f>SIDEWALKS!S66</f>
        <v>TIE WIRE</v>
      </c>
      <c r="C156" s="606">
        <f>SIDEWALKS!U66</f>
        <v>0</v>
      </c>
      <c r="D156" s="607" t="str">
        <f>SIDEWALKS!V66</f>
        <v>ROLL</v>
      </c>
      <c r="F156" s="605" t="str">
        <f t="shared" si="3"/>
        <v>PATCH MATERIAL</v>
      </c>
      <c r="G156" s="606">
        <f t="shared" si="4"/>
        <v>0</v>
      </c>
      <c r="H156" s="608" t="str">
        <f>P75</f>
        <v>BAGS</v>
      </c>
    </row>
    <row r="157" spans="2:8" x14ac:dyDescent="0.25">
      <c r="B157" s="605" t="str">
        <f>SIDEWALKS!S67</f>
        <v>ACCESSORIES</v>
      </c>
      <c r="C157" s="606">
        <f>SIDEWALKS!U67</f>
        <v>0</v>
      </c>
      <c r="D157" s="607" t="str">
        <f>SIDEWALKS!V67</f>
        <v>LBS</v>
      </c>
      <c r="F157" s="605" t="str">
        <f t="shared" si="3"/>
        <v>SLAB CHAIRS</v>
      </c>
      <c r="G157" s="606">
        <f t="shared" si="4"/>
        <v>0</v>
      </c>
      <c r="H157" s="608"/>
    </row>
    <row r="158" spans="2:8" x14ac:dyDescent="0.25">
      <c r="B158" s="605" t="str">
        <f>SIDEWALKS!S72</f>
        <v>SLAB CURE</v>
      </c>
      <c r="C158" s="606">
        <f>SIDEWALKS!U72</f>
        <v>0</v>
      </c>
      <c r="D158" s="607" t="str">
        <f>SIDEWALKS!V72</f>
        <v>DRMS</v>
      </c>
      <c r="F158" s="605" t="str">
        <f t="shared" si="3"/>
        <v>POLSTERS</v>
      </c>
      <c r="G158" s="606">
        <f t="shared" si="4"/>
        <v>0</v>
      </c>
      <c r="H158" s="608"/>
    </row>
    <row r="159" spans="2:8" x14ac:dyDescent="0.25">
      <c r="B159" s="605" t="str">
        <f>SIDEWALKS!S73</f>
        <v>FORM RELEASE</v>
      </c>
      <c r="C159" s="606">
        <f>SIDEWALKS!U73</f>
        <v>0</v>
      </c>
      <c r="D159" s="607" t="str">
        <f>SIDEWALKS!V73</f>
        <v>DRMS</v>
      </c>
      <c r="F159" s="605" t="str">
        <f t="shared" si="3"/>
        <v>ACCESSORIES</v>
      </c>
      <c r="G159" s="606">
        <f t="shared" si="4"/>
        <v>0</v>
      </c>
      <c r="H159" s="608" t="s">
        <v>1043</v>
      </c>
    </row>
    <row r="160" spans="2:8" x14ac:dyDescent="0.25">
      <c r="F160" s="605" t="str">
        <f t="shared" si="3"/>
        <v>CURE</v>
      </c>
      <c r="G160" s="606">
        <f t="shared" si="4"/>
        <v>0</v>
      </c>
      <c r="H160" s="608" t="str">
        <f>P79</f>
        <v>Drums</v>
      </c>
    </row>
    <row r="161" spans="6:8" x14ac:dyDescent="0.25">
      <c r="F161" s="605" t="str">
        <f t="shared" si="3"/>
        <v>3/8" X 12" X 16' SIDING</v>
      </c>
      <c r="G161" s="609">
        <f t="shared" si="4"/>
        <v>0</v>
      </c>
      <c r="H161" s="608" t="str">
        <f>P80</f>
        <v>Sheets</v>
      </c>
    </row>
    <row r="162" spans="6:8" x14ac:dyDescent="0.25">
      <c r="F162" s="605" t="str">
        <f>B72</f>
        <v>1 X 6 RED WOOD</v>
      </c>
      <c r="G162" s="606">
        <f>O81</f>
        <v>0</v>
      </c>
      <c r="H162" s="608" t="str">
        <f>D72</f>
        <v>LN FT</v>
      </c>
    </row>
    <row r="163" spans="6:8" x14ac:dyDescent="0.25">
      <c r="F163" s="605" t="str">
        <f>B73</f>
        <v>1 X 8 RED WOOD</v>
      </c>
      <c r="G163" s="606">
        <f>O82</f>
        <v>0</v>
      </c>
      <c r="H163" s="608" t="str">
        <f>D73</f>
        <v>LN FT</v>
      </c>
    </row>
    <row r="164" spans="6:8" x14ac:dyDescent="0.25">
      <c r="F164" s="605" t="str">
        <f>B74</f>
        <v>1 X 1 TACK STRIPS</v>
      </c>
      <c r="G164" s="606">
        <f>O83</f>
        <v>0</v>
      </c>
      <c r="H164" s="608" t="str">
        <f>D74</f>
        <v>LN FT</v>
      </c>
    </row>
    <row r="165" spans="6:8" x14ac:dyDescent="0.25">
      <c r="F165" s="605" t="s">
        <v>1044</v>
      </c>
      <c r="G165" s="606">
        <f>C56+C82+G83+C135</f>
        <v>0</v>
      </c>
      <c r="H165" s="608" t="s">
        <v>215</v>
      </c>
    </row>
    <row r="166" spans="6:8" x14ac:dyDescent="0.25">
      <c r="F166" s="605"/>
      <c r="G166" s="606"/>
      <c r="H166" s="608"/>
    </row>
    <row r="167" spans="6:8" x14ac:dyDescent="0.25">
      <c r="F167" s="53" t="s">
        <v>1037</v>
      </c>
      <c r="G167" s="606">
        <f>Summary!L55</f>
        <v>0</v>
      </c>
      <c r="H167" s="54" t="s">
        <v>31</v>
      </c>
    </row>
    <row r="168" spans="6:8" x14ac:dyDescent="0.25">
      <c r="F168" s="53" t="s">
        <v>1035</v>
      </c>
      <c r="G168" s="606">
        <f>Summary!J55</f>
        <v>0</v>
      </c>
      <c r="H168" s="54" t="s">
        <v>1036</v>
      </c>
    </row>
  </sheetData>
  <mergeCells count="4">
    <mergeCell ref="H1:I1"/>
    <mergeCell ref="B5:D5"/>
    <mergeCell ref="E5:F5"/>
    <mergeCell ref="G5:H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/>
  <dimension ref="A1:P262"/>
  <sheetViews>
    <sheetView topLeftCell="A15" workbookViewId="0">
      <selection activeCell="E24" sqref="E24"/>
    </sheetView>
  </sheetViews>
  <sheetFormatPr defaultColWidth="9.1796875" defaultRowHeight="12.5" x14ac:dyDescent="0.25"/>
  <cols>
    <col min="1" max="1" width="7.81640625" customWidth="1"/>
    <col min="2" max="2" width="19.453125" customWidth="1"/>
    <col min="3" max="3" width="14.90625" customWidth="1"/>
    <col min="4" max="4" width="12.453125" customWidth="1"/>
    <col min="5" max="5" width="9.81640625" customWidth="1"/>
    <col min="6" max="6" width="10.7265625" customWidth="1"/>
    <col min="7" max="7" width="6.7265625" customWidth="1"/>
    <col min="8" max="8" width="13.26953125" customWidth="1"/>
    <col min="9" max="9" width="7.7265625" customWidth="1"/>
    <col min="10" max="19" width="0" hidden="1" customWidth="1"/>
  </cols>
  <sheetData>
    <row r="1" spans="1:16" s="42" customFormat="1" ht="16" thickBot="1" x14ac:dyDescent="0.4">
      <c r="A1" s="616"/>
      <c r="B1" s="617"/>
      <c r="C1" s="616"/>
      <c r="D1" s="616"/>
      <c r="E1" s="616"/>
      <c r="F1" s="616"/>
      <c r="G1" s="616"/>
      <c r="H1" s="616"/>
      <c r="I1" s="616"/>
      <c r="J1" s="298"/>
    </row>
    <row r="2" spans="1:16" s="42" customFormat="1" ht="16" thickTop="1" x14ac:dyDescent="0.35">
      <c r="A2" s="298"/>
      <c r="B2" s="298" t="s">
        <v>1039</v>
      </c>
      <c r="C2" s="298"/>
      <c r="D2" s="298"/>
      <c r="E2" s="298"/>
      <c r="F2" s="298"/>
      <c r="G2" s="298"/>
      <c r="H2" s="298"/>
      <c r="I2" s="298"/>
      <c r="J2" s="298"/>
    </row>
    <row r="3" spans="1:16" s="42" customFormat="1" ht="15.5" x14ac:dyDescent="0.35">
      <c r="A3" s="486"/>
      <c r="B3" s="298"/>
      <c r="C3" s="298"/>
      <c r="D3" s="298"/>
      <c r="E3" s="298"/>
      <c r="F3" s="298"/>
      <c r="G3" s="298"/>
      <c r="H3" s="298"/>
      <c r="I3" s="298"/>
      <c r="J3" s="298"/>
    </row>
    <row r="4" spans="1:16" s="42" customFormat="1" ht="16" thickBot="1" x14ac:dyDescent="0.4">
      <c r="A4" s="298"/>
      <c r="B4" s="487" t="s">
        <v>693</v>
      </c>
      <c r="C4" s="298"/>
      <c r="D4" s="298"/>
      <c r="E4" s="487" t="s">
        <v>694</v>
      </c>
      <c r="F4" s="298"/>
      <c r="G4" s="487" t="s">
        <v>695</v>
      </c>
      <c r="H4" s="298"/>
      <c r="I4" s="298"/>
      <c r="J4" s="298"/>
    </row>
    <row r="5" spans="1:16" s="42" customFormat="1" ht="19.5" customHeight="1" thickBot="1" x14ac:dyDescent="0.4">
      <c r="A5" s="298"/>
      <c r="B5" s="2208">
        <f>Information!C2</f>
        <v>0</v>
      </c>
      <c r="C5" s="2208"/>
      <c r="D5" s="2208"/>
      <c r="E5" s="2208">
        <f>Information!C4</f>
        <v>0</v>
      </c>
      <c r="F5" s="2208"/>
      <c r="G5" s="2207">
        <f>Information!C3</f>
        <v>0</v>
      </c>
      <c r="H5" s="2207"/>
      <c r="I5" s="2207"/>
      <c r="J5" s="298"/>
      <c r="L5" s="65" t="s">
        <v>696</v>
      </c>
      <c r="M5" s="65" t="s">
        <v>697</v>
      </c>
      <c r="N5" s="65" t="s">
        <v>698</v>
      </c>
      <c r="O5" s="65" t="s">
        <v>699</v>
      </c>
      <c r="P5" s="66" t="s">
        <v>649</v>
      </c>
    </row>
    <row r="6" spans="1:16" s="42" customFormat="1" ht="16" thickTop="1" x14ac:dyDescent="0.35">
      <c r="A6" s="298"/>
      <c r="B6" s="488"/>
      <c r="C6" s="298"/>
      <c r="D6" s="298"/>
      <c r="E6" s="478" t="s">
        <v>439</v>
      </c>
      <c r="F6" s="298"/>
      <c r="G6" s="2207"/>
      <c r="H6" s="2207"/>
      <c r="I6" s="2207"/>
      <c r="J6" s="298"/>
    </row>
    <row r="7" spans="1:16" s="42" customFormat="1" ht="15.5" x14ac:dyDescent="0.35">
      <c r="A7" s="298"/>
      <c r="B7" s="478" t="s">
        <v>439</v>
      </c>
      <c r="C7" s="298"/>
      <c r="D7" s="298"/>
      <c r="E7" s="487"/>
      <c r="F7" s="298"/>
      <c r="G7" s="298"/>
      <c r="H7" s="298"/>
      <c r="I7" s="298"/>
      <c r="J7" s="298"/>
    </row>
    <row r="8" spans="1:16" s="42" customFormat="1" ht="15.5" x14ac:dyDescent="0.35">
      <c r="A8" s="298"/>
      <c r="B8" s="2209" t="str">
        <f>Pricing!F1</f>
        <v>3000 PSI W/ ASH PIERS, SOG</v>
      </c>
      <c r="C8" s="2209"/>
      <c r="D8" s="2209"/>
      <c r="E8" s="489">
        <f>PIERS!AT39+'SLAB ON GRADE'!AJ27+'Mono Slab on Grade Building 1'!BI49+'CIP EL. DECK'!AU41+'Gd Beams'!AO37+'SLAB ON DECK'!AK27+COLUMNS!AO37+'Site Walls'!AI43+SIDEWALKS!AH27+'Private Paving'!AJ28+PANELS!AK120</f>
        <v>0</v>
      </c>
      <c r="F8" s="298" t="s">
        <v>136</v>
      </c>
      <c r="G8" s="2210"/>
      <c r="H8" s="2210"/>
      <c r="I8" s="298"/>
      <c r="J8" s="298"/>
    </row>
    <row r="9" spans="1:16" s="42" customFormat="1" ht="15.5" x14ac:dyDescent="0.35">
      <c r="A9" s="298"/>
      <c r="B9" s="321"/>
      <c r="C9" s="298"/>
      <c r="D9" s="298"/>
      <c r="E9" s="308"/>
      <c r="F9" s="298" t="s">
        <v>439</v>
      </c>
      <c r="G9" s="491" t="s">
        <v>439</v>
      </c>
      <c r="H9" s="298"/>
      <c r="I9" s="298"/>
      <c r="J9" s="298"/>
    </row>
    <row r="10" spans="1:16" s="42" customFormat="1" ht="15.5" x14ac:dyDescent="0.35">
      <c r="A10" s="298"/>
      <c r="B10" s="300" t="str">
        <f>Pricing!G1</f>
        <v>3500 Psi</v>
      </c>
      <c r="C10" s="298"/>
      <c r="D10" s="298"/>
      <c r="E10" s="489">
        <f>PIERS!AU39+'SLAB ON GRADE'!AK27+'Mono Slab on Grade Building 1'!BJ49+'CIP EL. DECK'!AV41+'Gd Beams'!AP37+'SLAB ON DECK'!AL27+COLUMNS!AP37+'Site Walls'!AJ43+SIDEWALKS!AI27+'Private Paving'!AK28+PANELS!AL120</f>
        <v>0</v>
      </c>
      <c r="F10" s="298" t="s">
        <v>136</v>
      </c>
      <c r="G10" s="2210"/>
      <c r="H10" s="2210"/>
      <c r="I10" s="298"/>
      <c r="J10" s="298"/>
    </row>
    <row r="11" spans="1:16" s="42" customFormat="1" ht="15.5" x14ac:dyDescent="0.35">
      <c r="A11" s="298"/>
      <c r="B11" s="298" t="s">
        <v>439</v>
      </c>
      <c r="C11" s="298"/>
      <c r="D11" s="308"/>
      <c r="E11" s="298"/>
      <c r="F11" s="298" t="s">
        <v>439</v>
      </c>
      <c r="G11" s="491" t="s">
        <v>439</v>
      </c>
      <c r="H11" s="298"/>
      <c r="I11" s="298"/>
      <c r="J11" s="298"/>
    </row>
    <row r="12" spans="1:16" s="42" customFormat="1" ht="15.5" x14ac:dyDescent="0.35">
      <c r="A12" s="298"/>
      <c r="B12" s="300" t="str">
        <f>Pricing!H1</f>
        <v>4000 psi</v>
      </c>
      <c r="C12" s="298"/>
      <c r="D12" s="298"/>
      <c r="E12" s="489">
        <f>PIERS!AV39+'SLAB ON GRADE'!AL27+'Mono Slab on Grade Building 1'!BK49+'CIP EL. DECK'!AW41+'Gd Beams'!AQ37+'SLAB ON DECK'!AM27+COLUMNS!AQ37+'Site Walls'!AK43+SIDEWALKS!AJ27+'Private Paving'!AL28+PANELS!AM120</f>
        <v>0</v>
      </c>
      <c r="F12" s="298" t="s">
        <v>136</v>
      </c>
      <c r="G12" s="2210"/>
      <c r="H12" s="2210"/>
      <c r="I12" s="298"/>
      <c r="J12" s="298"/>
    </row>
    <row r="13" spans="1:16" s="42" customFormat="1" ht="15.5" x14ac:dyDescent="0.35">
      <c r="A13" s="298"/>
      <c r="B13" s="298" t="s">
        <v>439</v>
      </c>
      <c r="C13" s="298"/>
      <c r="D13" s="298"/>
      <c r="E13" s="308"/>
      <c r="F13" s="298" t="s">
        <v>439</v>
      </c>
      <c r="G13" s="491" t="s">
        <v>439</v>
      </c>
      <c r="H13" s="298"/>
      <c r="I13" s="298"/>
      <c r="J13" s="298"/>
    </row>
    <row r="14" spans="1:16" s="42" customFormat="1" ht="15.5" x14ac:dyDescent="0.35">
      <c r="A14" s="298"/>
      <c r="B14" s="300" t="str">
        <f>Pricing!I1</f>
        <v>4500 psi</v>
      </c>
      <c r="C14" s="298"/>
      <c r="D14" s="492"/>
      <c r="E14" s="489">
        <f>PIERS!AW39+'SLAB ON GRADE'!AM27+'Mono Slab on Grade Building 1'!BL49+'CIP EL. DECK'!AX41+'Gd Beams'!AR7+'SLAB ON DECK'!AN27+COLUMNS!AR37+'Site Walls'!AL43+SIDEWALKS!AK27+'Private Paving'!AM28+PANELS!AN120</f>
        <v>0</v>
      </c>
      <c r="F14" s="298" t="s">
        <v>136</v>
      </c>
      <c r="G14" s="2210"/>
      <c r="H14" s="2210"/>
      <c r="I14" s="298"/>
      <c r="J14" s="298"/>
    </row>
    <row r="15" spans="1:16" s="42" customFormat="1" ht="15.5" x14ac:dyDescent="0.35">
      <c r="A15" s="298"/>
      <c r="B15" s="298"/>
      <c r="C15" s="298"/>
      <c r="D15" s="298"/>
      <c r="E15" s="493"/>
      <c r="F15" s="298" t="s">
        <v>439</v>
      </c>
      <c r="G15" s="494" t="s">
        <v>439</v>
      </c>
      <c r="H15" s="495"/>
      <c r="I15" s="298"/>
      <c r="J15" s="298"/>
    </row>
    <row r="16" spans="1:16" s="42" customFormat="1" ht="15.5" x14ac:dyDescent="0.35">
      <c r="A16" s="298"/>
      <c r="B16" s="298" t="str">
        <f>Pricing!J1</f>
        <v>5000 psi</v>
      </c>
      <c r="C16" s="298"/>
      <c r="D16" s="298"/>
      <c r="E16" s="489">
        <f>PIERS!AX39+'SLAB ON GRADE'!AN27+'Mono Slab on Grade Building 1'!BM49+'CIP EL. DECK'!AY41+'Gd Beams'!AS7+'SLAB ON DECK'!AO27+COLUMNS!AS37+'Site Walls'!AM43+SIDEWALKS!AL27+'Private Paving'!AN28+PANELS!AO120</f>
        <v>0</v>
      </c>
      <c r="F16" s="298" t="s">
        <v>136</v>
      </c>
      <c r="G16" s="2210"/>
      <c r="H16" s="2210"/>
      <c r="I16" s="298"/>
      <c r="J16" s="298"/>
    </row>
    <row r="17" spans="1:10" s="42" customFormat="1" ht="15.5" x14ac:dyDescent="0.35">
      <c r="A17" s="298"/>
      <c r="B17" s="298" t="s">
        <v>439</v>
      </c>
      <c r="C17" s="298"/>
      <c r="D17" s="298"/>
      <c r="E17" s="308"/>
      <c r="F17" s="298" t="s">
        <v>439</v>
      </c>
      <c r="G17" s="491" t="s">
        <v>439</v>
      </c>
      <c r="H17" s="298"/>
      <c r="I17" s="298"/>
      <c r="J17" s="298"/>
    </row>
    <row r="18" spans="1:10" s="42" customFormat="1" ht="15.5" x14ac:dyDescent="0.35">
      <c r="A18" s="298"/>
      <c r="B18" s="298" t="str">
        <f>Pricing!K1</f>
        <v>3000 PSI Sidewalk and Hardscape</v>
      </c>
      <c r="C18" s="298"/>
      <c r="D18" s="298"/>
      <c r="E18" s="489">
        <f>PIERS!AY39+'SLAB ON GRADE'!AO27+'Mono Slab on Grade Building 1'!BN49+'CIP EL. DECK'!AZ41+'Gd Beams'!AT7+'SLAB ON DECK'!AP27+COLUMNS!AT37+'Site Walls'!AN43+SIDEWALKS!AM27+'Private Paving'!AO28+PANELS!AP120</f>
        <v>0</v>
      </c>
      <c r="F18" s="298" t="s">
        <v>136</v>
      </c>
      <c r="G18" s="2210"/>
      <c r="H18" s="2210"/>
      <c r="I18" s="298"/>
      <c r="J18" s="298"/>
    </row>
    <row r="19" spans="1:10" s="42" customFormat="1" ht="15.5" x14ac:dyDescent="0.35">
      <c r="A19" s="298"/>
      <c r="B19" s="298"/>
      <c r="C19" s="298"/>
      <c r="D19" s="298"/>
      <c r="E19" s="489"/>
      <c r="F19" s="298"/>
      <c r="G19" s="491"/>
      <c r="H19" s="491"/>
      <c r="I19" s="298"/>
      <c r="J19" s="298"/>
    </row>
    <row r="20" spans="1:10" s="42" customFormat="1" ht="15.5" x14ac:dyDescent="0.35">
      <c r="A20" s="298"/>
      <c r="B20" s="298" t="s">
        <v>92</v>
      </c>
      <c r="C20" s="298"/>
      <c r="D20" s="298"/>
      <c r="E20" s="496">
        <f>SUM(E8:E18)</f>
        <v>0</v>
      </c>
      <c r="F20" s="298"/>
      <c r="G20" s="298"/>
      <c r="H20" s="298"/>
      <c r="I20" s="298"/>
      <c r="J20" s="298"/>
    </row>
    <row r="21" spans="1:10" s="42" customFormat="1" ht="15.5" x14ac:dyDescent="0.35"/>
    <row r="22" spans="1:10" s="42" customFormat="1" ht="15.5" x14ac:dyDescent="0.35">
      <c r="B22" s="77" t="s">
        <v>1041</v>
      </c>
      <c r="C22" s="77" t="s">
        <v>1042</v>
      </c>
      <c r="D22" s="77" t="s">
        <v>49</v>
      </c>
      <c r="E22" s="77" t="s">
        <v>1037</v>
      </c>
      <c r="G22" s="77" t="s">
        <v>1035</v>
      </c>
    </row>
    <row r="23" spans="1:10" s="42" customFormat="1" ht="15.5" x14ac:dyDescent="0.35">
      <c r="B23" s="58">
        <f>'Mono Slab on Grade Building 1'!C11</f>
        <v>0</v>
      </c>
      <c r="C23" s="58" t="str">
        <f>'Mono Slab on Grade Building 1'!B11</f>
        <v>Bld 1 Pour 1</v>
      </c>
      <c r="D23" s="42">
        <f>'Mono Slab on Grade Building 1'!D11</f>
        <v>0</v>
      </c>
      <c r="E23" s="89">
        <f>'Mono Slab on Grade Building 1'!AD11</f>
        <v>0</v>
      </c>
      <c r="F23" s="42" t="s">
        <v>136</v>
      </c>
      <c r="G23" s="89">
        <f>'Mono Slab on Grade Building 1'!AC11</f>
        <v>0</v>
      </c>
      <c r="H23" s="42" t="s">
        <v>32</v>
      </c>
    </row>
    <row r="24" spans="1:10" s="42" customFormat="1" ht="15.5" x14ac:dyDescent="0.35">
      <c r="B24" s="58">
        <f>'Mono Slab on Grade Building 1'!C12</f>
        <v>0</v>
      </c>
      <c r="C24" s="58" t="str">
        <f>'Mono Slab on Grade Building 1'!B12</f>
        <v>Bld 1 Pour 2</v>
      </c>
      <c r="D24" s="42">
        <f>'Mono Slab on Grade Building 1'!D12</f>
        <v>0</v>
      </c>
      <c r="E24" s="89">
        <f>'Mono Slab on Grade Building 1'!AD12</f>
        <v>0</v>
      </c>
      <c r="F24" s="42" t="s">
        <v>136</v>
      </c>
      <c r="G24" s="89">
        <f>'Mono Slab on Grade Building 1'!AC12</f>
        <v>0</v>
      </c>
      <c r="H24" s="42" t="s">
        <v>32</v>
      </c>
    </row>
    <row r="25" spans="1:10" s="42" customFormat="1" ht="15.5" x14ac:dyDescent="0.35">
      <c r="B25" s="58">
        <f>'Mono Slab on Grade Building 1'!C13</f>
        <v>0</v>
      </c>
      <c r="C25" s="58" t="str">
        <f>'Mono Slab on Grade Building 1'!B13</f>
        <v>Bld 1 Pour 3</v>
      </c>
      <c r="D25" s="42">
        <f>'Mono Slab on Grade Building 1'!D13</f>
        <v>0</v>
      </c>
      <c r="E25" s="89">
        <f>'Mono Slab on Grade Building 1'!AD13</f>
        <v>0</v>
      </c>
      <c r="F25" s="42" t="s">
        <v>136</v>
      </c>
      <c r="G25" s="89">
        <f>'Mono Slab on Grade Building 1'!AC13</f>
        <v>0</v>
      </c>
      <c r="H25" s="42" t="s">
        <v>32</v>
      </c>
    </row>
    <row r="26" spans="1:10" s="42" customFormat="1" ht="15.5" x14ac:dyDescent="0.35">
      <c r="B26" s="58">
        <f>'Mono Slab on Grade Building 1'!C14</f>
        <v>0</v>
      </c>
      <c r="C26" s="58" t="str">
        <f>'Mono Slab on Grade Building 1'!B14</f>
        <v>Bld 1 Pour 4</v>
      </c>
      <c r="D26" s="42">
        <f>'Mono Slab on Grade Building 1'!D14</f>
        <v>0</v>
      </c>
      <c r="E26" s="89">
        <f>'Mono Slab on Grade Building 1'!AD14</f>
        <v>0</v>
      </c>
      <c r="F26" s="42" t="s">
        <v>136</v>
      </c>
      <c r="G26" s="89">
        <f>'Mono Slab on Grade Building 1'!AC14</f>
        <v>0</v>
      </c>
      <c r="H26" s="42" t="s">
        <v>32</v>
      </c>
    </row>
    <row r="27" spans="1:10" s="42" customFormat="1" ht="15.5" x14ac:dyDescent="0.35">
      <c r="B27" s="58">
        <f>'Mono Slab on Grade Building 1'!C15</f>
        <v>0</v>
      </c>
      <c r="C27" s="58" t="str">
        <f>'Mono Slab on Grade Building 1'!B15</f>
        <v>Bld 1 Pour 5</v>
      </c>
      <c r="D27" s="42">
        <f>'Mono Slab on Grade Building 1'!D15</f>
        <v>0</v>
      </c>
      <c r="E27" s="89">
        <f>'Mono Slab on Grade Building 1'!AD15</f>
        <v>0</v>
      </c>
      <c r="F27" s="42" t="s">
        <v>136</v>
      </c>
      <c r="G27" s="89">
        <f>'Mono Slab on Grade Building 1'!AC15</f>
        <v>0</v>
      </c>
      <c r="H27" s="42" t="s">
        <v>32</v>
      </c>
    </row>
    <row r="28" spans="1:10" s="42" customFormat="1" ht="15.5" x14ac:dyDescent="0.35">
      <c r="B28" s="58">
        <f>'Mono Slab on Grade Building 1'!C16</f>
        <v>0</v>
      </c>
      <c r="C28" s="58" t="str">
        <f>'Mono Slab on Grade Building 1'!B16</f>
        <v>Bld 1 Pour 6</v>
      </c>
      <c r="D28" s="42">
        <f>'Mono Slab on Grade Building 1'!D16</f>
        <v>0</v>
      </c>
      <c r="E28" s="89">
        <f>'Mono Slab on Grade Building 1'!AD16</f>
        <v>0</v>
      </c>
      <c r="F28" s="42" t="s">
        <v>136</v>
      </c>
      <c r="G28" s="89">
        <f>'Mono Slab on Grade Building 1'!AC16</f>
        <v>0</v>
      </c>
      <c r="H28" s="42" t="s">
        <v>32</v>
      </c>
    </row>
    <row r="29" spans="1:10" s="42" customFormat="1" ht="15.5" x14ac:dyDescent="0.35">
      <c r="B29" s="58">
        <f>'Mono Slab on Grade Building 1'!C17</f>
        <v>0</v>
      </c>
      <c r="C29" s="58" t="str">
        <f>'Mono Slab on Grade Building 1'!B17</f>
        <v>Bld 1 Pour 7</v>
      </c>
      <c r="D29" s="42">
        <f>'Mono Slab on Grade Building 1'!D17</f>
        <v>0</v>
      </c>
      <c r="E29" s="89">
        <f>'Mono Slab on Grade Building 1'!AD17</f>
        <v>0</v>
      </c>
      <c r="F29" s="42" t="s">
        <v>136</v>
      </c>
      <c r="G29" s="89">
        <f>'Mono Slab on Grade Building 1'!AC17</f>
        <v>0</v>
      </c>
      <c r="H29" s="42" t="s">
        <v>32</v>
      </c>
    </row>
    <row r="30" spans="1:10" s="42" customFormat="1" ht="15.5" x14ac:dyDescent="0.35">
      <c r="B30" s="58">
        <f>'Mono Slab on Grade Building 1'!C18</f>
        <v>0</v>
      </c>
      <c r="C30" s="58" t="str">
        <f>'Mono Slab on Grade Building 1'!B18</f>
        <v>Bld 1 Pour 8</v>
      </c>
      <c r="D30" s="42">
        <f>'Mono Slab on Grade Building 1'!D18</f>
        <v>0</v>
      </c>
      <c r="E30" s="89">
        <f>'Mono Slab on Grade Building 1'!AD18</f>
        <v>0</v>
      </c>
      <c r="F30" s="42" t="s">
        <v>136</v>
      </c>
      <c r="G30" s="89">
        <f>'Mono Slab on Grade Building 1'!AC18</f>
        <v>0</v>
      </c>
      <c r="H30" s="42" t="s">
        <v>32</v>
      </c>
    </row>
    <row r="31" spans="1:10" s="42" customFormat="1" ht="15.5" x14ac:dyDescent="0.35">
      <c r="B31" s="58">
        <f>'Mono Slab on Grade Building 1'!C19</f>
        <v>0</v>
      </c>
      <c r="C31" s="58" t="str">
        <f>'Mono Slab on Grade Building 1'!B19</f>
        <v>Bld 1 Pour 9</v>
      </c>
      <c r="D31" s="42">
        <f>'Mono Slab on Grade Building 1'!D19</f>
        <v>0</v>
      </c>
      <c r="E31" s="89">
        <f>'Mono Slab on Grade Building 1'!AD19</f>
        <v>0</v>
      </c>
      <c r="F31" s="42" t="s">
        <v>136</v>
      </c>
      <c r="G31" s="89">
        <f>'Mono Slab on Grade Building 1'!AC19</f>
        <v>0</v>
      </c>
      <c r="H31" s="42" t="s">
        <v>32</v>
      </c>
    </row>
    <row r="32" spans="1:10" s="42" customFormat="1" ht="15.5" x14ac:dyDescent="0.35">
      <c r="B32" s="58">
        <f>'Mono Slab on Grade Building 1'!C20</f>
        <v>0</v>
      </c>
      <c r="C32" s="58" t="str">
        <f>'Mono Slab on Grade Building 1'!B20</f>
        <v>Bld 1 Pour 10</v>
      </c>
      <c r="D32" s="42">
        <f>'Mono Slab on Grade Building 1'!D20</f>
        <v>0</v>
      </c>
      <c r="E32" s="89">
        <f>'Mono Slab on Grade Building 1'!AD20</f>
        <v>0</v>
      </c>
      <c r="F32" s="42" t="s">
        <v>136</v>
      </c>
      <c r="G32" s="89">
        <f>'Mono Slab on Grade Building 1'!AC20</f>
        <v>0</v>
      </c>
      <c r="H32" s="42" t="s">
        <v>32</v>
      </c>
    </row>
    <row r="33" spans="2:8" s="42" customFormat="1" ht="15.5" x14ac:dyDescent="0.35">
      <c r="B33" s="58">
        <f>'Mono Slab on Grade Building 1'!C21</f>
        <v>0</v>
      </c>
      <c r="C33" s="58" t="str">
        <f>'Mono Slab on Grade Building 1'!B21</f>
        <v>Bld 1 Pour 11</v>
      </c>
      <c r="D33" s="42">
        <f>'Mono Slab on Grade Building 1'!D21</f>
        <v>0</v>
      </c>
      <c r="E33" s="89">
        <f>'Mono Slab on Grade Building 1'!AD21</f>
        <v>0</v>
      </c>
      <c r="F33" s="42" t="s">
        <v>136</v>
      </c>
      <c r="G33" s="89">
        <f>'Mono Slab on Grade Building 1'!AC21</f>
        <v>0</v>
      </c>
      <c r="H33" s="42" t="s">
        <v>32</v>
      </c>
    </row>
    <row r="34" spans="2:8" s="42" customFormat="1" ht="15.5" x14ac:dyDescent="0.35">
      <c r="B34" s="58">
        <f>'Mono Slab on Grade Building 1'!C22</f>
        <v>0</v>
      </c>
      <c r="C34" s="58" t="str">
        <f>'Mono Slab on Grade Building 1'!B22</f>
        <v>Bld 1 Pour 12</v>
      </c>
      <c r="D34" s="42">
        <f>'Mono Slab on Grade Building 1'!D22</f>
        <v>0</v>
      </c>
      <c r="E34" s="89">
        <f>'Mono Slab on Grade Building 1'!AD22</f>
        <v>0</v>
      </c>
      <c r="F34" s="42" t="s">
        <v>136</v>
      </c>
      <c r="G34" s="89">
        <f>'Mono Slab on Grade Building 1'!AC22</f>
        <v>0</v>
      </c>
      <c r="H34" s="42" t="s">
        <v>32</v>
      </c>
    </row>
    <row r="35" spans="2:8" s="42" customFormat="1" ht="15.5" x14ac:dyDescent="0.35">
      <c r="B35" s="58">
        <f>'Mono Slab on Grade Building 1'!C23</f>
        <v>0</v>
      </c>
      <c r="C35" s="58" t="str">
        <f>'Mono Slab on Grade Building 1'!B23</f>
        <v>Bld 1 Pour 13</v>
      </c>
      <c r="D35" s="42">
        <f>'Mono Slab on Grade Building 1'!D23</f>
        <v>0</v>
      </c>
      <c r="E35" s="89">
        <f>'Mono Slab on Grade Building 1'!AD23</f>
        <v>0</v>
      </c>
      <c r="F35" s="42" t="s">
        <v>136</v>
      </c>
      <c r="G35" s="89">
        <f>'Mono Slab on Grade Building 1'!AC23</f>
        <v>0</v>
      </c>
      <c r="H35" s="42" t="s">
        <v>32</v>
      </c>
    </row>
    <row r="36" spans="2:8" s="42" customFormat="1" ht="15.5" x14ac:dyDescent="0.35">
      <c r="B36" s="58">
        <f>'Mono Slab on Grade Building 1'!C24</f>
        <v>0</v>
      </c>
      <c r="C36" s="58" t="str">
        <f>'Mono Slab on Grade Building 1'!B24</f>
        <v>Bld 1 Pour 14</v>
      </c>
      <c r="D36" s="42">
        <f>'Mono Slab on Grade Building 1'!D24</f>
        <v>0</v>
      </c>
      <c r="E36" s="89">
        <f>'Mono Slab on Grade Building 1'!AD24</f>
        <v>0</v>
      </c>
      <c r="F36" s="42" t="s">
        <v>136</v>
      </c>
      <c r="G36" s="89">
        <f>'Mono Slab on Grade Building 1'!AC24</f>
        <v>0</v>
      </c>
      <c r="H36" s="42" t="s">
        <v>32</v>
      </c>
    </row>
    <row r="37" spans="2:8" s="42" customFormat="1" ht="15.5" x14ac:dyDescent="0.35">
      <c r="B37" s="58">
        <f>'Mono Slab on Grade Building 1'!C25</f>
        <v>0</v>
      </c>
      <c r="C37" s="58" t="str">
        <f>'Mono Slab on Grade Building 1'!B25</f>
        <v>Bld 1 Pour 15</v>
      </c>
      <c r="D37" s="42">
        <f>'Mono Slab on Grade Building 1'!D25</f>
        <v>0</v>
      </c>
      <c r="E37" s="89">
        <f>'Mono Slab on Grade Building 1'!AD25</f>
        <v>0</v>
      </c>
      <c r="F37" s="42" t="s">
        <v>136</v>
      </c>
      <c r="G37" s="89">
        <f>'Mono Slab on Grade Building 1'!AC25</f>
        <v>0</v>
      </c>
      <c r="H37" s="42" t="s">
        <v>32</v>
      </c>
    </row>
    <row r="38" spans="2:8" s="42" customFormat="1" ht="15.5" x14ac:dyDescent="0.35">
      <c r="B38" s="58">
        <f>'Mono Slab on Grade Building 1'!C26</f>
        <v>0</v>
      </c>
      <c r="C38" s="58" t="str">
        <f>'Mono Slab on Grade Building 1'!B26</f>
        <v>Bld 1 Pour 16</v>
      </c>
      <c r="D38" s="42">
        <f>'Mono Slab on Grade Building 1'!D26</f>
        <v>0</v>
      </c>
      <c r="E38" s="89">
        <f>'Mono Slab on Grade Building 1'!AD26</f>
        <v>0</v>
      </c>
      <c r="F38" s="42" t="s">
        <v>136</v>
      </c>
      <c r="G38" s="89">
        <f>'Mono Slab on Grade Building 1'!AC26</f>
        <v>0</v>
      </c>
      <c r="H38" s="42" t="s">
        <v>32</v>
      </c>
    </row>
    <row r="39" spans="2:8" s="42" customFormat="1" ht="15.5" x14ac:dyDescent="0.35">
      <c r="B39" s="58">
        <f>'Mono Slab on Grade Building 1'!C27</f>
        <v>0</v>
      </c>
      <c r="C39" s="58" t="str">
        <f>'Mono Slab on Grade Building 1'!B27</f>
        <v>Bld 1 Pour 17</v>
      </c>
      <c r="D39" s="42">
        <f>'Mono Slab on Grade Building 1'!D27</f>
        <v>0</v>
      </c>
      <c r="E39" s="89">
        <f>'Mono Slab on Grade Building 1'!AD27</f>
        <v>0</v>
      </c>
      <c r="F39" s="42" t="s">
        <v>136</v>
      </c>
      <c r="G39" s="89">
        <f>'Mono Slab on Grade Building 1'!AC27</f>
        <v>0</v>
      </c>
      <c r="H39" s="42" t="s">
        <v>32</v>
      </c>
    </row>
    <row r="40" spans="2:8" s="42" customFormat="1" ht="15.5" x14ac:dyDescent="0.35">
      <c r="B40" s="58">
        <f>'Mono Slab on Grade Building 1'!C28</f>
        <v>0</v>
      </c>
      <c r="C40" s="58" t="str">
        <f>'Mono Slab on Grade Building 1'!B28</f>
        <v>Bld 1 Pour 18</v>
      </c>
      <c r="D40" s="42">
        <f>'Mono Slab on Grade Building 1'!D28</f>
        <v>0</v>
      </c>
      <c r="E40" s="89">
        <f>'Mono Slab on Grade Building 1'!AD28</f>
        <v>0</v>
      </c>
      <c r="F40" s="42" t="s">
        <v>136</v>
      </c>
      <c r="G40" s="89">
        <f>'Mono Slab on Grade Building 1'!AC28</f>
        <v>0</v>
      </c>
      <c r="H40" s="42" t="s">
        <v>32</v>
      </c>
    </row>
    <row r="41" spans="2:8" s="42" customFormat="1" ht="15.5" x14ac:dyDescent="0.35">
      <c r="B41" s="58">
        <f>'Mono Slab on Grade Building 1'!C29</f>
        <v>0</v>
      </c>
      <c r="C41" s="58" t="str">
        <f>'Mono Slab on Grade Building 1'!B29</f>
        <v>Bld 1 Pour 19</v>
      </c>
      <c r="D41" s="42">
        <f>'Mono Slab on Grade Building 1'!D29</f>
        <v>0</v>
      </c>
      <c r="E41" s="89">
        <f>'Mono Slab on Grade Building 1'!AD29</f>
        <v>0</v>
      </c>
      <c r="F41" s="42" t="s">
        <v>136</v>
      </c>
      <c r="G41" s="89">
        <f>'Mono Slab on Grade Building 1'!AC29</f>
        <v>0</v>
      </c>
      <c r="H41" s="42" t="s">
        <v>32</v>
      </c>
    </row>
    <row r="42" spans="2:8" s="42" customFormat="1" ht="15.5" x14ac:dyDescent="0.35">
      <c r="B42" s="58">
        <f>'Mono Slab on Grade Building 1'!C30</f>
        <v>0</v>
      </c>
      <c r="C42" s="58" t="str">
        <f>'Mono Slab on Grade Building 1'!B30</f>
        <v>Bld 1 Pour 20</v>
      </c>
      <c r="D42" s="42">
        <f>'Mono Slab on Grade Building 1'!D30</f>
        <v>0</v>
      </c>
      <c r="E42" s="89">
        <f>'Mono Slab on Grade Building 1'!AD30</f>
        <v>0</v>
      </c>
      <c r="F42" s="42" t="s">
        <v>136</v>
      </c>
      <c r="G42" s="89">
        <f>'Mono Slab on Grade Building 1'!AC30</f>
        <v>0</v>
      </c>
      <c r="H42" s="42" t="s">
        <v>32</v>
      </c>
    </row>
    <row r="43" spans="2:8" s="42" customFormat="1" ht="15.5" x14ac:dyDescent="0.35">
      <c r="B43" s="58">
        <f>'Mono Slab on Grade Building 1'!C31</f>
        <v>0</v>
      </c>
      <c r="C43" s="58" t="str">
        <f>'Mono Slab on Grade Building 1'!B31</f>
        <v>Bld 1 Pour 21</v>
      </c>
      <c r="D43" s="42">
        <f>'Mono Slab on Grade Building 1'!D31</f>
        <v>0</v>
      </c>
      <c r="E43" s="89">
        <f>'Mono Slab on Grade Building 1'!AD31</f>
        <v>0</v>
      </c>
      <c r="F43" s="42" t="s">
        <v>136</v>
      </c>
      <c r="G43" s="89">
        <f>'Mono Slab on Grade Building 1'!AC31</f>
        <v>0</v>
      </c>
      <c r="H43" s="42" t="s">
        <v>32</v>
      </c>
    </row>
    <row r="44" spans="2:8" s="42" customFormat="1" ht="15.5" x14ac:dyDescent="0.35">
      <c r="B44" s="58">
        <f>'Mono Slab on Grade Building 1'!C32</f>
        <v>0</v>
      </c>
      <c r="C44" s="58" t="str">
        <f>'Mono Slab on Grade Building 1'!B32</f>
        <v>Bld 1 Pour 22</v>
      </c>
      <c r="D44" s="42">
        <f>'Mono Slab on Grade Building 1'!D32</f>
        <v>0</v>
      </c>
      <c r="E44" s="89">
        <f>'Mono Slab on Grade Building 1'!AD32</f>
        <v>0</v>
      </c>
      <c r="F44" s="42" t="s">
        <v>136</v>
      </c>
      <c r="G44" s="89">
        <f>'Mono Slab on Grade Building 1'!AC32</f>
        <v>0</v>
      </c>
      <c r="H44" s="42" t="s">
        <v>32</v>
      </c>
    </row>
    <row r="45" spans="2:8" s="42" customFormat="1" ht="15.5" x14ac:dyDescent="0.35">
      <c r="B45" s="58">
        <f>'Mono Slab on Grade Building 1'!C33</f>
        <v>0</v>
      </c>
      <c r="C45" s="58" t="str">
        <f>'Mono Slab on Grade Building 1'!B33</f>
        <v>Bld 1 Pour 23</v>
      </c>
      <c r="D45" s="42">
        <f>'Mono Slab on Grade Building 1'!D33</f>
        <v>0</v>
      </c>
      <c r="E45" s="89">
        <f>'Mono Slab on Grade Building 1'!AD33</f>
        <v>0</v>
      </c>
      <c r="F45" s="42" t="s">
        <v>136</v>
      </c>
      <c r="G45" s="89">
        <f>'Mono Slab on Grade Building 1'!AC33</f>
        <v>0</v>
      </c>
      <c r="H45" s="42" t="s">
        <v>32</v>
      </c>
    </row>
    <row r="46" spans="2:8" s="42" customFormat="1" ht="15.5" x14ac:dyDescent="0.35">
      <c r="B46" s="58">
        <f>'Mono Slab on Grade Building 1'!C34</f>
        <v>0</v>
      </c>
      <c r="C46" s="58" t="str">
        <f>'Mono Slab on Grade Building 1'!B34</f>
        <v>Bld 1 Pour 24</v>
      </c>
      <c r="D46" s="42">
        <f>'Mono Slab on Grade Building 1'!D34</f>
        <v>0</v>
      </c>
      <c r="E46" s="89">
        <f>'Mono Slab on Grade Building 1'!AD34</f>
        <v>0</v>
      </c>
      <c r="F46" s="42" t="s">
        <v>136</v>
      </c>
      <c r="G46" s="89">
        <f>'Mono Slab on Grade Building 1'!AC34</f>
        <v>0</v>
      </c>
      <c r="H46" s="42" t="s">
        <v>32</v>
      </c>
    </row>
    <row r="47" spans="2:8" s="42" customFormat="1" ht="15.5" x14ac:dyDescent="0.35">
      <c r="B47" s="58">
        <f>'Mono Slab on Grade Building 1'!C35</f>
        <v>0</v>
      </c>
      <c r="C47" s="58" t="str">
        <f>'Mono Slab on Grade Building 1'!B35</f>
        <v>Bld 1 Leaveouts</v>
      </c>
      <c r="D47" s="42">
        <f>'Mono Slab on Grade Building 1'!D35</f>
        <v>0</v>
      </c>
      <c r="E47" s="89">
        <f>'Mono Slab on Grade Building 1'!AD35</f>
        <v>0</v>
      </c>
      <c r="F47" s="42" t="s">
        <v>136</v>
      </c>
      <c r="G47" s="89">
        <f>'Mono Slab on Grade Building 1'!AC35</f>
        <v>0</v>
      </c>
      <c r="H47" s="42" t="s">
        <v>32</v>
      </c>
    </row>
    <row r="48" spans="2:8" s="42" customFormat="1" ht="15.5" x14ac:dyDescent="0.35"/>
    <row r="49" s="42" customFormat="1" ht="15.5" x14ac:dyDescent="0.35"/>
    <row r="50" s="42" customFormat="1" ht="15.5" x14ac:dyDescent="0.35"/>
    <row r="51" s="42" customFormat="1" ht="15.5" x14ac:dyDescent="0.35"/>
    <row r="52" s="42" customFormat="1" ht="15.5" x14ac:dyDescent="0.35"/>
    <row r="53" s="42" customFormat="1" ht="15.5" x14ac:dyDescent="0.35"/>
    <row r="54" s="42" customFormat="1" ht="15.5" x14ac:dyDescent="0.35"/>
    <row r="55" s="42" customFormat="1" ht="15.5" x14ac:dyDescent="0.35"/>
    <row r="56" s="42" customFormat="1" ht="15.5" x14ac:dyDescent="0.35"/>
    <row r="57" s="42" customFormat="1" ht="15.5" x14ac:dyDescent="0.35"/>
    <row r="58" s="42" customFormat="1" ht="15.5" x14ac:dyDescent="0.35"/>
    <row r="59" s="42" customFormat="1" ht="15.5" x14ac:dyDescent="0.35"/>
    <row r="60" s="42" customFormat="1" ht="15.5" x14ac:dyDescent="0.35"/>
    <row r="61" s="42" customFormat="1" ht="15.5" x14ac:dyDescent="0.35"/>
    <row r="62" s="42" customFormat="1" ht="15.5" x14ac:dyDescent="0.35"/>
    <row r="63" s="42" customFormat="1" ht="15.5" x14ac:dyDescent="0.35"/>
    <row r="64" s="42" customFormat="1" ht="15.5" x14ac:dyDescent="0.35"/>
    <row r="65" s="42" customFormat="1" ht="15.5" x14ac:dyDescent="0.35"/>
    <row r="66" s="42" customFormat="1" ht="15.5" x14ac:dyDescent="0.35"/>
    <row r="67" s="42" customFormat="1" ht="15.5" x14ac:dyDescent="0.35"/>
    <row r="68" s="42" customFormat="1" ht="15.5" x14ac:dyDescent="0.35"/>
    <row r="69" s="42" customFormat="1" ht="15.5" x14ac:dyDescent="0.35"/>
    <row r="70" s="42" customFormat="1" ht="15.5" x14ac:dyDescent="0.35"/>
    <row r="71" s="42" customFormat="1" ht="15.5" x14ac:dyDescent="0.35"/>
    <row r="72" s="42" customFormat="1" ht="15.5" x14ac:dyDescent="0.35"/>
    <row r="73" s="42" customFormat="1" ht="15.5" x14ac:dyDescent="0.35"/>
    <row r="74" s="42" customFormat="1" ht="15.5" x14ac:dyDescent="0.35"/>
    <row r="75" s="42" customFormat="1" ht="15.5" x14ac:dyDescent="0.35"/>
    <row r="76" s="42" customFormat="1" ht="15.5" x14ac:dyDescent="0.35"/>
    <row r="77" s="42" customFormat="1" ht="15.5" x14ac:dyDescent="0.35"/>
    <row r="78" s="42" customFormat="1" ht="15.5" x14ac:dyDescent="0.35"/>
    <row r="79" s="42" customFormat="1" ht="15.5" x14ac:dyDescent="0.35"/>
    <row r="80" s="42" customFormat="1" ht="15.5" x14ac:dyDescent="0.35"/>
    <row r="81" s="42" customFormat="1" ht="15.5" x14ac:dyDescent="0.35"/>
    <row r="82" s="42" customFormat="1" ht="15.5" x14ac:dyDescent="0.35"/>
    <row r="83" s="42" customFormat="1" ht="15.5" x14ac:dyDescent="0.35"/>
    <row r="84" s="42" customFormat="1" ht="15.5" x14ac:dyDescent="0.35"/>
    <row r="85" s="42" customFormat="1" ht="15.5" x14ac:dyDescent="0.35"/>
    <row r="86" s="42" customFormat="1" ht="15.5" x14ac:dyDescent="0.35"/>
    <row r="87" s="42" customFormat="1" ht="15.5" x14ac:dyDescent="0.35"/>
    <row r="88" s="42" customFormat="1" ht="15.5" x14ac:dyDescent="0.35"/>
    <row r="89" s="42" customFormat="1" ht="15.5" x14ac:dyDescent="0.35"/>
    <row r="90" s="42" customFormat="1" ht="15.5" x14ac:dyDescent="0.35"/>
    <row r="91" s="42" customFormat="1" ht="15.5" x14ac:dyDescent="0.35"/>
    <row r="92" s="42" customFormat="1" ht="15.5" x14ac:dyDescent="0.35"/>
    <row r="93" s="42" customFormat="1" ht="15.5" x14ac:dyDescent="0.35"/>
    <row r="94" s="42" customFormat="1" ht="15.5" x14ac:dyDescent="0.35"/>
    <row r="95" s="42" customFormat="1" ht="15.5" x14ac:dyDescent="0.35"/>
    <row r="96" s="42" customFormat="1" ht="15.5" x14ac:dyDescent="0.35"/>
    <row r="97" s="42" customFormat="1" ht="15.5" x14ac:dyDescent="0.35"/>
    <row r="98" s="42" customFormat="1" ht="15.5" x14ac:dyDescent="0.35"/>
    <row r="99" s="42" customFormat="1" ht="15.5" x14ac:dyDescent="0.35"/>
    <row r="100" s="42" customFormat="1" ht="15.5" x14ac:dyDescent="0.35"/>
    <row r="101" s="42" customFormat="1" ht="15.5" x14ac:dyDescent="0.35"/>
    <row r="102" s="42" customFormat="1" ht="15.5" x14ac:dyDescent="0.35"/>
    <row r="103" s="42" customFormat="1" ht="15.5" x14ac:dyDescent="0.35"/>
    <row r="104" s="42" customFormat="1" ht="15.5" x14ac:dyDescent="0.35"/>
    <row r="105" s="42" customFormat="1" ht="15.5" x14ac:dyDescent="0.35"/>
    <row r="106" s="42" customFormat="1" ht="15.5" x14ac:dyDescent="0.35"/>
    <row r="107" s="42" customFormat="1" ht="15.5" x14ac:dyDescent="0.35"/>
    <row r="108" s="42" customFormat="1" ht="15.5" x14ac:dyDescent="0.35"/>
    <row r="109" s="42" customFormat="1" ht="15.5" x14ac:dyDescent="0.35"/>
    <row r="110" s="42" customFormat="1" ht="15.5" x14ac:dyDescent="0.35"/>
    <row r="111" s="42" customFormat="1" ht="15.5" x14ac:dyDescent="0.35"/>
    <row r="112" s="42" customFormat="1" ht="15.5" x14ac:dyDescent="0.35"/>
    <row r="113" s="42" customFormat="1" ht="15.5" x14ac:dyDescent="0.35"/>
    <row r="114" s="42" customFormat="1" ht="15.5" x14ac:dyDescent="0.35"/>
    <row r="115" s="42" customFormat="1" ht="15.5" x14ac:dyDescent="0.35"/>
    <row r="116" s="42" customFormat="1" ht="15.5" x14ac:dyDescent="0.35"/>
    <row r="117" s="42" customFormat="1" ht="15.5" x14ac:dyDescent="0.35"/>
    <row r="118" s="42" customFormat="1" ht="15.5" x14ac:dyDescent="0.35"/>
    <row r="119" s="42" customFormat="1" ht="15.5" x14ac:dyDescent="0.35"/>
    <row r="120" s="42" customFormat="1" ht="15.5" x14ac:dyDescent="0.35"/>
    <row r="121" s="42" customFormat="1" ht="15.5" x14ac:dyDescent="0.35"/>
    <row r="122" s="42" customFormat="1" ht="15.5" x14ac:dyDescent="0.35"/>
    <row r="123" s="42" customFormat="1" ht="15.5" x14ac:dyDescent="0.35"/>
    <row r="124" s="42" customFormat="1" ht="15.5" x14ac:dyDescent="0.35"/>
    <row r="125" s="42" customFormat="1" ht="15.5" x14ac:dyDescent="0.35"/>
    <row r="126" s="42" customFormat="1" ht="15.5" x14ac:dyDescent="0.35"/>
    <row r="127" s="42" customFormat="1" ht="15.5" x14ac:dyDescent="0.35"/>
    <row r="128" s="42" customFormat="1" ht="15.5" x14ac:dyDescent="0.35"/>
    <row r="129" s="42" customFormat="1" ht="15.5" x14ac:dyDescent="0.35"/>
    <row r="130" s="42" customFormat="1" ht="15.5" x14ac:dyDescent="0.35"/>
    <row r="131" s="42" customFormat="1" ht="15.5" x14ac:dyDescent="0.35"/>
    <row r="132" s="42" customFormat="1" ht="15.5" x14ac:dyDescent="0.35"/>
    <row r="133" s="42" customFormat="1" ht="15.5" x14ac:dyDescent="0.35"/>
    <row r="134" s="42" customFormat="1" ht="15.5" x14ac:dyDescent="0.35"/>
    <row r="135" s="42" customFormat="1" ht="15.5" x14ac:dyDescent="0.35"/>
    <row r="136" s="42" customFormat="1" ht="15.5" x14ac:dyDescent="0.35"/>
    <row r="137" s="42" customFormat="1" ht="15.5" x14ac:dyDescent="0.35"/>
    <row r="138" s="42" customFormat="1" ht="15.5" x14ac:dyDescent="0.35"/>
    <row r="139" s="42" customFormat="1" ht="15.5" x14ac:dyDescent="0.35"/>
    <row r="140" s="42" customFormat="1" ht="15.5" x14ac:dyDescent="0.35"/>
    <row r="141" s="42" customFormat="1" ht="15.5" x14ac:dyDescent="0.35"/>
    <row r="142" s="42" customFormat="1" ht="15.5" x14ac:dyDescent="0.35"/>
    <row r="143" s="42" customFormat="1" ht="15.5" x14ac:dyDescent="0.35"/>
    <row r="144" s="42" customFormat="1" ht="15.5" x14ac:dyDescent="0.35"/>
    <row r="145" s="42" customFormat="1" ht="15.5" x14ac:dyDescent="0.35"/>
    <row r="146" s="42" customFormat="1" ht="15.5" x14ac:dyDescent="0.35"/>
    <row r="147" s="42" customFormat="1" ht="15.5" x14ac:dyDescent="0.35"/>
    <row r="148" s="42" customFormat="1" ht="15.5" x14ac:dyDescent="0.35"/>
    <row r="149" s="42" customFormat="1" ht="15.5" x14ac:dyDescent="0.35"/>
    <row r="150" s="42" customFormat="1" ht="15.5" x14ac:dyDescent="0.35"/>
    <row r="151" s="42" customFormat="1" ht="15.5" x14ac:dyDescent="0.35"/>
    <row r="152" s="42" customFormat="1" ht="15.5" x14ac:dyDescent="0.35"/>
    <row r="153" s="42" customFormat="1" ht="15.5" x14ac:dyDescent="0.35"/>
    <row r="154" s="42" customFormat="1" ht="15.5" x14ac:dyDescent="0.35"/>
    <row r="155" s="42" customFormat="1" ht="15.5" x14ac:dyDescent="0.35"/>
    <row r="156" s="42" customFormat="1" ht="15.5" x14ac:dyDescent="0.35"/>
    <row r="157" s="42" customFormat="1" ht="15.5" x14ac:dyDescent="0.35"/>
    <row r="158" s="42" customFormat="1" ht="15.5" x14ac:dyDescent="0.35"/>
    <row r="159" s="42" customFormat="1" ht="15.5" x14ac:dyDescent="0.35"/>
    <row r="160" s="42" customFormat="1" ht="15.5" x14ac:dyDescent="0.35"/>
    <row r="161" s="42" customFormat="1" ht="15.5" x14ac:dyDescent="0.35"/>
    <row r="162" s="42" customFormat="1" ht="15.5" x14ac:dyDescent="0.35"/>
    <row r="163" s="42" customFormat="1" ht="15.5" x14ac:dyDescent="0.35"/>
    <row r="164" s="42" customFormat="1" ht="15.5" x14ac:dyDescent="0.35"/>
    <row r="165" s="42" customFormat="1" ht="15.5" x14ac:dyDescent="0.35"/>
    <row r="166" s="42" customFormat="1" ht="15.5" x14ac:dyDescent="0.35"/>
    <row r="167" s="42" customFormat="1" ht="15.5" x14ac:dyDescent="0.35"/>
    <row r="168" s="42" customFormat="1" ht="15.5" x14ac:dyDescent="0.35"/>
    <row r="169" s="42" customFormat="1" ht="15.5" x14ac:dyDescent="0.35"/>
    <row r="170" s="42" customFormat="1" ht="15.5" x14ac:dyDescent="0.35"/>
    <row r="171" s="42" customFormat="1" ht="15.5" x14ac:dyDescent="0.35"/>
    <row r="172" s="42" customFormat="1" ht="15.5" x14ac:dyDescent="0.35"/>
    <row r="173" s="42" customFormat="1" ht="15.5" x14ac:dyDescent="0.35"/>
    <row r="174" s="42" customFormat="1" ht="15.5" x14ac:dyDescent="0.35"/>
    <row r="175" s="42" customFormat="1" ht="15.5" x14ac:dyDescent="0.35"/>
    <row r="176" s="42" customFormat="1" ht="15.5" x14ac:dyDescent="0.35"/>
    <row r="177" s="42" customFormat="1" ht="15.5" x14ac:dyDescent="0.35"/>
    <row r="178" s="42" customFormat="1" ht="15.5" x14ac:dyDescent="0.35"/>
    <row r="179" s="42" customFormat="1" ht="15.5" x14ac:dyDescent="0.35"/>
    <row r="180" s="42" customFormat="1" ht="15.5" x14ac:dyDescent="0.35"/>
    <row r="181" s="42" customFormat="1" ht="15.5" x14ac:dyDescent="0.35"/>
    <row r="182" s="42" customFormat="1" ht="15.5" x14ac:dyDescent="0.35"/>
    <row r="183" s="42" customFormat="1" ht="15.5" x14ac:dyDescent="0.35"/>
    <row r="184" s="42" customFormat="1" ht="15.5" x14ac:dyDescent="0.35"/>
    <row r="185" s="42" customFormat="1" ht="15.5" x14ac:dyDescent="0.35"/>
    <row r="186" s="42" customFormat="1" ht="15.5" x14ac:dyDescent="0.35"/>
    <row r="187" s="42" customFormat="1" ht="15.5" x14ac:dyDescent="0.35"/>
    <row r="188" s="42" customFormat="1" ht="15.5" x14ac:dyDescent="0.35"/>
    <row r="189" s="42" customFormat="1" ht="15.5" x14ac:dyDescent="0.35"/>
    <row r="190" s="42" customFormat="1" ht="15.5" x14ac:dyDescent="0.35"/>
    <row r="191" s="42" customFormat="1" ht="15.5" x14ac:dyDescent="0.35"/>
    <row r="192" s="42" customFormat="1" ht="15.5" x14ac:dyDescent="0.35"/>
    <row r="193" s="42" customFormat="1" ht="15.5" x14ac:dyDescent="0.35"/>
    <row r="194" s="42" customFormat="1" ht="15.5" x14ac:dyDescent="0.35"/>
    <row r="195" s="42" customFormat="1" ht="15.5" x14ac:dyDescent="0.35"/>
    <row r="196" s="42" customFormat="1" ht="15.5" x14ac:dyDescent="0.35"/>
    <row r="197" s="42" customFormat="1" ht="15.5" x14ac:dyDescent="0.35"/>
    <row r="198" s="42" customFormat="1" ht="15.5" x14ac:dyDescent="0.35"/>
    <row r="199" s="42" customFormat="1" ht="15.5" x14ac:dyDescent="0.35"/>
    <row r="200" s="42" customFormat="1" ht="15.5" x14ac:dyDescent="0.35"/>
    <row r="201" s="42" customFormat="1" ht="15.5" x14ac:dyDescent="0.35"/>
    <row r="202" s="42" customFormat="1" ht="15.5" x14ac:dyDescent="0.35"/>
    <row r="203" s="42" customFormat="1" ht="15.5" x14ac:dyDescent="0.35"/>
    <row r="204" s="42" customFormat="1" ht="15.5" x14ac:dyDescent="0.35"/>
    <row r="205" s="42" customFormat="1" ht="15.5" x14ac:dyDescent="0.35"/>
    <row r="206" s="42" customFormat="1" ht="15.5" x14ac:dyDescent="0.35"/>
    <row r="207" s="42" customFormat="1" ht="15.5" x14ac:dyDescent="0.35"/>
    <row r="208" s="42" customFormat="1" ht="15.5" x14ac:dyDescent="0.35"/>
    <row r="209" s="42" customFormat="1" ht="15.5" x14ac:dyDescent="0.35"/>
    <row r="210" s="42" customFormat="1" ht="15.5" x14ac:dyDescent="0.35"/>
    <row r="211" s="42" customFormat="1" ht="15.5" x14ac:dyDescent="0.35"/>
    <row r="212" s="42" customFormat="1" ht="15.5" x14ac:dyDescent="0.35"/>
    <row r="213" s="42" customFormat="1" ht="15.5" x14ac:dyDescent="0.35"/>
    <row r="214" s="42" customFormat="1" ht="15.5" x14ac:dyDescent="0.35"/>
    <row r="215" s="42" customFormat="1" ht="15.5" x14ac:dyDescent="0.35"/>
    <row r="216" s="42" customFormat="1" ht="15.5" x14ac:dyDescent="0.35"/>
    <row r="217" s="42" customFormat="1" ht="15.5" x14ac:dyDescent="0.35"/>
    <row r="218" s="42" customFormat="1" ht="15.5" x14ac:dyDescent="0.35"/>
    <row r="219" s="42" customFormat="1" ht="15.5" x14ac:dyDescent="0.35"/>
    <row r="220" s="42" customFormat="1" ht="15.5" x14ac:dyDescent="0.35"/>
    <row r="221" s="42" customFormat="1" ht="15.5" x14ac:dyDescent="0.35"/>
    <row r="222" s="42" customFormat="1" ht="15.5" x14ac:dyDescent="0.35"/>
    <row r="223" s="42" customFormat="1" ht="15.5" x14ac:dyDescent="0.35"/>
    <row r="224" s="42" customFormat="1" ht="15.5" x14ac:dyDescent="0.35"/>
    <row r="225" spans="2:5" s="42" customFormat="1" ht="15.5" x14ac:dyDescent="0.35"/>
    <row r="226" spans="2:5" s="42" customFormat="1" ht="15.5" x14ac:dyDescent="0.35"/>
    <row r="227" spans="2:5" s="42" customFormat="1" ht="15.5" x14ac:dyDescent="0.35"/>
    <row r="228" spans="2:5" s="42" customFormat="1" ht="15.5" x14ac:dyDescent="0.35"/>
    <row r="229" spans="2:5" s="42" customFormat="1" ht="15.5" x14ac:dyDescent="0.35">
      <c r="B229"/>
      <c r="C229"/>
    </row>
    <row r="230" spans="2:5" s="42" customFormat="1" ht="15.5" x14ac:dyDescent="0.35">
      <c r="B230"/>
      <c r="C230"/>
      <c r="D230"/>
    </row>
    <row r="231" spans="2:5" s="42" customFormat="1" ht="15.5" x14ac:dyDescent="0.35">
      <c r="B231"/>
      <c r="C231"/>
      <c r="D231"/>
    </row>
    <row r="232" spans="2:5" s="42" customFormat="1" ht="15.5" x14ac:dyDescent="0.35">
      <c r="B232"/>
      <c r="C232"/>
      <c r="D232"/>
    </row>
    <row r="233" spans="2:5" s="42" customFormat="1" ht="15.5" x14ac:dyDescent="0.35">
      <c r="B233"/>
      <c r="C233"/>
      <c r="D233"/>
    </row>
    <row r="234" spans="2:5" s="42" customFormat="1" ht="15.5" x14ac:dyDescent="0.35">
      <c r="B234"/>
      <c r="C234"/>
      <c r="D234"/>
    </row>
    <row r="235" spans="2:5" s="42" customFormat="1" ht="15.5" x14ac:dyDescent="0.35">
      <c r="B235"/>
      <c r="C235"/>
      <c r="D235"/>
      <c r="E235"/>
    </row>
    <row r="236" spans="2:5" s="42" customFormat="1" ht="15.5" x14ac:dyDescent="0.35">
      <c r="B236"/>
      <c r="C236"/>
      <c r="D236"/>
      <c r="E236"/>
    </row>
    <row r="237" spans="2:5" s="42" customFormat="1" ht="15.5" x14ac:dyDescent="0.35">
      <c r="B237"/>
      <c r="C237"/>
      <c r="D237"/>
      <c r="E237"/>
    </row>
    <row r="238" spans="2:5" s="42" customFormat="1" ht="15.5" x14ac:dyDescent="0.35">
      <c r="B238"/>
      <c r="C238"/>
      <c r="D238"/>
      <c r="E238"/>
    </row>
    <row r="239" spans="2:5" s="42" customFormat="1" ht="15.5" x14ac:dyDescent="0.35">
      <c r="B239"/>
      <c r="C239"/>
      <c r="D239"/>
      <c r="E239"/>
    </row>
    <row r="240" spans="2:5" s="42" customFormat="1" ht="15.5" x14ac:dyDescent="0.35">
      <c r="B240"/>
      <c r="C240"/>
      <c r="D240"/>
      <c r="E240"/>
    </row>
    <row r="241" spans="1:8" s="42" customFormat="1" ht="15.5" x14ac:dyDescent="0.35">
      <c r="A241"/>
      <c r="B241"/>
      <c r="C241"/>
      <c r="D241"/>
      <c r="E241"/>
    </row>
    <row r="242" spans="1:8" s="42" customFormat="1" ht="15.5" x14ac:dyDescent="0.35">
      <c r="A242"/>
      <c r="B242"/>
      <c r="C242"/>
      <c r="D242"/>
      <c r="E242"/>
    </row>
    <row r="243" spans="1:8" s="42" customFormat="1" ht="15.5" x14ac:dyDescent="0.35">
      <c r="A243"/>
      <c r="B243"/>
      <c r="C243"/>
      <c r="D243"/>
      <c r="E243"/>
    </row>
    <row r="244" spans="1:8" s="42" customFormat="1" ht="15.5" x14ac:dyDescent="0.35">
      <c r="A244"/>
      <c r="B244"/>
      <c r="C244"/>
      <c r="D244"/>
      <c r="E244"/>
    </row>
    <row r="245" spans="1:8" s="42" customFormat="1" ht="15.5" x14ac:dyDescent="0.35">
      <c r="A245"/>
      <c r="B245"/>
      <c r="C245"/>
      <c r="D245"/>
      <c r="E245"/>
    </row>
    <row r="246" spans="1:8" s="42" customFormat="1" ht="15.5" x14ac:dyDescent="0.35">
      <c r="A246"/>
      <c r="B246"/>
      <c r="C246"/>
      <c r="D246"/>
      <c r="E246"/>
    </row>
    <row r="247" spans="1:8" s="42" customFormat="1" ht="15.5" x14ac:dyDescent="0.35">
      <c r="A247"/>
      <c r="B247"/>
      <c r="C247"/>
      <c r="D247"/>
      <c r="E247"/>
    </row>
    <row r="248" spans="1:8" s="42" customFormat="1" ht="15.5" x14ac:dyDescent="0.35">
      <c r="A248"/>
      <c r="B248"/>
      <c r="C248"/>
      <c r="D248"/>
      <c r="E248"/>
    </row>
    <row r="249" spans="1:8" s="42" customFormat="1" ht="15.5" x14ac:dyDescent="0.35">
      <c r="A249"/>
      <c r="B249"/>
      <c r="C249"/>
      <c r="D249"/>
      <c r="E249"/>
    </row>
    <row r="250" spans="1:8" s="42" customFormat="1" ht="15.5" x14ac:dyDescent="0.35">
      <c r="A250"/>
      <c r="B250"/>
      <c r="C250"/>
      <c r="D250"/>
      <c r="E250"/>
    </row>
    <row r="251" spans="1:8" s="42" customFormat="1" ht="15.5" x14ac:dyDescent="0.35">
      <c r="A251"/>
      <c r="B251"/>
      <c r="C251"/>
      <c r="D251"/>
      <c r="E251"/>
    </row>
    <row r="252" spans="1:8" s="42" customFormat="1" ht="15.5" x14ac:dyDescent="0.35">
      <c r="A252"/>
      <c r="B252"/>
      <c r="C252"/>
      <c r="D252"/>
      <c r="E252"/>
    </row>
    <row r="253" spans="1:8" s="42" customFormat="1" ht="15.5" x14ac:dyDescent="0.35">
      <c r="A253"/>
      <c r="B253"/>
      <c r="C253"/>
      <c r="D253"/>
      <c r="E253"/>
      <c r="F253"/>
      <c r="G253"/>
    </row>
    <row r="254" spans="1:8" s="42" customFormat="1" ht="15.5" x14ac:dyDescent="0.35">
      <c r="A254"/>
      <c r="B254"/>
      <c r="C254"/>
      <c r="D254"/>
      <c r="E254"/>
      <c r="F254"/>
      <c r="G254"/>
    </row>
    <row r="255" spans="1:8" s="42" customFormat="1" ht="15.5" x14ac:dyDescent="0.35">
      <c r="A255"/>
      <c r="B255"/>
      <c r="C255"/>
      <c r="D255"/>
      <c r="E255"/>
      <c r="F255"/>
      <c r="G255"/>
      <c r="H255"/>
    </row>
    <row r="256" spans="1:8" s="42" customFormat="1" ht="15.5" x14ac:dyDescent="0.35">
      <c r="A256"/>
      <c r="B256"/>
      <c r="C256"/>
      <c r="D256"/>
      <c r="E256"/>
      <c r="F256"/>
      <c r="G256"/>
      <c r="H256"/>
    </row>
    <row r="257" spans="1:12" s="42" customFormat="1" ht="15.5" x14ac:dyDescent="0.35">
      <c r="A257"/>
      <c r="B257"/>
      <c r="C257"/>
      <c r="D257"/>
      <c r="E257"/>
      <c r="F257"/>
      <c r="G257"/>
      <c r="H257"/>
    </row>
    <row r="258" spans="1:12" s="42" customFormat="1" ht="15.5" x14ac:dyDescent="0.35">
      <c r="A258"/>
      <c r="B258"/>
      <c r="C258"/>
      <c r="D258"/>
      <c r="E258"/>
      <c r="F258"/>
      <c r="G258"/>
      <c r="H258"/>
      <c r="I258"/>
    </row>
    <row r="259" spans="1:12" s="42" customFormat="1" ht="15.5" x14ac:dyDescent="0.35">
      <c r="A259"/>
      <c r="B259"/>
      <c r="C259"/>
      <c r="D259"/>
      <c r="E259"/>
      <c r="F259"/>
      <c r="G259"/>
      <c r="H259"/>
      <c r="I259"/>
    </row>
    <row r="260" spans="1:12" s="42" customFormat="1" ht="15.5" x14ac:dyDescent="0.35">
      <c r="A260"/>
      <c r="B260"/>
      <c r="C260"/>
      <c r="D260"/>
      <c r="E260"/>
      <c r="F260"/>
      <c r="G260"/>
      <c r="H260"/>
      <c r="I260"/>
      <c r="J260"/>
    </row>
    <row r="261" spans="1:12" s="42" customFormat="1" ht="15.5" x14ac:dyDescent="0.35">
      <c r="A261"/>
      <c r="B261"/>
      <c r="C261"/>
      <c r="D261"/>
      <c r="E261"/>
      <c r="F261"/>
      <c r="G261"/>
      <c r="H261"/>
      <c r="I261"/>
      <c r="J261"/>
    </row>
    <row r="262" spans="1:12" s="42" customFormat="1" ht="15.5" x14ac:dyDescent="0.35">
      <c r="A262"/>
      <c r="B262"/>
      <c r="C262"/>
      <c r="D262"/>
      <c r="E262"/>
      <c r="F262"/>
      <c r="G262"/>
      <c r="H262"/>
      <c r="I262"/>
      <c r="J262"/>
      <c r="K262"/>
      <c r="L262"/>
    </row>
  </sheetData>
  <mergeCells count="10">
    <mergeCell ref="B5:D5"/>
    <mergeCell ref="E5:F5"/>
    <mergeCell ref="G5:I6"/>
    <mergeCell ref="G18:H18"/>
    <mergeCell ref="B8:D8"/>
    <mergeCell ref="G8:H8"/>
    <mergeCell ref="G10:H10"/>
    <mergeCell ref="G12:H12"/>
    <mergeCell ref="G14:H14"/>
    <mergeCell ref="G16:H16"/>
  </mergeCells>
  <pageMargins left="0.4" right="0.25" top="1" bottom="1" header="0.5" footer="0.5"/>
  <pageSetup orientation="portrait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13</vt:i4>
      </vt:variant>
    </vt:vector>
  </HeadingPairs>
  <TitlesOfParts>
    <vt:vector size="41" baseType="lpstr">
      <vt:lpstr>Summary</vt:lpstr>
      <vt:lpstr>Pricing</vt:lpstr>
      <vt:lpstr>CONCRETE BIDS</vt:lpstr>
      <vt:lpstr>Mono Slab on Grade Garden Style</vt:lpstr>
      <vt:lpstr>Mono Slab on Grade Building 1</vt:lpstr>
      <vt:lpstr>Mono Slab on Grade Building 2</vt:lpstr>
      <vt:lpstr>PIERS</vt:lpstr>
      <vt:lpstr>ROW Paving</vt:lpstr>
      <vt:lpstr>Private Paving</vt:lpstr>
      <vt:lpstr>Site Walls</vt:lpstr>
      <vt:lpstr>Garage Walls</vt:lpstr>
      <vt:lpstr>Footings</vt:lpstr>
      <vt:lpstr>Garage Footings</vt:lpstr>
      <vt:lpstr>Gd Beams</vt:lpstr>
      <vt:lpstr>Gd Beams or Cont Footings</vt:lpstr>
      <vt:lpstr>PANELS</vt:lpstr>
      <vt:lpstr>COLUMNS</vt:lpstr>
      <vt:lpstr>CIP EL. DECK</vt:lpstr>
      <vt:lpstr>SLAB ON GRADE</vt:lpstr>
      <vt:lpstr>SIDEWALKS</vt:lpstr>
      <vt:lpstr>Miscellaneous</vt:lpstr>
      <vt:lpstr>Information</vt:lpstr>
      <vt:lpstr>Check List</vt:lpstr>
      <vt:lpstr>SLAB ON DECK</vt:lpstr>
      <vt:lpstr>SUB LABOR SHEET</vt:lpstr>
      <vt:lpstr>Timeline</vt:lpstr>
      <vt:lpstr>Materials</vt:lpstr>
      <vt:lpstr>Concrete Yardage</vt:lpstr>
      <vt:lpstr>'Mono Slab on Grade Building 1'!Print_Area</vt:lpstr>
      <vt:lpstr>'Mono Slab on Grade Building 2'!Print_Area</vt:lpstr>
      <vt:lpstr>'Mono Slab on Grade Garden Style'!Print_Area</vt:lpstr>
      <vt:lpstr>PIERS!Print_Area</vt:lpstr>
      <vt:lpstr>Pricing!Print_Area</vt:lpstr>
      <vt:lpstr>SIDEWALKS!Print_Area</vt:lpstr>
      <vt:lpstr>'SUB LABOR SHEET'!Print_Area</vt:lpstr>
      <vt:lpstr>'Private Paving'!TABLE</vt:lpstr>
      <vt:lpstr>'ROW Paving'!TABLE</vt:lpstr>
      <vt:lpstr>'Private Paving'!TABLE_2</vt:lpstr>
      <vt:lpstr>'ROW Paving'!TABLE_2</vt:lpstr>
      <vt:lpstr>'Private Paving'!TABLE_3</vt:lpstr>
      <vt:lpstr>'ROW Paving'!TABLE_3</vt:lpstr>
    </vt:vector>
  </TitlesOfParts>
  <Company>ACCI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Sheet May 23, 2004</dc:title>
  <dc:creator>Dan</dc:creator>
  <cp:lastModifiedBy>Chad McKinney</cp:lastModifiedBy>
  <cp:lastPrinted>2020-06-12T14:31:22Z</cp:lastPrinted>
  <dcterms:created xsi:type="dcterms:W3CDTF">2001-09-19T15:27:56Z</dcterms:created>
  <dcterms:modified xsi:type="dcterms:W3CDTF">2026-04-27T18:09:14Z</dcterms:modified>
</cp:coreProperties>
</file>